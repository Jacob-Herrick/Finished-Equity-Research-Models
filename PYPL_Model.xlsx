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OneDrive\Desktop\Equity Research\Models\Financials\"/>
    </mc:Choice>
  </mc:AlternateContent>
  <xr:revisionPtr revIDLastSave="0" documentId="13_ncr:1_{B5724463-0EBA-4828-9027-BF5EB9B02C20}" xr6:coauthVersionLast="47" xr6:coauthVersionMax="47" xr10:uidLastSave="{00000000-0000-0000-0000-000000000000}"/>
  <bookViews>
    <workbookView xWindow="-120" yWindow="-120" windowWidth="29040" windowHeight="15720" activeTab="1"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99" i="2" l="1"/>
  <c r="AZ99" i="2"/>
  <c r="AY99" i="2"/>
  <c r="AX99" i="2"/>
  <c r="AW99" i="2"/>
  <c r="AV99" i="2"/>
  <c r="AU99" i="2"/>
  <c r="AT99" i="2"/>
  <c r="BL104" i="2"/>
  <c r="BO104" i="2"/>
  <c r="BN104" i="2"/>
  <c r="BA102" i="2"/>
  <c r="AZ102" i="2"/>
  <c r="AY102" i="2"/>
  <c r="AX102" i="2"/>
  <c r="AW102" i="2"/>
  <c r="AV102" i="2"/>
  <c r="AU102" i="2"/>
  <c r="AT102" i="2"/>
  <c r="BA42" i="2"/>
  <c r="AZ42" i="2"/>
  <c r="AS103" i="2" l="1"/>
  <c r="AS96" i="2"/>
  <c r="AS79" i="2"/>
  <c r="AS78" i="2"/>
  <c r="AS77" i="2"/>
  <c r="AS73" i="2"/>
  <c r="AS75" i="2" s="1"/>
  <c r="AS66" i="2"/>
  <c r="AS20" i="2"/>
  <c r="AS19" i="2"/>
  <c r="AS17" i="2"/>
  <c r="AS23" i="2" s="1"/>
  <c r="AS9" i="2"/>
  <c r="AS8" i="2"/>
  <c r="AS6" i="2"/>
  <c r="C8" i="1"/>
  <c r="BZ66" i="2"/>
  <c r="BU58" i="2"/>
  <c r="BT58" i="2"/>
  <c r="BW58" i="2" s="1"/>
  <c r="BZ64" i="2"/>
  <c r="BZ59" i="2"/>
  <c r="BZ61" i="2" s="1"/>
  <c r="BQ38" i="2"/>
  <c r="AS80" i="2" l="1"/>
  <c r="AS24" i="2"/>
  <c r="AS12" i="2"/>
  <c r="AS13" i="2"/>
  <c r="AS29" i="2"/>
  <c r="AS45" i="2" s="1"/>
  <c r="AS46" i="2" l="1"/>
  <c r="AS48" i="2"/>
  <c r="AS47" i="2"/>
  <c r="AS49" i="2"/>
  <c r="AS37" i="2"/>
  <c r="AS39" i="2" s="1"/>
  <c r="BP26" i="2"/>
  <c r="BN26" i="2"/>
  <c r="BO26" i="2"/>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14" i="3"/>
  <c r="AS50" i="2" l="1"/>
  <c r="AS51" i="2"/>
  <c r="AS41" i="2"/>
  <c r="AR103" i="2"/>
  <c r="AR96" i="2"/>
  <c r="AR79" i="2"/>
  <c r="AR78" i="2"/>
  <c r="AR77" i="2"/>
  <c r="AR73" i="2"/>
  <c r="AR75" i="2" s="1"/>
  <c r="AR66" i="2"/>
  <c r="AR20" i="2"/>
  <c r="AR19" i="2"/>
  <c r="AR17" i="2"/>
  <c r="AR23" i="2" s="1"/>
  <c r="AR9" i="2"/>
  <c r="AR8" i="2"/>
  <c r="AR6" i="2"/>
  <c r="AS84" i="2" l="1"/>
  <c r="AS97" i="2" s="1"/>
  <c r="AS82" i="2"/>
  <c r="AS81" i="2"/>
  <c r="AS52" i="2"/>
  <c r="AS43" i="2"/>
  <c r="AS99" i="2"/>
  <c r="AR24" i="2"/>
  <c r="AR12" i="2"/>
  <c r="AR13" i="2"/>
  <c r="AR80" i="2"/>
  <c r="AR29" i="2"/>
  <c r="AR48" i="2"/>
  <c r="AA8" i="2"/>
  <c r="AB8" i="2"/>
  <c r="AC8" i="2"/>
  <c r="AE8" i="2"/>
  <c r="AF8" i="2"/>
  <c r="AG8" i="2"/>
  <c r="AI8" i="2"/>
  <c r="AJ8" i="2"/>
  <c r="AK8" i="2"/>
  <c r="AM8" i="2"/>
  <c r="AN8" i="2"/>
  <c r="AO8" i="2"/>
  <c r="AQ8" i="2"/>
  <c r="AA9" i="2"/>
  <c r="AB9" i="2"/>
  <c r="AC9" i="2"/>
  <c r="AE9" i="2"/>
  <c r="AF9" i="2"/>
  <c r="AG9" i="2"/>
  <c r="AI9" i="2"/>
  <c r="AJ9" i="2"/>
  <c r="AK9" i="2"/>
  <c r="AM9" i="2"/>
  <c r="AN9" i="2"/>
  <c r="AO9" i="2"/>
  <c r="AQ9" i="2"/>
  <c r="AR49" i="2" l="1"/>
  <c r="AR45" i="2"/>
  <c r="AR47" i="2"/>
  <c r="AR46" i="2"/>
  <c r="AR37" i="2"/>
  <c r="AR39" i="2" s="1"/>
  <c r="BJ101" i="2"/>
  <c r="BI101" i="2"/>
  <c r="BH101" i="2"/>
  <c r="BG101" i="2"/>
  <c r="BL100" i="2"/>
  <c r="BK100" i="2"/>
  <c r="BK102" i="2" s="1"/>
  <c r="BJ100" i="2"/>
  <c r="BI100" i="2"/>
  <c r="BH100" i="2"/>
  <c r="BG100" i="2"/>
  <c r="BG42" i="2"/>
  <c r="BH42" i="2"/>
  <c r="BI42" i="2"/>
  <c r="BJ42" i="2"/>
  <c r="BK42" i="2"/>
  <c r="BL42" i="2"/>
  <c r="BM42" i="2"/>
  <c r="BN42" i="2"/>
  <c r="BO42" i="2"/>
  <c r="BP42" i="2"/>
  <c r="BK40" i="2"/>
  <c r="BJ40" i="2"/>
  <c r="BI40" i="2"/>
  <c r="BH40" i="2"/>
  <c r="BG40" i="2"/>
  <c r="BK38" i="2"/>
  <c r="BJ38" i="2"/>
  <c r="BI38" i="2"/>
  <c r="BH38" i="2"/>
  <c r="BG38" i="2"/>
  <c r="BK36" i="2"/>
  <c r="BJ36" i="2"/>
  <c r="BI36" i="2"/>
  <c r="BH36" i="2"/>
  <c r="BG36" i="2"/>
  <c r="BK34" i="2"/>
  <c r="BJ34" i="2"/>
  <c r="BI34" i="2"/>
  <c r="BH34" i="2"/>
  <c r="BG34" i="2"/>
  <c r="BK33" i="2"/>
  <c r="BJ33" i="2"/>
  <c r="BI33" i="2"/>
  <c r="BH33" i="2"/>
  <c r="BG33" i="2"/>
  <c r="BK32" i="2"/>
  <c r="BJ32" i="2"/>
  <c r="BI32" i="2"/>
  <c r="BH32" i="2"/>
  <c r="BG32" i="2"/>
  <c r="BK31" i="2"/>
  <c r="BJ31" i="2"/>
  <c r="BI31" i="2"/>
  <c r="BH31" i="2"/>
  <c r="BG31" i="2"/>
  <c r="BK30" i="2"/>
  <c r="BJ30" i="2"/>
  <c r="BI30" i="2"/>
  <c r="BH30" i="2"/>
  <c r="BG30" i="2"/>
  <c r="BG29" i="2"/>
  <c r="BH29" i="2"/>
  <c r="BI29" i="2"/>
  <c r="BJ29" i="2"/>
  <c r="BK29" i="2"/>
  <c r="BO79" i="2"/>
  <c r="BO78" i="2"/>
  <c r="BO77" i="2"/>
  <c r="BP79" i="2"/>
  <c r="BP78" i="2"/>
  <c r="BP77" i="2"/>
  <c r="V103" i="2"/>
  <c r="U103" i="2"/>
  <c r="T103" i="2"/>
  <c r="S103" i="2"/>
  <c r="R103" i="2"/>
  <c r="Q103" i="2"/>
  <c r="P103" i="2"/>
  <c r="O103" i="2"/>
  <c r="N103" i="2"/>
  <c r="M103" i="2"/>
  <c r="L103" i="2"/>
  <c r="K103" i="2"/>
  <c r="J103" i="2"/>
  <c r="I103" i="2"/>
  <c r="H103" i="2"/>
  <c r="G103" i="2"/>
  <c r="F103" i="2"/>
  <c r="E103" i="2"/>
  <c r="D103" i="2"/>
  <c r="C103" i="2"/>
  <c r="V102" i="2"/>
  <c r="U102" i="2"/>
  <c r="T102" i="2"/>
  <c r="S102" i="2"/>
  <c r="R102" i="2"/>
  <c r="Q102" i="2"/>
  <c r="P102" i="2"/>
  <c r="O102" i="2"/>
  <c r="N102" i="2"/>
  <c r="M102" i="2"/>
  <c r="L102" i="2"/>
  <c r="K102" i="2"/>
  <c r="J102" i="2"/>
  <c r="I102" i="2"/>
  <c r="H102" i="2"/>
  <c r="G102" i="2"/>
  <c r="F102" i="2"/>
  <c r="E102" i="2"/>
  <c r="D102" i="2"/>
  <c r="C102" i="2"/>
  <c r="V48" i="2"/>
  <c r="U48" i="2"/>
  <c r="T48" i="2"/>
  <c r="S48" i="2"/>
  <c r="R48" i="2"/>
  <c r="Q48" i="2"/>
  <c r="P48" i="2"/>
  <c r="O48" i="2"/>
  <c r="N48" i="2"/>
  <c r="M48" i="2"/>
  <c r="L48" i="2"/>
  <c r="K48" i="2"/>
  <c r="J48" i="2"/>
  <c r="I48" i="2"/>
  <c r="H48" i="2"/>
  <c r="G48" i="2"/>
  <c r="F48" i="2"/>
  <c r="E48" i="2"/>
  <c r="D48" i="2"/>
  <c r="C48" i="2"/>
  <c r="V35" i="2"/>
  <c r="V49" i="2" s="1"/>
  <c r="U35" i="2"/>
  <c r="U37" i="2" s="1"/>
  <c r="T35" i="2"/>
  <c r="T37" i="2" s="1"/>
  <c r="S35" i="2"/>
  <c r="S37" i="2" s="1"/>
  <c r="R35" i="2"/>
  <c r="R37" i="2" s="1"/>
  <c r="Q35" i="2"/>
  <c r="Q37" i="2" s="1"/>
  <c r="P35" i="2"/>
  <c r="P37" i="2" s="1"/>
  <c r="O35" i="2"/>
  <c r="O37" i="2" s="1"/>
  <c r="N35" i="2"/>
  <c r="N49" i="2" s="1"/>
  <c r="M35" i="2"/>
  <c r="M37" i="2" s="1"/>
  <c r="L35" i="2"/>
  <c r="L37" i="2" s="1"/>
  <c r="K35" i="2"/>
  <c r="K37" i="2" s="1"/>
  <c r="J35" i="2"/>
  <c r="J37" i="2" s="1"/>
  <c r="I35" i="2"/>
  <c r="I37" i="2" s="1"/>
  <c r="H35" i="2"/>
  <c r="H37" i="2" s="1"/>
  <c r="G35" i="2"/>
  <c r="G37" i="2" s="1"/>
  <c r="F35" i="2"/>
  <c r="F49" i="2" s="1"/>
  <c r="E35" i="2"/>
  <c r="E37" i="2" s="1"/>
  <c r="D35" i="2"/>
  <c r="D37" i="2" s="1"/>
  <c r="C35" i="2"/>
  <c r="C37" i="2" s="1"/>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BM66" i="2"/>
  <c r="BN66" i="2"/>
  <c r="BO66" i="2"/>
  <c r="BP66" i="2"/>
  <c r="BM70" i="2"/>
  <c r="BM73" i="2" s="1"/>
  <c r="BM75" i="2" s="1"/>
  <c r="BN70" i="2"/>
  <c r="BN73" i="2" s="1"/>
  <c r="BN75" i="2" s="1"/>
  <c r="BO73" i="2"/>
  <c r="BO75" i="2" s="1"/>
  <c r="BP73" i="2"/>
  <c r="BP75" i="2" s="1"/>
  <c r="BL84" i="2"/>
  <c r="BM84" i="2"/>
  <c r="BN84" i="2"/>
  <c r="BO84" i="2"/>
  <c r="BP84" i="2"/>
  <c r="BL85" i="2"/>
  <c r="BM85" i="2"/>
  <c r="BN85" i="2"/>
  <c r="BO85" i="2"/>
  <c r="BP85" i="2"/>
  <c r="BL86" i="2"/>
  <c r="BM86" i="2"/>
  <c r="BN86" i="2"/>
  <c r="BO86" i="2"/>
  <c r="BP86" i="2"/>
  <c r="BL87" i="2"/>
  <c r="BM87" i="2"/>
  <c r="BN87" i="2"/>
  <c r="BO87" i="2"/>
  <c r="BP87" i="2"/>
  <c r="BL88" i="2"/>
  <c r="BM88" i="2"/>
  <c r="BN88" i="2"/>
  <c r="BO88" i="2"/>
  <c r="BP88" i="2"/>
  <c r="BL89" i="2"/>
  <c r="BM89" i="2"/>
  <c r="BN89" i="2"/>
  <c r="BO89" i="2"/>
  <c r="BP89" i="2"/>
  <c r="BL90" i="2"/>
  <c r="BM90" i="2"/>
  <c r="BN90" i="2"/>
  <c r="BO90" i="2"/>
  <c r="BP90" i="2"/>
  <c r="BL91" i="2"/>
  <c r="BM91" i="2"/>
  <c r="BN91" i="2"/>
  <c r="BO91" i="2"/>
  <c r="BP91" i="2"/>
  <c r="BL92" i="2"/>
  <c r="BM92" i="2"/>
  <c r="BN92" i="2"/>
  <c r="BO92" i="2"/>
  <c r="BP92" i="2"/>
  <c r="BL93" i="2"/>
  <c r="BM93" i="2"/>
  <c r="BN93" i="2"/>
  <c r="BO93" i="2"/>
  <c r="BP93" i="2"/>
  <c r="BL94" i="2"/>
  <c r="BM94" i="2"/>
  <c r="BN94" i="2"/>
  <c r="BO94" i="2"/>
  <c r="BP94" i="2"/>
  <c r="BL95" i="2"/>
  <c r="BM95" i="2"/>
  <c r="BN95" i="2"/>
  <c r="BO95" i="2"/>
  <c r="BP95" i="2"/>
  <c r="BL96" i="2"/>
  <c r="BM96" i="2"/>
  <c r="BN96" i="2"/>
  <c r="BO96" i="2"/>
  <c r="BP96" i="2"/>
  <c r="BL97" i="2"/>
  <c r="BN97" i="2"/>
  <c r="BO97" i="2"/>
  <c r="BP97" i="2"/>
  <c r="AY42" i="2"/>
  <c r="AX42" i="2"/>
  <c r="AW42" i="2"/>
  <c r="AV42" i="2"/>
  <c r="AU42" i="2"/>
  <c r="AT42" i="2"/>
  <c r="AP79" i="2"/>
  <c r="AO79" i="2"/>
  <c r="AN79" i="2"/>
  <c r="AM79" i="2"/>
  <c r="AL79" i="2"/>
  <c r="AP78" i="2"/>
  <c r="AO78" i="2"/>
  <c r="AN78" i="2"/>
  <c r="AM78" i="2"/>
  <c r="AL78" i="2"/>
  <c r="AP77" i="2"/>
  <c r="AO77" i="2"/>
  <c r="AN77" i="2"/>
  <c r="AM77" i="2"/>
  <c r="AL77" i="2"/>
  <c r="AQ79" i="2"/>
  <c r="AQ78" i="2"/>
  <c r="AQ77" i="2"/>
  <c r="AP103" i="2"/>
  <c r="AO103" i="2"/>
  <c r="AN103" i="2"/>
  <c r="AM103" i="2"/>
  <c r="AL103" i="2"/>
  <c r="AK103" i="2"/>
  <c r="AJ103" i="2"/>
  <c r="AI103" i="2"/>
  <c r="AH103" i="2"/>
  <c r="AG103" i="2"/>
  <c r="AF103" i="2"/>
  <c r="AE103" i="2"/>
  <c r="AD103" i="2"/>
  <c r="AC103" i="2"/>
  <c r="AB103" i="2"/>
  <c r="AA103" i="2"/>
  <c r="Z103" i="2"/>
  <c r="Y103" i="2"/>
  <c r="X103" i="2"/>
  <c r="W103" i="2"/>
  <c r="AQ103" i="2"/>
  <c r="AQ101" i="2"/>
  <c r="AR101" i="2" s="1"/>
  <c r="AS101" i="2" s="1"/>
  <c r="AN101" i="2"/>
  <c r="AO101" i="2" s="1"/>
  <c r="AP101" i="2" s="1"/>
  <c r="AI101" i="2"/>
  <c r="AE101" i="2"/>
  <c r="AF101" i="2" s="1"/>
  <c r="AG101" i="2" s="1"/>
  <c r="AB101" i="2"/>
  <c r="W101" i="2"/>
  <c r="X101" i="2" s="1"/>
  <c r="AQ96" i="2"/>
  <c r="AM96" i="2"/>
  <c r="AN96" i="2" s="1"/>
  <c r="AO96" i="2" s="1"/>
  <c r="AP96" i="2" s="1"/>
  <c r="AI96" i="2"/>
  <c r="AJ96" i="2" s="1"/>
  <c r="AE96" i="2"/>
  <c r="AF96" i="2" s="1"/>
  <c r="AG96" i="2" s="1"/>
  <c r="AH96" i="2" s="1"/>
  <c r="AA96" i="2"/>
  <c r="AB96" i="2" s="1"/>
  <c r="W96" i="2"/>
  <c r="X96" i="2" s="1"/>
  <c r="Y96" i="2" s="1"/>
  <c r="Z96" i="2" s="1"/>
  <c r="AN95" i="2"/>
  <c r="AO95" i="2" s="1"/>
  <c r="AP95" i="2" s="1"/>
  <c r="AJ95" i="2"/>
  <c r="AK95" i="2" s="1"/>
  <c r="AN94" i="2"/>
  <c r="AJ94" i="2"/>
  <c r="AK94" i="2" s="1"/>
  <c r="AL94" i="2" s="1"/>
  <c r="AN93" i="2"/>
  <c r="AO93" i="2" s="1"/>
  <c r="AP93" i="2" s="1"/>
  <c r="AJ93" i="2"/>
  <c r="AK93" i="2" s="1"/>
  <c r="AF93" i="2"/>
  <c r="AB93" i="2"/>
  <c r="AC93" i="2" s="1"/>
  <c r="AD93" i="2" s="1"/>
  <c r="X93" i="2"/>
  <c r="AN92" i="2"/>
  <c r="AJ92" i="2"/>
  <c r="AN91" i="2"/>
  <c r="AO91" i="2" s="1"/>
  <c r="AP91" i="2" s="1"/>
  <c r="AJ91" i="2"/>
  <c r="AK91" i="2" s="1"/>
  <c r="AL91" i="2" s="1"/>
  <c r="AH91" i="2"/>
  <c r="AN89" i="2"/>
  <c r="AO89" i="2" s="1"/>
  <c r="AJ89" i="2"/>
  <c r="AK89" i="2" s="1"/>
  <c r="AF89" i="2"/>
  <c r="AB89" i="2"/>
  <c r="AC89" i="2" s="1"/>
  <c r="AD89" i="2" s="1"/>
  <c r="X89" i="2"/>
  <c r="Y89" i="2" s="1"/>
  <c r="Z89" i="2" s="1"/>
  <c r="AN88" i="2"/>
  <c r="AJ88" i="2"/>
  <c r="AF88" i="2"/>
  <c r="AG88" i="2" s="1"/>
  <c r="AB88" i="2"/>
  <c r="AC88" i="2" s="1"/>
  <c r="X88" i="2"/>
  <c r="AN87" i="2"/>
  <c r="AJ87" i="2"/>
  <c r="AK87" i="2" s="1"/>
  <c r="AF87" i="2"/>
  <c r="AG87" i="2" s="1"/>
  <c r="AH87" i="2" s="1"/>
  <c r="AB87" i="2"/>
  <c r="AC87" i="2" s="1"/>
  <c r="X87" i="2"/>
  <c r="AN86" i="2"/>
  <c r="AO86" i="2" s="1"/>
  <c r="AP86" i="2" s="1"/>
  <c r="AJ86" i="2"/>
  <c r="AK86" i="2" s="1"/>
  <c r="AL86" i="2" s="1"/>
  <c r="AF86" i="2"/>
  <c r="AG86" i="2" s="1"/>
  <c r="AB86" i="2"/>
  <c r="X86" i="2"/>
  <c r="Y86" i="2" s="1"/>
  <c r="Z86" i="2" s="1"/>
  <c r="AN85" i="2"/>
  <c r="AO85" i="2" s="1"/>
  <c r="AP85" i="2" s="1"/>
  <c r="AJ85" i="2"/>
  <c r="AK85" i="2" s="1"/>
  <c r="AF85" i="2"/>
  <c r="AB85" i="2"/>
  <c r="X85" i="2"/>
  <c r="AQ73" i="2"/>
  <c r="AQ75" i="2" s="1"/>
  <c r="AP73" i="2"/>
  <c r="AP75" i="2" s="1"/>
  <c r="AO73" i="2"/>
  <c r="AO75" i="2" s="1"/>
  <c r="AN73" i="2"/>
  <c r="AN75" i="2" s="1"/>
  <c r="AM73" i="2"/>
  <c r="AM75" i="2" s="1"/>
  <c r="AL73" i="2"/>
  <c r="AL75" i="2" s="1"/>
  <c r="AK70" i="2"/>
  <c r="AK73" i="2" s="1"/>
  <c r="AK75" i="2" s="1"/>
  <c r="AJ70" i="2"/>
  <c r="AJ73" i="2" s="1"/>
  <c r="AJ75" i="2" s="1"/>
  <c r="AI70" i="2"/>
  <c r="AI73" i="2" s="1"/>
  <c r="AI75" i="2" s="1"/>
  <c r="AH70" i="2"/>
  <c r="AH73" i="2" s="1"/>
  <c r="AH75" i="2" s="1"/>
  <c r="AG70" i="2"/>
  <c r="AG73" i="2" s="1"/>
  <c r="AG75" i="2" s="1"/>
  <c r="AF70" i="2"/>
  <c r="AF73" i="2" s="1"/>
  <c r="AF75" i="2" s="1"/>
  <c r="AE70" i="2"/>
  <c r="AE73" i="2" s="1"/>
  <c r="AE75" i="2" s="1"/>
  <c r="AD70" i="2"/>
  <c r="AD73" i="2" s="1"/>
  <c r="AD75" i="2" s="1"/>
  <c r="AQ66" i="2"/>
  <c r="AP66" i="2"/>
  <c r="AO66" i="2"/>
  <c r="AN66" i="2"/>
  <c r="AM66" i="2"/>
  <c r="AL66" i="2"/>
  <c r="AK66" i="2"/>
  <c r="AJ66" i="2"/>
  <c r="AI66" i="2"/>
  <c r="AH66" i="2"/>
  <c r="AG66" i="2"/>
  <c r="AF66" i="2"/>
  <c r="AE66" i="2"/>
  <c r="AD66" i="2"/>
  <c r="AP40" i="2"/>
  <c r="BP40" i="2" s="1"/>
  <c r="AL40" i="2"/>
  <c r="BO40" i="2" s="1"/>
  <c r="AH40" i="2"/>
  <c r="BN40" i="2" s="1"/>
  <c r="AD40" i="2"/>
  <c r="BM40" i="2" s="1"/>
  <c r="Z40" i="2"/>
  <c r="BL40" i="2" s="1"/>
  <c r="AP38" i="2"/>
  <c r="BP38" i="2" s="1"/>
  <c r="AL38" i="2"/>
  <c r="BO38" i="2" s="1"/>
  <c r="AH38" i="2"/>
  <c r="BN38" i="2" s="1"/>
  <c r="AD38" i="2"/>
  <c r="BM38" i="2" s="1"/>
  <c r="Z38" i="2"/>
  <c r="BL38" i="2" s="1"/>
  <c r="AP36" i="2"/>
  <c r="BP36" i="2" s="1"/>
  <c r="AL36" i="2"/>
  <c r="BO36" i="2" s="1"/>
  <c r="AH36" i="2"/>
  <c r="BN36" i="2" s="1"/>
  <c r="AD36" i="2"/>
  <c r="BM36" i="2" s="1"/>
  <c r="Z36" i="2"/>
  <c r="BL36" i="2" s="1"/>
  <c r="AP35" i="2"/>
  <c r="BP35" i="2" s="1"/>
  <c r="AL35" i="2"/>
  <c r="BO35" i="2" s="1"/>
  <c r="AH35" i="2"/>
  <c r="BN35" i="2" s="1"/>
  <c r="AD35" i="2"/>
  <c r="BM35" i="2" s="1"/>
  <c r="Z35" i="2"/>
  <c r="BL35" i="2" s="1"/>
  <c r="AP34" i="2"/>
  <c r="BP34" i="2" s="1"/>
  <c r="AL34" i="2"/>
  <c r="BO34" i="2" s="1"/>
  <c r="AH34" i="2"/>
  <c r="BN34" i="2" s="1"/>
  <c r="AD34" i="2"/>
  <c r="BM34" i="2" s="1"/>
  <c r="Z34" i="2"/>
  <c r="BL34" i="2" s="1"/>
  <c r="AP33" i="2"/>
  <c r="BP33" i="2" s="1"/>
  <c r="AL33" i="2"/>
  <c r="BO33" i="2" s="1"/>
  <c r="AH33" i="2"/>
  <c r="BN33" i="2" s="1"/>
  <c r="AD33" i="2"/>
  <c r="BM33" i="2" s="1"/>
  <c r="Z33" i="2"/>
  <c r="BL33" i="2" s="1"/>
  <c r="AP32" i="2"/>
  <c r="AL32" i="2"/>
  <c r="AH32" i="2"/>
  <c r="AD32" i="2"/>
  <c r="Z32" i="2"/>
  <c r="AP31" i="2"/>
  <c r="AL31" i="2"/>
  <c r="AH31" i="2"/>
  <c r="AD31" i="2"/>
  <c r="Z31" i="2"/>
  <c r="AP30" i="2"/>
  <c r="AL30" i="2"/>
  <c r="AH30" i="2"/>
  <c r="AD30" i="2"/>
  <c r="Z30" i="2"/>
  <c r="AQ20" i="2"/>
  <c r="AO20" i="2"/>
  <c r="AN20" i="2"/>
  <c r="AM20" i="2"/>
  <c r="AK20" i="2"/>
  <c r="AJ20" i="2"/>
  <c r="AI20" i="2"/>
  <c r="AQ19" i="2"/>
  <c r="AO19" i="2"/>
  <c r="AN19" i="2"/>
  <c r="AM19" i="2"/>
  <c r="AK19" i="2"/>
  <c r="AJ19" i="2"/>
  <c r="AI19" i="2"/>
  <c r="AG19" i="2"/>
  <c r="AF19" i="2"/>
  <c r="AE19" i="2"/>
  <c r="AC19" i="2"/>
  <c r="AB19" i="2"/>
  <c r="AA19" i="2"/>
  <c r="AQ17" i="2"/>
  <c r="AQ24" i="2" s="1"/>
  <c r="AO17" i="2"/>
  <c r="AS21" i="2" s="1"/>
  <c r="AN17" i="2"/>
  <c r="AR21" i="2" s="1"/>
  <c r="AM17" i="2"/>
  <c r="AK17" i="2"/>
  <c r="AK24" i="2" s="1"/>
  <c r="AJ17" i="2"/>
  <c r="AJ24" i="2" s="1"/>
  <c r="AI17" i="2"/>
  <c r="AG17" i="2"/>
  <c r="AF17" i="2"/>
  <c r="AE17" i="2"/>
  <c r="AP16" i="2"/>
  <c r="BP16" i="2" s="1"/>
  <c r="AL16" i="2"/>
  <c r="BO16" i="2" s="1"/>
  <c r="AH16" i="2"/>
  <c r="BN16" i="2" s="1"/>
  <c r="AC16" i="2"/>
  <c r="AG20" i="2" s="1"/>
  <c r="AB16" i="2"/>
  <c r="AA16" i="2"/>
  <c r="Y16" i="2"/>
  <c r="X16" i="2"/>
  <c r="X17" i="2" s="1"/>
  <c r="X23" i="2" s="1"/>
  <c r="W16" i="2"/>
  <c r="AP15" i="2"/>
  <c r="BP15" i="2" s="1"/>
  <c r="AL15" i="2"/>
  <c r="BO15" i="2" s="1"/>
  <c r="AH15" i="2"/>
  <c r="BN15" i="2" s="1"/>
  <c r="AD15" i="2"/>
  <c r="BM15" i="2" s="1"/>
  <c r="Z15" i="2"/>
  <c r="BL15" i="2" s="1"/>
  <c r="AQ6" i="2"/>
  <c r="AO6" i="2"/>
  <c r="AS10" i="2" s="1"/>
  <c r="AN6" i="2"/>
  <c r="AM6" i="2"/>
  <c r="AK6" i="2"/>
  <c r="AJ6" i="2"/>
  <c r="AI6" i="2"/>
  <c r="AG6" i="2"/>
  <c r="AF6" i="2"/>
  <c r="AE6" i="2"/>
  <c r="AC6" i="2"/>
  <c r="AB6" i="2"/>
  <c r="AA6" i="2"/>
  <c r="Y6" i="2"/>
  <c r="X6" i="2"/>
  <c r="W6" i="2"/>
  <c r="AP5" i="2"/>
  <c r="BP5" i="2" s="1"/>
  <c r="BQ5" i="2" s="1"/>
  <c r="AL5" i="2"/>
  <c r="BO5" i="2" s="1"/>
  <c r="AH5" i="2"/>
  <c r="BN5" i="2" s="1"/>
  <c r="AD5" i="2"/>
  <c r="BM5" i="2" s="1"/>
  <c r="Z5" i="2"/>
  <c r="BL5" i="2" s="1"/>
  <c r="AP4" i="2"/>
  <c r="BP4" i="2" s="1"/>
  <c r="BQ4" i="2" s="1"/>
  <c r="AL4" i="2"/>
  <c r="BO4" i="2" s="1"/>
  <c r="AH4" i="2"/>
  <c r="BN4" i="2" s="1"/>
  <c r="AD4" i="2"/>
  <c r="BM4" i="2" s="1"/>
  <c r="Z4" i="2"/>
  <c r="BL4" i="2" s="1"/>
  <c r="C7" i="1"/>
  <c r="BH3" i="2"/>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BM30" i="2" l="1"/>
  <c r="BP31" i="2"/>
  <c r="BL32" i="2"/>
  <c r="BO30" i="2"/>
  <c r="BM32" i="2"/>
  <c r="BP30" i="2"/>
  <c r="BN32" i="2"/>
  <c r="BL31" i="2"/>
  <c r="BO32" i="2"/>
  <c r="BM31" i="2"/>
  <c r="BP32" i="2"/>
  <c r="BN30" i="2"/>
  <c r="BN31" i="2"/>
  <c r="BL30" i="2"/>
  <c r="BO31" i="2"/>
  <c r="W17" i="2"/>
  <c r="W24" i="2" s="1"/>
  <c r="AE24" i="2"/>
  <c r="BR4" i="2"/>
  <c r="BQ6" i="2"/>
  <c r="BQ13" i="2" s="1"/>
  <c r="BR5" i="2"/>
  <c r="F104" i="2"/>
  <c r="N104" i="2"/>
  <c r="V104" i="2"/>
  <c r="BG103" i="2"/>
  <c r="BI103" i="2"/>
  <c r="BK103" i="2"/>
  <c r="BH102" i="2"/>
  <c r="BO6" i="2"/>
  <c r="BO12" i="2" s="1"/>
  <c r="AI24" i="2"/>
  <c r="BJ103" i="2"/>
  <c r="C104" i="2"/>
  <c r="S104" i="2"/>
  <c r="D104" i="2"/>
  <c r="L104" i="2"/>
  <c r="T104" i="2"/>
  <c r="BO103" i="2"/>
  <c r="E104" i="2"/>
  <c r="M104" i="2"/>
  <c r="U104" i="2"/>
  <c r="K104" i="2"/>
  <c r="BM103" i="2"/>
  <c r="BH103" i="2"/>
  <c r="BJ37" i="2"/>
  <c r="BI102" i="2"/>
  <c r="BG102" i="2"/>
  <c r="BL103" i="2"/>
  <c r="BN103" i="2"/>
  <c r="BP103" i="2"/>
  <c r="H104" i="2"/>
  <c r="P104" i="2"/>
  <c r="BJ102" i="2"/>
  <c r="BH37" i="2"/>
  <c r="BN77" i="2"/>
  <c r="G49" i="2"/>
  <c r="AI80" i="2"/>
  <c r="AI13" i="2"/>
  <c r="AI12" i="2"/>
  <c r="AI10" i="2"/>
  <c r="AP8" i="2"/>
  <c r="Y12" i="2"/>
  <c r="Y13" i="2"/>
  <c r="AJ80" i="2"/>
  <c r="AJ13" i="2"/>
  <c r="AJ12" i="2"/>
  <c r="AJ10" i="2"/>
  <c r="BM9" i="2"/>
  <c r="BN78" i="2"/>
  <c r="AL8" i="2"/>
  <c r="AA29" i="2"/>
  <c r="AA13" i="2"/>
  <c r="AA12" i="2"/>
  <c r="AA10" i="2"/>
  <c r="AK10" i="2"/>
  <c r="AK13" i="2"/>
  <c r="AK12" i="2"/>
  <c r="G104" i="2"/>
  <c r="O104" i="2"/>
  <c r="BN79" i="2"/>
  <c r="BO20" i="2"/>
  <c r="AB13" i="2"/>
  <c r="AB12" i="2"/>
  <c r="AB10" i="2"/>
  <c r="BP8" i="2"/>
  <c r="BG35" i="2"/>
  <c r="AD9" i="2"/>
  <c r="AM10" i="2"/>
  <c r="AM13" i="2"/>
  <c r="AM12" i="2"/>
  <c r="AH9" i="2"/>
  <c r="AN80" i="2"/>
  <c r="AR10" i="2"/>
  <c r="AN12" i="2"/>
  <c r="AN13" i="2"/>
  <c r="AN10" i="2"/>
  <c r="BP19" i="2"/>
  <c r="BO8" i="2"/>
  <c r="I104" i="2"/>
  <c r="Q104" i="2"/>
  <c r="BM77" i="2"/>
  <c r="BH35" i="2"/>
  <c r="AC10" i="2"/>
  <c r="AC12" i="2"/>
  <c r="AC13" i="2"/>
  <c r="AL9" i="2"/>
  <c r="AE13" i="2"/>
  <c r="AE12" i="2"/>
  <c r="AE10" i="2"/>
  <c r="AO29" i="2"/>
  <c r="AO12" i="2"/>
  <c r="AO10" i="2"/>
  <c r="AO13" i="2"/>
  <c r="BO19" i="2"/>
  <c r="BN8" i="2"/>
  <c r="J104" i="2"/>
  <c r="R104" i="2"/>
  <c r="BM78" i="2"/>
  <c r="BI35" i="2"/>
  <c r="X12" i="2"/>
  <c r="X13" i="2"/>
  <c r="BN9" i="2"/>
  <c r="AP9" i="2"/>
  <c r="AF12" i="2"/>
  <c r="AF13" i="2"/>
  <c r="AF10" i="2"/>
  <c r="AQ80" i="2"/>
  <c r="AQ13" i="2"/>
  <c r="AQ12" i="2"/>
  <c r="AQ10" i="2"/>
  <c r="BN19" i="2"/>
  <c r="BP9" i="2"/>
  <c r="BM8" i="2"/>
  <c r="BM79" i="2"/>
  <c r="BJ35" i="2"/>
  <c r="AD8" i="2"/>
  <c r="AH8" i="2"/>
  <c r="W13" i="2"/>
  <c r="W12" i="2"/>
  <c r="AG80" i="2"/>
  <c r="AG12" i="2"/>
  <c r="AG10" i="2"/>
  <c r="AG13" i="2"/>
  <c r="BP20" i="2"/>
  <c r="BM19" i="2"/>
  <c r="BO9" i="2"/>
  <c r="BK35" i="2"/>
  <c r="K207" i="3"/>
  <c r="K208" i="3" s="1"/>
  <c r="AR50" i="2"/>
  <c r="AR41" i="2"/>
  <c r="AR51" i="2"/>
  <c r="O49" i="2"/>
  <c r="F37" i="2"/>
  <c r="F50" i="2" s="1"/>
  <c r="N37" i="2"/>
  <c r="N50" i="2" s="1"/>
  <c r="G50" i="2"/>
  <c r="G39" i="2"/>
  <c r="O50" i="2"/>
  <c r="O39" i="2"/>
  <c r="I50" i="2"/>
  <c r="I39" i="2"/>
  <c r="Q50" i="2"/>
  <c r="Q39" i="2"/>
  <c r="H50" i="2"/>
  <c r="H39" i="2"/>
  <c r="J50" i="2"/>
  <c r="J39" i="2"/>
  <c r="R50" i="2"/>
  <c r="R39" i="2"/>
  <c r="C39" i="2"/>
  <c r="C50" i="2"/>
  <c r="K50" i="2"/>
  <c r="K39" i="2"/>
  <c r="S50" i="2"/>
  <c r="S39" i="2"/>
  <c r="P50" i="2"/>
  <c r="P39" i="2"/>
  <c r="D50" i="2"/>
  <c r="D39" i="2"/>
  <c r="L50" i="2"/>
  <c r="L39" i="2"/>
  <c r="T50" i="2"/>
  <c r="T39" i="2"/>
  <c r="E50" i="2"/>
  <c r="E39" i="2"/>
  <c r="M50" i="2"/>
  <c r="M39" i="2"/>
  <c r="U50" i="2"/>
  <c r="U39" i="2"/>
  <c r="H49" i="2"/>
  <c r="P49" i="2"/>
  <c r="I49" i="2"/>
  <c r="Q49" i="2"/>
  <c r="J49" i="2"/>
  <c r="R49" i="2"/>
  <c r="V37" i="2"/>
  <c r="BK37" i="2" s="1"/>
  <c r="C49" i="2"/>
  <c r="K49" i="2"/>
  <c r="S49" i="2"/>
  <c r="D49" i="2"/>
  <c r="L49" i="2"/>
  <c r="T49" i="2"/>
  <c r="E49" i="2"/>
  <c r="M49" i="2"/>
  <c r="U49" i="2"/>
  <c r="AK77" i="2"/>
  <c r="AE80" i="2"/>
  <c r="AH79" i="2"/>
  <c r="AI79" i="2"/>
  <c r="AD77" i="2"/>
  <c r="AE78" i="2"/>
  <c r="AJ79" i="2"/>
  <c r="AJ77" i="2"/>
  <c r="K203" i="3"/>
  <c r="K204" i="3"/>
  <c r="K205" i="3"/>
  <c r="K206" i="3"/>
  <c r="AE77" i="2"/>
  <c r="AH78" i="2"/>
  <c r="AK79" i="2"/>
  <c r="AF80" i="2"/>
  <c r="AF77" i="2"/>
  <c r="AI78" i="2"/>
  <c r="AD79" i="2"/>
  <c r="AO80" i="2"/>
  <c r="AF78" i="2"/>
  <c r="AG78" i="2"/>
  <c r="AM80" i="2"/>
  <c r="AG77" i="2"/>
  <c r="AJ78" i="2"/>
  <c r="AE79" i="2"/>
  <c r="AH77" i="2"/>
  <c r="AK78" i="2"/>
  <c r="AF79" i="2"/>
  <c r="AK80" i="2"/>
  <c r="AI77" i="2"/>
  <c r="AD78" i="2"/>
  <c r="AG79" i="2"/>
  <c r="AB20" i="2"/>
  <c r="AM21" i="2"/>
  <c r="AP6" i="2"/>
  <c r="BP6" i="2" s="1"/>
  <c r="BP80" i="2" s="1"/>
  <c r="AC17" i="2"/>
  <c r="AG21" i="2" s="1"/>
  <c r="AI21" i="2"/>
  <c r="AP20" i="2"/>
  <c r="AC29" i="2"/>
  <c r="X29" i="2"/>
  <c r="AN29" i="2"/>
  <c r="AN21" i="2"/>
  <c r="AA20" i="2"/>
  <c r="AL17" i="2"/>
  <c r="AL23" i="2" s="1"/>
  <c r="AI23" i="2"/>
  <c r="AQ21" i="2"/>
  <c r="AD88" i="2"/>
  <c r="AJ23" i="2"/>
  <c r="W29" i="2"/>
  <c r="AE29" i="2"/>
  <c r="AM29" i="2"/>
  <c r="Y17" i="2"/>
  <c r="Y23" i="2" s="1"/>
  <c r="AP19" i="2"/>
  <c r="Y29" i="2"/>
  <c r="AG29" i="2"/>
  <c r="AK29" i="2"/>
  <c r="AH6" i="2"/>
  <c r="BN6" i="2" s="1"/>
  <c r="AO21" i="2"/>
  <c r="AM24" i="2"/>
  <c r="AI29" i="2"/>
  <c r="AQ29" i="2"/>
  <c r="X24" i="2"/>
  <c r="AQ23" i="2"/>
  <c r="AF29" i="2"/>
  <c r="Z6" i="2"/>
  <c r="Z13" i="2" s="1"/>
  <c r="AP17" i="2"/>
  <c r="AP23" i="2" s="1"/>
  <c r="AC20" i="2"/>
  <c r="AB29" i="2"/>
  <c r="AJ29" i="2"/>
  <c r="AC101" i="2"/>
  <c r="AD101" i="2" s="1"/>
  <c r="AH88" i="2"/>
  <c r="AP89" i="2"/>
  <c r="Y101" i="2"/>
  <c r="Z101" i="2" s="1"/>
  <c r="AH101" i="2"/>
  <c r="AJ101" i="2"/>
  <c r="AK101" i="2" s="1"/>
  <c r="Y85" i="2"/>
  <c r="Z85" i="2" s="1"/>
  <c r="AL93" i="2"/>
  <c r="AC85" i="2"/>
  <c r="AD85" i="2" s="1"/>
  <c r="AO88" i="2"/>
  <c r="AP88" i="2" s="1"/>
  <c r="Y93" i="2"/>
  <c r="Z93" i="2" s="1"/>
  <c r="AD87" i="2"/>
  <c r="AL85" i="2"/>
  <c r="AL87" i="2"/>
  <c r="AK96" i="2"/>
  <c r="AL96" i="2" s="1"/>
  <c r="AC96" i="2"/>
  <c r="AD96" i="2" s="1"/>
  <c r="Y88" i="2"/>
  <c r="Z88" i="2" s="1"/>
  <c r="AO92" i="2"/>
  <c r="AP92" i="2" s="1"/>
  <c r="AG85" i="2"/>
  <c r="AH86" i="2"/>
  <c r="Y87" i="2"/>
  <c r="AK88" i="2"/>
  <c r="AL88" i="2" s="1"/>
  <c r="AL89" i="2"/>
  <c r="AG93" i="2"/>
  <c r="AH93" i="2" s="1"/>
  <c r="AL95" i="2"/>
  <c r="AC86" i="2"/>
  <c r="AO87" i="2"/>
  <c r="AP87" i="2" s="1"/>
  <c r="AG89" i="2"/>
  <c r="AH89" i="2" s="1"/>
  <c r="AK92" i="2"/>
  <c r="AL92" i="2" s="1"/>
  <c r="AO94" i="2"/>
  <c r="AP94" i="2" s="1"/>
  <c r="W23" i="2"/>
  <c r="AL19" i="2"/>
  <c r="AH17" i="2"/>
  <c r="AH23" i="2" s="1"/>
  <c r="AK23" i="2"/>
  <c r="AF24" i="2"/>
  <c r="AN24" i="2"/>
  <c r="AL20" i="2"/>
  <c r="AK21" i="2"/>
  <c r="AD19" i="2"/>
  <c r="AJ21" i="2"/>
  <c r="AD16" i="2"/>
  <c r="BM16" i="2" s="1"/>
  <c r="AA17" i="2"/>
  <c r="AG24" i="2"/>
  <c r="AO24" i="2"/>
  <c r="AE20" i="2"/>
  <c r="AD6" i="2"/>
  <c r="AD12" i="2" s="1"/>
  <c r="AL6" i="2"/>
  <c r="AL13" i="2" s="1"/>
  <c r="AB17" i="2"/>
  <c r="AB24" i="2" s="1"/>
  <c r="AE23" i="2"/>
  <c r="AM23" i="2"/>
  <c r="AF20" i="2"/>
  <c r="AN23" i="2"/>
  <c r="AG23" i="2"/>
  <c r="AO23" i="2"/>
  <c r="AF23" i="2"/>
  <c r="AH19" i="2"/>
  <c r="Z16" i="2"/>
  <c r="BL16" i="2" s="1"/>
  <c r="C10" i="1"/>
  <c r="AA49" i="2" l="1"/>
  <c r="AA47" i="2"/>
  <c r="AA45" i="2"/>
  <c r="AA46" i="2"/>
  <c r="AN45" i="2"/>
  <c r="AN46" i="2"/>
  <c r="AN47" i="2"/>
  <c r="AM46" i="2"/>
  <c r="AM47" i="2"/>
  <c r="AM45" i="2"/>
  <c r="W46" i="2"/>
  <c r="W45" i="2"/>
  <c r="W47" i="2"/>
  <c r="AF45" i="2"/>
  <c r="AF46" i="2"/>
  <c r="AF47" i="2"/>
  <c r="AK45" i="2"/>
  <c r="AK46" i="2"/>
  <c r="AK47" i="2"/>
  <c r="X45" i="2"/>
  <c r="X46" i="2"/>
  <c r="X47" i="2"/>
  <c r="AE46" i="2"/>
  <c r="AE47" i="2"/>
  <c r="AE45" i="2"/>
  <c r="AG47" i="2"/>
  <c r="AG46" i="2"/>
  <c r="AG45" i="2"/>
  <c r="AC45" i="2"/>
  <c r="AC46" i="2"/>
  <c r="AC47" i="2"/>
  <c r="AO37" i="2"/>
  <c r="AO39" i="2" s="1"/>
  <c r="AO41" i="2" s="1"/>
  <c r="AO82" i="2" s="1"/>
  <c r="AO47" i="2"/>
  <c r="AO46" i="2"/>
  <c r="AO45" i="2"/>
  <c r="Y47" i="2"/>
  <c r="Y45" i="2"/>
  <c r="Y46" i="2"/>
  <c r="AJ46" i="2"/>
  <c r="AJ47" i="2"/>
  <c r="AJ45" i="2"/>
  <c r="AQ45" i="2"/>
  <c r="AQ47" i="2"/>
  <c r="AQ46" i="2"/>
  <c r="AB45" i="2"/>
  <c r="AB47" i="2"/>
  <c r="AB46" i="2"/>
  <c r="AI45" i="2"/>
  <c r="AI46" i="2"/>
  <c r="AI47" i="2"/>
  <c r="N39" i="2"/>
  <c r="N51" i="2" s="1"/>
  <c r="BO80" i="2"/>
  <c r="BN17" i="2"/>
  <c r="BO17" i="2"/>
  <c r="BO21" i="2" s="1"/>
  <c r="BN12" i="2"/>
  <c r="BN80" i="2"/>
  <c r="BN13" i="2"/>
  <c r="BN20" i="2"/>
  <c r="BM20" i="2"/>
  <c r="BO10" i="2"/>
  <c r="BO13" i="2"/>
  <c r="BO24" i="2"/>
  <c r="BP17" i="2"/>
  <c r="BL6" i="2"/>
  <c r="BI37" i="2"/>
  <c r="F39" i="2"/>
  <c r="F41" i="2" s="1"/>
  <c r="F99" i="2" s="1"/>
  <c r="BP13" i="2"/>
  <c r="BP12" i="2"/>
  <c r="BP10" i="2"/>
  <c r="BI104" i="2"/>
  <c r="BS5" i="2"/>
  <c r="BT5" i="2" s="1"/>
  <c r="BU5" i="2" s="1"/>
  <c r="BV5" i="2" s="1"/>
  <c r="BS4" i="2"/>
  <c r="BR6" i="2"/>
  <c r="BR13" i="2" s="1"/>
  <c r="AE21" i="2"/>
  <c r="BQ12" i="2"/>
  <c r="BQ29" i="2"/>
  <c r="BQ10" i="2"/>
  <c r="BM6" i="2"/>
  <c r="BN10" i="2" s="1"/>
  <c r="AA48" i="2"/>
  <c r="BG104" i="2"/>
  <c r="BK104" i="2"/>
  <c r="AH10" i="2"/>
  <c r="BJ39" i="2"/>
  <c r="AO84" i="2"/>
  <c r="AO97" i="2" s="1"/>
  <c r="AO100" i="2" s="1"/>
  <c r="AO102" i="2" s="1"/>
  <c r="AO104" i="2" s="1"/>
  <c r="AO49" i="2"/>
  <c r="AP10" i="2"/>
  <c r="AO48" i="2"/>
  <c r="BL101" i="2"/>
  <c r="BL102" i="2" s="1"/>
  <c r="BH104" i="2"/>
  <c r="BJ104" i="2"/>
  <c r="AL10" i="2"/>
  <c r="AD10" i="2"/>
  <c r="AP13" i="2"/>
  <c r="Z12" i="2"/>
  <c r="AD13" i="2"/>
  <c r="AA37" i="2"/>
  <c r="AL12" i="2"/>
  <c r="AP12" i="2"/>
  <c r="BI39" i="2"/>
  <c r="BH39" i="2"/>
  <c r="AH13" i="2"/>
  <c r="AH12" i="2"/>
  <c r="BG37" i="2"/>
  <c r="P225" i="3"/>
  <c r="AR99" i="2"/>
  <c r="AR43" i="2"/>
  <c r="AR84" i="2"/>
  <c r="AR97" i="2" s="1"/>
  <c r="AR82" i="2"/>
  <c r="AR81" i="2"/>
  <c r="AR52" i="2"/>
  <c r="D51" i="2"/>
  <c r="D41" i="2"/>
  <c r="D99" i="2" s="1"/>
  <c r="E51" i="2"/>
  <c r="E41" i="2"/>
  <c r="E99" i="2" s="1"/>
  <c r="P51" i="2"/>
  <c r="P41" i="2"/>
  <c r="P99" i="2" s="1"/>
  <c r="R51" i="2"/>
  <c r="R41" i="2"/>
  <c r="R99" i="2" s="1"/>
  <c r="I51" i="2"/>
  <c r="I41" i="2"/>
  <c r="I99" i="2" s="1"/>
  <c r="C51" i="2"/>
  <c r="C41" i="2"/>
  <c r="T51" i="2"/>
  <c r="T41" i="2"/>
  <c r="T99" i="2" s="1"/>
  <c r="S51" i="2"/>
  <c r="S41" i="2"/>
  <c r="J51" i="2"/>
  <c r="J41" i="2"/>
  <c r="J99" i="2" s="1"/>
  <c r="O51" i="2"/>
  <c r="O41" i="2"/>
  <c r="Q51" i="2"/>
  <c r="Q41" i="2"/>
  <c r="Q99" i="2" s="1"/>
  <c r="V50" i="2"/>
  <c r="V39" i="2"/>
  <c r="BK39" i="2" s="1"/>
  <c r="M51" i="2"/>
  <c r="M41" i="2"/>
  <c r="M99" i="2" s="1"/>
  <c r="F51" i="2"/>
  <c r="U51" i="2"/>
  <c r="U41" i="2"/>
  <c r="U99" i="2" s="1"/>
  <c r="L51" i="2"/>
  <c r="L41" i="2"/>
  <c r="L99" i="2" s="1"/>
  <c r="K51" i="2"/>
  <c r="K41" i="2"/>
  <c r="H51" i="2"/>
  <c r="H41" i="2"/>
  <c r="H99" i="2" s="1"/>
  <c r="G51" i="2"/>
  <c r="G41" i="2"/>
  <c r="AC37" i="2"/>
  <c r="AC48" i="2"/>
  <c r="AC49" i="2"/>
  <c r="AQ37" i="2"/>
  <c r="AQ49" i="2"/>
  <c r="AQ48" i="2"/>
  <c r="AI37" i="2"/>
  <c r="AI49" i="2"/>
  <c r="AI48" i="2"/>
  <c r="AM37" i="2"/>
  <c r="AM48" i="2"/>
  <c r="AM49" i="2"/>
  <c r="AG37" i="2"/>
  <c r="AG49" i="2"/>
  <c r="AG48" i="2"/>
  <c r="AJ37" i="2"/>
  <c r="AJ48" i="2"/>
  <c r="AJ49" i="2"/>
  <c r="AF37" i="2"/>
  <c r="AF49" i="2"/>
  <c r="AF48" i="2"/>
  <c r="Y37" i="2"/>
  <c r="Y49" i="2"/>
  <c r="Y48" i="2"/>
  <c r="AK37" i="2"/>
  <c r="AK48" i="2"/>
  <c r="AK49" i="2"/>
  <c r="W37" i="2"/>
  <c r="W49" i="2"/>
  <c r="W48" i="2"/>
  <c r="AB37" i="2"/>
  <c r="AB48" i="2"/>
  <c r="AB49" i="2"/>
  <c r="AN37" i="2"/>
  <c r="AN49" i="2"/>
  <c r="AN48" i="2"/>
  <c r="AE37" i="2"/>
  <c r="AE49" i="2"/>
  <c r="AE48" i="2"/>
  <c r="X37" i="2"/>
  <c r="X49" i="2"/>
  <c r="X48" i="2"/>
  <c r="AP29" i="2"/>
  <c r="AP80" i="2"/>
  <c r="AL29" i="2"/>
  <c r="AL80" i="2"/>
  <c r="AC24" i="2"/>
  <c r="AC21" i="2"/>
  <c r="AD29" i="2"/>
  <c r="AD80" i="2"/>
  <c r="AH29" i="2"/>
  <c r="AH80" i="2"/>
  <c r="AP24" i="2"/>
  <c r="AA24" i="2"/>
  <c r="AC23" i="2"/>
  <c r="Y24" i="2"/>
  <c r="Z29" i="2"/>
  <c r="AL24" i="2"/>
  <c r="AP21" i="2"/>
  <c r="AL101" i="2"/>
  <c r="AH85" i="2"/>
  <c r="Z87" i="2"/>
  <c r="AD86" i="2"/>
  <c r="AH24" i="2"/>
  <c r="AL21" i="2"/>
  <c r="AD17" i="2"/>
  <c r="BM17" i="2" s="1"/>
  <c r="BM24" i="2" s="1"/>
  <c r="AD20" i="2"/>
  <c r="Z17" i="2"/>
  <c r="Z23" i="2" s="1"/>
  <c r="AA23" i="2"/>
  <c r="AA21" i="2"/>
  <c r="AB21" i="2"/>
  <c r="AB23" i="2"/>
  <c r="AH20" i="2"/>
  <c r="AF21" i="2"/>
  <c r="P215" i="3"/>
  <c r="P214" i="3"/>
  <c r="P217" i="3"/>
  <c r="P224" i="3"/>
  <c r="P216" i="3"/>
  <c r="P227" i="3"/>
  <c r="P223" i="3"/>
  <c r="P219" i="3"/>
  <c r="P222" i="3"/>
  <c r="P226" i="3"/>
  <c r="P221" i="3"/>
  <c r="P218" i="3"/>
  <c r="P220" i="3"/>
  <c r="N41" i="2" l="1"/>
  <c r="N99" i="2" s="1"/>
  <c r="AO52" i="2"/>
  <c r="BO23" i="2"/>
  <c r="AO81" i="2"/>
  <c r="AO51" i="2"/>
  <c r="AO50" i="2"/>
  <c r="BN29" i="2"/>
  <c r="BN48" i="2" s="1"/>
  <c r="AH47" i="2"/>
  <c r="AH45" i="2"/>
  <c r="AH46" i="2"/>
  <c r="BP29" i="2"/>
  <c r="AP46" i="2"/>
  <c r="AP45" i="2"/>
  <c r="AP47" i="2"/>
  <c r="BQ30" i="2"/>
  <c r="BQ34" i="2"/>
  <c r="BQ35" i="2"/>
  <c r="BQ32" i="2"/>
  <c r="BQ31" i="2"/>
  <c r="BR12" i="2"/>
  <c r="AO43" i="2"/>
  <c r="AO99" i="2"/>
  <c r="BL29" i="2"/>
  <c r="Z46" i="2"/>
  <c r="Z45" i="2"/>
  <c r="Z47" i="2"/>
  <c r="BO29" i="2"/>
  <c r="AL45" i="2"/>
  <c r="AL47" i="2"/>
  <c r="AL46" i="2"/>
  <c r="BM29" i="2"/>
  <c r="BM48" i="2" s="1"/>
  <c r="AD45" i="2"/>
  <c r="AD47" i="2"/>
  <c r="AD46" i="2"/>
  <c r="BN23" i="2"/>
  <c r="BN24" i="2"/>
  <c r="BT4" i="2"/>
  <c r="BS6" i="2"/>
  <c r="BL17" i="2"/>
  <c r="BM21" i="2" s="1"/>
  <c r="BN21" i="2"/>
  <c r="BL12" i="2"/>
  <c r="BL13" i="2"/>
  <c r="BM23" i="2"/>
  <c r="BP24" i="2"/>
  <c r="BP21" i="2"/>
  <c r="BP23" i="2"/>
  <c r="BG39" i="2"/>
  <c r="BM80" i="2"/>
  <c r="BM10" i="2"/>
  <c r="BM13" i="2"/>
  <c r="BM12" i="2"/>
  <c r="BR29" i="2"/>
  <c r="BR10" i="2"/>
  <c r="BW5" i="2"/>
  <c r="BP48" i="2"/>
  <c r="BP49" i="2"/>
  <c r="BL48" i="2"/>
  <c r="G99" i="2"/>
  <c r="BH99" i="2" s="1"/>
  <c r="BH41" i="2"/>
  <c r="BG41" i="2"/>
  <c r="C99" i="2"/>
  <c r="K99" i="2"/>
  <c r="BI41" i="2"/>
  <c r="BO48" i="2"/>
  <c r="BO49" i="2"/>
  <c r="S99" i="2"/>
  <c r="AA39" i="2"/>
  <c r="AA50" i="2"/>
  <c r="O99" i="2"/>
  <c r="BJ41" i="2"/>
  <c r="G52" i="2"/>
  <c r="G43" i="2"/>
  <c r="F43" i="2"/>
  <c r="F52" i="2"/>
  <c r="O52" i="2"/>
  <c r="O43" i="2"/>
  <c r="C52" i="2"/>
  <c r="C43" i="2"/>
  <c r="E43" i="2"/>
  <c r="E52" i="2"/>
  <c r="T43" i="2"/>
  <c r="T52" i="2"/>
  <c r="U43" i="2"/>
  <c r="U52" i="2"/>
  <c r="K43" i="2"/>
  <c r="K52" i="2"/>
  <c r="M43" i="2"/>
  <c r="M52" i="2"/>
  <c r="J52" i="2"/>
  <c r="J43" i="2"/>
  <c r="I52" i="2"/>
  <c r="I43" i="2"/>
  <c r="D43" i="2"/>
  <c r="D52" i="2"/>
  <c r="P52" i="2"/>
  <c r="P43" i="2"/>
  <c r="H52" i="2"/>
  <c r="H43" i="2"/>
  <c r="Q52" i="2"/>
  <c r="Q43" i="2"/>
  <c r="L43" i="2"/>
  <c r="L52" i="2"/>
  <c r="V51" i="2"/>
  <c r="V41" i="2"/>
  <c r="V99" i="2" s="1"/>
  <c r="S43" i="2"/>
  <c r="S52" i="2"/>
  <c r="R52" i="2"/>
  <c r="R43" i="2"/>
  <c r="N43" i="2"/>
  <c r="N52" i="2"/>
  <c r="X39" i="2"/>
  <c r="X50" i="2"/>
  <c r="AJ39" i="2"/>
  <c r="AJ50" i="2"/>
  <c r="AB39" i="2"/>
  <c r="AB50" i="2"/>
  <c r="AI39" i="2"/>
  <c r="AI50" i="2"/>
  <c r="AL37" i="2"/>
  <c r="BO37" i="2" s="1"/>
  <c r="BO50" i="2" s="1"/>
  <c r="AL48" i="2"/>
  <c r="AL49" i="2"/>
  <c r="Y39" i="2"/>
  <c r="Y50" i="2"/>
  <c r="AK39" i="2"/>
  <c r="AK50" i="2"/>
  <c r="AP37" i="2"/>
  <c r="BP37" i="2" s="1"/>
  <c r="BP50" i="2" s="1"/>
  <c r="AP49" i="2"/>
  <c r="AP48" i="2"/>
  <c r="W39" i="2"/>
  <c r="W50" i="2"/>
  <c r="AQ39" i="2"/>
  <c r="AQ50" i="2"/>
  <c r="AC39" i="2"/>
  <c r="AC50" i="2"/>
  <c r="AH37" i="2"/>
  <c r="BN37" i="2" s="1"/>
  <c r="AH49" i="2"/>
  <c r="AH48" i="2"/>
  <c r="AE39" i="2"/>
  <c r="AE50" i="2"/>
  <c r="AG39" i="2"/>
  <c r="AG50" i="2"/>
  <c r="AF39" i="2"/>
  <c r="AF50" i="2"/>
  <c r="Z37" i="2"/>
  <c r="BL37" i="2" s="1"/>
  <c r="BL50" i="2" s="1"/>
  <c r="Z49" i="2"/>
  <c r="Z48" i="2"/>
  <c r="AD37" i="2"/>
  <c r="BM37" i="2" s="1"/>
  <c r="BM50" i="2" s="1"/>
  <c r="AD48" i="2"/>
  <c r="AD49" i="2"/>
  <c r="AN39" i="2"/>
  <c r="AN50" i="2"/>
  <c r="AM39" i="2"/>
  <c r="AM50" i="2"/>
  <c r="AD21" i="2"/>
  <c r="AD23" i="2"/>
  <c r="AD24" i="2"/>
  <c r="Z24" i="2"/>
  <c r="AH21" i="2"/>
  <c r="BQ37" i="2" l="1"/>
  <c r="BR58" i="2" s="1"/>
  <c r="BR59" i="2" s="1"/>
  <c r="BN49" i="2"/>
  <c r="BN50" i="2"/>
  <c r="BM49" i="2"/>
  <c r="BO45" i="2"/>
  <c r="BO46" i="2"/>
  <c r="BO47" i="2"/>
  <c r="BP47" i="2"/>
  <c r="BP45" i="2"/>
  <c r="BP46" i="2"/>
  <c r="BM47" i="2"/>
  <c r="BM45" i="2"/>
  <c r="BM46" i="2"/>
  <c r="BL49" i="2"/>
  <c r="BL45" i="2"/>
  <c r="BL46" i="2"/>
  <c r="BL47" i="2"/>
  <c r="BR35" i="2"/>
  <c r="BR32" i="2"/>
  <c r="BR31" i="2"/>
  <c r="BR30" i="2"/>
  <c r="BR34" i="2"/>
  <c r="BR37" i="2" s="1"/>
  <c r="BN47" i="2"/>
  <c r="BN46" i="2"/>
  <c r="BN45" i="2"/>
  <c r="BL23" i="2"/>
  <c r="BL24" i="2"/>
  <c r="BS13" i="2"/>
  <c r="BS29" i="2"/>
  <c r="BS10" i="2"/>
  <c r="BU4" i="2"/>
  <c r="BT6" i="2"/>
  <c r="BT12" i="2" s="1"/>
  <c r="BS12" i="2"/>
  <c r="BX5" i="2"/>
  <c r="BK41" i="2"/>
  <c r="BG43" i="2"/>
  <c r="BJ43" i="2"/>
  <c r="BG99" i="2"/>
  <c r="BI43" i="2"/>
  <c r="AA41" i="2"/>
  <c r="AA51" i="2"/>
  <c r="BJ99" i="2"/>
  <c r="BH43" i="2"/>
  <c r="BK99" i="2"/>
  <c r="BI99" i="2"/>
  <c r="V43" i="2"/>
  <c r="BK43" i="2" s="1"/>
  <c r="V52" i="2"/>
  <c r="AF41" i="2"/>
  <c r="AF51" i="2"/>
  <c r="AC41" i="2"/>
  <c r="AC51" i="2"/>
  <c r="AI41" i="2"/>
  <c r="AI51" i="2"/>
  <c r="AG41" i="2"/>
  <c r="AG51" i="2"/>
  <c r="AK41" i="2"/>
  <c r="AK51" i="2"/>
  <c r="AE41" i="2"/>
  <c r="AE51" i="2"/>
  <c r="Y41" i="2"/>
  <c r="Y51" i="2"/>
  <c r="AP39" i="2"/>
  <c r="BP39" i="2" s="1"/>
  <c r="BP51" i="2" s="1"/>
  <c r="AP50" i="2"/>
  <c r="W41" i="2"/>
  <c r="W51" i="2"/>
  <c r="AJ41" i="2"/>
  <c r="AJ51" i="2"/>
  <c r="AN41" i="2"/>
  <c r="AN51" i="2"/>
  <c r="AD39" i="2"/>
  <c r="BM39" i="2" s="1"/>
  <c r="BM51" i="2" s="1"/>
  <c r="AD50" i="2"/>
  <c r="AQ41" i="2"/>
  <c r="AQ51" i="2"/>
  <c r="AB41" i="2"/>
  <c r="AB51" i="2"/>
  <c r="AM41" i="2"/>
  <c r="AM51" i="2"/>
  <c r="Z39" i="2"/>
  <c r="BL39" i="2" s="1"/>
  <c r="BL51" i="2" s="1"/>
  <c r="Z50" i="2"/>
  <c r="AH39" i="2"/>
  <c r="BN39" i="2" s="1"/>
  <c r="BN51" i="2" s="1"/>
  <c r="AH50" i="2"/>
  <c r="AL39" i="2"/>
  <c r="BO39" i="2" s="1"/>
  <c r="BO51" i="2" s="1"/>
  <c r="AL50" i="2"/>
  <c r="X41" i="2"/>
  <c r="X51" i="2"/>
  <c r="BQ39" i="2" l="1"/>
  <c r="BQ40" i="2" s="1"/>
  <c r="BQ41" i="2" s="1"/>
  <c r="BQ54" i="2" s="1"/>
  <c r="BR50" i="2"/>
  <c r="BS34" i="2"/>
  <c r="BS32" i="2"/>
  <c r="BS31" i="2"/>
  <c r="BS30" i="2"/>
  <c r="BS35" i="2"/>
  <c r="BT13" i="2"/>
  <c r="BT29" i="2"/>
  <c r="BT10" i="2"/>
  <c r="BV4" i="2"/>
  <c r="BU6" i="2"/>
  <c r="BU12" i="2" s="1"/>
  <c r="BY5" i="2"/>
  <c r="AA99" i="2"/>
  <c r="AA43" i="2"/>
  <c r="AA52" i="2"/>
  <c r="AA84" i="2"/>
  <c r="AA97" i="2" s="1"/>
  <c r="AA100" i="2" s="1"/>
  <c r="W99" i="2"/>
  <c r="W52" i="2"/>
  <c r="W43" i="2"/>
  <c r="W84" i="2"/>
  <c r="W97" i="2" s="1"/>
  <c r="W102" i="2" s="1"/>
  <c r="W104" i="2" s="1"/>
  <c r="Z41" i="2"/>
  <c r="BL41" i="2" s="1"/>
  <c r="BL52" i="2" s="1"/>
  <c r="Z51" i="2"/>
  <c r="AD41" i="2"/>
  <c r="BM41" i="2" s="1"/>
  <c r="AD51" i="2"/>
  <c r="AG52" i="2"/>
  <c r="AG84" i="2"/>
  <c r="AG97" i="2" s="1"/>
  <c r="AG100" i="2" s="1"/>
  <c r="AG102" i="2" s="1"/>
  <c r="AG104" i="2" s="1"/>
  <c r="AG99" i="2"/>
  <c r="AG82" i="2"/>
  <c r="AG81" i="2"/>
  <c r="AG43" i="2"/>
  <c r="AP41" i="2"/>
  <c r="BP41" i="2" s="1"/>
  <c r="AP51" i="2"/>
  <c r="X52" i="2"/>
  <c r="X99" i="2"/>
  <c r="X43" i="2"/>
  <c r="X84" i="2"/>
  <c r="X97" i="2" s="1"/>
  <c r="X102" i="2" s="1"/>
  <c r="X104" i="2" s="1"/>
  <c r="AM52" i="2"/>
  <c r="AM43" i="2"/>
  <c r="AM81" i="2"/>
  <c r="AM99" i="2"/>
  <c r="AM84" i="2"/>
  <c r="AM97" i="2" s="1"/>
  <c r="AM100" i="2" s="1"/>
  <c r="AM82" i="2"/>
  <c r="AN52" i="2"/>
  <c r="AN82" i="2"/>
  <c r="AN43" i="2"/>
  <c r="AN81" i="2"/>
  <c r="AN99" i="2"/>
  <c r="AN84" i="2"/>
  <c r="AN97" i="2" s="1"/>
  <c r="AN100" i="2" s="1"/>
  <c r="AN102" i="2" s="1"/>
  <c r="AN104" i="2" s="1"/>
  <c r="Y99" i="2"/>
  <c r="Y52" i="2"/>
  <c r="Y43" i="2"/>
  <c r="Y84" i="2"/>
  <c r="Y97" i="2" s="1"/>
  <c r="Y102" i="2" s="1"/>
  <c r="Y104" i="2" s="1"/>
  <c r="AI52" i="2"/>
  <c r="AI99" i="2"/>
  <c r="AI84" i="2"/>
  <c r="AI97" i="2" s="1"/>
  <c r="AI100" i="2" s="1"/>
  <c r="AI82" i="2"/>
  <c r="AI81" i="2"/>
  <c r="AI43" i="2"/>
  <c r="AH41" i="2"/>
  <c r="BN41" i="2" s="1"/>
  <c r="AH51" i="2"/>
  <c r="AF52" i="2"/>
  <c r="AF43" i="2"/>
  <c r="AF84" i="2"/>
  <c r="AF97" i="2" s="1"/>
  <c r="AF100" i="2" s="1"/>
  <c r="AF102" i="2" s="1"/>
  <c r="AF104" i="2" s="1"/>
  <c r="AF99" i="2"/>
  <c r="AF82" i="2"/>
  <c r="AF81" i="2"/>
  <c r="AL41" i="2"/>
  <c r="BO41" i="2" s="1"/>
  <c r="AL51" i="2"/>
  <c r="AB99" i="2"/>
  <c r="AB52" i="2"/>
  <c r="AB43" i="2"/>
  <c r="AB84" i="2"/>
  <c r="AB97" i="2" s="1"/>
  <c r="AJ52" i="2"/>
  <c r="AJ99" i="2"/>
  <c r="AJ43" i="2"/>
  <c r="AJ81" i="2"/>
  <c r="AJ84" i="2"/>
  <c r="AJ97" i="2" s="1"/>
  <c r="AJ100" i="2" s="1"/>
  <c r="AJ102" i="2" s="1"/>
  <c r="AJ104" i="2" s="1"/>
  <c r="AJ82" i="2"/>
  <c r="AE52" i="2"/>
  <c r="AE84" i="2"/>
  <c r="AE97" i="2" s="1"/>
  <c r="AE100" i="2" s="1"/>
  <c r="AE99" i="2"/>
  <c r="AE43" i="2"/>
  <c r="AE81" i="2"/>
  <c r="AE82" i="2"/>
  <c r="AC52" i="2"/>
  <c r="AC84" i="2"/>
  <c r="AC97" i="2" s="1"/>
  <c r="AC102" i="2" s="1"/>
  <c r="AC104" i="2" s="1"/>
  <c r="AC43" i="2"/>
  <c r="AC99" i="2"/>
  <c r="AQ52" i="2"/>
  <c r="AQ43" i="2"/>
  <c r="AQ81" i="2"/>
  <c r="AQ99" i="2"/>
  <c r="AQ84" i="2"/>
  <c r="AQ97" i="2" s="1"/>
  <c r="AQ100" i="2" s="1"/>
  <c r="AQ82" i="2"/>
  <c r="AK52" i="2"/>
  <c r="AK99" i="2"/>
  <c r="AK81" i="2"/>
  <c r="AK84" i="2"/>
  <c r="AK97" i="2" s="1"/>
  <c r="AK100" i="2" s="1"/>
  <c r="AK102" i="2" s="1"/>
  <c r="AK104" i="2" s="1"/>
  <c r="AK82" i="2"/>
  <c r="AK43" i="2"/>
  <c r="BQ52" i="2" l="1"/>
  <c r="BS37" i="2"/>
  <c r="BS50" i="2" s="1"/>
  <c r="BT30" i="2"/>
  <c r="BT35" i="2"/>
  <c r="BT34" i="2"/>
  <c r="BT32" i="2"/>
  <c r="BT31" i="2"/>
  <c r="BT37" i="2"/>
  <c r="BR38" i="2"/>
  <c r="BR39" i="2" s="1"/>
  <c r="BR40" i="2" s="1"/>
  <c r="BR41" i="2" s="1"/>
  <c r="BR54" i="2" s="1"/>
  <c r="BU13" i="2"/>
  <c r="BU29" i="2"/>
  <c r="BU10" i="2"/>
  <c r="BW4" i="2"/>
  <c r="BV6" i="2"/>
  <c r="BZ5" i="2"/>
  <c r="BO81" i="2"/>
  <c r="BO82" i="2"/>
  <c r="BO52" i="2"/>
  <c r="BP82" i="2"/>
  <c r="BP81" i="2"/>
  <c r="BP52" i="2"/>
  <c r="BM81" i="2"/>
  <c r="BM52" i="2"/>
  <c r="BM82" i="2"/>
  <c r="AE102" i="2"/>
  <c r="AE104" i="2" s="1"/>
  <c r="BN81" i="2"/>
  <c r="BN82" i="2"/>
  <c r="BN52" i="2"/>
  <c r="AQ102" i="2"/>
  <c r="AQ104" i="2" s="1"/>
  <c r="AR100" i="2"/>
  <c r="AR102" i="2" s="1"/>
  <c r="AR104" i="2" s="1"/>
  <c r="AI102" i="2"/>
  <c r="AI104" i="2" s="1"/>
  <c r="BM100" i="2"/>
  <c r="BM102" i="2" s="1"/>
  <c r="BM104" i="2" s="1"/>
  <c r="AA102" i="2"/>
  <c r="AA104" i="2" s="1"/>
  <c r="AM102" i="2"/>
  <c r="AM104" i="2" s="1"/>
  <c r="AP52" i="2"/>
  <c r="AP43" i="2"/>
  <c r="BP43" i="2" s="1"/>
  <c r="AP84" i="2"/>
  <c r="AP97" i="2" s="1"/>
  <c r="AP100" i="2" s="1"/>
  <c r="AP102" i="2" s="1"/>
  <c r="AP104" i="2" s="1"/>
  <c r="AP82" i="2"/>
  <c r="AP81" i="2"/>
  <c r="AP99" i="2"/>
  <c r="BP99" i="2" s="1"/>
  <c r="AD43" i="2"/>
  <c r="BM43" i="2" s="1"/>
  <c r="AD52" i="2"/>
  <c r="AD82" i="2"/>
  <c r="AD99" i="2"/>
  <c r="BM99" i="2" s="1"/>
  <c r="AD84" i="2"/>
  <c r="AD97" i="2" s="1"/>
  <c r="AD102" i="2" s="1"/>
  <c r="AD104" i="2" s="1"/>
  <c r="AD81" i="2"/>
  <c r="Z99" i="2"/>
  <c r="BL99" i="2" s="1"/>
  <c r="Z52" i="2"/>
  <c r="Z43" i="2"/>
  <c r="BL43" i="2" s="1"/>
  <c r="Z84" i="2"/>
  <c r="Z97" i="2" s="1"/>
  <c r="Z102" i="2" s="1"/>
  <c r="Z104" i="2" s="1"/>
  <c r="AL52" i="2"/>
  <c r="AL43" i="2"/>
  <c r="BO43" i="2" s="1"/>
  <c r="AL84" i="2"/>
  <c r="AL97" i="2" s="1"/>
  <c r="AL100" i="2" s="1"/>
  <c r="AL102" i="2" s="1"/>
  <c r="AL104" i="2" s="1"/>
  <c r="AL99" i="2"/>
  <c r="BO99" i="2" s="1"/>
  <c r="AL81" i="2"/>
  <c r="AL82" i="2"/>
  <c r="AH52" i="2"/>
  <c r="AH43" i="2"/>
  <c r="BN43" i="2" s="1"/>
  <c r="AH84" i="2"/>
  <c r="AH97" i="2" s="1"/>
  <c r="AH100" i="2" s="1"/>
  <c r="AH102" i="2" s="1"/>
  <c r="AH104" i="2" s="1"/>
  <c r="AH82" i="2"/>
  <c r="AH81" i="2"/>
  <c r="AH99" i="2"/>
  <c r="BN99" i="2" s="1"/>
  <c r="AS100" i="2" l="1"/>
  <c r="AS102" i="2" s="1"/>
  <c r="AS104" i="2" s="1"/>
  <c r="BS38" i="2"/>
  <c r="BS39" i="2" s="1"/>
  <c r="BS40" i="2" s="1"/>
  <c r="BS41" i="2" s="1"/>
  <c r="BS52" i="2" s="1"/>
  <c r="BT50" i="2"/>
  <c r="BR52" i="2"/>
  <c r="BU31" i="2"/>
  <c r="BU30" i="2"/>
  <c r="BU35" i="2"/>
  <c r="BU34" i="2"/>
  <c r="BU32" i="2"/>
  <c r="BV12" i="2"/>
  <c r="BV29" i="2"/>
  <c r="BV10" i="2"/>
  <c r="BV13" i="2"/>
  <c r="BX4" i="2"/>
  <c r="BW6" i="2"/>
  <c r="BO100" i="2"/>
  <c r="BO102" i="2" s="1"/>
  <c r="BP100" i="2"/>
  <c r="BP102" i="2" s="1"/>
  <c r="BP104" i="2" s="1"/>
  <c r="BN100" i="2"/>
  <c r="BN102" i="2" s="1"/>
  <c r="BM97" i="2"/>
  <c r="AB102" i="2"/>
  <c r="AB104" i="2" s="1"/>
  <c r="BU37" i="2" l="1"/>
  <c r="BU50" i="2" s="1"/>
  <c r="BV30" i="2"/>
  <c r="BV32" i="2"/>
  <c r="BV34" i="2"/>
  <c r="BV35" i="2"/>
  <c r="BV31" i="2"/>
  <c r="BS54" i="2"/>
  <c r="BW13" i="2"/>
  <c r="BW29" i="2"/>
  <c r="BW10" i="2"/>
  <c r="BY4" i="2"/>
  <c r="BX6" i="2"/>
  <c r="BX12" i="2" s="1"/>
  <c r="BW12" i="2"/>
  <c r="BV37" i="2" l="1"/>
  <c r="BV50" i="2" s="1"/>
  <c r="BW32" i="2"/>
  <c r="BW35" i="2"/>
  <c r="BW34" i="2"/>
  <c r="BW30" i="2"/>
  <c r="BW31" i="2"/>
  <c r="BT38" i="2"/>
  <c r="BT39" i="2" s="1"/>
  <c r="BT40" i="2" s="1"/>
  <c r="BT41" i="2" s="1"/>
  <c r="BT54" i="2" s="1"/>
  <c r="BZ4" i="2"/>
  <c r="BY6" i="2"/>
  <c r="BX13" i="2"/>
  <c r="BX29" i="2"/>
  <c r="BX10" i="2"/>
  <c r="BW37" i="2" l="1"/>
  <c r="BW50" i="2" s="1"/>
  <c r="BX30" i="2"/>
  <c r="BX37" i="2" s="1"/>
  <c r="BX50" i="2" s="1"/>
  <c r="BX35" i="2"/>
  <c r="BX34" i="2"/>
  <c r="BX32" i="2"/>
  <c r="BX31" i="2"/>
  <c r="BU38" i="2"/>
  <c r="BU39" i="2" s="1"/>
  <c r="BU40" i="2" s="1"/>
  <c r="BU41" i="2" s="1"/>
  <c r="BU52" i="2" s="1"/>
  <c r="BT52" i="2"/>
  <c r="BY13" i="2"/>
  <c r="BY29" i="2"/>
  <c r="BY10" i="2"/>
  <c r="BY12" i="2"/>
  <c r="BZ6" i="2"/>
  <c r="BU54" i="2" l="1"/>
  <c r="BY34" i="2"/>
  <c r="BY30" i="2"/>
  <c r="BY32" i="2"/>
  <c r="BY31" i="2"/>
  <c r="BY35" i="2"/>
  <c r="BZ29" i="2"/>
  <c r="BZ10" i="2"/>
  <c r="BZ13" i="2"/>
  <c r="BZ12" i="2"/>
  <c r="BZ35" i="2" l="1"/>
  <c r="BZ34" i="2"/>
  <c r="BZ32" i="2"/>
  <c r="BZ31" i="2"/>
  <c r="BZ30" i="2"/>
  <c r="BY37" i="2"/>
  <c r="BY50" i="2" s="1"/>
  <c r="BV38" i="2"/>
  <c r="BV39" i="2" s="1"/>
  <c r="BV40" i="2" s="1"/>
  <c r="BV41" i="2" s="1"/>
  <c r="BV52" i="2" s="1"/>
  <c r="BZ37" i="2" l="1"/>
  <c r="BZ50" i="2" s="1"/>
  <c r="BV54" i="2"/>
  <c r="BW38" i="2" l="1"/>
  <c r="BW39" i="2" s="1"/>
  <c r="BW40" i="2" s="1"/>
  <c r="BW41" i="2" s="1"/>
  <c r="BW52" i="2" s="1"/>
  <c r="BW54" i="2" l="1"/>
  <c r="BX38" i="2" l="1"/>
  <c r="BX39" i="2" s="1"/>
  <c r="BX40" i="2" s="1"/>
  <c r="BX41" i="2" s="1"/>
  <c r="BX52" i="2" s="1"/>
  <c r="BX54" i="2" l="1"/>
  <c r="BY38" i="2" s="1"/>
  <c r="BY39" i="2" s="1"/>
  <c r="BY40" i="2" s="1"/>
  <c r="BY41" i="2" s="1"/>
  <c r="BY52" i="2" s="1"/>
  <c r="BY54" i="2" l="1"/>
  <c r="BZ38" i="2" s="1"/>
  <c r="BZ39" i="2" s="1"/>
  <c r="BZ40" i="2" s="1"/>
  <c r="BZ41" i="2" s="1"/>
  <c r="BZ54" i="2" s="1"/>
  <c r="CA41" i="2" l="1"/>
  <c r="BZ52" i="2"/>
  <c r="CB41" i="2" l="1"/>
  <c r="CC41" i="2" s="1"/>
  <c r="CD41" i="2" s="1"/>
  <c r="CE41" i="2" s="1"/>
  <c r="CF41" i="2" s="1"/>
  <c r="CG41" i="2" s="1"/>
  <c r="CH41" i="2" s="1"/>
  <c r="CI41" i="2" s="1"/>
  <c r="CJ41" i="2" s="1"/>
  <c r="CK41" i="2" s="1"/>
  <c r="CL41" i="2" s="1"/>
  <c r="CM41" i="2" s="1"/>
  <c r="CN41" i="2" s="1"/>
  <c r="CO41" i="2" s="1"/>
  <c r="CP41" i="2" s="1"/>
  <c r="CQ41" i="2" s="1"/>
  <c r="CR41" i="2" s="1"/>
  <c r="CS41" i="2" s="1"/>
  <c r="CT41" i="2" s="1"/>
  <c r="CU41" i="2" s="1"/>
  <c r="CV41" i="2" s="1"/>
  <c r="CW41" i="2" s="1"/>
  <c r="CX41" i="2" s="1"/>
  <c r="CY41" i="2" s="1"/>
  <c r="CZ41" i="2" s="1"/>
  <c r="DA41" i="2" s="1"/>
  <c r="DB41" i="2" s="1"/>
  <c r="DC41" i="2" s="1"/>
  <c r="DD41" i="2" s="1"/>
  <c r="DE41" i="2" s="1"/>
  <c r="DF41" i="2" s="1"/>
  <c r="DG41" i="2" s="1"/>
  <c r="DH41" i="2" s="1"/>
  <c r="DI41" i="2" s="1"/>
  <c r="DJ41" i="2" s="1"/>
  <c r="DK41" i="2" s="1"/>
  <c r="DL41" i="2" s="1"/>
  <c r="DM41" i="2" s="1"/>
  <c r="DN41" i="2" s="1"/>
  <c r="DO41" i="2" s="1"/>
  <c r="DP41" i="2" s="1"/>
  <c r="DQ41" i="2" s="1"/>
  <c r="DR41" i="2" s="1"/>
  <c r="DS41" i="2" s="1"/>
  <c r="DT41" i="2" s="1"/>
  <c r="DU41" i="2" s="1"/>
  <c r="DV41" i="2" s="1"/>
  <c r="DW41" i="2" s="1"/>
  <c r="DX41" i="2" s="1"/>
  <c r="BZ63" i="2" l="1"/>
  <c r="BZ65" i="2" s="1"/>
  <c r="BZ67" i="2" s="1"/>
  <c r="BY68" i="2" s="1" a="1"/>
  <c r="BY68" i="2" s="1"/>
  <c r="CA67"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<sst xmlns="http://schemas.openxmlformats.org/spreadsheetml/2006/main" count="2148" uniqueCount="2106">
  <si>
    <t>Master</t>
  </si>
  <si>
    <t xml:space="preserve">Price </t>
  </si>
  <si>
    <t>SO</t>
  </si>
  <si>
    <t>MC</t>
  </si>
  <si>
    <t>Cash</t>
  </si>
  <si>
    <t>Debt</t>
  </si>
  <si>
    <t>EV</t>
  </si>
  <si>
    <t>Registered Exchange:</t>
  </si>
  <si>
    <t>Investor Relations Contact:</t>
  </si>
  <si>
    <t>SEC filings</t>
  </si>
  <si>
    <t>Godel Terminal</t>
  </si>
  <si>
    <t>Company Overview:</t>
  </si>
  <si>
    <t>[Bold Title]</t>
  </si>
  <si>
    <t>Line Titles</t>
  </si>
  <si>
    <t>&lt;-- General</t>
  </si>
  <si>
    <t>&lt;-- Info</t>
  </si>
  <si>
    <t>Institutional Ownership Snapshot (4/14/2025)</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</si>
  <si>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</si>
  <si>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</si>
  <si>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</si>
  <si>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</si>
  <si>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</si>
  <si>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</si>
  <si>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</si>
  <si>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</si>
  <si>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</si>
  <si>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</si>
  <si>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</si>
  <si>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</si>
  <si>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</si>
  <si>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</si>
  <si>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</si>
  <si>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</si>
  <si>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</si>
  <si>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</si>
  <si>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</si>
  <si>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</si>
  <si>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</si>
  <si>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</si>
  <si>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</si>
  <si>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</si>
  <si>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</si>
  <si>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</si>
  <si>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</si>
  <si>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</si>
  <si>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</si>
  <si>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</si>
  <si>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</si>
  <si>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</si>
  <si>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</si>
  <si>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</si>
  <si>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</si>
  <si>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</si>
  <si>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</si>
  <si>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</si>
  <si>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</si>
  <si>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</si>
  <si>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</si>
  <si>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</si>
  <si>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</si>
  <si>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</si>
  <si>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</si>
  <si>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</si>
  <si>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</si>
  <si>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</si>
  <si>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</si>
  <si>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</si>
  <si>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</si>
  <si>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</si>
  <si>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</si>
  <si>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</si>
  <si>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</si>
  <si>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</si>
  <si>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</si>
  <si>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</si>
  <si>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</si>
  <si>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</si>
  <si>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</si>
  <si>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</si>
  <si>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</si>
  <si>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</si>
  <si>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</si>
  <si>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</si>
  <si>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</si>
  <si>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</si>
  <si>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</si>
  <si>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</si>
  <si>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</si>
  <si>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</si>
  <si>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</si>
  <si>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</si>
  <si>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</si>
  <si>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</si>
  <si>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</si>
  <si>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</si>
  <si>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</si>
  <si>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</si>
  <si>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</si>
  <si>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Revenue Growth Y/y</t>
  </si>
  <si>
    <t>R&amp;D as % of Revenue</t>
  </si>
  <si>
    <t>SG&amp;A as % of Revenue</t>
  </si>
  <si>
    <t>Operating Profit Margin</t>
  </si>
  <si>
    <t>Effective Tax Rate</t>
  </si>
  <si>
    <t>Net Profit Margin</t>
  </si>
  <si>
    <t>ST Investments</t>
  </si>
  <si>
    <t>Current Ratio</t>
  </si>
  <si>
    <t>Quick Ratio</t>
  </si>
  <si>
    <t>Cash Ratio</t>
  </si>
  <si>
    <t>Ttl Asset Turnover</t>
  </si>
  <si>
    <t>Return on Assets</t>
  </si>
  <si>
    <t>Return on Equity</t>
  </si>
  <si>
    <t>Net Income</t>
  </si>
  <si>
    <t>CFFO</t>
  </si>
  <si>
    <t>FCF</t>
  </si>
  <si>
    <t>SC</t>
  </si>
  <si>
    <t>General Notes/Observations (Updated Q1'25)</t>
  </si>
  <si>
    <t>Financial Stmts. Notes/Observations (Updated Q1'25)</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</si>
  <si>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</si>
  <si>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</si>
  <si>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</si>
  <si>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</si>
  <si>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</si>
  <si>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</si>
  <si>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</si>
  <si>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</si>
  <si>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</si>
  <si>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</si>
  <si>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</si>
  <si>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</si>
  <si>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</si>
  <si>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</si>
  <si>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</si>
  <si>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</si>
  <si>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</si>
  <si>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Address:</t>
  </si>
  <si>
    <t>Investors Relation Department</t>
  </si>
  <si>
    <t>Employee Scope:</t>
  </si>
  <si>
    <t>Resources:</t>
  </si>
  <si>
    <t>Capital Structure Snapshot:</t>
  </si>
  <si>
    <t>Founded: 1998</t>
  </si>
  <si>
    <t>Headquarters: San Jose, CA</t>
  </si>
  <si>
    <t>Current CEO: James Alexander Chriss (Joined Sep 27, 2023)</t>
  </si>
  <si>
    <t>Employees: 24,400</t>
  </si>
  <si>
    <r>
      <t xml:space="preserve">PayPal collects </t>
    </r>
    <r>
      <rPr>
        <b/>
        <sz val="11"/>
        <color theme="1"/>
        <rFont val="Calibre"/>
      </rPr>
      <t>referral fees</t>
    </r>
    <r>
      <rPr>
        <sz val="11"/>
        <color theme="1"/>
        <rFont val="Calibre"/>
      </rPr>
      <t xml:space="preserve"> through browser plug-in </t>
    </r>
    <r>
      <rPr>
        <b/>
        <sz val="11"/>
        <color theme="1"/>
        <rFont val="Calibre"/>
      </rPr>
      <t>Honey,</t>
    </r>
    <r>
      <rPr>
        <sz val="11"/>
        <color theme="1"/>
        <rFont val="Calibre"/>
      </rPr>
      <t xml:space="preserve"> as well as through more traditional methods such as</t>
    </r>
    <r>
      <rPr>
        <b/>
        <sz val="11"/>
        <color theme="1"/>
        <rFont val="Calibre"/>
      </rPr>
      <t xml:space="preserve"> partnership agreements </t>
    </r>
    <r>
      <rPr>
        <sz val="11"/>
        <color theme="1"/>
        <rFont val="Calibre"/>
      </rPr>
      <t>from integrating PayPal tools into other networks</t>
    </r>
  </si>
  <si>
    <r>
      <t xml:space="preserve">PayPal earns recurring </t>
    </r>
    <r>
      <rPr>
        <b/>
        <sz val="11"/>
        <color theme="1"/>
        <rFont val="Calibre"/>
      </rPr>
      <t xml:space="preserve">revenue from subscription-based services </t>
    </r>
    <r>
      <rPr>
        <sz val="11"/>
        <color theme="1"/>
        <rFont val="Calibre"/>
      </rPr>
      <t>and</t>
    </r>
    <r>
      <rPr>
        <b/>
        <sz val="11"/>
        <color theme="1"/>
        <rFont val="Calibre"/>
      </rPr>
      <t xml:space="preserve"> gateway fees</t>
    </r>
    <r>
      <rPr>
        <sz val="11"/>
        <color theme="1"/>
        <rFont val="Calibre"/>
      </rPr>
      <t>. Merchants integrate PayPal's payment solutions directly into their e-commerce platforms, paying a fee for the service</t>
    </r>
  </si>
  <si>
    <r>
      <t xml:space="preserve">The company </t>
    </r>
    <r>
      <rPr>
        <b/>
        <sz val="11"/>
        <color theme="1"/>
        <rFont val="Calibre"/>
      </rPr>
      <t>earns interest on funds</t>
    </r>
    <r>
      <rPr>
        <sz val="11"/>
        <color theme="1"/>
        <rFont val="Calibre"/>
      </rPr>
      <t xml:space="preserve"> held in </t>
    </r>
    <r>
      <rPr>
        <b/>
        <sz val="11"/>
        <color theme="1"/>
        <rFont val="Calibre"/>
      </rPr>
      <t>customer accounts</t>
    </r>
  </si>
  <si>
    <r>
      <t>The Business also</t>
    </r>
    <r>
      <rPr>
        <b/>
        <sz val="11"/>
        <color theme="1"/>
        <rFont val="Calibre"/>
      </rPr>
      <t xml:space="preserve"> earns interest</t>
    </r>
    <r>
      <rPr>
        <sz val="11"/>
        <color theme="1"/>
        <rFont val="Calibre"/>
      </rPr>
      <t xml:space="preserve"> revenues on certain </t>
    </r>
    <r>
      <rPr>
        <b/>
        <sz val="11"/>
        <color theme="1"/>
        <rFont val="Calibre"/>
      </rPr>
      <t>underlying customer balances</t>
    </r>
    <r>
      <rPr>
        <sz val="11"/>
        <color theme="1"/>
        <rFont val="Calibre"/>
      </rPr>
      <t>,</t>
    </r>
    <r>
      <rPr>
        <b/>
        <sz val="11"/>
        <color theme="1"/>
        <rFont val="Calibre"/>
      </rPr>
      <t xml:space="preserve"> referral fees</t>
    </r>
    <r>
      <rPr>
        <sz val="11"/>
        <color theme="1"/>
        <rFont val="Calibre"/>
      </rPr>
      <t xml:space="preserve">, </t>
    </r>
    <r>
      <rPr>
        <b/>
        <sz val="11"/>
        <color theme="1"/>
        <rFont val="Calibre"/>
      </rPr>
      <t>subscription fees</t>
    </r>
    <r>
      <rPr>
        <sz val="11"/>
        <color theme="1"/>
        <rFont val="Calibre"/>
      </rPr>
      <t xml:space="preserve">, and </t>
    </r>
    <r>
      <rPr>
        <b/>
        <sz val="11"/>
        <color theme="1"/>
        <rFont val="Calibre"/>
      </rPr>
      <t>gateway services</t>
    </r>
    <r>
      <rPr>
        <sz val="11"/>
        <color theme="1"/>
        <rFont val="Calibre"/>
      </rPr>
      <t>.</t>
    </r>
  </si>
  <si>
    <r>
      <t xml:space="preserve">The Business facilitates the </t>
    </r>
    <r>
      <rPr>
        <b/>
        <sz val="11"/>
        <color theme="1"/>
        <rFont val="Calibre"/>
      </rPr>
      <t>buying and selling of cryptocurrencies</t>
    </r>
    <r>
      <rPr>
        <sz val="11"/>
        <color theme="1"/>
        <rFont val="Calibre"/>
      </rPr>
      <t xml:space="preserve">, using a </t>
    </r>
    <r>
      <rPr>
        <b/>
        <sz val="11"/>
        <color theme="1"/>
        <rFont val="Calibre"/>
      </rPr>
      <t>fee structure</t>
    </r>
    <r>
      <rPr>
        <sz val="11"/>
        <color theme="1"/>
        <rFont val="Calibre"/>
      </rPr>
      <t xml:space="preserve"> based on the customer's transaction size. Additionally, </t>
    </r>
    <r>
      <rPr>
        <b/>
        <sz val="11"/>
        <color theme="1"/>
        <rFont val="Calibre"/>
      </rPr>
      <t>The Company applies a spread of ~ 0.5%</t>
    </r>
    <r>
      <rPr>
        <sz val="11"/>
        <color theme="1"/>
        <rFont val="Calibre"/>
      </rPr>
      <t xml:space="preserve"> on cryptocurrency purchases and sales</t>
    </r>
  </si>
  <si>
    <r>
      <t xml:space="preserve">PayPal charges a </t>
    </r>
    <r>
      <rPr>
        <b/>
        <sz val="11"/>
        <color theme="1"/>
        <rFont val="Calibre"/>
      </rPr>
      <t>currency conversion fee of 3-4%</t>
    </r>
    <r>
      <rPr>
        <sz val="11"/>
        <color theme="1"/>
        <rFont val="Calibre"/>
      </rPr>
      <t xml:space="preserve"> when users need to </t>
    </r>
    <r>
      <rPr>
        <b/>
        <sz val="11"/>
        <color theme="1"/>
        <rFont val="Calibre"/>
      </rPr>
      <t>convert between different currencies (Cross-Currency/Border Transactions)</t>
    </r>
  </si>
  <si>
    <r>
      <rPr>
        <sz val="11"/>
        <color theme="1"/>
        <rFont val="Calibre"/>
      </rPr>
      <t>The Business</t>
    </r>
    <r>
      <rPr>
        <b/>
        <sz val="11"/>
        <color theme="1"/>
        <rFont val="Calibre"/>
      </rPr>
      <t xml:space="preserve"> </t>
    </r>
    <r>
      <rPr>
        <sz val="11"/>
        <color theme="1"/>
        <rFont val="Calibre"/>
      </rPr>
      <t>also</t>
    </r>
    <r>
      <rPr>
        <b/>
        <sz val="11"/>
        <color theme="1"/>
        <rFont val="Calibre"/>
      </rPr>
      <t xml:space="preserve"> generates revenues from currency conversion</t>
    </r>
    <r>
      <rPr>
        <sz val="11"/>
        <color theme="1"/>
        <rFont val="Calibre"/>
      </rPr>
      <t xml:space="preserve">, for </t>
    </r>
    <r>
      <rPr>
        <b/>
        <sz val="11"/>
        <color theme="1"/>
        <rFont val="Calibre"/>
      </rPr>
      <t>instant transfers from user PayPal or Venmo account</t>
    </r>
    <r>
      <rPr>
        <sz val="11"/>
        <color theme="1"/>
        <rFont val="Calibre"/>
      </rPr>
      <t xml:space="preserve"> </t>
    </r>
    <r>
      <rPr>
        <b/>
        <sz val="11"/>
        <color theme="1"/>
        <rFont val="Calibre"/>
      </rPr>
      <t>to their bank account</t>
    </r>
    <r>
      <rPr>
        <sz val="11"/>
        <color theme="1"/>
        <rFont val="Calibre"/>
      </rPr>
      <t xml:space="preserve"> or debit card, </t>
    </r>
    <r>
      <rPr>
        <b/>
        <sz val="11"/>
        <color theme="1"/>
        <rFont val="Calibre"/>
      </rPr>
      <t>and facilitating the purchase and sale of cryptocurrencies.</t>
    </r>
  </si>
  <si>
    <t xml:space="preserve">Strategic partnerships integrate PayPal payment processing solutions with other existing networks (Amazon Checkout, Shopify Payments, Global Payments partnership, Fiserv integration, etc.) </t>
  </si>
  <si>
    <r>
      <t xml:space="preserve">PayPal manages a </t>
    </r>
    <r>
      <rPr>
        <b/>
        <sz val="11"/>
        <color theme="1"/>
        <rFont val="Calibre"/>
      </rPr>
      <t>consumer and commercial loan portfolio</t>
    </r>
    <r>
      <rPr>
        <sz val="11"/>
        <color theme="1"/>
        <rFont val="Calibre"/>
      </rPr>
      <t xml:space="preserve"> (</t>
    </r>
    <r>
      <rPr>
        <b/>
        <sz val="11"/>
        <color theme="1"/>
        <rFont val="Calibre"/>
      </rPr>
      <t xml:space="preserve">PayPal credit/personal loans </t>
    </r>
    <r>
      <rPr>
        <sz val="11"/>
        <color theme="1"/>
        <rFont val="Calibre"/>
      </rPr>
      <t xml:space="preserve">and </t>
    </r>
    <r>
      <rPr>
        <b/>
        <sz val="11"/>
        <color theme="1"/>
        <rFont val="Calibre"/>
      </rPr>
      <t>commercial</t>
    </r>
    <r>
      <rPr>
        <sz val="11"/>
        <color theme="1"/>
        <rFont val="Calibre"/>
      </rPr>
      <t xml:space="preserve"> </t>
    </r>
    <r>
      <rPr>
        <b/>
        <sz val="11"/>
        <color theme="1"/>
        <rFont val="Calibre"/>
      </rPr>
      <t>working capital loans</t>
    </r>
    <r>
      <rPr>
        <sz val="11"/>
        <color theme="1"/>
        <rFont val="Calibre"/>
      </rPr>
      <t>)</t>
    </r>
  </si>
  <si>
    <r>
      <t>The Business</t>
    </r>
    <r>
      <rPr>
        <b/>
        <sz val="11"/>
        <color theme="1"/>
        <rFont val="Calibre"/>
      </rPr>
      <t xml:space="preserve"> </t>
    </r>
    <r>
      <rPr>
        <sz val="11"/>
        <color theme="1"/>
        <rFont val="Calibre"/>
      </rPr>
      <t>also</t>
    </r>
    <r>
      <rPr>
        <b/>
        <sz val="11"/>
        <color theme="1"/>
        <rFont val="Calibre"/>
      </rPr>
      <t xml:space="preserve"> earns revenue by providing other</t>
    </r>
    <r>
      <rPr>
        <sz val="11"/>
        <color theme="1"/>
        <rFont val="Calibre"/>
      </rPr>
      <t xml:space="preserve"> </t>
    </r>
    <r>
      <rPr>
        <b/>
        <sz val="11"/>
        <color theme="1"/>
        <rFont val="Calibre"/>
      </rPr>
      <t>value added services</t>
    </r>
    <r>
      <rPr>
        <sz val="11"/>
        <color theme="1"/>
        <rFont val="Calibre"/>
      </rPr>
      <t xml:space="preserve">, primarily </t>
    </r>
    <r>
      <rPr>
        <b/>
        <sz val="11"/>
        <color theme="1"/>
        <rFont val="Calibre"/>
      </rPr>
      <t>comprised of partnerships deals/agreements, and interest and fees collected by The Business</t>
    </r>
    <r>
      <rPr>
        <sz val="11"/>
        <color theme="1"/>
        <rFont val="Calibre"/>
      </rPr>
      <t xml:space="preserve"> from consumer and merchant </t>
    </r>
    <r>
      <rPr>
        <b/>
        <sz val="11"/>
        <color theme="1"/>
        <rFont val="Calibre"/>
      </rPr>
      <t>credit products.</t>
    </r>
  </si>
  <si>
    <t>VAS and other revenues: ~9.5% of total revenue</t>
  </si>
  <si>
    <t>Value Added Services and other revenue:</t>
  </si>
  <si>
    <t xml:space="preserve">Payment processing is spread across a multitude of subsidiary platforms (listed above) </t>
  </si>
  <si>
    <r>
      <rPr>
        <b/>
        <sz val="11"/>
        <color theme="1"/>
        <rFont val="Calibre"/>
      </rPr>
      <t>Total Payment Volume (TPV) is a KPI</t>
    </r>
    <r>
      <rPr>
        <sz val="11"/>
        <color theme="1"/>
        <rFont val="Calibre"/>
      </rPr>
      <t xml:space="preserve"> for The Business that provides insight into the businesses current operating scale and growth trajectory. Payment processing is the revenue driver</t>
    </r>
  </si>
  <si>
    <r>
      <t xml:space="preserve">The Business </t>
    </r>
    <r>
      <rPr>
        <b/>
        <u/>
        <sz val="11"/>
        <color theme="1"/>
        <rFont val="Calibre"/>
      </rPr>
      <t>primarily</t>
    </r>
    <r>
      <rPr>
        <b/>
        <sz val="11"/>
        <color theme="1"/>
        <rFont val="Calibre"/>
      </rPr>
      <t xml:space="preserve"> earns revenues by charging fees for completing payment transactions</t>
    </r>
    <r>
      <rPr>
        <sz val="11"/>
        <color theme="1"/>
        <rFont val="Calibre"/>
      </rPr>
      <t xml:space="preserve"> for customers and other payment-related services, which are typically </t>
    </r>
    <r>
      <rPr>
        <b/>
        <sz val="11"/>
        <color theme="1"/>
        <rFont val="Calibre"/>
      </rPr>
      <t>based on the volume of activity processed</t>
    </r>
    <r>
      <rPr>
        <sz val="11"/>
        <color theme="1"/>
        <rFont val="Calibre"/>
      </rPr>
      <t xml:space="preserve"> on the payment platforms.</t>
    </r>
  </si>
  <si>
    <t>Transaction fees: ~90.5% of total revenue</t>
  </si>
  <si>
    <t>Transaction Fees from payment processing:</t>
  </si>
  <si>
    <t>Revenue Overview:</t>
  </si>
  <si>
    <r>
      <rPr>
        <b/>
        <sz val="11"/>
        <color theme="1"/>
        <rFont val="Calibre"/>
      </rPr>
      <t>As of December 31, 2024</t>
    </r>
    <r>
      <rPr>
        <sz val="11"/>
        <color theme="1"/>
        <rFont val="Calibre"/>
      </rPr>
      <t>, The Company's platforms boast</t>
    </r>
    <r>
      <rPr>
        <b/>
        <sz val="11"/>
        <color theme="1"/>
        <rFont val="Calibre"/>
      </rPr>
      <t xml:space="preserve"> 434 million active accounts (consumers and merchants)</t>
    </r>
    <r>
      <rPr>
        <sz val="11"/>
        <color theme="1"/>
        <rFont val="Calibre"/>
      </rPr>
      <t xml:space="preserve"> across approximately 200 markets.</t>
    </r>
  </si>
  <si>
    <t>PayPal generates revenues through its Paidy platform through transaction fees, late fee charges, interest on installment plans, currency conversion fees and interest on customer funds</t>
  </si>
  <si>
    <t>Paidy uses proprietary technology to score creditworthiness and underwrite transactions</t>
  </si>
  <si>
    <t>Allows Japanese shoppers to make online purchases and pay for them monthly in a consolidated bill. Offers payment options including paying the following month or using a 3-Pay (BNPL) installment plan.</t>
  </si>
  <si>
    <t>Japanese buy now, pay later platform. (Over 6 million registered users). PayPal acquired Paidy in September 2021 for approximately $2.7 billion.</t>
  </si>
  <si>
    <t>Paidy:</t>
  </si>
  <si>
    <t>PayPal Honey aims to simplify the online shopping experience by automatically finding deals, applying coupons, and offering cash back opportunities, all while integrating with PayPal's broader suite of financial services.</t>
  </si>
  <si>
    <t>Compares prices across different Amazon sellers, factoring in shipping costs and Prime status</t>
  </si>
  <si>
    <t>Users can earn PayPal Rewards points on eligible purchases; Points can be redeemed for cash in your PayPal account or gift cards</t>
  </si>
  <si>
    <t>Searches for and applies the best available coupon codes at checkout on over 30,000 popular websites</t>
  </si>
  <si>
    <t>PayPal Honey is a free browser extension and mobile app designed to help users save money and earn rewards while shopping online. (17 million members). PayPal acquired Honey in January 2020 for approximately $4 billion.</t>
  </si>
  <si>
    <t>Honey:</t>
  </si>
  <si>
    <t>Hyperwallet aims to streamline the global payout process, reduce cross-border payout costs, and provide businesses with a comprehensive solution for managing complex international payments while ensuring regulatory compliance.</t>
  </si>
  <si>
    <t>Enterprise product: primary target users include small, medium and, large enterprises</t>
  </si>
  <si>
    <t>Offers diverse payout options including: Bank deposits, PayPal and Venmo transfers, Prepaid cards (physical and virtual), Checks, Cash pickup, eGift cards</t>
  </si>
  <si>
    <t>Enables payouts to 200+ markets in 50+ currencies; supports funding in 28 currencies directly via bank transfer</t>
  </si>
  <si>
    <t>Hyperwallet is a global payout platform designed to facilitate mass payments for businesses of various sizes across multiple industries.</t>
  </si>
  <si>
    <t>Hyperwallet:</t>
  </si>
  <si>
    <t>Xoom applies a markup (4-6%) on the mid-market exchange rate for currency conversion, which is common among money transfer services</t>
  </si>
  <si>
    <t>Fees vary based on factors such as the transfer amount, destination country, payment method, and delivery method</t>
  </si>
  <si>
    <t>Transfers can be made to bank accounts, debit cards, mobile wallets, or for cash pickup at agent locations.</t>
  </si>
  <si>
    <t>Designed to help users send money, pay bills, reload mobile phones, and transfer funds globally</t>
  </si>
  <si>
    <t>Xoom is a digital money transfer service (owned and operated by PayPal) that specializes in fast, secure, and convenient international and domestic money transfers.</t>
  </si>
  <si>
    <t>Xoom:</t>
  </si>
  <si>
    <r>
      <rPr>
        <b/>
        <sz val="11"/>
        <color theme="1"/>
        <rFont val="Calibre"/>
      </rPr>
      <t>P2P transactions are free</t>
    </r>
    <r>
      <rPr>
        <sz val="11"/>
        <color theme="1"/>
        <rFont val="Calibre"/>
      </rPr>
      <t xml:space="preserve"> if funded through a bank account or Venmo balance but </t>
    </r>
    <r>
      <rPr>
        <b/>
        <sz val="11"/>
        <color theme="1"/>
        <rFont val="Calibre"/>
      </rPr>
      <t>incur a 3% fee when funded via credit cards</t>
    </r>
  </si>
  <si>
    <r>
      <rPr>
        <b/>
        <sz val="11"/>
        <color theme="1"/>
        <rFont val="Calibre"/>
      </rPr>
      <t>Venmo had 68.3 million active users</t>
    </r>
    <r>
      <rPr>
        <sz val="11"/>
        <color theme="1"/>
        <rFont val="Calibre"/>
      </rPr>
      <t xml:space="preserve"> in the </t>
    </r>
    <r>
      <rPr>
        <b/>
        <sz val="11"/>
        <color theme="1"/>
        <rFont val="Calibre"/>
      </rPr>
      <t>U.S. in 2024</t>
    </r>
    <r>
      <rPr>
        <sz val="11"/>
        <color theme="1"/>
        <rFont val="Calibre"/>
      </rPr>
      <t xml:space="preserve">, projected to grow to 72.9 million in 2025. User base is younger, with over </t>
    </r>
    <r>
      <rPr>
        <b/>
        <sz val="11"/>
        <color theme="1"/>
        <rFont val="Calibre"/>
      </rPr>
      <t>83%</t>
    </r>
    <r>
      <rPr>
        <sz val="11"/>
        <color theme="1"/>
        <rFont val="Calibre"/>
      </rPr>
      <t xml:space="preserve"> falling </t>
    </r>
    <r>
      <rPr>
        <b/>
        <sz val="11"/>
        <color theme="1"/>
        <rFont val="Calibre"/>
      </rPr>
      <t>between 18-34 age bracket</t>
    </r>
  </si>
  <si>
    <r>
      <t xml:space="preserve">Can be used for </t>
    </r>
    <r>
      <rPr>
        <b/>
        <sz val="11"/>
        <color theme="1"/>
        <rFont val="Calibre"/>
      </rPr>
      <t>purchases with authorized merchants</t>
    </r>
    <r>
      <rPr>
        <sz val="11"/>
        <color theme="1"/>
        <rFont val="Calibre"/>
      </rPr>
      <t xml:space="preserve"> via the Venmo app, in-store QR codes, or Venmo Mastercard Debit Card</t>
    </r>
  </si>
  <si>
    <r>
      <t xml:space="preserve">Facilitates </t>
    </r>
    <r>
      <rPr>
        <b/>
        <sz val="11"/>
        <color theme="1"/>
        <rFont val="Calibre"/>
      </rPr>
      <t>quick and secure money transfers between individuals</t>
    </r>
    <r>
      <rPr>
        <sz val="11"/>
        <color theme="1"/>
        <rFont val="Calibre"/>
      </rPr>
      <t>, commonly used for splitting bills, sharing expenses, or reimbursing friends and family</t>
    </r>
  </si>
  <si>
    <r>
      <t xml:space="preserve">Venmo is a mobile payments app/platform (owned and operated by PayPal) that specializes in </t>
    </r>
    <r>
      <rPr>
        <b/>
        <sz val="11"/>
        <color theme="1"/>
        <rFont val="Calibre"/>
      </rPr>
      <t>peer-to-peer money transfers and payments</t>
    </r>
  </si>
  <si>
    <t>Venmo:</t>
  </si>
  <si>
    <r>
      <t xml:space="preserve">Transparent pricing model with a </t>
    </r>
    <r>
      <rPr>
        <b/>
        <sz val="11"/>
        <color theme="1"/>
        <rFont val="Calibre"/>
      </rPr>
      <t>standard rate</t>
    </r>
    <r>
      <rPr>
        <sz val="11"/>
        <color theme="1"/>
        <rFont val="Calibre"/>
      </rPr>
      <t xml:space="preserve"> of </t>
    </r>
    <r>
      <rPr>
        <b/>
        <sz val="11"/>
        <color theme="1"/>
        <rFont val="Calibre"/>
      </rPr>
      <t>2.59% + $0.49 per transaction</t>
    </r>
    <r>
      <rPr>
        <sz val="11"/>
        <color theme="1"/>
        <rFont val="Calibre"/>
      </rPr>
      <t xml:space="preserve"> for most payment types</t>
    </r>
  </si>
  <si>
    <r>
      <rPr>
        <b/>
        <sz val="11"/>
        <color theme="1"/>
        <rFont val="Calibre"/>
      </rPr>
      <t>Offers</t>
    </r>
    <r>
      <rPr>
        <sz val="11"/>
        <color theme="1"/>
        <rFont val="Calibre"/>
      </rPr>
      <t xml:space="preserve"> solutions for</t>
    </r>
    <r>
      <rPr>
        <b/>
        <sz val="11"/>
        <color theme="1"/>
        <rFont val="Calibre"/>
      </rPr>
      <t xml:space="preserve"> </t>
    </r>
    <r>
      <rPr>
        <sz val="11"/>
        <color theme="1"/>
        <rFont val="Calibre"/>
      </rPr>
      <t>seamless</t>
    </r>
    <r>
      <rPr>
        <b/>
        <sz val="11"/>
        <color theme="1"/>
        <rFont val="Calibre"/>
      </rPr>
      <t xml:space="preserve"> mobile payment integration</t>
    </r>
  </si>
  <si>
    <r>
      <rPr>
        <b/>
        <sz val="11"/>
        <color theme="1"/>
        <rFont val="Calibre"/>
      </rPr>
      <t>Supports subscription-based businesses</t>
    </r>
    <r>
      <rPr>
        <sz val="11"/>
        <color theme="1"/>
        <rFont val="Calibre"/>
      </rPr>
      <t xml:space="preserve"> with </t>
    </r>
    <r>
      <rPr>
        <b/>
        <sz val="11"/>
        <color theme="1"/>
        <rFont val="Calibre"/>
      </rPr>
      <t>easy-to-manage recurring payment schedules</t>
    </r>
  </si>
  <si>
    <r>
      <t xml:space="preserve">Offers </t>
    </r>
    <r>
      <rPr>
        <b/>
        <sz val="11"/>
        <color theme="1"/>
        <rFont val="Calibre"/>
      </rPr>
      <t>additional transaction security</t>
    </r>
    <r>
      <rPr>
        <sz val="11"/>
        <color theme="1"/>
        <rFont val="Calibre"/>
      </rPr>
      <t xml:space="preserve"> for consumers and merchants. </t>
    </r>
  </si>
  <si>
    <r>
      <t xml:space="preserve">Allows for businesses to </t>
    </r>
    <r>
      <rPr>
        <b/>
        <sz val="11"/>
        <color theme="1"/>
        <rFont val="Calibre"/>
      </rPr>
      <t>digitally process transactions</t>
    </r>
    <r>
      <rPr>
        <sz val="11"/>
        <color theme="1"/>
        <rFont val="Calibre"/>
      </rPr>
      <t xml:space="preserve"> through various payment methods </t>
    </r>
    <r>
      <rPr>
        <b/>
        <sz val="11"/>
        <color theme="1"/>
        <rFont val="Calibre"/>
      </rPr>
      <t>including major credit/debit cards, digital wallets</t>
    </r>
    <r>
      <rPr>
        <sz val="11"/>
        <color theme="1"/>
        <rFont val="Calibre"/>
      </rPr>
      <t xml:space="preserve"> (PayPal, Apple Pay, Google Pay), and </t>
    </r>
    <r>
      <rPr>
        <b/>
        <sz val="11"/>
        <color theme="1"/>
        <rFont val="Calibre"/>
      </rPr>
      <t>local payment options</t>
    </r>
  </si>
  <si>
    <r>
      <t xml:space="preserve">Braintree is a </t>
    </r>
    <r>
      <rPr>
        <b/>
        <sz val="11"/>
        <color theme="1"/>
        <rFont val="Calibre"/>
      </rPr>
      <t>robust payment gateway and processor</t>
    </r>
    <r>
      <rPr>
        <sz val="11"/>
        <color theme="1"/>
        <rFont val="Calibre"/>
      </rPr>
      <t xml:space="preserve"> that offers comprehensive </t>
    </r>
    <r>
      <rPr>
        <b/>
        <sz val="11"/>
        <color theme="1"/>
        <rFont val="Calibre"/>
      </rPr>
      <t>payment solutions for enterprises</t>
    </r>
  </si>
  <si>
    <t>Braintree:</t>
  </si>
  <si>
    <r>
      <rPr>
        <sz val="11"/>
        <color theme="1"/>
        <rFont val="Calibre"/>
      </rPr>
      <t xml:space="preserve">PayPal Credit </t>
    </r>
    <r>
      <rPr>
        <b/>
        <sz val="11"/>
        <color theme="1"/>
        <rFont val="Calibre"/>
      </rPr>
      <t xml:space="preserve">allows users to send money online, </t>
    </r>
    <r>
      <rPr>
        <sz val="11"/>
        <color theme="1"/>
        <rFont val="Calibre"/>
      </rPr>
      <t>but a</t>
    </r>
    <r>
      <rPr>
        <b/>
        <sz val="11"/>
        <color theme="1"/>
        <rFont val="Calibre"/>
      </rPr>
      <t xml:space="preserve"> 2.9% + $0.30 fee applies </t>
    </r>
    <r>
      <rPr>
        <sz val="11"/>
        <color theme="1"/>
        <rFont val="Calibre"/>
      </rPr>
      <t>for this feature</t>
    </r>
  </si>
  <si>
    <r>
      <t>Minimum beginning credit line of $250</t>
    </r>
    <r>
      <rPr>
        <sz val="11"/>
        <color theme="1"/>
        <rFont val="Calibre"/>
      </rPr>
      <t>, which increases or decreases based on periodic account reviews</t>
    </r>
  </si>
  <si>
    <r>
      <t xml:space="preserve">Revolving credit line </t>
    </r>
    <r>
      <rPr>
        <sz val="11"/>
        <color theme="1"/>
        <rFont val="Calibre"/>
      </rPr>
      <t xml:space="preserve">that is automatically </t>
    </r>
    <r>
      <rPr>
        <b/>
        <sz val="11"/>
        <color theme="1"/>
        <rFont val="Calibre"/>
      </rPr>
      <t>integrated into the user's PayPal account</t>
    </r>
    <r>
      <rPr>
        <sz val="11"/>
        <color theme="1"/>
        <rFont val="Calibre"/>
      </rPr>
      <t xml:space="preserve"> upon approval</t>
    </r>
  </si>
  <si>
    <r>
      <t>PayPal Credit is a digital, reusable line of credit</t>
    </r>
    <r>
      <rPr>
        <sz val="11"/>
        <color theme="1"/>
        <rFont val="Calibre"/>
      </rPr>
      <t xml:space="preserve"> that </t>
    </r>
    <r>
      <rPr>
        <b/>
        <sz val="11"/>
        <color theme="1"/>
        <rFont val="Calibre"/>
      </rPr>
      <t>functions similarly to a credit card</t>
    </r>
    <r>
      <rPr>
        <sz val="11"/>
        <color theme="1"/>
        <rFont val="Calibre"/>
      </rPr>
      <t xml:space="preserve"> but without a physical card. </t>
    </r>
  </si>
  <si>
    <t>PayPal Credit:</t>
  </si>
  <si>
    <r>
      <t xml:space="preserve">PayPal account presents users with a gateway to </t>
    </r>
    <r>
      <rPr>
        <b/>
        <sz val="11"/>
        <color theme="1"/>
        <rFont val="Calibre"/>
      </rPr>
      <t>Buy-Now Pay-Later products</t>
    </r>
  </si>
  <si>
    <r>
      <t xml:space="preserve">The Company facilitates withdraws to bank accounts in 56 currencies and balance holding in 25 currencies. </t>
    </r>
    <r>
      <rPr>
        <b/>
        <sz val="11"/>
        <color theme="1"/>
        <rFont val="Calibre"/>
      </rPr>
      <t>Cross-boarder transactions are approximately 25% of PayPal's TPV</t>
    </r>
  </si>
  <si>
    <r>
      <t>PayPal</t>
    </r>
    <r>
      <rPr>
        <b/>
        <sz val="11"/>
        <color theme="1"/>
        <rFont val="Calibre"/>
      </rPr>
      <t xml:space="preserve"> supports a "digital wallet"</t>
    </r>
    <r>
      <rPr>
        <sz val="11"/>
        <color theme="1"/>
        <rFont val="Calibre"/>
      </rPr>
      <t xml:space="preserve"> and allows for multiple payment methods including Visa, Mastercard, Discover, American Express, traditional bank accounts or direct PayPal account debits</t>
    </r>
  </si>
  <si>
    <r>
      <rPr>
        <b/>
        <sz val="11"/>
        <color theme="1"/>
        <rFont val="Calibre"/>
      </rPr>
      <t>PayPal is The Company's core digital payment platform</t>
    </r>
    <r>
      <rPr>
        <sz val="11"/>
        <color theme="1"/>
        <rFont val="Calibre"/>
      </rPr>
      <t xml:space="preserve"> that connects consumers and merchants with a secure and convenient way to transact online, in-store, and across borders.</t>
    </r>
  </si>
  <si>
    <t>PayPal:</t>
  </si>
  <si>
    <t xml:space="preserve">The Business provides payment solutions under the PayPal, PayPal Credit, Braintree, Venmo, Xoom, Zettle, Hyperwallet, Honey, and Paidy names. </t>
  </si>
  <si>
    <t>Product Lines:</t>
  </si>
  <si>
    <t>$1.68 T</t>
  </si>
  <si>
    <t>$1.53 T</t>
  </si>
  <si>
    <t>$1.36 T</t>
  </si>
  <si>
    <t>$1.25 T</t>
  </si>
  <si>
    <t>$936 B</t>
  </si>
  <si>
    <t>FCF Per Share</t>
  </si>
  <si>
    <t>Share Count</t>
  </si>
  <si>
    <t>CapEx, Net</t>
  </si>
  <si>
    <t>WC</t>
  </si>
  <si>
    <t>Proceeds from Repayments</t>
  </si>
  <si>
    <t>Originations of Loans Recieveable</t>
  </si>
  <si>
    <t>Other</t>
  </si>
  <si>
    <t>Adjustments to Loans &amp; Int. Recieveable</t>
  </si>
  <si>
    <t>Accretion of Discounts on Investments</t>
  </si>
  <si>
    <t>Gain on Divestiture</t>
  </si>
  <si>
    <t>Net (Gain) Loss on Strategic Investments</t>
  </si>
  <si>
    <t>Deffered Income Taxes</t>
  </si>
  <si>
    <t>SBC</t>
  </si>
  <si>
    <t>Adding SBC Back in</t>
  </si>
  <si>
    <t>Dep. and Am.</t>
  </si>
  <si>
    <t>Transaction &amp; Credit Losses</t>
  </si>
  <si>
    <t>Ttl L + SE</t>
  </si>
  <si>
    <t>SE</t>
  </si>
  <si>
    <t>Total Liabilities</t>
  </si>
  <si>
    <t>LT Debt</t>
  </si>
  <si>
    <t>Other LT Liabilities</t>
  </si>
  <si>
    <t>Accrued Expenses &amp; Other Current Liab.</t>
  </si>
  <si>
    <t>Funds Payable &amp; Amts Due to Customers</t>
  </si>
  <si>
    <t>AP</t>
  </si>
  <si>
    <t>Total Assets</t>
  </si>
  <si>
    <t>Other Assets</t>
  </si>
  <si>
    <t>Intangibles</t>
  </si>
  <si>
    <t>Goodwill</t>
  </si>
  <si>
    <t>PP&amp;E</t>
  </si>
  <si>
    <t>LT Investments</t>
  </si>
  <si>
    <t>Prepaid Expenses &amp; Other Current</t>
  </si>
  <si>
    <t>Funds Receivable &amp; Customer Accounts</t>
  </si>
  <si>
    <t>Loans &amp; Interest Receivable, net</t>
  </si>
  <si>
    <t>Loans &amp; Interest Receivable</t>
  </si>
  <si>
    <t>AR, net</t>
  </si>
  <si>
    <t>Cash &amp; CEs</t>
  </si>
  <si>
    <t>EPS</t>
  </si>
  <si>
    <t>Taxes</t>
  </si>
  <si>
    <t>Pretax Income</t>
  </si>
  <si>
    <t>Other Income/(Expenses), net</t>
  </si>
  <si>
    <t>Operating Income</t>
  </si>
  <si>
    <t>Restructuring &amp; Other Expenses</t>
  </si>
  <si>
    <t>G&amp;A Expenses</t>
  </si>
  <si>
    <t>R&amp;D Expenses</t>
  </si>
  <si>
    <t>Sales &amp; Marketing Expenses</t>
  </si>
  <si>
    <t>Customer Support &amp; Op. Expenses</t>
  </si>
  <si>
    <t>Transaction Expenses</t>
  </si>
  <si>
    <t>TPV</t>
  </si>
  <si>
    <t>Ttl Active Users</t>
  </si>
  <si>
    <t>Ttl Revenue Growth Y/y</t>
  </si>
  <si>
    <t xml:space="preserve">International Revenue Growth Y/y </t>
  </si>
  <si>
    <t>International % of Ttl Revenues</t>
  </si>
  <si>
    <t>U.S. % of Ttl Revenues</t>
  </si>
  <si>
    <t>International</t>
  </si>
  <si>
    <t xml:space="preserve">U.S. </t>
  </si>
  <si>
    <t>Total Revenue Growth Y/y</t>
  </si>
  <si>
    <t>VAS Revenue Growth Y/y</t>
  </si>
  <si>
    <t>Transaction Revenue Growth Y/y</t>
  </si>
  <si>
    <t>VASs % of Ttl Revenues</t>
  </si>
  <si>
    <t>Transcation % of Ttl Revenues</t>
  </si>
  <si>
    <t>Revenues from other VASs</t>
  </si>
  <si>
    <t>Transaction Revenues</t>
  </si>
  <si>
    <t>Q1 2027</t>
  </si>
  <si>
    <t>Tue, 26 Mar 2024 00:00:00 GMT</t>
  </si>
  <si>
    <t>Wed, 27 Mar 2024 00:00:00 GMT</t>
  </si>
  <si>
    <t>Thu, 28 Mar 2024 00:00:00 GMT</t>
  </si>
  <si>
    <t>Mon, 01 Apr 2024 00:00:00 GMT</t>
  </si>
  <si>
    <t>Tue, 02 Apr 2024 00:00:00 GMT</t>
  </si>
  <si>
    <t>Wed, 03 Apr 2024 00:00:00 GMT</t>
  </si>
  <si>
    <t>Thu, 04 Apr 2024 00:00:00 GMT</t>
  </si>
  <si>
    <t>Fri, 05 Apr 2024 00:00:00 GMT</t>
  </si>
  <si>
    <t>Mon, 08 Apr 2024 00:00:00 GMT</t>
  </si>
  <si>
    <t>Tue, 09 Apr 2024 00:00:00 GMT</t>
  </si>
  <si>
    <t>Wed, 10 Apr 2024 00:00:00 GMT</t>
  </si>
  <si>
    <t>Thu, 11 Apr 2024 00:00:00 GMT</t>
  </si>
  <si>
    <t>Fri, 12 Apr 2024 00:00:00 GMT</t>
  </si>
  <si>
    <t>Mon, 15 Apr 2024 00:00:00 GMT</t>
  </si>
  <si>
    <t>Tue, 16 Apr 2024 00:00:00 GMT</t>
  </si>
  <si>
    <t>Wed, 17 Apr 2024 00:00:00 GMT</t>
  </si>
  <si>
    <t>Thu, 18 Apr 2024 00:00:00 GMT</t>
  </si>
  <si>
    <t>Fri, 19 Apr 2024 00:00:00 GMT</t>
  </si>
  <si>
    <t>Mon, 22 Apr 2024 00:00:00 GMT</t>
  </si>
  <si>
    <t>Tue, 23 Apr 2024 00:00:00 GMT</t>
  </si>
  <si>
    <t>Wed, 24 Apr 2024 00:00:00 GMT</t>
  </si>
  <si>
    <t>Thu, 25 Apr 2024 00:00:00 GMT</t>
  </si>
  <si>
    <t>Fri, 26 Apr 2024 00:00:00 GMT</t>
  </si>
  <si>
    <t>Mon, 29 Apr 2024 00:00:00 GMT</t>
  </si>
  <si>
    <t>Tue, 30 Apr 2024 00:00:00 GMT</t>
  </si>
  <si>
    <t>Wed, 01 May 2024 00:00:00 GMT</t>
  </si>
  <si>
    <t>Thu, 02 May 2024 00:00:00 GMT</t>
  </si>
  <si>
    <t>Fri, 03 May 2024 00:00:00 GMT</t>
  </si>
  <si>
    <t>Mon, 06 May 2024 00:00:00 GMT</t>
  </si>
  <si>
    <t>Tue, 07 May 2024 00:00:00 GMT</t>
  </si>
  <si>
    <t>Wed, 08 May 2024 00:00:00 GMT</t>
  </si>
  <si>
    <t>Thu, 09 May 2024 00:00:00 GMT</t>
  </si>
  <si>
    <t>Fri, 10 May 2024 00:00:00 GMT</t>
  </si>
  <si>
    <t>Mon, 13 May 2024 00:00:00 GMT</t>
  </si>
  <si>
    <t>Tue, 14 May 2024 00:00:00 GMT</t>
  </si>
  <si>
    <t>Wed, 15 May 2024 00:00:00 GMT</t>
  </si>
  <si>
    <t>Thu, 16 May 2024 00:00:00 GMT</t>
  </si>
  <si>
    <t>Fri, 17 May 2024 00:00:00 GMT</t>
  </si>
  <si>
    <t>Mon, 20 May 2024 00:00:00 GMT</t>
  </si>
  <si>
    <t>Tue, 21 May 2024 00:00:00 GMT</t>
  </si>
  <si>
    <t>Wed, 22 May 2024 00:00:00 GMT</t>
  </si>
  <si>
    <t>Thu, 23 May 2024 00:00:00 GMT</t>
  </si>
  <si>
    <t>Fri, 24 May 2024 00:00:00 GMT</t>
  </si>
  <si>
    <t>Tue, 28 May 2024 00:00:00 GMT</t>
  </si>
  <si>
    <t>Wed, 29 May 2024 00:00:00 GMT</t>
  </si>
  <si>
    <t>Thu, 30 May 2024 00:00:00 GMT</t>
  </si>
  <si>
    <t>Fri, 31 May 2024 00:00:00 GMT</t>
  </si>
  <si>
    <t>Mon, 03 Jun 2024 00:00:00 GMT</t>
  </si>
  <si>
    <t>Tue, 04 Jun 2024 00:00:00 GMT</t>
  </si>
  <si>
    <t>Wed, 05 Jun 2024 00:00:00 GMT</t>
  </si>
  <si>
    <t>Thu, 06 Jun 2024 00:00:00 GMT</t>
  </si>
  <si>
    <t>Fri, 07 Jun 2024 00:00:00 GMT</t>
  </si>
  <si>
    <t>Mon, 10 Jun 2024 00:00:00 GMT</t>
  </si>
  <si>
    <t>Tue, 11 Jun 2024 00:00:00 GMT</t>
  </si>
  <si>
    <t>Wed, 12 Jun 2024 00:00:00 GMT</t>
  </si>
  <si>
    <t>Thu, 13 Jun 2024 00:00:00 GMT</t>
  </si>
  <si>
    <t>Fri, 14 Jun 2024 00:00:00 GMT</t>
  </si>
  <si>
    <t>Mon, 17 Jun 2024 00:00:00 GMT</t>
  </si>
  <si>
    <t>Tue, 18 Jun 2024 00:00:00 GMT</t>
  </si>
  <si>
    <t>Thu, 20 Jun 2024 00:00:00 GMT</t>
  </si>
  <si>
    <t>Fri, 21 Jun 2024 00:00:00 GMT</t>
  </si>
  <si>
    <t>Mon, 24 Jun 2024 00:00:00 GMT</t>
  </si>
  <si>
    <t>Tue, 25 Jun 2024 00:00:00 GMT</t>
  </si>
  <si>
    <t>Wed, 26 Jun 2024 00:00:00 GMT</t>
  </si>
  <si>
    <t>Thu, 27 Jun 2024 00:00:00 GMT</t>
  </si>
  <si>
    <t>Fri, 28 Jun 2024 00:00:00 GMT</t>
  </si>
  <si>
    <t>Mon, 01 Jul 2024 00:00:00 GMT</t>
  </si>
  <si>
    <t>Tue, 02 Jul 2024 00:00:00 GMT</t>
  </si>
  <si>
    <t>Wed, 03 Jul 2024 00:00:00 GMT</t>
  </si>
  <si>
    <t>Fri, 05 Jul 2024 00:00:00 GMT</t>
  </si>
  <si>
    <t>Mon, 08 Jul 2024 00:00:00 GMT</t>
  </si>
  <si>
    <t>Tue, 09 Jul 2024 00:00:00 GMT</t>
  </si>
  <si>
    <t>Wed, 10 Jul 2024 00:00:00 GMT</t>
  </si>
  <si>
    <t>Thu, 11 Jul 2024 00:00:00 GMT</t>
  </si>
  <si>
    <t>Fri, 12 Jul 2024 00:00:00 GMT</t>
  </si>
  <si>
    <t>Mon, 15 Jul 2024 00:00:00 GMT</t>
  </si>
  <si>
    <t>Tue, 16 Jul 2024 00:00:00 GMT</t>
  </si>
  <si>
    <t>Wed, 17 Jul 2024 00:00:00 GMT</t>
  </si>
  <si>
    <t>Thu, 18 Jul 2024 00:00:00 GMT</t>
  </si>
  <si>
    <t>Fri, 19 Jul 2024 00:00:00 GMT</t>
  </si>
  <si>
    <t>Mon, 22 Jul 2024 00:00:00 GMT</t>
  </si>
  <si>
    <t>Tue, 23 Jul 2024 00:00:00 GMT</t>
  </si>
  <si>
    <t>Wed, 24 Jul 2024 00:00:00 GMT</t>
  </si>
  <si>
    <t>Thu, 25 Jul 2024 00:00:00 GMT</t>
  </si>
  <si>
    <t>Fri, 26 Jul 2024 00:00:00 GMT</t>
  </si>
  <si>
    <t>Mon, 29 Jul 2024 00:00:00 GMT</t>
  </si>
  <si>
    <t>Tue, 30 Jul 2024 00:00:00 GMT</t>
  </si>
  <si>
    <t>Wed, 31 Jul 2024 00:00:00 GMT</t>
  </si>
  <si>
    <t>Thu, 01 Aug 2024 00:00:00 GMT</t>
  </si>
  <si>
    <t>Fri, 02 Aug 2024 00:00:00 GMT</t>
  </si>
  <si>
    <t>Mon, 05 Aug 2024 00:00:00 GMT</t>
  </si>
  <si>
    <t>Tue, 06 Aug 2024 00:00:00 GMT</t>
  </si>
  <si>
    <t>Wed, 07 Aug 2024 00:00:00 GMT</t>
  </si>
  <si>
    <t>Thu, 08 Aug 2024 00:00:00 GMT</t>
  </si>
  <si>
    <t>Fri, 09 Aug 2024 00:00:00 GMT</t>
  </si>
  <si>
    <t>Mon, 12 Aug 2024 00:00:00 GMT</t>
  </si>
  <si>
    <t>Tue, 13 Aug 2024 00:00:00 GMT</t>
  </si>
  <si>
    <t>Wed, 14 Aug 2024 00:00:00 GMT</t>
  </si>
  <si>
    <t>Thu, 15 Aug 2024 00:00:00 GMT</t>
  </si>
  <si>
    <t>Fri, 16 Aug 2024 00:00:00 GMT</t>
  </si>
  <si>
    <t>Mon, 19 Aug 2024 00:00:00 GMT</t>
  </si>
  <si>
    <t>Tue, 20 Aug 2024 00:00:00 GMT</t>
  </si>
  <si>
    <t>Wed, 21 Aug 2024 00:00:00 GMT</t>
  </si>
  <si>
    <t>Thu, 22 Aug 2024 00:00:00 GMT</t>
  </si>
  <si>
    <t>Fri, 23 Aug 2024 00:00:00 GMT</t>
  </si>
  <si>
    <t>Mon, 26 Aug 2024 00:00:00 GMT</t>
  </si>
  <si>
    <t>Tue, 27 Aug 2024 00:00:00 GMT</t>
  </si>
  <si>
    <t>Wed, 28 Aug 2024 00:00:00 GMT</t>
  </si>
  <si>
    <t>Thu, 29 Aug 2024 00:00:00 GMT</t>
  </si>
  <si>
    <t>Fri, 30 Aug 2024 00:00:00 GMT</t>
  </si>
  <si>
    <t>Tue, 03 Sep 2024 00:00:00 GMT</t>
  </si>
  <si>
    <t>Wed, 04 Sep 2024 00:00:00 GMT</t>
  </si>
  <si>
    <t>Thu, 05 Sep 2024 00:00:00 GMT</t>
  </si>
  <si>
    <t>Fri, 06 Sep 2024 00:00:00 GMT</t>
  </si>
  <si>
    <t>Mon, 09 Sep 2024 00:00:00 GMT</t>
  </si>
  <si>
    <t>Tue, 10 Sep 2024 00:00:00 GMT</t>
  </si>
  <si>
    <t>Wed, 11 Sep 2024 00:00:00 GMT</t>
  </si>
  <si>
    <t>Thu, 12 Sep 2024 00:00:00 GMT</t>
  </si>
  <si>
    <t>Fri, 13 Sep 2024 00:00:00 GMT</t>
  </si>
  <si>
    <t>Mon, 16 Sep 2024 00:00:00 GMT</t>
  </si>
  <si>
    <t>Tue, 17 Sep 2024 00:00:00 GMT</t>
  </si>
  <si>
    <t>Wed, 18 Sep 2024 00:00:00 GMT</t>
  </si>
  <si>
    <t>Thu, 19 Sep 2024 00:00:00 GMT</t>
  </si>
  <si>
    <t>Fri, 20 Sep 2024 00:00:00 GMT</t>
  </si>
  <si>
    <t>Mon, 23 Sep 2024 00:00:00 GMT</t>
  </si>
  <si>
    <t>Tue, 24 Sep 2024 00:00:00 GMT</t>
  </si>
  <si>
    <t>Wed, 25 Sep 2024 00:00:00 GMT</t>
  </si>
  <si>
    <t>Thu, 26 Sep 2024 00:00:00 GMT</t>
  </si>
  <si>
    <t>Fri, 27 Sep 2024 00:00:00 GMT</t>
  </si>
  <si>
    <t>Mon, 30 Sep 2024 00:00:00 GMT</t>
  </si>
  <si>
    <t>Tue, 01 Oct 2024 00:00:00 GMT</t>
  </si>
  <si>
    <t>Wed, 02 Oct 2024 00:00:00 GMT</t>
  </si>
  <si>
    <t>Thu, 03 Oct 2024 00:00:00 GMT</t>
  </si>
  <si>
    <t>Fri, 04 Oct 2024 00:00:00 GMT</t>
  </si>
  <si>
    <t>Mon, 07 Oct 2024 00:00:00 GMT</t>
  </si>
  <si>
    <t>Tue, 08 Oct 2024 00:00:00 GMT</t>
  </si>
  <si>
    <t>Wed, 09 Oct 2024 00:00:00 GMT</t>
  </si>
  <si>
    <t>Thu, 10 Oct 2024 00:00:00 GMT</t>
  </si>
  <si>
    <t>Fri, 11 Oct 2024 00:00:00 GMT</t>
  </si>
  <si>
    <t>Mon, 14 Oct 2024 00:00:00 GMT</t>
  </si>
  <si>
    <t>Tue, 15 Oct 2024 00:00:00 GMT</t>
  </si>
  <si>
    <t>Wed, 16 Oct 2024 00:00:00 GMT</t>
  </si>
  <si>
    <t>Thu, 17 Oct 2024 00:00:00 GMT</t>
  </si>
  <si>
    <t>Fri, 18 Oct 2024 00:00:00 GMT</t>
  </si>
  <si>
    <t>Mon, 21 Oct 2024 00:00:00 GMT</t>
  </si>
  <si>
    <t>Tue, 22 Oct 2024 00:00:00 GMT</t>
  </si>
  <si>
    <t>Wed, 23 Oct 2024 00:00:00 GMT</t>
  </si>
  <si>
    <t>Thu, 24 Oct 2024 00:00:00 GMT</t>
  </si>
  <si>
    <t>Fri, 25 Oct 2024 00:00:00 GMT</t>
  </si>
  <si>
    <t>Mon, 28 Oct 2024 00:00:00 GMT</t>
  </si>
  <si>
    <t>Tue, 29 Oct 2024 00:00:00 GMT</t>
  </si>
  <si>
    <t>Wed, 30 Oct 2024 00:00:00 GMT</t>
  </si>
  <si>
    <t>Thu, 31 Oct 2024 00:00:00 GMT</t>
  </si>
  <si>
    <t>Fri, 01 Nov 2024 00:00:00 GMT</t>
  </si>
  <si>
    <t>Mon, 04 Nov 2024 00:00:00 GMT</t>
  </si>
  <si>
    <t>Tue, 05 Nov 2024 00:00:00 GMT</t>
  </si>
  <si>
    <t>Wed, 06 Nov 2024 00:00:00 GMT</t>
  </si>
  <si>
    <t>Thu, 07 Nov 2024 00:00:00 GMT</t>
  </si>
  <si>
    <t>Fri, 08 Nov 2024 00:00:00 GMT</t>
  </si>
  <si>
    <t>Mon, 11 Nov 2024 00:00:00 GMT</t>
  </si>
  <si>
    <t>Tue, 12 Nov 2024 00:00:00 GMT</t>
  </si>
  <si>
    <t>Wed, 13 Nov 2024 00:00:00 GMT</t>
  </si>
  <si>
    <t>Thu, 14 Nov 2024 00:00:00 GMT</t>
  </si>
  <si>
    <t>Fri, 15 Nov 2024 00:00:00 GMT</t>
  </si>
  <si>
    <t>Mon, 18 Nov 2024 00:00:00 GMT</t>
  </si>
  <si>
    <t>Tue, 19 Nov 2024 00:00:00 GMT</t>
  </si>
  <si>
    <t>Wed, 20 Nov 2024 00:00:00 GMT</t>
  </si>
  <si>
    <t>Thu, 21 Nov 2024 00:00:00 GMT</t>
  </si>
  <si>
    <t>Fri, 22 Nov 2024 00:00:00 GMT</t>
  </si>
  <si>
    <t>Mon, 25 Nov 2024 00:00:00 GMT</t>
  </si>
  <si>
    <t>Tue, 26 Nov 2024 00:00:00 GMT</t>
  </si>
  <si>
    <t>Wed, 27 Nov 2024 00:00:00 GMT</t>
  </si>
  <si>
    <t>Fri, 29 Nov 2024 00:00:00 GMT</t>
  </si>
  <si>
    <t>Mon, 02 Dec 2024 00:00:00 GMT</t>
  </si>
  <si>
    <t>Tue, 03 Dec 2024 00:00:00 GMT</t>
  </si>
  <si>
    <t>Wed, 04 Dec 2024 00:00:00 GMT</t>
  </si>
  <si>
    <t>Thu, 05 Dec 2024 00:00:00 GMT</t>
  </si>
  <si>
    <t>Fri, 06 Dec 2024 00:00:00 GMT</t>
  </si>
  <si>
    <t>Mon, 09 Dec 2024 00:00:00 GMT</t>
  </si>
  <si>
    <t>Tue, 10 Dec 2024 00:00:00 GMT</t>
  </si>
  <si>
    <t>Wed, 11 Dec 2024 00:00:00 GMT</t>
  </si>
  <si>
    <t>Thu, 12 Dec 2024 00:00:00 GMT</t>
  </si>
  <si>
    <t>Fri, 13 Dec 2024 00:00:00 GMT</t>
  </si>
  <si>
    <t>Mon, 16 Dec 2024 00:00:00 GMT</t>
  </si>
  <si>
    <t>Tue, 17 Dec 2024 00:00:00 GMT</t>
  </si>
  <si>
    <t>Wed, 18 Dec 2024 00:00:00 GMT</t>
  </si>
  <si>
    <t>Thu, 19 Dec 2024 00:00:00 GMT</t>
  </si>
  <si>
    <t>Fri, 20 Dec 2024 00:00:00 GMT</t>
  </si>
  <si>
    <t>Mon, 23 Dec 2024 00:00:00 GMT</t>
  </si>
  <si>
    <t>Tue, 24 Dec 2024 00:00:00 GMT</t>
  </si>
  <si>
    <t>Thu, 26 Dec 2024 00:00:00 GMT</t>
  </si>
  <si>
    <t>Fri, 27 Dec 2024 00:00:00 GMT</t>
  </si>
  <si>
    <t>Mon, 30 Dec 2024 00:00:00 GMT</t>
  </si>
  <si>
    <t>Tue, 31 Dec 2024 00:00:00 GMT</t>
  </si>
  <si>
    <t>Thu, 02 Jan 2025 00:00:00 GMT</t>
  </si>
  <si>
    <t>Fri, 03 Jan 2025 00:00:00 GMT</t>
  </si>
  <si>
    <t>Mon, 06 Jan 2025 00:00:00 GMT</t>
  </si>
  <si>
    <t>Tue, 07 Jan 2025 00:00:00 GMT</t>
  </si>
  <si>
    <t>Wed, 08 Jan 2025 00:00:00 GMT</t>
  </si>
  <si>
    <t>Fri, 10 Jan 2025 00:00:00 GMT</t>
  </si>
  <si>
    <t>Mon, 13 Jan 2025 00:00:00 GMT</t>
  </si>
  <si>
    <t>Tue, 14 Jan 2025 00:00:00 GMT</t>
  </si>
  <si>
    <t>Wed, 15 Jan 2025 00:00:00 GMT</t>
  </si>
  <si>
    <t>Thu, 16 Jan 2025 00:00:00 GMT</t>
  </si>
  <si>
    <t>Fri, 17 Jan 2025 00:00:00 GMT</t>
  </si>
  <si>
    <t>Tue, 21 Jan 2025 00:00:00 GMT</t>
  </si>
  <si>
    <t>Wed, 22 Jan 2025 00:00:00 GMT</t>
  </si>
  <si>
    <t>Thu, 23 Jan 2025 00:00:00 GMT</t>
  </si>
  <si>
    <t>Fri, 24 Jan 2025 00:00:00 GMT</t>
  </si>
  <si>
    <t>Mon, 27 Jan 2025 00:00:00 GMT</t>
  </si>
  <si>
    <t>Tue, 28 Jan 2025 00:00:00 GMT</t>
  </si>
  <si>
    <t>Wed, 29 Jan 2025 00:00:00 GMT</t>
  </si>
  <si>
    <t>Thu, 30 Jan 2025 00:00:00 GMT</t>
  </si>
  <si>
    <t>Fri, 31 Jan 2025 00:00:00 GMT</t>
  </si>
  <si>
    <t>Mon, 03 Feb 2025 00:00:00 GMT</t>
  </si>
  <si>
    <t>Tue, 04 Feb 2025 00:00:00 GMT</t>
  </si>
  <si>
    <t>Wed, 05 Feb 2025 00:00:00 GMT</t>
  </si>
  <si>
    <t>Thu, 06 Feb 2025 00:00:00 GMT</t>
  </si>
  <si>
    <t>Fri, 07 Feb 2025 00:00:00 GMT</t>
  </si>
  <si>
    <t>Mon, 10 Feb 2025 00:00:00 GMT</t>
  </si>
  <si>
    <t>Tue, 11 Feb 2025 00:00:00 GMT</t>
  </si>
  <si>
    <t>Wed, 12 Feb 2025 00:00:00 GMT</t>
  </si>
  <si>
    <t>Thu, 13 Feb 2025 00:00:00 GMT</t>
  </si>
  <si>
    <t>Fri, 14 Feb 2025 00:00:00 GMT</t>
  </si>
  <si>
    <t>Tue, 18 Feb 2025 00:00:00 GMT</t>
  </si>
  <si>
    <t>Wed, 19 Feb 2025 00:00:00 GMT</t>
  </si>
  <si>
    <t>Thu, 20 Feb 2025 00:00:00 GMT</t>
  </si>
  <si>
    <t>Fri, 21 Feb 2025 00:00:00 GMT</t>
  </si>
  <si>
    <t>Mon, 24 Feb 2025 00:00:00 GMT</t>
  </si>
  <si>
    <t>Tue, 25 Feb 2025 00:00:00 GMT</t>
  </si>
  <si>
    <t>Wed, 26 Feb 2025 00:00:00 GMT</t>
  </si>
  <si>
    <t>Thu, 27 Feb 2025 00:00:00 GMT</t>
  </si>
  <si>
    <t>Fri, 28 Feb 2025 00:00:00 GMT</t>
  </si>
  <si>
    <t>Mon, 03 Mar 2025 00:00:00 GMT</t>
  </si>
  <si>
    <t>Tue, 04 Mar 2025 00:00:00 GMT</t>
  </si>
  <si>
    <t>Wed, 05 Mar 2025 00:00:00 GMT</t>
  </si>
  <si>
    <t>Thu, 06 Mar 2025 00:00:00 GMT</t>
  </si>
  <si>
    <t>Fri, 07 Mar 2025 00:00:00 GMT</t>
  </si>
  <si>
    <t>Mon, 10 Mar 2025 00:00:00 GMT</t>
  </si>
  <si>
    <t>Tue, 11 Mar 2025 00:00:00 GMT</t>
  </si>
  <si>
    <t>Wed, 12 Mar 2025 00:00:00 GMT</t>
  </si>
  <si>
    <t>Thu, 13 Mar 2025 00:00:00 GMT</t>
  </si>
  <si>
    <t>Fri, 14 Mar 2025 00:00:00 GMT</t>
  </si>
  <si>
    <t>Mon, 17 Mar 2025 00:00:00 GMT</t>
  </si>
  <si>
    <t>Tue, 18 Mar 2025 00:00:00 GMT</t>
  </si>
  <si>
    <t>Wed, 19 Mar 2025 00:00:00 GMT</t>
  </si>
  <si>
    <t>Thu, 20 Mar 2025 00:00:00 GMT</t>
  </si>
  <si>
    <t>Fri, 21 Mar 2025 00:00:00 GMT</t>
  </si>
  <si>
    <t>Mon, 24 Mar 2025 00:00:00 GMT</t>
  </si>
  <si>
    <t>Tue, 25 Mar 2025 00:00:00 GMT</t>
  </si>
  <si>
    <t>Comparing this 3 sigma figure to the recorded Min/Max… we observe a "relatively normal" return distribution</t>
  </si>
  <si>
    <t xml:space="preserve">You could hypothetically lever up 20x on a PayPal position and remain in the clear/unliquidated from a 1-day 3 σ move… </t>
  </si>
  <si>
    <t>Tue, 29 May 2018 00:00:00 GMT</t>
  </si>
  <si>
    <t>Wed, 30 May 2018 00:00:00 GMT</t>
  </si>
  <si>
    <t>Thu, 31 May 2018 00:00:00 GMT</t>
  </si>
  <si>
    <t>Fri, 01 Jun 2018 00:00:00 GMT</t>
  </si>
  <si>
    <t>Mon, 04 Jun 2018 00:00:00 GMT</t>
  </si>
  <si>
    <t>Tue, 05 Jun 2018 00:00:00 GMT</t>
  </si>
  <si>
    <t>Wed, 06 Jun 2018 00:00:00 GMT</t>
  </si>
  <si>
    <t>Thu, 07 Jun 2018 00:00:00 GMT</t>
  </si>
  <si>
    <t>Fri, 08 Jun 2018 00:00:00 GMT</t>
  </si>
  <si>
    <t>Mon, 11 Jun 2018 00:00:00 GMT</t>
  </si>
  <si>
    <t>Tue, 12 Jun 2018 00:00:00 GMT</t>
  </si>
  <si>
    <t>Wed, 13 Jun 2018 00:00:00 GMT</t>
  </si>
  <si>
    <t>Thu, 14 Jun 2018 00:00:00 GMT</t>
  </si>
  <si>
    <t>Fri, 15 Jun 2018 00:00:00 GMT</t>
  </si>
  <si>
    <t>Mon, 18 Jun 2018 00:00:00 GMT</t>
  </si>
  <si>
    <t>Tue, 19 Jun 2018 00:00:00 GMT</t>
  </si>
  <si>
    <t>Wed, 20 Jun 2018 00:00:00 GMT</t>
  </si>
  <si>
    <t>Thu, 21 Jun 2018 00:00:00 GMT</t>
  </si>
  <si>
    <t>Fri, 22 Jun 2018 00:00:00 GMT</t>
  </si>
  <si>
    <t>Mon, 25 Jun 2018 00:00:00 GMT</t>
  </si>
  <si>
    <t>Tue, 26 Jun 2018 00:00:00 GMT</t>
  </si>
  <si>
    <t>Wed, 27 Jun 2018 00:00:00 GMT</t>
  </si>
  <si>
    <t>Thu, 28 Jun 2018 00:00:00 GMT</t>
  </si>
  <si>
    <t>Fri, 29 Jun 2018 00:00:00 GMT</t>
  </si>
  <si>
    <t>Mon, 02 Jul 2018 00:00:00 GMT</t>
  </si>
  <si>
    <t>Tue, 03 Jul 2018 00:00:00 GMT</t>
  </si>
  <si>
    <t>Thu, 05 Jul 2018 00:00:00 GMT</t>
  </si>
  <si>
    <t>Fri, 06 Jul 2018 00:00:00 GMT</t>
  </si>
  <si>
    <t>Mon, 09 Jul 2018 00:00:00 GMT</t>
  </si>
  <si>
    <t>Tue, 10 Jul 2018 00:00:00 GMT</t>
  </si>
  <si>
    <t>Wed, 11 Jul 2018 00:00:00 GMT</t>
  </si>
  <si>
    <t>Thu, 12 Jul 2018 00:00:00 GMT</t>
  </si>
  <si>
    <t>Fri, 13 Jul 2018 00:00:00 GMT</t>
  </si>
  <si>
    <t>Mon, 16 Jul 2018 00:00:00 GMT</t>
  </si>
  <si>
    <t>Tue, 17 Jul 2018 00:00:00 GMT</t>
  </si>
  <si>
    <t>Wed, 18 Jul 2018 00:00:00 GMT</t>
  </si>
  <si>
    <t>Thu, 19 Jul 2018 00:00:00 GMT</t>
  </si>
  <si>
    <t>Fri, 20 Jul 2018 00:00:00 GMT</t>
  </si>
  <si>
    <t>Mon, 23 Jul 2018 00:00:00 GMT</t>
  </si>
  <si>
    <t>Tue, 24 Jul 2018 00:00:00 GMT</t>
  </si>
  <si>
    <t>Wed, 25 Jul 2018 00:00:00 GMT</t>
  </si>
  <si>
    <t>Thu, 26 Jul 2018 00:00:00 GMT</t>
  </si>
  <si>
    <t>Fri, 27 Jul 2018 00:00:00 GMT</t>
  </si>
  <si>
    <t>Mon, 30 Jul 2018 00:00:00 GMT</t>
  </si>
  <si>
    <t>Tue, 31 Jul 2018 00:00:00 GMT</t>
  </si>
  <si>
    <t>Wed, 01 Aug 2018 00:00:00 GMT</t>
  </si>
  <si>
    <t>Thu, 02 Aug 2018 00:00:00 GMT</t>
  </si>
  <si>
    <t>Fri, 03 Aug 2018 00:00:00 GMT</t>
  </si>
  <si>
    <t>Mon, 06 Aug 2018 00:00:00 GMT</t>
  </si>
  <si>
    <t>Tue, 07 Aug 2018 00:00:00 GMT</t>
  </si>
  <si>
    <t>Wed, 08 Aug 2018 00:00:00 GMT</t>
  </si>
  <si>
    <t>Thu, 09 Aug 2018 00:00:00 GMT</t>
  </si>
  <si>
    <t>Fri, 10 Aug 2018 00:00:00 GMT</t>
  </si>
  <si>
    <t>Mon, 13 Aug 2018 00:00:00 GMT</t>
  </si>
  <si>
    <t>Tue, 14 Aug 2018 00:00:00 GMT</t>
  </si>
  <si>
    <t>Wed, 15 Aug 2018 00:00:00 GMT</t>
  </si>
  <si>
    <t>Thu, 16 Aug 2018 00:00:00 GMT</t>
  </si>
  <si>
    <t>Fri, 17 Aug 2018 00:00:00 GMT</t>
  </si>
  <si>
    <t>Mon, 20 Aug 2018 00:00:00 GMT</t>
  </si>
  <si>
    <t>Tue, 21 Aug 2018 00:00:00 GMT</t>
  </si>
  <si>
    <t>Wed, 22 Aug 2018 00:00:00 GMT</t>
  </si>
  <si>
    <t>Thu, 23 Aug 2018 00:00:00 GMT</t>
  </si>
  <si>
    <t>Fri, 24 Aug 2018 00:00:00 GMT</t>
  </si>
  <si>
    <t>Mon, 27 Aug 2018 00:00:00 GMT</t>
  </si>
  <si>
    <t>Tue, 28 Aug 2018 00:00:00 GMT</t>
  </si>
  <si>
    <t>Wed, 29 Aug 2018 00:00:00 GMT</t>
  </si>
  <si>
    <t>Thu, 30 Aug 2018 00:00:00 GMT</t>
  </si>
  <si>
    <t>Fri, 31 Aug 2018 00:00:00 GMT</t>
  </si>
  <si>
    <t>Tue, 04 Sep 2018 00:00:00 GMT</t>
  </si>
  <si>
    <t>Wed, 05 Sep 2018 00:00:00 GMT</t>
  </si>
  <si>
    <t>Thu, 06 Sep 2018 00:00:00 GMT</t>
  </si>
  <si>
    <t>Fri, 07 Sep 2018 00:00:00 GMT</t>
  </si>
  <si>
    <t>Mon, 10 Sep 2018 00:00:00 GMT</t>
  </si>
  <si>
    <t>Tue, 11 Sep 2018 00:00:00 GMT</t>
  </si>
  <si>
    <t>Wed, 12 Sep 2018 00:00:00 GMT</t>
  </si>
  <si>
    <t>Thu, 13 Sep 2018 00:00:00 GMT</t>
  </si>
  <si>
    <t>Fri, 14 Sep 2018 00:00:00 GMT</t>
  </si>
  <si>
    <t>Mon, 17 Sep 2018 00:00:00 GMT</t>
  </si>
  <si>
    <t>Tue, 18 Sep 2018 00:00:00 GMT</t>
  </si>
  <si>
    <t>Wed, 19 Sep 2018 00:00:00 GMT</t>
  </si>
  <si>
    <t>Thu, 20 Sep 2018 00:00:00 GMT</t>
  </si>
  <si>
    <t>Fri, 21 Sep 2018 00:00:00 GMT</t>
  </si>
  <si>
    <t>Mon, 24 Sep 2018 00:00:00 GMT</t>
  </si>
  <si>
    <t>Tue, 25 Sep 2018 00:00:00 GMT</t>
  </si>
  <si>
    <t>Wed, 26 Sep 2018 00:00:00 GMT</t>
  </si>
  <si>
    <t>Thu, 27 Sep 2018 00:00:00 GMT</t>
  </si>
  <si>
    <t>Fri, 28 Sep 2018 00:00:00 GMT</t>
  </si>
  <si>
    <t>Mon, 01 Oct 2018 00:00:00 GMT</t>
  </si>
  <si>
    <t>Tue, 02 Oct 2018 00:00:00 GMT</t>
  </si>
  <si>
    <t>Wed, 03 Oct 2018 00:00:00 GMT</t>
  </si>
  <si>
    <t>Thu, 04 Oct 2018 00:00:00 GMT</t>
  </si>
  <si>
    <t>Fri, 05 Oct 2018 00:00:00 GMT</t>
  </si>
  <si>
    <t>Mon, 08 Oct 2018 00:00:00 GMT</t>
  </si>
  <si>
    <t>Tue, 09 Oct 2018 00:00:00 GMT</t>
  </si>
  <si>
    <t>Wed, 10 Oct 2018 00:00:00 GMT</t>
  </si>
  <si>
    <t>Thu, 11 Oct 2018 00:00:00 GMT</t>
  </si>
  <si>
    <t>Fri, 12 Oct 2018 00:00:00 GMT</t>
  </si>
  <si>
    <t>Mon, 15 Oct 2018 00:00:00 GMT</t>
  </si>
  <si>
    <t>Tue, 16 Oct 2018 00:00:00 GMT</t>
  </si>
  <si>
    <t>Wed, 17 Oct 2018 00:00:00 GMT</t>
  </si>
  <si>
    <t>Thu, 18 Oct 2018 00:00:00 GMT</t>
  </si>
  <si>
    <t>Fri, 19 Oct 2018 00:00:00 GMT</t>
  </si>
  <si>
    <t>Mon, 22 Oct 2018 00:00:00 GMT</t>
  </si>
  <si>
    <t>Tue, 23 Oct 2018 00:00:00 GMT</t>
  </si>
  <si>
    <t>Wed, 24 Oct 2018 00:00:00 GMT</t>
  </si>
  <si>
    <t>Thu, 25 Oct 2018 00:00:00 GMT</t>
  </si>
  <si>
    <t>Fri, 26 Oct 2018 00:00:00 GMT</t>
  </si>
  <si>
    <t>Mon, 29 Oct 2018 00:00:00 GMT</t>
  </si>
  <si>
    <t>Tue, 30 Oct 2018 00:00:00 GMT</t>
  </si>
  <si>
    <t>Wed, 31 Oct 2018 00:00:00 GMT</t>
  </si>
  <si>
    <t>Thu, 01 Nov 2018 00:00:00 GMT</t>
  </si>
  <si>
    <t>Fri, 02 Nov 2018 00:00:00 GMT</t>
  </si>
  <si>
    <t>Mon, 05 Nov 2018 00:00:00 GMT</t>
  </si>
  <si>
    <t>Tue, 06 Nov 2018 00:00:00 GMT</t>
  </si>
  <si>
    <t>Wed, 07 Nov 2018 00:00:00 GMT</t>
  </si>
  <si>
    <t>Thu, 08 Nov 2018 00:00:00 GMT</t>
  </si>
  <si>
    <t>Fri, 09 Nov 2018 00:00:00 GMT</t>
  </si>
  <si>
    <t>Mon, 12 Nov 2018 00:00:00 GMT</t>
  </si>
  <si>
    <t>Tue, 13 Nov 2018 00:00:00 GMT</t>
  </si>
  <si>
    <t>Wed, 14 Nov 2018 00:00:00 GMT</t>
  </si>
  <si>
    <t>Thu, 15 Nov 2018 00:00:00 GMT</t>
  </si>
  <si>
    <t>Fri, 16 Nov 2018 00:00:00 GMT</t>
  </si>
  <si>
    <t>Mon, 19 Nov 2018 00:00:00 GMT</t>
  </si>
  <si>
    <t>Tue, 20 Nov 2018 00:00:00 GMT</t>
  </si>
  <si>
    <t>Wed, 21 Nov 2018 00:00:00 GMT</t>
  </si>
  <si>
    <t>Fri, 23 Nov 2018 00:00:00 GMT</t>
  </si>
  <si>
    <t>Mon, 26 Nov 2018 00:00:00 GMT</t>
  </si>
  <si>
    <t>Tue, 27 Nov 2018 00:00:00 GMT</t>
  </si>
  <si>
    <t>Wed, 28 Nov 2018 00:00:00 GMT</t>
  </si>
  <si>
    <t>Thu, 29 Nov 2018 00:00:00 GMT</t>
  </si>
  <si>
    <t>Fri, 30 Nov 2018 00:00:00 GMT</t>
  </si>
  <si>
    <t>Mon, 03 Dec 2018 00:00:00 GMT</t>
  </si>
  <si>
    <t>Tue, 04 Dec 2018 00:00:00 GMT</t>
  </si>
  <si>
    <t>Thu, 06 Dec 2018 00:00:00 GMT</t>
  </si>
  <si>
    <t>Fri, 07 Dec 2018 00:00:00 GMT</t>
  </si>
  <si>
    <t>Mon, 10 Dec 2018 00:00:00 GMT</t>
  </si>
  <si>
    <t>Tue, 11 Dec 2018 00:00:00 GMT</t>
  </si>
  <si>
    <t>Wed, 12 Dec 2018 00:00:00 GMT</t>
  </si>
  <si>
    <t>Thu, 13 Dec 2018 00:00:00 GMT</t>
  </si>
  <si>
    <t>Fri, 14 Dec 2018 00:00:00 GMT</t>
  </si>
  <si>
    <t>Mon, 17 Dec 2018 00:00:00 GMT</t>
  </si>
  <si>
    <t>Tue, 18 Dec 2018 00:00:00 GMT</t>
  </si>
  <si>
    <t>Wed, 19 Dec 2018 00:00:00 GMT</t>
  </si>
  <si>
    <t>Thu, 20 Dec 2018 00:00:00 GMT</t>
  </si>
  <si>
    <t>Fri, 21 Dec 2018 00:00:00 GMT</t>
  </si>
  <si>
    <t>Mon, 24 Dec 2018 00:00:00 GMT</t>
  </si>
  <si>
    <t>Wed, 26 Dec 2018 00:00:00 GMT</t>
  </si>
  <si>
    <t>Thu, 27 Dec 2018 00:00:00 GMT</t>
  </si>
  <si>
    <t>Fri, 28 Dec 2018 00:00:00 GMT</t>
  </si>
  <si>
    <t>Mon, 31 Dec 2018 00:00:00 GMT</t>
  </si>
  <si>
    <t>Wed, 02 Jan 2019 00:00:00 GMT</t>
  </si>
  <si>
    <t>Thu, 03 Jan 2019 00:00:00 GMT</t>
  </si>
  <si>
    <t>Fri, 04 Jan 2019 00:00:00 GMT</t>
  </si>
  <si>
    <t>Mon, 07 Jan 2019 00:00:00 GMT</t>
  </si>
  <si>
    <t>Tue, 08 Jan 2019 00:00:00 GMT</t>
  </si>
  <si>
    <t>Wed, 09 Jan 2019 00:00:00 GMT</t>
  </si>
  <si>
    <t>Thu, 10 Jan 2019 00:00:00 GMT</t>
  </si>
  <si>
    <t>Fri, 11 Jan 2019 00:00:00 GMT</t>
  </si>
  <si>
    <t>Mon, 14 Jan 2019 00:00:00 GMT</t>
  </si>
  <si>
    <t>Tue, 15 Jan 2019 00:00:00 GMT</t>
  </si>
  <si>
    <t>Wed, 16 Jan 2019 00:00:00 GMT</t>
  </si>
  <si>
    <t>Thu, 17 Jan 2019 00:00:00 GMT</t>
  </si>
  <si>
    <t>Fri, 18 Jan 2019 00:00:00 GMT</t>
  </si>
  <si>
    <t>Tue, 22 Jan 2019 00:00:00 GMT</t>
  </si>
  <si>
    <t>Wed, 23 Jan 2019 00:00:00 GMT</t>
  </si>
  <si>
    <t>Thu, 24 Jan 2019 00:00:00 GMT</t>
  </si>
  <si>
    <t>Fri, 25 Jan 2019 00:00:00 GMT</t>
  </si>
  <si>
    <t>Mon, 28 Jan 2019 00:00:00 GMT</t>
  </si>
  <si>
    <t>Tue, 29 Jan 2019 00:00:00 GMT</t>
  </si>
  <si>
    <t>Wed, 30 Jan 2019 00:00:00 GMT</t>
  </si>
  <si>
    <t>Thu, 31 Jan 2019 00:00:00 GMT</t>
  </si>
  <si>
    <t>Fri, 01 Feb 2019 00:00:00 GMT</t>
  </si>
  <si>
    <t>Mon, 04 Feb 2019 00:00:00 GMT</t>
  </si>
  <si>
    <t>Tue, 05 Feb 2019 00:00:00 GMT</t>
  </si>
  <si>
    <t>Wed, 06 Feb 2019 00:00:00 GMT</t>
  </si>
  <si>
    <t>Thu, 07 Feb 2019 00:00:00 GMT</t>
  </si>
  <si>
    <t>Fri, 08 Feb 2019 00:00:00 GMT</t>
  </si>
  <si>
    <t>Mon, 11 Feb 2019 00:00:00 GMT</t>
  </si>
  <si>
    <t>Tue, 12 Feb 2019 00:00:00 GMT</t>
  </si>
  <si>
    <t>Wed, 13 Feb 2019 00:00:00 GMT</t>
  </si>
  <si>
    <t>Thu, 14 Feb 2019 00:00:00 GMT</t>
  </si>
  <si>
    <t>Fri, 15 Feb 2019 00:00:00 GMT</t>
  </si>
  <si>
    <t>Tue, 19 Feb 2019 00:00:00 GMT</t>
  </si>
  <si>
    <t>Wed, 20 Feb 2019 00:00:00 GMT</t>
  </si>
  <si>
    <t>Thu, 21 Feb 2019 00:00:00 GMT</t>
  </si>
  <si>
    <t>Fri, 22 Feb 2019 00:00:00 GMT</t>
  </si>
  <si>
    <t>Mon, 25 Feb 2019 00:00:00 GMT</t>
  </si>
  <si>
    <t>Tue, 26 Feb 2019 00:00:00 GMT</t>
  </si>
  <si>
    <t>Wed, 27 Feb 2019 00:00:00 GMT</t>
  </si>
  <si>
    <t>Thu, 28 Feb 2019 00:00:00 GMT</t>
  </si>
  <si>
    <t>Fri, 01 Mar 2019 00:00:00 GMT</t>
  </si>
  <si>
    <t>Mon, 04 Mar 2019 00:00:00 GMT</t>
  </si>
  <si>
    <t>Tue, 05 Mar 2019 00:00:00 GMT</t>
  </si>
  <si>
    <t>Wed, 06 Mar 2019 00:00:00 GMT</t>
  </si>
  <si>
    <t>Thu, 07 Mar 2019 00:00:00 GMT</t>
  </si>
  <si>
    <t>Fri, 08 Mar 2019 00:00:00 GMT</t>
  </si>
  <si>
    <t>Mon, 11 Mar 2019 00:00:00 GMT</t>
  </si>
  <si>
    <t>Tue, 12 Mar 2019 00:00:00 GMT</t>
  </si>
  <si>
    <t>Wed, 13 Mar 2019 00:00:00 GMT</t>
  </si>
  <si>
    <t>Thu, 14 Mar 2019 00:00:00 GMT</t>
  </si>
  <si>
    <t>Fri, 15 Mar 2019 00:00:00 GMT</t>
  </si>
  <si>
    <t>Mon, 18 Mar 2019 00:00:00 GMT</t>
  </si>
  <si>
    <t>Tue, 19 Mar 2019 00:00:00 GMT</t>
  </si>
  <si>
    <t>Wed, 20 Mar 2019 00:00:00 GMT</t>
  </si>
  <si>
    <t>Thu, 21 Mar 2019 00:00:00 GMT</t>
  </si>
  <si>
    <t>Fri, 22 Mar 2019 00:00:00 GMT</t>
  </si>
  <si>
    <t>Mon, 25 Mar 2019 00:00:00 GMT</t>
  </si>
  <si>
    <t>Tue, 26 Mar 2019 00:00:00 GMT</t>
  </si>
  <si>
    <t>Wed, 27 Mar 2019 00:00:00 GMT</t>
  </si>
  <si>
    <t>Thu, 28 Mar 2019 00:00:00 GMT</t>
  </si>
  <si>
    <t>Fri, 29 Mar 2019 00:00:00 GMT</t>
  </si>
  <si>
    <t>Mon, 01 Apr 2019 00:00:00 GMT</t>
  </si>
  <si>
    <t>Tue, 02 Apr 2019 00:00:00 GMT</t>
  </si>
  <si>
    <t>Wed, 03 Apr 2019 00:00:00 GMT</t>
  </si>
  <si>
    <t>Thu, 04 Apr 2019 00:00:00 GMT</t>
  </si>
  <si>
    <t>Fri, 05 Apr 2019 00:00:00 GMT</t>
  </si>
  <si>
    <t>Mon, 08 Apr 2019 00:00:00 GMT</t>
  </si>
  <si>
    <t>Tue, 09 Apr 2019 00:00:00 GMT</t>
  </si>
  <si>
    <t>Wed, 10 Apr 2019 00:00:00 GMT</t>
  </si>
  <si>
    <t>Thu, 11 Apr 2019 00:00:00 GMT</t>
  </si>
  <si>
    <t>Fri, 12 Apr 2019 00:00:00 GMT</t>
  </si>
  <si>
    <t>Mon, 15 Apr 2019 00:00:00 GMT</t>
  </si>
  <si>
    <t>Tue, 16 Apr 2019 00:00:00 GMT</t>
  </si>
  <si>
    <t>Wed, 17 Apr 2019 00:00:00 GMT</t>
  </si>
  <si>
    <t>Thu, 18 Apr 2019 00:00:00 GMT</t>
  </si>
  <si>
    <t>Mon, 22 Apr 2019 00:00:00 GMT</t>
  </si>
  <si>
    <t>Tue, 23 Apr 2019 00:00:00 GMT</t>
  </si>
  <si>
    <t>Wed, 24 Apr 2019 00:00:00 GMT</t>
  </si>
  <si>
    <t>Thu, 25 Apr 2019 00:00:00 GMT</t>
  </si>
  <si>
    <t>Fri, 26 Apr 2019 00:00:00 GMT</t>
  </si>
  <si>
    <t>Mon, 29 Apr 2019 00:00:00 GMT</t>
  </si>
  <si>
    <t>Tue, 30 Apr 2019 00:00:00 GMT</t>
  </si>
  <si>
    <t>Wed, 01 May 2019 00:00:00 GMT</t>
  </si>
  <si>
    <t>Thu, 02 May 2019 00:00:00 GMT</t>
  </si>
  <si>
    <t>Fri, 03 May 2019 00:00:00 GMT</t>
  </si>
  <si>
    <t>Mon, 06 May 2019 00:00:00 GMT</t>
  </si>
  <si>
    <t>Tue, 07 May 2019 00:00:00 GMT</t>
  </si>
  <si>
    <t>Wed, 08 May 2019 00:00:00 GMT</t>
  </si>
  <si>
    <t>Thu, 09 May 2019 00:00:00 GMT</t>
  </si>
  <si>
    <t>Fri, 10 May 2019 00:00:00 GMT</t>
  </si>
  <si>
    <t>Mon, 13 May 2019 00:00:00 GMT</t>
  </si>
  <si>
    <t>Tue, 14 May 2019 00:00:00 GMT</t>
  </si>
  <si>
    <t>Wed, 15 May 2019 00:00:00 GMT</t>
  </si>
  <si>
    <t>Thu, 16 May 2019 00:00:00 GMT</t>
  </si>
  <si>
    <t>Fri, 17 May 2019 00:00:00 GMT</t>
  </si>
  <si>
    <t>Mon, 20 May 2019 00:00:00 GMT</t>
  </si>
  <si>
    <t>Tue, 21 May 2019 00:00:00 GMT</t>
  </si>
  <si>
    <t>Wed, 22 May 2019 00:00:00 GMT</t>
  </si>
  <si>
    <t>Thu, 23 May 2019 00:00:00 GMT</t>
  </si>
  <si>
    <t>Fri, 24 May 2019 00:00:00 GMT</t>
  </si>
  <si>
    <t>Tue, 28 May 2019 00:00:00 GMT</t>
  </si>
  <si>
    <t>Wed, 29 May 2019 00:00:00 GMT</t>
  </si>
  <si>
    <t>Thu, 30 May 2019 00:00:00 GMT</t>
  </si>
  <si>
    <t>Fri, 31 May 2019 00:00:00 GMT</t>
  </si>
  <si>
    <t>Mon, 03 Jun 2019 00:00:00 GMT</t>
  </si>
  <si>
    <t>Tue, 04 Jun 2019 00:00:00 GMT</t>
  </si>
  <si>
    <t>Wed, 05 Jun 2019 00:00:00 GMT</t>
  </si>
  <si>
    <t>Thu, 06 Jun 2019 00:00:00 GMT</t>
  </si>
  <si>
    <t>Fri, 07 Jun 2019 00:00:00 GMT</t>
  </si>
  <si>
    <t>Mon, 10 Jun 2019 00:00:00 GMT</t>
  </si>
  <si>
    <t>Tue, 11 Jun 2019 00:00:00 GMT</t>
  </si>
  <si>
    <t>Wed, 12 Jun 2019 00:00:00 GMT</t>
  </si>
  <si>
    <t>Thu, 13 Jun 2019 00:00:00 GMT</t>
  </si>
  <si>
    <t>Fri, 14 Jun 2019 00:00:00 GMT</t>
  </si>
  <si>
    <t>Mon, 17 Jun 2019 00:00:00 GMT</t>
  </si>
  <si>
    <t>Tue, 18 Jun 2019 00:00:00 GMT</t>
  </si>
  <si>
    <t>Wed, 19 Jun 2019 00:00:00 GMT</t>
  </si>
  <si>
    <t>Thu, 20 Jun 2019 00:00:00 GMT</t>
  </si>
  <si>
    <t>Fri, 21 Jun 2019 00:00:00 GMT</t>
  </si>
  <si>
    <t>Mon, 24 Jun 2019 00:00:00 GMT</t>
  </si>
  <si>
    <t>Tue, 25 Jun 2019 00:00:00 GMT</t>
  </si>
  <si>
    <t>Wed, 26 Jun 2019 00:00:00 GMT</t>
  </si>
  <si>
    <t>Thu, 27 Jun 2019 00:00:00 GMT</t>
  </si>
  <si>
    <t>Fri, 28 Jun 2019 00:00:00 GMT</t>
  </si>
  <si>
    <t>Mon, 01 Jul 2019 00:00:00 GMT</t>
  </si>
  <si>
    <t>Tue, 02 Jul 2019 00:00:00 GMT</t>
  </si>
  <si>
    <t>Wed, 03 Jul 2019 00:00:00 GMT</t>
  </si>
  <si>
    <t>Fri, 05 Jul 2019 00:00:00 GMT</t>
  </si>
  <si>
    <t>Mon, 08 Jul 2019 00:00:00 GMT</t>
  </si>
  <si>
    <t>Tue, 09 Jul 2019 00:00:00 GMT</t>
  </si>
  <si>
    <t>Wed, 10 Jul 2019 00:00:00 GMT</t>
  </si>
  <si>
    <t>Thu, 11 Jul 2019 00:00:00 GMT</t>
  </si>
  <si>
    <t>Fri, 12 Jul 2019 00:00:00 GMT</t>
  </si>
  <si>
    <t>Mon, 15 Jul 2019 00:00:00 GMT</t>
  </si>
  <si>
    <t>Tue, 16 Jul 2019 00:00:00 GMT</t>
  </si>
  <si>
    <t>Wed, 17 Jul 2019 00:00:00 GMT</t>
  </si>
  <si>
    <t>Thu, 18 Jul 2019 00:00:00 GMT</t>
  </si>
  <si>
    <t>Fri, 19 Jul 2019 00:00:00 GMT</t>
  </si>
  <si>
    <t>Mon, 22 Jul 2019 00:00:00 GMT</t>
  </si>
  <si>
    <t>Tue, 23 Jul 2019 00:00:00 GMT</t>
  </si>
  <si>
    <t>Wed, 24 Jul 2019 00:00:00 GMT</t>
  </si>
  <si>
    <t>Thu, 25 Jul 2019 00:00:00 GMT</t>
  </si>
  <si>
    <t>Fri, 26 Jul 2019 00:00:00 GMT</t>
  </si>
  <si>
    <t>Mon, 29 Jul 2019 00:00:00 GMT</t>
  </si>
  <si>
    <t>Tue, 30 Jul 2019 00:00:00 GMT</t>
  </si>
  <si>
    <t>Wed, 31 Jul 2019 00:00:00 GMT</t>
  </si>
  <si>
    <t>Thu, 01 Aug 2019 00:00:00 GMT</t>
  </si>
  <si>
    <t>Fri, 02 Aug 2019 00:00:00 GMT</t>
  </si>
  <si>
    <t>Mon, 05 Aug 2019 00:00:00 GMT</t>
  </si>
  <si>
    <t>Tue, 06 Aug 2019 00:00:00 GMT</t>
  </si>
  <si>
    <t>Wed, 07 Aug 2019 00:00:00 GMT</t>
  </si>
  <si>
    <t>Thu, 08 Aug 2019 00:00:00 GMT</t>
  </si>
  <si>
    <t>Fri, 09 Aug 2019 00:00:00 GMT</t>
  </si>
  <si>
    <t>Mon, 12 Aug 2019 00:00:00 GMT</t>
  </si>
  <si>
    <t>Tue, 13 Aug 2019 00:00:00 GMT</t>
  </si>
  <si>
    <t>Wed, 14 Aug 2019 00:00:00 GMT</t>
  </si>
  <si>
    <t>Thu, 15 Aug 2019 00:00:00 GMT</t>
  </si>
  <si>
    <t>Fri, 16 Aug 2019 00:00:00 GMT</t>
  </si>
  <si>
    <t>Mon, 19 Aug 2019 00:00:00 GMT</t>
  </si>
  <si>
    <t>Tue, 20 Aug 2019 00:00:00 GMT</t>
  </si>
  <si>
    <t>Wed, 21 Aug 2019 00:00:00 GMT</t>
  </si>
  <si>
    <t>Thu, 22 Aug 2019 00:00:00 GMT</t>
  </si>
  <si>
    <t>Fri, 23 Aug 2019 00:00:00 GMT</t>
  </si>
  <si>
    <t>Mon, 26 Aug 2019 00:00:00 GMT</t>
  </si>
  <si>
    <t>Tue, 27 Aug 2019 00:00:00 GMT</t>
  </si>
  <si>
    <t>Wed, 28 Aug 2019 00:00:00 GMT</t>
  </si>
  <si>
    <t>Thu, 29 Aug 2019 00:00:00 GMT</t>
  </si>
  <si>
    <t>Fri, 30 Aug 2019 00:00:00 GMT</t>
  </si>
  <si>
    <t>Tue, 03 Sep 2019 00:00:00 GMT</t>
  </si>
  <si>
    <t>Wed, 04 Sep 2019 00:00:00 GMT</t>
  </si>
  <si>
    <t>Thu, 05 Sep 2019 00:00:00 GMT</t>
  </si>
  <si>
    <t>Fri, 06 Sep 2019 00:00:00 GMT</t>
  </si>
  <si>
    <t>Mon, 09 Sep 2019 00:00:00 GMT</t>
  </si>
  <si>
    <t>Tue, 10 Sep 2019 00:00:00 GMT</t>
  </si>
  <si>
    <t>Wed, 11 Sep 2019 00:00:00 GMT</t>
  </si>
  <si>
    <t>Thu, 12 Sep 2019 00:00:00 GMT</t>
  </si>
  <si>
    <t>Fri, 13 Sep 2019 00:00:00 GMT</t>
  </si>
  <si>
    <t>Mon, 16 Sep 2019 00:00:00 GMT</t>
  </si>
  <si>
    <t>Tue, 17 Sep 2019 00:00:00 GMT</t>
  </si>
  <si>
    <t>Wed, 18 Sep 2019 00:00:00 GMT</t>
  </si>
  <si>
    <t>Thu, 19 Sep 2019 00:00:00 GMT</t>
  </si>
  <si>
    <t>Fri, 20 Sep 2019 00:00:00 GMT</t>
  </si>
  <si>
    <t>Mon, 23 Sep 2019 00:00:00 GMT</t>
  </si>
  <si>
    <t>Tue, 24 Sep 2019 00:00:00 GMT</t>
  </si>
  <si>
    <t>Wed, 25 Sep 2019 00:00:00 GMT</t>
  </si>
  <si>
    <t>Thu, 26 Sep 2019 00:00:00 GMT</t>
  </si>
  <si>
    <t>Fri, 27 Sep 2019 00:00:00 GMT</t>
  </si>
  <si>
    <t>Mon, 30 Sep 2019 00:00:00 GMT</t>
  </si>
  <si>
    <t>Tue, 01 Oct 2019 00:00:00 GMT</t>
  </si>
  <si>
    <t>Wed, 02 Oct 2019 00:00:00 GMT</t>
  </si>
  <si>
    <t>Thu, 03 Oct 2019 00:00:00 GMT</t>
  </si>
  <si>
    <t>Fri, 04 Oct 2019 00:00:00 GMT</t>
  </si>
  <si>
    <t>Mon, 07 Oct 2019 00:00:00 GMT</t>
  </si>
  <si>
    <t>Tue, 08 Oct 2019 00:00:00 GMT</t>
  </si>
  <si>
    <t>Wed, 09 Oct 2019 00:00:00 GMT</t>
  </si>
  <si>
    <t>Thu, 10 Oct 2019 00:00:00 GMT</t>
  </si>
  <si>
    <t>Fri, 11 Oct 2019 00:00:00 GMT</t>
  </si>
  <si>
    <t>Mon, 14 Oct 2019 00:00:00 GMT</t>
  </si>
  <si>
    <t>Tue, 15 Oct 2019 00:00:00 GMT</t>
  </si>
  <si>
    <t>Wed, 16 Oct 2019 00:00:00 GMT</t>
  </si>
  <si>
    <t>Thu, 17 Oct 2019 00:00:00 GMT</t>
  </si>
  <si>
    <t>Fri, 18 Oct 2019 00:00:00 GMT</t>
  </si>
  <si>
    <t>Mon, 21 Oct 2019 00:00:00 GMT</t>
  </si>
  <si>
    <t>Tue, 22 Oct 2019 00:00:00 GMT</t>
  </si>
  <si>
    <t>Wed, 23 Oct 2019 00:00:00 GMT</t>
  </si>
  <si>
    <t>Thu, 24 Oct 2019 00:00:00 GMT</t>
  </si>
  <si>
    <t>Fri, 25 Oct 2019 00:00:00 GMT</t>
  </si>
  <si>
    <t>Mon, 28 Oct 2019 00:00:00 GMT</t>
  </si>
  <si>
    <t>Tue, 29 Oct 2019 00:00:00 GMT</t>
  </si>
  <si>
    <t>Wed, 30 Oct 2019 00:00:00 GMT</t>
  </si>
  <si>
    <t>Thu, 31 Oct 2019 00:00:00 GMT</t>
  </si>
  <si>
    <t>Fri, 01 Nov 2019 00:00:00 GMT</t>
  </si>
  <si>
    <t>Mon, 04 Nov 2019 00:00:00 GMT</t>
  </si>
  <si>
    <t>Tue, 05 Nov 2019 00:00:00 GMT</t>
  </si>
  <si>
    <t>Wed, 06 Nov 2019 00:00:00 GMT</t>
  </si>
  <si>
    <t>Thu, 07 Nov 2019 00:00:00 GMT</t>
  </si>
  <si>
    <t>Fri, 08 Nov 2019 00:00:00 GMT</t>
  </si>
  <si>
    <t>Mon, 11 Nov 2019 00:00:00 GMT</t>
  </si>
  <si>
    <t>Tue, 12 Nov 2019 00:00:00 GMT</t>
  </si>
  <si>
    <t>Wed, 13 Nov 2019 00:00:00 GMT</t>
  </si>
  <si>
    <t>Thu, 14 Nov 2019 00:00:00 GMT</t>
  </si>
  <si>
    <t>Fri, 15 Nov 2019 00:00:00 GMT</t>
  </si>
  <si>
    <t>Mon, 18 Nov 2019 00:00:00 GMT</t>
  </si>
  <si>
    <t>Tue, 19 Nov 2019 00:00:00 GMT</t>
  </si>
  <si>
    <t>Wed, 20 Nov 2019 00:00:00 GMT</t>
  </si>
  <si>
    <t>Thu, 21 Nov 2019 00:00:00 GMT</t>
  </si>
  <si>
    <t>Fri, 22 Nov 2019 00:00:00 GMT</t>
  </si>
  <si>
    <t>Mon, 25 Nov 2019 00:00:00 GMT</t>
  </si>
  <si>
    <t>Tue, 26 Nov 2019 00:00:00 GMT</t>
  </si>
  <si>
    <t>Wed, 27 Nov 2019 00:00:00 GMT</t>
  </si>
  <si>
    <t>Fri, 29 Nov 2019 00:00:00 GMT</t>
  </si>
  <si>
    <t>Mon, 02 Dec 2019 00:00:00 GMT</t>
  </si>
  <si>
    <t>Tue, 03 Dec 2019 00:00:00 GMT</t>
  </si>
  <si>
    <t>Wed, 04 Dec 2019 00:00:00 GMT</t>
  </si>
  <si>
    <t>Thu, 05 Dec 2019 00:00:00 GMT</t>
  </si>
  <si>
    <t>Fri, 06 Dec 2019 00:00:00 GMT</t>
  </si>
  <si>
    <t>Mon, 09 Dec 2019 00:00:00 GMT</t>
  </si>
  <si>
    <t>Tue, 10 Dec 2019 00:00:00 GMT</t>
  </si>
  <si>
    <t>Wed, 11 Dec 2019 00:00:00 GMT</t>
  </si>
  <si>
    <t>Thu, 12 Dec 2019 00:00:00 GMT</t>
  </si>
  <si>
    <t>Fri, 13 Dec 2019 00:00:00 GMT</t>
  </si>
  <si>
    <t>Mon, 16 Dec 2019 00:00:00 GMT</t>
  </si>
  <si>
    <t>Tue, 17 Dec 2019 00:00:00 GMT</t>
  </si>
  <si>
    <t>Wed, 18 Dec 2019 00:00:00 GMT</t>
  </si>
  <si>
    <t>Thu, 19 Dec 2019 00:00:00 GMT</t>
  </si>
  <si>
    <t>Fri, 20 Dec 2019 00:00:00 GMT</t>
  </si>
  <si>
    <t>Mon, 23 Dec 2019 00:00:00 GMT</t>
  </si>
  <si>
    <t>Tue, 24 Dec 2019 00:00:00 GMT</t>
  </si>
  <si>
    <t>Thu, 26 Dec 2019 00:00:00 GMT</t>
  </si>
  <si>
    <t>Fri, 27 Dec 2019 00:00:00 GMT</t>
  </si>
  <si>
    <t>Mon, 30 Dec 2019 00:00:00 GMT</t>
  </si>
  <si>
    <t>Tue, 31 Dec 2019 00:00:00 GMT</t>
  </si>
  <si>
    <t>Thu, 02 Jan 2020 00:00:00 GMT</t>
  </si>
  <si>
    <t>Fri, 03 Jan 2020 00:00:00 GMT</t>
  </si>
  <si>
    <t>Mon, 06 Jan 2020 00:00:00 GMT</t>
  </si>
  <si>
    <t>Tue, 07 Jan 2020 00:00:00 GMT</t>
  </si>
  <si>
    <t>Wed, 08 Jan 2020 00:00:00 GMT</t>
  </si>
  <si>
    <t>Thu, 09 Jan 2020 00:00:00 GMT</t>
  </si>
  <si>
    <t>Fri, 10 Jan 2020 00:00:00 GMT</t>
  </si>
  <si>
    <t>Mon, 13 Jan 2020 00:00:00 GMT</t>
  </si>
  <si>
    <t>Tue, 14 Jan 2020 00:00:00 GMT</t>
  </si>
  <si>
    <t>Wed, 15 Jan 2020 00:00:00 GMT</t>
  </si>
  <si>
    <t>Thu, 16 Jan 2020 00:00:00 GMT</t>
  </si>
  <si>
    <t>Fri, 17 Jan 2020 00:00:00 GMT</t>
  </si>
  <si>
    <t>Tue, 21 Jan 2020 00:00:00 GMT</t>
  </si>
  <si>
    <t>Wed, 22 Jan 2020 00:00:00 GMT</t>
  </si>
  <si>
    <t>Thu, 23 Jan 2020 00:00:00 GMT</t>
  </si>
  <si>
    <t>Fri, 24 Jan 2020 00:00:00 GMT</t>
  </si>
  <si>
    <t>Mon, 27 Jan 2020 00:00:00 GMT</t>
  </si>
  <si>
    <t>Tue, 28 Jan 2020 00:00:00 GMT</t>
  </si>
  <si>
    <t>Wed, 29 Jan 2020 00:00:00 GMT</t>
  </si>
  <si>
    <t>Thu, 30 Jan 2020 00:00:00 GMT</t>
  </si>
  <si>
    <t>Fri, 31 Jan 2020 00:00:00 GMT</t>
  </si>
  <si>
    <t>Mon, 03 Feb 2020 00:00:00 GMT</t>
  </si>
  <si>
    <t>Tue, 04 Feb 2020 00:00:00 GMT</t>
  </si>
  <si>
    <t>Wed, 05 Feb 2020 00:00:00 GMT</t>
  </si>
  <si>
    <t>Thu, 06 Feb 2020 00:00:00 GMT</t>
  </si>
  <si>
    <t>Fri, 07 Feb 2020 00:00:00 GMT</t>
  </si>
  <si>
    <t>Mon, 10 Feb 2020 00:00:00 GMT</t>
  </si>
  <si>
    <t>Tue, 11 Feb 2020 00:00:00 GMT</t>
  </si>
  <si>
    <t>Wed, 12 Feb 2020 00:00:00 GMT</t>
  </si>
  <si>
    <t>Thu, 13 Feb 2020 00:00:00 GMT</t>
  </si>
  <si>
    <t>Fri, 14 Feb 2020 00:00:00 GMT</t>
  </si>
  <si>
    <t>Tue, 18 Feb 2020 00:00:00 GMT</t>
  </si>
  <si>
    <t>Wed, 19 Feb 2020 00:00:00 GMT</t>
  </si>
  <si>
    <t>Thu, 20 Feb 2020 00:00:00 GMT</t>
  </si>
  <si>
    <t>Fri, 21 Feb 2020 00:00:00 GMT</t>
  </si>
  <si>
    <t>Mon, 24 Feb 2020 00:00:00 GMT</t>
  </si>
  <si>
    <t>Tue, 25 Feb 2020 00:00:00 GMT</t>
  </si>
  <si>
    <t>Wed, 26 Feb 2020 00:00:00 GMT</t>
  </si>
  <si>
    <t>Thu, 27 Feb 2020 00:00:00 GMT</t>
  </si>
  <si>
    <t>Fri, 28 Feb 2020 00:00:00 GMT</t>
  </si>
  <si>
    <t>Mon, 02 Mar 2020 00:00:00 GMT</t>
  </si>
  <si>
    <t>Tue, 03 Mar 2020 00:00:00 GMT</t>
  </si>
  <si>
    <t>Wed, 04 Mar 2020 00:00:00 GMT</t>
  </si>
  <si>
    <t>Thu, 05 Mar 2020 00:00:00 GMT</t>
  </si>
  <si>
    <t>Fri, 06 Mar 2020 00:00:00 GMT</t>
  </si>
  <si>
    <t>Mon, 09 Mar 2020 00:00:00 GMT</t>
  </si>
  <si>
    <t>Tue, 10 Mar 2020 00:00:00 GMT</t>
  </si>
  <si>
    <t>Wed, 11 Mar 2020 00:00:00 GMT</t>
  </si>
  <si>
    <t>Thu, 12 Mar 2020 00:00:00 GMT</t>
  </si>
  <si>
    <t>Fri, 13 Mar 2020 00:00:00 GMT</t>
  </si>
  <si>
    <t>Mon, 16 Mar 2020 00:00:00 GMT</t>
  </si>
  <si>
    <t>Tue, 17 Mar 2020 00:00:00 GMT</t>
  </si>
  <si>
    <t>Wed, 18 Mar 2020 00:00:00 GMT</t>
  </si>
  <si>
    <t>Thu, 19 Mar 2020 00:00:00 GMT</t>
  </si>
  <si>
    <t>Fri, 20 Mar 2020 00:00:00 GMT</t>
  </si>
  <si>
    <t>Mon, 23 Mar 2020 00:00:00 GMT</t>
  </si>
  <si>
    <t>Tue, 24 Mar 2020 00:00:00 GMT</t>
  </si>
  <si>
    <t>Wed, 25 Mar 2020 00:00:00 GMT</t>
  </si>
  <si>
    <t>Thu, 26 Mar 2020 00:00:00 GMT</t>
  </si>
  <si>
    <t>Fri, 27 Mar 2020 00:00:00 GMT</t>
  </si>
  <si>
    <t>Mon, 30 Mar 2020 00:00:00 GMT</t>
  </si>
  <si>
    <t>Tue, 31 Mar 2020 00:00:00 GMT</t>
  </si>
  <si>
    <t>Wed, 01 Apr 2020 00:00:00 GMT</t>
  </si>
  <si>
    <t>Thu, 02 Apr 2020 00:00:00 GMT</t>
  </si>
  <si>
    <t>Fri, 03 Apr 2020 00:00:00 GMT</t>
  </si>
  <si>
    <t>Mon, 06 Apr 2020 00:00:00 GMT</t>
  </si>
  <si>
    <t>Tue, 07 Apr 2020 00:00:00 GMT</t>
  </si>
  <si>
    <t>Wed, 08 Apr 2020 00:00:00 GMT</t>
  </si>
  <si>
    <t>Thu, 09 Apr 2020 00:00:00 GMT</t>
  </si>
  <si>
    <t>Mon, 13 Apr 2020 00:00:00 GMT</t>
  </si>
  <si>
    <t>Tue, 14 Apr 2020 00:00:00 GMT</t>
  </si>
  <si>
    <t>Wed, 15 Apr 2020 00:00:00 GMT</t>
  </si>
  <si>
    <t>Thu, 16 Apr 2020 00:00:00 GMT</t>
  </si>
  <si>
    <t>Fri, 17 Apr 2020 00:00:00 GMT</t>
  </si>
  <si>
    <t>Mon, 20 Apr 2020 00:00:00 GMT</t>
  </si>
  <si>
    <t>Tue, 21 Apr 2020 00:00:00 GMT</t>
  </si>
  <si>
    <t>Wed, 22 Apr 2020 00:00:00 GMT</t>
  </si>
  <si>
    <t>Thu, 23 Apr 2020 00:00:00 GMT</t>
  </si>
  <si>
    <t>Fri, 24 Apr 2020 00:00:00 GMT</t>
  </si>
  <si>
    <t>Mon, 27 Apr 2020 00:00:00 GMT</t>
  </si>
  <si>
    <t>Tue, 28 Apr 2020 00:00:00 GMT</t>
  </si>
  <si>
    <t>Wed, 29 Apr 2020 00:00:00 GMT</t>
  </si>
  <si>
    <t>Thu, 30 Apr 2020 00:00:00 GMT</t>
  </si>
  <si>
    <t>Fri, 01 May 2020 00:00:00 GMT</t>
  </si>
  <si>
    <t>Mon, 04 May 2020 00:00:00 GMT</t>
  </si>
  <si>
    <t>Tue, 05 May 2020 00:00:00 GMT</t>
  </si>
  <si>
    <t>Wed, 06 May 2020 00:00:00 GMT</t>
  </si>
  <si>
    <t>Thu, 07 May 2020 00:00:00 GMT</t>
  </si>
  <si>
    <t>Fri, 08 May 2020 00:00:00 GMT</t>
  </si>
  <si>
    <t>Mon, 11 May 2020 00:00:00 GMT</t>
  </si>
  <si>
    <t>Tue, 12 May 2020 00:00:00 GMT</t>
  </si>
  <si>
    <t>Wed, 13 May 2020 00:00:00 GMT</t>
  </si>
  <si>
    <t>Thu, 14 May 2020 00:00:00 GMT</t>
  </si>
  <si>
    <t>Fri, 15 May 2020 00:00:00 GMT</t>
  </si>
  <si>
    <t>Mon, 18 May 2020 00:00:00 GMT</t>
  </si>
  <si>
    <t>Tue, 19 May 2020 00:00:00 GMT</t>
  </si>
  <si>
    <t>Wed, 20 May 2020 00:00:00 GMT</t>
  </si>
  <si>
    <t>Thu, 21 May 2020 00:00:00 GMT</t>
  </si>
  <si>
    <t>Fri, 22 May 2020 00:00:00 GMT</t>
  </si>
  <si>
    <t>Tue, 26 May 2020 00:00:00 GMT</t>
  </si>
  <si>
    <t>Wed, 27 May 2020 00:00:00 GMT</t>
  </si>
  <si>
    <t>Thu, 28 May 2020 00:00:00 GMT</t>
  </si>
  <si>
    <t>Fri, 29 May 2020 00:00:00 GMT</t>
  </si>
  <si>
    <t>Mon, 01 Jun 2020 00:00:00 GMT</t>
  </si>
  <si>
    <t>Tue, 02 Jun 2020 00:00:00 GMT</t>
  </si>
  <si>
    <t>Wed, 03 Jun 2020 00:00:00 GMT</t>
  </si>
  <si>
    <t>Thu, 04 Jun 2020 00:00:00 GMT</t>
  </si>
  <si>
    <t>Fri, 05 Jun 2020 00:00:00 GMT</t>
  </si>
  <si>
    <t>Mon, 08 Jun 2020 00:00:00 GMT</t>
  </si>
  <si>
    <t>Tue, 09 Jun 2020 00:00:00 GMT</t>
  </si>
  <si>
    <t>Wed, 10 Jun 2020 00:00:00 GMT</t>
  </si>
  <si>
    <t>Thu, 11 Jun 2020 00:00:00 GMT</t>
  </si>
  <si>
    <t>Fri, 12 Jun 2020 00:00:00 GMT</t>
  </si>
  <si>
    <t>Mon, 15 Jun 2020 00:00:00 GMT</t>
  </si>
  <si>
    <t>Tue, 16 Jun 2020 00:00:00 GMT</t>
  </si>
  <si>
    <t>Wed, 17 Jun 2020 00:00:00 GMT</t>
  </si>
  <si>
    <t>Thu, 18 Jun 2020 00:00:00 GMT</t>
  </si>
  <si>
    <t>Fri, 19 Jun 2020 00:00:00 GMT</t>
  </si>
  <si>
    <t>Mon, 22 Jun 2020 00:00:00 GMT</t>
  </si>
  <si>
    <t>Tue, 23 Jun 2020 00:00:00 GMT</t>
  </si>
  <si>
    <t>Wed, 24 Jun 2020 00:00:00 GMT</t>
  </si>
  <si>
    <t>Thu, 25 Jun 2020 00:00:00 GMT</t>
  </si>
  <si>
    <t>Fri, 26 Jun 2020 00:00:00 GMT</t>
  </si>
  <si>
    <t>Mon, 29 Jun 2020 00:00:00 GMT</t>
  </si>
  <si>
    <t>Tue, 30 Jun 2020 00:00:00 GMT</t>
  </si>
  <si>
    <t>Wed, 01 Jul 2020 00:00:00 GMT</t>
  </si>
  <si>
    <t>Thu, 02 Jul 2020 00:00:00 GMT</t>
  </si>
  <si>
    <t>Mon, 06 Jul 2020 00:00:00 GMT</t>
  </si>
  <si>
    <t>Tue, 07 Jul 2020 00:00:00 GMT</t>
  </si>
  <si>
    <t>Wed, 08 Jul 2020 00:00:00 GMT</t>
  </si>
  <si>
    <t>Thu, 09 Jul 2020 00:00:00 GMT</t>
  </si>
  <si>
    <t>Fri, 10 Jul 2020 00:00:00 GMT</t>
  </si>
  <si>
    <t>Mon, 13 Jul 2020 00:00:00 GMT</t>
  </si>
  <si>
    <t>Tue, 14 Jul 2020 00:00:00 GMT</t>
  </si>
  <si>
    <t>Wed, 15 Jul 2020 00:00:00 GMT</t>
  </si>
  <si>
    <t>Thu, 16 Jul 2020 00:00:00 GMT</t>
  </si>
  <si>
    <t>Fri, 17 Jul 2020 00:00:00 GMT</t>
  </si>
  <si>
    <t>Mon, 20 Jul 2020 00:00:00 GMT</t>
  </si>
  <si>
    <t>Tue, 21 Jul 2020 00:00:00 GMT</t>
  </si>
  <si>
    <t>Wed, 22 Jul 2020 00:00:00 GMT</t>
  </si>
  <si>
    <t>Thu, 23 Jul 2020 00:00:00 GMT</t>
  </si>
  <si>
    <t>Fri, 24 Jul 2020 00:00:00 GMT</t>
  </si>
  <si>
    <t>Mon, 27 Jul 2020 00:00:00 GMT</t>
  </si>
  <si>
    <t>Tue, 28 Jul 2020 00:00:00 GMT</t>
  </si>
  <si>
    <t>Wed, 29 Jul 2020 00:00:00 GMT</t>
  </si>
  <si>
    <t>Thu, 30 Jul 2020 00:00:00 GMT</t>
  </si>
  <si>
    <t>Fri, 31 Jul 2020 00:00:00 GMT</t>
  </si>
  <si>
    <t>Mon, 03 Aug 2020 00:00:00 GMT</t>
  </si>
  <si>
    <t>Tue, 04 Aug 2020 00:00:00 GMT</t>
  </si>
  <si>
    <t>Wed, 05 Aug 2020 00:00:00 GMT</t>
  </si>
  <si>
    <t>Thu, 06 Aug 2020 00:00:00 GMT</t>
  </si>
  <si>
    <t>Fri, 07 Aug 2020 00:00:00 GMT</t>
  </si>
  <si>
    <t>Mon, 10 Aug 2020 00:00:00 GMT</t>
  </si>
  <si>
    <t>Tue, 11 Aug 2020 00:00:00 GMT</t>
  </si>
  <si>
    <t>Wed, 12 Aug 2020 00:00:00 GMT</t>
  </si>
  <si>
    <t>Thu, 13 Aug 2020 00:00:00 GMT</t>
  </si>
  <si>
    <t>Fri, 14 Aug 2020 00:00:00 GMT</t>
  </si>
  <si>
    <t>Mon, 17 Aug 2020 00:00:00 GMT</t>
  </si>
  <si>
    <t>Tue, 18 Aug 2020 00:00:00 GMT</t>
  </si>
  <si>
    <t>Wed, 19 Aug 2020 00:00:00 GMT</t>
  </si>
  <si>
    <t>Thu, 20 Aug 2020 00:00:00 GMT</t>
  </si>
  <si>
    <t>Fri, 21 Aug 2020 00:00:00 GMT</t>
  </si>
  <si>
    <t>Mon, 24 Aug 2020 00:00:00 GMT</t>
  </si>
  <si>
    <t>Tue, 25 Aug 2020 00:00:00 GMT</t>
  </si>
  <si>
    <t>Wed, 26 Aug 2020 00:00:00 GMT</t>
  </si>
  <si>
    <t>Thu, 27 Aug 2020 00:00:00 GMT</t>
  </si>
  <si>
    <t>Fri, 28 Aug 2020 00:00:00 GMT</t>
  </si>
  <si>
    <t>Mon, 31 Aug 2020 00:00:00 GMT</t>
  </si>
  <si>
    <t>Tue, 01 Sep 2020 00:00:00 GMT</t>
  </si>
  <si>
    <t>Wed, 02 Sep 2020 00:00:00 GMT</t>
  </si>
  <si>
    <t>Thu, 03 Sep 2020 00:00:00 GMT</t>
  </si>
  <si>
    <t>Fri, 04 Sep 2020 00:00:00 GMT</t>
  </si>
  <si>
    <t>Tue, 08 Sep 2020 00:00:00 GMT</t>
  </si>
  <si>
    <t>Wed, 09 Sep 2020 00:00:00 GMT</t>
  </si>
  <si>
    <t>Thu, 10 Sep 2020 00:00:00 GMT</t>
  </si>
  <si>
    <t>Fri, 11 Sep 2020 00:00:00 GMT</t>
  </si>
  <si>
    <t>Mon, 14 Sep 2020 00:00:00 GMT</t>
  </si>
  <si>
    <t>Tue, 15 Sep 2020 00:00:00 GMT</t>
  </si>
  <si>
    <t>Wed, 16 Sep 2020 00:00:00 GMT</t>
  </si>
  <si>
    <t>Thu, 17 Sep 2020 00:00:00 GMT</t>
  </si>
  <si>
    <t>Fri, 18 Sep 2020 00:00:00 GMT</t>
  </si>
  <si>
    <t>Mon, 21 Sep 2020 00:00:00 GMT</t>
  </si>
  <si>
    <t>Tue, 22 Sep 2020 00:00:00 GMT</t>
  </si>
  <si>
    <t>Wed, 23 Sep 2020 00:00:00 GMT</t>
  </si>
  <si>
    <t>Thu, 24 Sep 2020 00:00:00 GMT</t>
  </si>
  <si>
    <t>Fri, 25 Sep 2020 00:00:00 GMT</t>
  </si>
  <si>
    <t>Mon, 28 Sep 2020 00:00:00 GMT</t>
  </si>
  <si>
    <t>Tue, 29 Sep 2020 00:00:00 GMT</t>
  </si>
  <si>
    <t>Wed, 30 Sep 2020 00:00:00 GMT</t>
  </si>
  <si>
    <t>Thu, 01 Oct 2020 00:00:00 GMT</t>
  </si>
  <si>
    <t>Fri, 02 Oct 2020 00:00:00 GMT</t>
  </si>
  <si>
    <t>Mon, 05 Oct 2020 00:00:00 GMT</t>
  </si>
  <si>
    <t>Tue, 06 Oct 2020 00:00:00 GMT</t>
  </si>
  <si>
    <t>Wed, 07 Oct 2020 00:00:00 GMT</t>
  </si>
  <si>
    <t>Thu, 08 Oct 2020 00:00:00 GMT</t>
  </si>
  <si>
    <t>Fri, 09 Oct 2020 00:00:00 GMT</t>
  </si>
  <si>
    <t>Mon, 12 Oct 2020 00:00:00 GMT</t>
  </si>
  <si>
    <t>Tue, 13 Oct 2020 00:00:00 GMT</t>
  </si>
  <si>
    <t>Wed, 14 Oct 2020 00:00:00 GMT</t>
  </si>
  <si>
    <t>Thu, 15 Oct 2020 00:00:00 GMT</t>
  </si>
  <si>
    <t>Fri, 16 Oct 2020 00:00:00 GMT</t>
  </si>
  <si>
    <t>Mon, 19 Oct 2020 00:00:00 GMT</t>
  </si>
  <si>
    <t>Tue, 20 Oct 2020 00:00:00 GMT</t>
  </si>
  <si>
    <t>Wed, 21 Oct 2020 00:00:00 GMT</t>
  </si>
  <si>
    <t>Thu, 22 Oct 2020 00:00:00 GMT</t>
  </si>
  <si>
    <t>Fri, 23 Oct 2020 00:00:00 GMT</t>
  </si>
  <si>
    <t>Mon, 26 Oct 2020 00:00:00 GMT</t>
  </si>
  <si>
    <t>Tue, 27 Oct 2020 00:00:00 GMT</t>
  </si>
  <si>
    <t>Wed, 28 Oct 2020 00:00:00 GMT</t>
  </si>
  <si>
    <t>Thu, 29 Oct 2020 00:00:00 GMT</t>
  </si>
  <si>
    <t>Fri, 30 Oct 2020 00:00:00 GMT</t>
  </si>
  <si>
    <t>Mon, 02 Nov 2020 00:00:00 GMT</t>
  </si>
  <si>
    <t>Tue, 03 Nov 2020 00:00:00 GMT</t>
  </si>
  <si>
    <t>Wed, 04 Nov 2020 00:00:00 GMT</t>
  </si>
  <si>
    <t>Thu, 05 Nov 2020 00:00:00 GMT</t>
  </si>
  <si>
    <t>Fri, 06 Nov 2020 00:00:00 GMT</t>
  </si>
  <si>
    <t>Mon, 09 Nov 2020 00:00:00 GMT</t>
  </si>
  <si>
    <t>Tue, 10 Nov 2020 00:00:00 GMT</t>
  </si>
  <si>
    <t>Wed, 11 Nov 2020 00:00:00 GMT</t>
  </si>
  <si>
    <t>Thu, 12 Nov 2020 00:00:00 GMT</t>
  </si>
  <si>
    <t>Fri, 13 Nov 2020 00:00:00 GMT</t>
  </si>
  <si>
    <t>Mon, 16 Nov 2020 00:00:00 GMT</t>
  </si>
  <si>
    <t>Tue, 17 Nov 2020 00:00:00 GMT</t>
  </si>
  <si>
    <t>Wed, 18 Nov 2020 00:00:00 GMT</t>
  </si>
  <si>
    <t>Thu, 19 Nov 2020 00:00:00 GMT</t>
  </si>
  <si>
    <t>Fri, 20 Nov 2020 00:00:00 GMT</t>
  </si>
  <si>
    <t>Mon, 23 Nov 2020 00:00:00 GMT</t>
  </si>
  <si>
    <t>Tue, 24 Nov 2020 00:00:00 GMT</t>
  </si>
  <si>
    <t>Wed, 25 Nov 2020 00:00:00 GMT</t>
  </si>
  <si>
    <t>Fri, 27 Nov 2020 00:00:00 GMT</t>
  </si>
  <si>
    <t>Mon, 30 Nov 2020 00:00:00 GMT</t>
  </si>
  <si>
    <t>Tue, 01 Dec 2020 00:00:00 GMT</t>
  </si>
  <si>
    <t>Wed, 02 Dec 2020 00:00:00 GMT</t>
  </si>
  <si>
    <t>Thu, 03 Dec 2020 00:00:00 GMT</t>
  </si>
  <si>
    <t>Fri, 04 Dec 2020 00:00:00 GMT</t>
  </si>
  <si>
    <t>Mon, 07 Dec 2020 00:00:00 GMT</t>
  </si>
  <si>
    <t>Tue, 08 Dec 2020 00:00:00 GMT</t>
  </si>
  <si>
    <t>Wed, 09 Dec 2020 00:00:00 GMT</t>
  </si>
  <si>
    <t>Thu, 10 Dec 2020 00:00:00 GMT</t>
  </si>
  <si>
    <t>Fri, 11 Dec 2020 00:00:00 GMT</t>
  </si>
  <si>
    <t>Mon, 14 Dec 2020 00:00:00 GMT</t>
  </si>
  <si>
    <t>Tue, 15 Dec 2020 00:00:00 GMT</t>
  </si>
  <si>
    <t>Wed, 16 Dec 2020 00:00:00 GMT</t>
  </si>
  <si>
    <t>Thu, 17 Dec 2020 00:00:00 GMT</t>
  </si>
  <si>
    <t>Fri, 18 Dec 2020 00:00:00 GMT</t>
  </si>
  <si>
    <t>Mon, 21 Dec 2020 00:00:00 GMT</t>
  </si>
  <si>
    <t>Tue, 22 Dec 2020 00:00:00 GMT</t>
  </si>
  <si>
    <t>Wed, 23 Dec 2020 00:00:00 GMT</t>
  </si>
  <si>
    <t>Thu, 24 Dec 2020 00:00:00 GMT</t>
  </si>
  <si>
    <t>Mon, 28 Dec 2020 00:00:00 GMT</t>
  </si>
  <si>
    <t>Tue, 29 Dec 2020 00:00:00 GMT</t>
  </si>
  <si>
    <t>Wed, 30 Dec 2020 00:00:00 GMT</t>
  </si>
  <si>
    <t>Thu, 31 Dec 2020 00:00:00 GMT</t>
  </si>
  <si>
    <t>Mon, 04 Jan 2021 00:00:00 GMT</t>
  </si>
  <si>
    <t>Tue, 05 Jan 2021 00:00:00 GMT</t>
  </si>
  <si>
    <t>Wed, 06 Jan 2021 00:00:00 GMT</t>
  </si>
  <si>
    <t>Thu, 07 Jan 2021 00:00:00 GMT</t>
  </si>
  <si>
    <t>Fri, 08 Jan 2021 00:00:00 GMT</t>
  </si>
  <si>
    <t>Mon, 11 Jan 2021 00:00:00 GMT</t>
  </si>
  <si>
    <t>Tue, 12 Jan 2021 00:00:00 GMT</t>
  </si>
  <si>
    <t>Wed, 13 Jan 2021 00:00:00 GMT</t>
  </si>
  <si>
    <t>Thu, 14 Jan 2021 00:00:00 GMT</t>
  </si>
  <si>
    <t>Fri, 15 Jan 2021 00:00:00 GMT</t>
  </si>
  <si>
    <t>Tue, 19 Jan 2021 00:00:00 GMT</t>
  </si>
  <si>
    <t>Wed, 20 Jan 2021 00:00:00 GMT</t>
  </si>
  <si>
    <t>Thu, 21 Jan 2021 00:00:00 GMT</t>
  </si>
  <si>
    <t>Fri, 22 Jan 2021 00:00:00 GMT</t>
  </si>
  <si>
    <t>Mon, 25 Jan 2021 00:00:00 GMT</t>
  </si>
  <si>
    <t>Tue, 26 Jan 2021 00:00:00 GMT</t>
  </si>
  <si>
    <t>Wed, 27 Jan 2021 00:00:00 GMT</t>
  </si>
  <si>
    <t>Thu, 28 Jan 2021 00:00:00 GMT</t>
  </si>
  <si>
    <t>Fri, 29 Jan 2021 00:00:00 GMT</t>
  </si>
  <si>
    <t>Mon, 01 Feb 2021 00:00:00 GMT</t>
  </si>
  <si>
    <t>Tue, 02 Feb 2021 00:00:00 GMT</t>
  </si>
  <si>
    <t>Wed, 03 Feb 2021 00:00:00 GMT</t>
  </si>
  <si>
    <t>Thu, 04 Feb 2021 00:00:00 GMT</t>
  </si>
  <si>
    <t>Fri, 05 Feb 2021 00:00:00 GMT</t>
  </si>
  <si>
    <t>Mon, 08 Feb 2021 00:00:00 GMT</t>
  </si>
  <si>
    <t>Tue, 09 Feb 2021 00:00:00 GMT</t>
  </si>
  <si>
    <t>Wed, 10 Feb 2021 00:00:00 GMT</t>
  </si>
  <si>
    <t>Thu, 11 Feb 2021 00:00:00 GMT</t>
  </si>
  <si>
    <t>Fri, 12 Feb 2021 00:00:00 GMT</t>
  </si>
  <si>
    <t>Tue, 16 Feb 2021 00:00:00 GMT</t>
  </si>
  <si>
    <t>Wed, 17 Feb 2021 00:00:00 GMT</t>
  </si>
  <si>
    <t>Thu, 18 Feb 2021 00:00:00 GMT</t>
  </si>
  <si>
    <t>Fri, 19 Feb 2021 00:00:00 GMT</t>
  </si>
  <si>
    <t>Mon, 22 Feb 2021 00:00:00 GMT</t>
  </si>
  <si>
    <t>Tue, 23 Feb 2021 00:00:00 GMT</t>
  </si>
  <si>
    <t>Wed, 24 Feb 2021 00:00:00 GMT</t>
  </si>
  <si>
    <t>Thu, 25 Feb 2021 00:00:00 GMT</t>
  </si>
  <si>
    <t>Fri, 26 Feb 2021 00:00:00 GMT</t>
  </si>
  <si>
    <t>Mon, 01 Mar 2021 00:00:00 GMT</t>
  </si>
  <si>
    <t>Tue, 02 Mar 2021 00:00:00 GMT</t>
  </si>
  <si>
    <t>Wed, 03 Mar 2021 00:00:00 GMT</t>
  </si>
  <si>
    <t>Thu, 04 Mar 2021 00:00:00 GMT</t>
  </si>
  <si>
    <t>Fri, 05 Mar 2021 00:00:00 GMT</t>
  </si>
  <si>
    <t>Mon, 08 Mar 2021 00:00:00 GMT</t>
  </si>
  <si>
    <t>Tue, 09 Mar 2021 00:00:00 GMT</t>
  </si>
  <si>
    <t>Wed, 10 Mar 2021 00:00:00 GMT</t>
  </si>
  <si>
    <t>Thu, 11 Mar 2021 00:00:00 GMT</t>
  </si>
  <si>
    <t>Fri, 12 Mar 2021 00:00:00 GMT</t>
  </si>
  <si>
    <t>Mon, 15 Mar 2021 00:00:00 GMT</t>
  </si>
  <si>
    <t>Tue, 16 Mar 2021 00:00:00 GMT</t>
  </si>
  <si>
    <t>Wed, 17 Mar 2021 00:00:00 GMT</t>
  </si>
  <si>
    <t>Thu, 18 Mar 2021 00:00:00 GMT</t>
  </si>
  <si>
    <t>Fri, 19 Mar 2021 00:00:00 GMT</t>
  </si>
  <si>
    <t>Mon, 22 Mar 2021 00:00:00 GMT</t>
  </si>
  <si>
    <t>Tue, 23 Mar 2021 00:00:00 GMT</t>
  </si>
  <si>
    <t>Wed, 24 Mar 2021 00:00:00 GMT</t>
  </si>
  <si>
    <t>Thu, 25 Mar 2021 00:00:00 GMT</t>
  </si>
  <si>
    <t>Fri, 26 Mar 2021 00:00:00 GMT</t>
  </si>
  <si>
    <t>Mon, 29 Mar 2021 00:00:00 GMT</t>
  </si>
  <si>
    <t>Tue, 30 Mar 2021 00:00:00 GMT</t>
  </si>
  <si>
    <t>Wed, 31 Mar 2021 00:00:00 GMT</t>
  </si>
  <si>
    <t>Thu, 01 Apr 2021 00:00:00 GMT</t>
  </si>
  <si>
    <t>Mon, 05 Apr 2021 00:00:00 GMT</t>
  </si>
  <si>
    <t>Tue, 06 Apr 2021 00:00:00 GMT</t>
  </si>
  <si>
    <t>Wed, 07 Apr 2021 00:00:00 GMT</t>
  </si>
  <si>
    <t>Thu, 08 Apr 2021 00:00:00 GMT</t>
  </si>
  <si>
    <t>Fri, 09 Apr 2021 00:00:00 GMT</t>
  </si>
  <si>
    <t>Mon, 12 Apr 2021 00:00:00 GMT</t>
  </si>
  <si>
    <t>Tue, 13 Apr 2021 00:00:00 GMT</t>
  </si>
  <si>
    <t>Wed, 14 Apr 2021 00:00:00 GMT</t>
  </si>
  <si>
    <t>Thu, 15 Apr 2021 00:00:00 GMT</t>
  </si>
  <si>
    <t>Fri, 16 Apr 2021 00:00:00 GMT</t>
  </si>
  <si>
    <t>Mon, 19 Apr 2021 00:00:00 GMT</t>
  </si>
  <si>
    <t>Tue, 20 Apr 2021 00:00:00 GMT</t>
  </si>
  <si>
    <t>Wed, 21 Apr 2021 00:00:00 GMT</t>
  </si>
  <si>
    <t>Thu, 22 Apr 2021 00:00:00 GMT</t>
  </si>
  <si>
    <t>Fri, 23 Apr 2021 00:00:00 GMT</t>
  </si>
  <si>
    <t>Mon, 26 Apr 2021 00:00:00 GMT</t>
  </si>
  <si>
    <t>Tue, 27 Apr 2021 00:00:00 GMT</t>
  </si>
  <si>
    <t>Wed, 28 Apr 2021 00:00:00 GMT</t>
  </si>
  <si>
    <t>Thu, 29 Apr 2021 00:00:00 GMT</t>
  </si>
  <si>
    <t>Fri, 30 Apr 2021 00:00:00 GMT</t>
  </si>
  <si>
    <t>Mon, 03 May 2021 00:00:00 GMT</t>
  </si>
  <si>
    <t>Tue, 04 May 2021 00:00:00 GMT</t>
  </si>
  <si>
    <t>Wed, 05 May 2021 00:00:00 GMT</t>
  </si>
  <si>
    <t>Thu, 06 May 2021 00:00:00 GMT</t>
  </si>
  <si>
    <t>Fri, 07 May 2021 00:00:00 GMT</t>
  </si>
  <si>
    <t>Mon, 10 May 2021 00:00:00 GMT</t>
  </si>
  <si>
    <t>Tue, 11 May 2021 00:00:00 GMT</t>
  </si>
  <si>
    <t>Wed, 12 May 2021 00:00:00 GMT</t>
  </si>
  <si>
    <t>Thu, 13 May 2021 00:00:00 GMT</t>
  </si>
  <si>
    <t>Fri, 14 May 2021 00:00:00 GMT</t>
  </si>
  <si>
    <t>Mon, 17 May 2021 00:00:00 GMT</t>
  </si>
  <si>
    <t>Tue, 18 May 2021 00:00:00 GMT</t>
  </si>
  <si>
    <t>Wed, 19 May 2021 00:00:00 GMT</t>
  </si>
  <si>
    <t>Thu, 20 May 2021 00:00:00 GMT</t>
  </si>
  <si>
    <t>Fri, 21 May 2021 00:00:00 GMT</t>
  </si>
  <si>
    <t>Mon, 24 May 2021 00:00:00 GMT</t>
  </si>
  <si>
    <t>Tue, 25 May 2021 00:00:00 GMT</t>
  </si>
  <si>
    <t>Wed, 26 May 2021 00:00:00 GMT</t>
  </si>
  <si>
    <t>Thu, 27 May 2021 00:00:00 GMT</t>
  </si>
  <si>
    <t>Fri, 28 May 2021 00:00:00 GMT</t>
  </si>
  <si>
    <t>Tue, 01 Jun 2021 00:00:00 GMT</t>
  </si>
  <si>
    <t>Wed, 02 Jun 2021 00:00:00 GMT</t>
  </si>
  <si>
    <t>Thu, 03 Jun 2021 00:00:00 GMT</t>
  </si>
  <si>
    <t>Fri, 04 Jun 2021 00:00:00 GMT</t>
  </si>
  <si>
    <t>Mon, 07 Jun 2021 00:00:00 GMT</t>
  </si>
  <si>
    <t>Tue, 08 Jun 2021 00:00:00 GMT</t>
  </si>
  <si>
    <t>Wed, 09 Jun 2021 00:00:00 GMT</t>
  </si>
  <si>
    <t>Thu, 10 Jun 2021 00:00:00 GMT</t>
  </si>
  <si>
    <t>Fri, 11 Jun 2021 00:00:00 GMT</t>
  </si>
  <si>
    <t>Mon, 14 Jun 2021 00:00:00 GMT</t>
  </si>
  <si>
    <t>Tue, 15 Jun 2021 00:00:00 GMT</t>
  </si>
  <si>
    <t>Wed, 16 Jun 2021 00:00:00 GMT</t>
  </si>
  <si>
    <t>Thu, 17 Jun 2021 00:00:00 GMT</t>
  </si>
  <si>
    <t>Fri, 18 Jun 2021 00:00:00 GMT</t>
  </si>
  <si>
    <t>Mon, 21 Jun 2021 00:00:00 GMT</t>
  </si>
  <si>
    <t>Tue, 22 Jun 2021 00:00:00 GMT</t>
  </si>
  <si>
    <t>Wed, 23 Jun 2021 00:00:00 GMT</t>
  </si>
  <si>
    <t>Thu, 24 Jun 2021 00:00:00 GMT</t>
  </si>
  <si>
    <t>Fri, 25 Jun 2021 00:00:00 GMT</t>
  </si>
  <si>
    <t>Mon, 28 Jun 2021 00:00:00 GMT</t>
  </si>
  <si>
    <t>Tue, 29 Jun 2021 00:00:00 GMT</t>
  </si>
  <si>
    <t>Wed, 30 Jun 2021 00:00:00 GMT</t>
  </si>
  <si>
    <t>Thu, 01 Jul 2021 00:00:00 GMT</t>
  </si>
  <si>
    <t>Fri, 02 Jul 2021 00:00:00 GMT</t>
  </si>
  <si>
    <t>Tue, 06 Jul 2021 00:00:00 GMT</t>
  </si>
  <si>
    <t>Wed, 07 Jul 2021 00:00:00 GMT</t>
  </si>
  <si>
    <t>Thu, 08 Jul 2021 00:00:00 GMT</t>
  </si>
  <si>
    <t>Fri, 09 Jul 2021 00:00:00 GMT</t>
  </si>
  <si>
    <t>Mon, 12 Jul 2021 00:00:00 GMT</t>
  </si>
  <si>
    <t>Tue, 13 Jul 2021 00:00:00 GMT</t>
  </si>
  <si>
    <t>Wed, 14 Jul 2021 00:00:00 GMT</t>
  </si>
  <si>
    <t>Thu, 15 Jul 2021 00:00:00 GMT</t>
  </si>
  <si>
    <t>Fri, 16 Jul 2021 00:00:00 GMT</t>
  </si>
  <si>
    <t>Mon, 19 Jul 2021 00:00:00 GMT</t>
  </si>
  <si>
    <t>Tue, 20 Jul 2021 00:00:00 GMT</t>
  </si>
  <si>
    <t>Wed, 21 Jul 2021 00:00:00 GMT</t>
  </si>
  <si>
    <t>Thu, 22 Jul 2021 00:00:00 GMT</t>
  </si>
  <si>
    <t>Fri, 23 Jul 2021 00:00:00 GMT</t>
  </si>
  <si>
    <t>Mon, 26 Jul 2021 00:00:00 GMT</t>
  </si>
  <si>
    <t>Tue, 27 Jul 2021 00:00:00 GMT</t>
  </si>
  <si>
    <t>Wed, 28 Jul 2021 00:00:00 GMT</t>
  </si>
  <si>
    <t>Thu, 29 Jul 2021 00:00:00 GMT</t>
  </si>
  <si>
    <t>Fri, 30 Jul 2021 00:00:00 GMT</t>
  </si>
  <si>
    <t>Mon, 02 Aug 2021 00:00:00 GMT</t>
  </si>
  <si>
    <t>Tue, 03 Aug 2021 00:00:00 GMT</t>
  </si>
  <si>
    <t>Wed, 04 Aug 2021 00:00:00 GMT</t>
  </si>
  <si>
    <t>Thu, 05 Aug 2021 00:00:00 GMT</t>
  </si>
  <si>
    <t>Fri, 06 Aug 2021 00:00:00 GMT</t>
  </si>
  <si>
    <t>Mon, 09 Aug 2021 00:00:00 GMT</t>
  </si>
  <si>
    <t>Tue, 10 Aug 2021 00:00:00 GMT</t>
  </si>
  <si>
    <t>Wed, 11 Aug 2021 00:00:00 GMT</t>
  </si>
  <si>
    <t>Thu, 12 Aug 2021 00:00:00 GMT</t>
  </si>
  <si>
    <t>Fri, 13 Aug 2021 00:00:00 GMT</t>
  </si>
  <si>
    <t>Mon, 16 Aug 2021 00:00:00 GMT</t>
  </si>
  <si>
    <t>Tue, 17 Aug 2021 00:00:00 GMT</t>
  </si>
  <si>
    <t>Wed, 18 Aug 2021 00:00:00 GMT</t>
  </si>
  <si>
    <t>Thu, 19 Aug 2021 00:00:00 GMT</t>
  </si>
  <si>
    <t>Fri, 20 Aug 2021 00:00:00 GMT</t>
  </si>
  <si>
    <t>Mon, 23 Aug 2021 00:00:00 GMT</t>
  </si>
  <si>
    <t>Tue, 24 Aug 2021 00:00:00 GMT</t>
  </si>
  <si>
    <t>Wed, 25 Aug 2021 00:00:00 GMT</t>
  </si>
  <si>
    <t>Thu, 26 Aug 2021 00:00:00 GMT</t>
  </si>
  <si>
    <t>Fri, 27 Aug 2021 00:00:00 GMT</t>
  </si>
  <si>
    <t>Mon, 30 Aug 2021 00:00:00 GMT</t>
  </si>
  <si>
    <t>Tue, 31 Aug 2021 00:00:00 GMT</t>
  </si>
  <si>
    <t>Wed, 01 Sep 2021 00:00:00 GMT</t>
  </si>
  <si>
    <t>Thu, 02 Sep 2021 00:00:00 GMT</t>
  </si>
  <si>
    <t>Fri, 03 Sep 2021 00:00:00 GMT</t>
  </si>
  <si>
    <t>Tue, 07 Sep 2021 00:00:00 GMT</t>
  </si>
  <si>
    <t>Wed, 08 Sep 2021 00:00:00 GMT</t>
  </si>
  <si>
    <t>Thu, 09 Sep 2021 00:00:00 GMT</t>
  </si>
  <si>
    <t>Fri, 10 Sep 2021 00:00:00 GMT</t>
  </si>
  <si>
    <t>Mon, 13 Sep 2021 00:00:00 GMT</t>
  </si>
  <si>
    <t>Tue, 14 Sep 2021 00:00:00 GMT</t>
  </si>
  <si>
    <t>Wed, 15 Sep 2021 00:00:00 GMT</t>
  </si>
  <si>
    <t>Thu, 16 Sep 2021 00:00:00 GMT</t>
  </si>
  <si>
    <t>Fri, 17 Sep 2021 00:00:00 GMT</t>
  </si>
  <si>
    <t>Mon, 20 Sep 2021 00:00:00 GMT</t>
  </si>
  <si>
    <t>Tue, 21 Sep 2021 00:00:00 GMT</t>
  </si>
  <si>
    <t>Wed, 22 Sep 2021 00:00:00 GMT</t>
  </si>
  <si>
    <t>Thu, 23 Sep 2021 00:00:00 GMT</t>
  </si>
  <si>
    <t>Fri, 24 Sep 2021 00:00:00 GMT</t>
  </si>
  <si>
    <t>Mon, 27 Sep 2021 00:00:00 GMT</t>
  </si>
  <si>
    <t>Tue, 28 Sep 2021 00:00:00 GMT</t>
  </si>
  <si>
    <t>Wed, 29 Sep 2021 00:00:00 GMT</t>
  </si>
  <si>
    <t>Thu, 30 Sep 2021 00:00:00 GMT</t>
  </si>
  <si>
    <t>Fri, 01 Oct 2021 00:00:00 GMT</t>
  </si>
  <si>
    <t>Mon, 04 Oct 2021 00:00:00 GMT</t>
  </si>
  <si>
    <t>Tue, 05 Oct 2021 00:00:00 GMT</t>
  </si>
  <si>
    <t>Wed, 06 Oct 2021 00:00:00 GMT</t>
  </si>
  <si>
    <t>Thu, 07 Oct 2021 00:00:00 GMT</t>
  </si>
  <si>
    <t>Fri, 08 Oct 2021 00:00:00 GMT</t>
  </si>
  <si>
    <t>Mon, 11 Oct 2021 00:00:00 GMT</t>
  </si>
  <si>
    <t>Tue, 12 Oct 2021 00:00:00 GMT</t>
  </si>
  <si>
    <t>Wed, 13 Oct 2021 00:00:00 GMT</t>
  </si>
  <si>
    <t>Thu, 14 Oct 2021 00:00:00 GMT</t>
  </si>
  <si>
    <t>Fri, 15 Oct 2021 00:00:00 GMT</t>
  </si>
  <si>
    <t>Mon, 18 Oct 2021 00:00:00 GMT</t>
  </si>
  <si>
    <t>Tue, 19 Oct 2021 00:00:00 GMT</t>
  </si>
  <si>
    <t>Wed, 20 Oct 2021 00:00:00 GMT</t>
  </si>
  <si>
    <t>Thu, 21 Oct 2021 00:00:00 GMT</t>
  </si>
  <si>
    <t>Fri, 22 Oct 2021 00:00:00 GMT</t>
  </si>
  <si>
    <t>Mon, 25 Oct 2021 00:00:00 GMT</t>
  </si>
  <si>
    <t>Tue, 26 Oct 2021 00:00:00 GMT</t>
  </si>
  <si>
    <t>Wed, 27 Oct 2021 00:00:00 GMT</t>
  </si>
  <si>
    <t>Thu, 28 Oct 2021 00:00:00 GMT</t>
  </si>
  <si>
    <t>Fri, 29 Oct 2021 00:00:00 GMT</t>
  </si>
  <si>
    <t>Mon, 01 Nov 2021 00:00:00 GMT</t>
  </si>
  <si>
    <t>Tue, 02 Nov 2021 00:00:00 GMT</t>
  </si>
  <si>
    <t>Wed, 03 Nov 2021 00:00:00 GMT</t>
  </si>
  <si>
    <t>Thu, 04 Nov 2021 00:00:00 GMT</t>
  </si>
  <si>
    <t>Fri, 05 Nov 2021 00:00:00 GMT</t>
  </si>
  <si>
    <t>Mon, 08 Nov 2021 00:00:00 GMT</t>
  </si>
  <si>
    <t>Tue, 09 Nov 2021 00:00:00 GMT</t>
  </si>
  <si>
    <t>Wed, 10 Nov 2021 00:00:00 GMT</t>
  </si>
  <si>
    <t>Thu, 11 Nov 2021 00:00:00 GMT</t>
  </si>
  <si>
    <t>Fri, 12 Nov 2021 00:00:00 GMT</t>
  </si>
  <si>
    <t>Mon, 15 Nov 2021 00:00:00 GMT</t>
  </si>
  <si>
    <t>Tue, 16 Nov 2021 00:00:00 GMT</t>
  </si>
  <si>
    <t>Wed, 17 Nov 2021 00:00:00 GMT</t>
  </si>
  <si>
    <t>Thu, 18 Nov 2021 00:00:00 GMT</t>
  </si>
  <si>
    <t>Fri, 19 Nov 2021 00:00:00 GMT</t>
  </si>
  <si>
    <t>Mon, 22 Nov 2021 00:00:00 GMT</t>
  </si>
  <si>
    <t>Tue, 23 Nov 2021 00:00:00 GMT</t>
  </si>
  <si>
    <t>Wed, 24 Nov 2021 00:00:00 GMT</t>
  </si>
  <si>
    <t>Fri, 26 Nov 2021 00:00:00 GMT</t>
  </si>
  <si>
    <t>Mon, 29 Nov 2021 00:00:00 GMT</t>
  </si>
  <si>
    <t>Tue, 30 Nov 2021 00:00:00 GMT</t>
  </si>
  <si>
    <t>Wed, 01 Dec 2021 00:00:00 GMT</t>
  </si>
  <si>
    <t>Thu, 02 Dec 2021 00:00:00 GMT</t>
  </si>
  <si>
    <t>Fri, 03 Dec 2021 00:00:00 GMT</t>
  </si>
  <si>
    <t>Mon, 06 Dec 2021 00:00:00 GMT</t>
  </si>
  <si>
    <t>Tue, 07 Dec 2021 00:00:00 GMT</t>
  </si>
  <si>
    <t>Wed, 08 Dec 2021 00:00:00 GMT</t>
  </si>
  <si>
    <t>Thu, 09 Dec 2021 00:00:00 GMT</t>
  </si>
  <si>
    <t>Fri, 10 Dec 2021 00:00:00 GMT</t>
  </si>
  <si>
    <t>Mon, 13 Dec 2021 00:00:00 GMT</t>
  </si>
  <si>
    <t>Tue, 14 Dec 2021 00:00:00 GMT</t>
  </si>
  <si>
    <t>Wed, 15 Dec 2021 00:00:00 GMT</t>
  </si>
  <si>
    <t>Thu, 16 Dec 2021 00:00:00 GMT</t>
  </si>
  <si>
    <t>Fri, 17 Dec 2021 00:00:00 GMT</t>
  </si>
  <si>
    <t>Mon, 20 Dec 2021 00:00:00 GMT</t>
  </si>
  <si>
    <t>Tue, 21 Dec 2021 00:00:00 GMT</t>
  </si>
  <si>
    <t>Wed, 22 Dec 2021 00:00:00 GMT</t>
  </si>
  <si>
    <t>Thu, 23 Dec 2021 00:00:00 GMT</t>
  </si>
  <si>
    <t>Mon, 27 Dec 2021 00:00:00 GMT</t>
  </si>
  <si>
    <t>Tue, 28 Dec 2021 00:00:00 GMT</t>
  </si>
  <si>
    <t>Wed, 29 Dec 2021 00:00:00 GMT</t>
  </si>
  <si>
    <t>Thu, 30 Dec 2021 00:00:00 GMT</t>
  </si>
  <si>
    <t>Fri, 31 Dec 2021 00:00:00 GMT</t>
  </si>
  <si>
    <t>Mon, 03 Jan 2022 00:00:00 GMT</t>
  </si>
  <si>
    <t>Tue, 04 Jan 2022 00:00:00 GMT</t>
  </si>
  <si>
    <t>Wed, 05 Jan 2022 00:00:00 GMT</t>
  </si>
  <si>
    <t>Thu, 06 Jan 2022 00:00:00 GMT</t>
  </si>
  <si>
    <t>Fri, 07 Jan 2022 00:00:00 GMT</t>
  </si>
  <si>
    <t>Mon, 10 Jan 2022 00:00:00 GMT</t>
  </si>
  <si>
    <t>Tue, 11 Jan 2022 00:00:00 GMT</t>
  </si>
  <si>
    <t>Wed, 12 Jan 2022 00:00:00 GMT</t>
  </si>
  <si>
    <t>Thu, 13 Jan 2022 00:00:00 GMT</t>
  </si>
  <si>
    <t>Fri, 14 Jan 2022 00:00:00 GMT</t>
  </si>
  <si>
    <t>Tue, 18 Jan 2022 00:00:00 GMT</t>
  </si>
  <si>
    <t>Wed, 19 Jan 2022 00:00:00 GMT</t>
  </si>
  <si>
    <t>Thu, 20 Jan 2022 00:00:00 GMT</t>
  </si>
  <si>
    <t>Fri, 21 Jan 2022 00:00:00 GMT</t>
  </si>
  <si>
    <t>Mon, 24 Jan 2022 00:00:00 GMT</t>
  </si>
  <si>
    <t>Tue, 25 Jan 2022 00:00:00 GMT</t>
  </si>
  <si>
    <t>Wed, 26 Jan 2022 00:00:00 GMT</t>
  </si>
  <si>
    <t>Thu, 27 Jan 2022 00:00:00 GMT</t>
  </si>
  <si>
    <t>Fri, 28 Jan 2022 00:00:00 GMT</t>
  </si>
  <si>
    <t>Mon, 31 Jan 2022 00:00:00 GMT</t>
  </si>
  <si>
    <t>Tue, 01 Feb 2022 00:00:00 GMT</t>
  </si>
  <si>
    <t>Wed, 02 Feb 2022 00:00:00 GMT</t>
  </si>
  <si>
    <t>Thu, 03 Feb 2022 00:00:00 GMT</t>
  </si>
  <si>
    <t>Fri, 04 Feb 2022 00:00:00 GMT</t>
  </si>
  <si>
    <t>Mon, 07 Feb 2022 00:00:00 GMT</t>
  </si>
  <si>
    <t>Tue, 08 Feb 2022 00:00:00 GMT</t>
  </si>
  <si>
    <t>Wed, 09 Feb 2022 00:00:00 GMT</t>
  </si>
  <si>
    <t>Thu, 10 Feb 2022 00:00:00 GMT</t>
  </si>
  <si>
    <t>Fri, 11 Feb 2022 00:00:00 GMT</t>
  </si>
  <si>
    <t>Mon, 14 Feb 2022 00:00:00 GMT</t>
  </si>
  <si>
    <t>Tue, 15 Feb 2022 00:00:00 GMT</t>
  </si>
  <si>
    <t>Wed, 16 Feb 2022 00:00:00 GMT</t>
  </si>
  <si>
    <t>Thu, 17 Feb 2022 00:00:00 GMT</t>
  </si>
  <si>
    <t>Fri, 18 Feb 2022 00:00:00 GMT</t>
  </si>
  <si>
    <t>Tue, 22 Feb 2022 00:00:00 GMT</t>
  </si>
  <si>
    <t>Wed, 23 Feb 2022 00:00:00 GMT</t>
  </si>
  <si>
    <t>Thu, 24 Feb 2022 00:00:00 GMT</t>
  </si>
  <si>
    <t>Fri, 25 Feb 2022 00:00:00 GMT</t>
  </si>
  <si>
    <t>Mon, 28 Feb 2022 00:00:00 GMT</t>
  </si>
  <si>
    <t>Tue, 01 Mar 2022 00:00:00 GMT</t>
  </si>
  <si>
    <t>Wed, 02 Mar 2022 00:00:00 GMT</t>
  </si>
  <si>
    <t>Thu, 03 Mar 2022 00:00:00 GMT</t>
  </si>
  <si>
    <t>Fri, 04 Mar 2022 00:00:00 GMT</t>
  </si>
  <si>
    <t>Mon, 07 Mar 2022 00:00:00 GMT</t>
  </si>
  <si>
    <t>Tue, 08 Mar 2022 00:00:00 GMT</t>
  </si>
  <si>
    <t>Wed, 09 Mar 2022 00:00:00 GMT</t>
  </si>
  <si>
    <t>Thu, 10 Mar 2022 00:00:00 GMT</t>
  </si>
  <si>
    <t>Fri, 11 Mar 2022 00:00:00 GMT</t>
  </si>
  <si>
    <t>Mon, 14 Mar 2022 00:00:00 GMT</t>
  </si>
  <si>
    <t>Tue, 15 Mar 2022 00:00:00 GMT</t>
  </si>
  <si>
    <t>Wed, 16 Mar 2022 00:00:00 GMT</t>
  </si>
  <si>
    <t>Thu, 17 Mar 2022 00:00:00 GMT</t>
  </si>
  <si>
    <t>Fri, 18 Mar 2022 00:00:00 GMT</t>
  </si>
  <si>
    <t>Mon, 21 Mar 2022 00:00:00 GMT</t>
  </si>
  <si>
    <t>Tue, 22 Mar 2022 00:00:00 GMT</t>
  </si>
  <si>
    <t>Wed, 23 Mar 2022 00:00:00 GMT</t>
  </si>
  <si>
    <t>Thu, 24 Mar 2022 00:00:00 GMT</t>
  </si>
  <si>
    <t>Fri, 25 Mar 2022 00:00:00 GMT</t>
  </si>
  <si>
    <t>Mon, 28 Mar 2022 00:00:00 GMT</t>
  </si>
  <si>
    <t>Tue, 29 Mar 2022 00:00:00 GMT</t>
  </si>
  <si>
    <t>Wed, 30 Mar 2022 00:00:00 GMT</t>
  </si>
  <si>
    <t>Thu, 31 Mar 2022 00:00:00 GMT</t>
  </si>
  <si>
    <t>Fri, 01 Apr 2022 00:00:00 GMT</t>
  </si>
  <si>
    <t>Mon, 04 Apr 2022 00:00:00 GMT</t>
  </si>
  <si>
    <t>Tue, 05 Apr 2022 00:00:00 GMT</t>
  </si>
  <si>
    <t>Wed, 06 Apr 2022 00:00:00 GMT</t>
  </si>
  <si>
    <t>Thu, 07 Apr 2022 00:00:00 GMT</t>
  </si>
  <si>
    <t>Fri, 08 Apr 2022 00:00:00 GMT</t>
  </si>
  <si>
    <t>Mon, 11 Apr 2022 00:00:00 GMT</t>
  </si>
  <si>
    <t>Tue, 12 Apr 2022 00:00:00 GMT</t>
  </si>
  <si>
    <t>Wed, 13 Apr 2022 00:00:00 GMT</t>
  </si>
  <si>
    <t>Thu, 14 Apr 2022 00:00:00 GMT</t>
  </si>
  <si>
    <t>Mon, 18 Apr 2022 00:00:00 GMT</t>
  </si>
  <si>
    <t>Tue, 19 Apr 2022 00:00:00 GMT</t>
  </si>
  <si>
    <t>Wed, 20 Apr 2022 00:00:00 GMT</t>
  </si>
  <si>
    <t>Thu, 21 Apr 2022 00:00:00 GMT</t>
  </si>
  <si>
    <t>Fri, 22 Apr 2022 00:00:00 GMT</t>
  </si>
  <si>
    <t>Mon, 25 Apr 2022 00:00:00 GMT</t>
  </si>
  <si>
    <t>Tue, 26 Apr 2022 00:00:00 GMT</t>
  </si>
  <si>
    <t>Wed, 27 Apr 2022 00:00:00 GMT</t>
  </si>
  <si>
    <t>Thu, 28 Apr 2022 00:00:00 GMT</t>
  </si>
  <si>
    <t>Fri, 29 Apr 2022 00:00:00 GMT</t>
  </si>
  <si>
    <t>Mon, 02 May 2022 00:00:00 GMT</t>
  </si>
  <si>
    <t>Tue, 03 May 2022 00:00:00 GMT</t>
  </si>
  <si>
    <t>Wed, 04 May 2022 00:00:00 GMT</t>
  </si>
  <si>
    <t>Thu, 05 May 2022 00:00:00 GMT</t>
  </si>
  <si>
    <t>Fri, 06 May 2022 00:00:00 GMT</t>
  </si>
  <si>
    <t>Mon, 09 May 2022 00:00:00 GMT</t>
  </si>
  <si>
    <t>Tue, 10 May 2022 00:00:00 GMT</t>
  </si>
  <si>
    <t>Wed, 11 May 2022 00:00:00 GMT</t>
  </si>
  <si>
    <t>Thu, 12 May 2022 00:00:00 GMT</t>
  </si>
  <si>
    <t>Fri, 13 May 2022 00:00:00 GMT</t>
  </si>
  <si>
    <t>Mon, 16 May 2022 00:00:00 GMT</t>
  </si>
  <si>
    <t>Tue, 17 May 2022 00:00:00 GMT</t>
  </si>
  <si>
    <t>Wed, 18 May 2022 00:00:00 GMT</t>
  </si>
  <si>
    <t>Thu, 19 May 2022 00:00:00 GMT</t>
  </si>
  <si>
    <t>Fri, 20 May 2022 00:00:00 GMT</t>
  </si>
  <si>
    <t>Mon, 23 May 2022 00:00:00 GMT</t>
  </si>
  <si>
    <t>Tue, 24 May 2022 00:00:00 GMT</t>
  </si>
  <si>
    <t>Wed, 25 May 2022 00:00:00 GMT</t>
  </si>
  <si>
    <t>Thu, 26 May 2022 00:00:00 GMT</t>
  </si>
  <si>
    <t>Fri, 27 May 2022 00:00:00 GMT</t>
  </si>
  <si>
    <t>Tue, 31 May 2022 00:00:00 GMT</t>
  </si>
  <si>
    <t>Wed, 01 Jun 2022 00:00:00 GMT</t>
  </si>
  <si>
    <t>Thu, 02 Jun 2022 00:00:00 GMT</t>
  </si>
  <si>
    <t>Fri, 03 Jun 2022 00:00:00 GMT</t>
  </si>
  <si>
    <t>Mon, 06 Jun 2022 00:00:00 GMT</t>
  </si>
  <si>
    <t>Tue, 07 Jun 2022 00:00:00 GMT</t>
  </si>
  <si>
    <t>Wed, 08 Jun 2022 00:00:00 GMT</t>
  </si>
  <si>
    <t>Thu, 09 Jun 2022 00:00:00 GMT</t>
  </si>
  <si>
    <t>Fri, 10 Jun 2022 00:00:00 GMT</t>
  </si>
  <si>
    <t>Mon, 13 Jun 2022 00:00:00 GMT</t>
  </si>
  <si>
    <t>Tue, 14 Jun 2022 00:00:00 GMT</t>
  </si>
  <si>
    <t>Wed, 15 Jun 2022 00:00:00 GMT</t>
  </si>
  <si>
    <t>Thu, 16 Jun 2022 00:00:00 GMT</t>
  </si>
  <si>
    <t>Fri, 17 Jun 2022 00:00:00 GMT</t>
  </si>
  <si>
    <t>Tue, 21 Jun 2022 00:00:00 GMT</t>
  </si>
  <si>
    <t>Wed, 22 Jun 2022 00:00:00 GMT</t>
  </si>
  <si>
    <t>Thu, 23 Jun 2022 00:00:00 GMT</t>
  </si>
  <si>
    <t>Fri, 24 Jun 2022 00:00:00 GMT</t>
  </si>
  <si>
    <t>Mon, 27 Jun 2022 00:00:00 GMT</t>
  </si>
  <si>
    <t>Tue, 28 Jun 2022 00:00:00 GMT</t>
  </si>
  <si>
    <t>Wed, 29 Jun 2022 00:00:00 GMT</t>
  </si>
  <si>
    <t>Thu, 30 Jun 2022 00:00:00 GMT</t>
  </si>
  <si>
    <t>Fri, 01 Jul 2022 00:00:00 GMT</t>
  </si>
  <si>
    <t>Tue, 05 Jul 2022 00:00:00 GMT</t>
  </si>
  <si>
    <t>Wed, 06 Jul 2022 00:00:00 GMT</t>
  </si>
  <si>
    <t>Thu, 07 Jul 2022 00:00:00 GMT</t>
  </si>
  <si>
    <t>Fri, 08 Jul 2022 00:00:00 GMT</t>
  </si>
  <si>
    <t>Mon, 11 Jul 2022 00:00:00 GMT</t>
  </si>
  <si>
    <t>Tue, 12 Jul 2022 00:00:00 GMT</t>
  </si>
  <si>
    <t>Wed, 13 Jul 2022 00:00:00 GMT</t>
  </si>
  <si>
    <t>Thu, 14 Jul 2022 00:00:00 GMT</t>
  </si>
  <si>
    <t>Fri, 15 Jul 2022 00:00:00 GMT</t>
  </si>
  <si>
    <t>Mon, 18 Jul 2022 00:00:00 GMT</t>
  </si>
  <si>
    <t>Tue, 19 Jul 2022 00:00:00 GMT</t>
  </si>
  <si>
    <t>Wed, 20 Jul 2022 00:00:00 GMT</t>
  </si>
  <si>
    <t>Thu, 21 Jul 2022 00:00:00 GMT</t>
  </si>
  <si>
    <t>Fri, 22 Jul 2022 00:00:00 GMT</t>
  </si>
  <si>
    <t>Mon, 25 Jul 2022 00:00:00 GMT</t>
  </si>
  <si>
    <t>Tue, 26 Jul 2022 00:00:00 GMT</t>
  </si>
  <si>
    <t>Wed, 27 Jul 2022 00:00:00 GMT</t>
  </si>
  <si>
    <t>Thu, 28 Jul 2022 00:00:00 GMT</t>
  </si>
  <si>
    <t>Fri, 29 Jul 2022 00:00:00 GMT</t>
  </si>
  <si>
    <t>Mon, 01 Aug 2022 00:00:00 GMT</t>
  </si>
  <si>
    <t>Tue, 02 Aug 2022 00:00:00 GMT</t>
  </si>
  <si>
    <t>Wed, 03 Aug 2022 00:00:00 GMT</t>
  </si>
  <si>
    <t>Thu, 04 Aug 2022 00:00:00 GMT</t>
  </si>
  <si>
    <t>Fri, 05 Aug 2022 00:00:00 GMT</t>
  </si>
  <si>
    <t>Mon, 08 Aug 2022 00:00:00 GMT</t>
  </si>
  <si>
    <t>Tue, 09 Aug 2022 00:00:00 GMT</t>
  </si>
  <si>
    <t>Wed, 10 Aug 2022 00:00:00 GMT</t>
  </si>
  <si>
    <t>Thu, 11 Aug 2022 00:00:00 GMT</t>
  </si>
  <si>
    <t>Fri, 12 Aug 2022 00:00:00 GMT</t>
  </si>
  <si>
    <t>Mon, 15 Aug 2022 00:00:00 GMT</t>
  </si>
  <si>
    <t>Tue, 16 Aug 2022 00:00:00 GMT</t>
  </si>
  <si>
    <t>Wed, 17 Aug 2022 00:00:00 GMT</t>
  </si>
  <si>
    <t>Thu, 18 Aug 2022 00:00:00 GMT</t>
  </si>
  <si>
    <t>Fri, 19 Aug 2022 00:00:00 GMT</t>
  </si>
  <si>
    <t>Mon, 22 Aug 2022 00:00:00 GMT</t>
  </si>
  <si>
    <t>Tue, 23 Aug 2022 00:00:00 GMT</t>
  </si>
  <si>
    <t>Wed, 24 Aug 2022 00:00:00 GMT</t>
  </si>
  <si>
    <t>Thu, 25 Aug 2022 00:00:00 GMT</t>
  </si>
  <si>
    <t>Fri, 26 Aug 2022 00:00:00 GMT</t>
  </si>
  <si>
    <t>Mon, 29 Aug 2022 00:00:00 GMT</t>
  </si>
  <si>
    <t>Tue, 30 Aug 2022 00:00:00 GMT</t>
  </si>
  <si>
    <t>Wed, 31 Aug 2022 00:00:00 GMT</t>
  </si>
  <si>
    <t>Thu, 01 Sep 2022 00:00:00 GMT</t>
  </si>
  <si>
    <t>Fri, 02 Sep 2022 00:00:00 GMT</t>
  </si>
  <si>
    <t>Tue, 06 Sep 2022 00:00:00 GMT</t>
  </si>
  <si>
    <t>Wed, 07 Sep 2022 00:00:00 GMT</t>
  </si>
  <si>
    <t>Thu, 08 Sep 2022 00:00:00 GMT</t>
  </si>
  <si>
    <t>Fri, 09 Sep 2022 00:00:00 GMT</t>
  </si>
  <si>
    <t>Mon, 12 Sep 2022 00:00:00 GMT</t>
  </si>
  <si>
    <t>Tue, 13 Sep 2022 00:00:00 GMT</t>
  </si>
  <si>
    <t>Wed, 14 Sep 2022 00:00:00 GMT</t>
  </si>
  <si>
    <t>Thu, 15 Sep 2022 00:00:00 GMT</t>
  </si>
  <si>
    <t>Fri, 16 Sep 2022 00:00:00 GMT</t>
  </si>
  <si>
    <t>Mon, 19 Sep 2022 00:00:00 GMT</t>
  </si>
  <si>
    <t>Tue, 20 Sep 2022 00:00:00 GMT</t>
  </si>
  <si>
    <t>Wed, 21 Sep 2022 00:00:00 GMT</t>
  </si>
  <si>
    <t>Thu, 22 Sep 2022 00:00:00 GMT</t>
  </si>
  <si>
    <t>Fri, 23 Sep 2022 00:00:00 GMT</t>
  </si>
  <si>
    <t>Mon, 26 Sep 2022 00:00:00 GMT</t>
  </si>
  <si>
    <t>Tue, 27 Sep 2022 00:00:00 GMT</t>
  </si>
  <si>
    <t>Wed, 28 Sep 2022 00:00:00 GMT</t>
  </si>
  <si>
    <t>Thu, 29 Sep 2022 00:00:00 GMT</t>
  </si>
  <si>
    <t>Fri, 30 Sep 2022 00:00:00 GMT</t>
  </si>
  <si>
    <t>Mon, 03 Oct 2022 00:00:00 GMT</t>
  </si>
  <si>
    <t>Tue, 04 Oct 2022 00:00:00 GMT</t>
  </si>
  <si>
    <t>Wed, 05 Oct 2022 00:00:00 GMT</t>
  </si>
  <si>
    <t>Thu, 06 Oct 2022 00:00:00 GMT</t>
  </si>
  <si>
    <t>Fri, 07 Oct 2022 00:00:00 GMT</t>
  </si>
  <si>
    <t>Mon, 10 Oct 2022 00:00:00 GMT</t>
  </si>
  <si>
    <t>Tue, 11 Oct 2022 00:00:00 GMT</t>
  </si>
  <si>
    <t>Wed, 12 Oct 2022 00:00:00 GMT</t>
  </si>
  <si>
    <t>Thu, 13 Oct 2022 00:00:00 GMT</t>
  </si>
  <si>
    <t>Fri, 14 Oct 2022 00:00:00 GMT</t>
  </si>
  <si>
    <t>Mon, 17 Oct 2022 00:00:00 GMT</t>
  </si>
  <si>
    <t>Tue, 18 Oct 2022 00:00:00 GMT</t>
  </si>
  <si>
    <t>Wed, 19 Oct 2022 00:00:00 GMT</t>
  </si>
  <si>
    <t>Thu, 20 Oct 2022 00:00:00 GMT</t>
  </si>
  <si>
    <t>Fri, 21 Oct 2022 00:00:00 GMT</t>
  </si>
  <si>
    <t>Mon, 24 Oct 2022 00:00:00 GMT</t>
  </si>
  <si>
    <t>Tue, 25 Oct 2022 00:00:00 GMT</t>
  </si>
  <si>
    <t>Wed, 26 Oct 2022 00:00:00 GMT</t>
  </si>
  <si>
    <t>Thu, 27 Oct 2022 00:00:00 GMT</t>
  </si>
  <si>
    <t>Fri, 28 Oct 2022 00:00:00 GMT</t>
  </si>
  <si>
    <t>Mon, 31 Oct 2022 00:00:00 GMT</t>
  </si>
  <si>
    <t>Tue, 01 Nov 2022 00:00:00 GMT</t>
  </si>
  <si>
    <t>Wed, 02 Nov 2022 00:00:00 GMT</t>
  </si>
  <si>
    <t>Thu, 03 Nov 2022 00:00:00 GMT</t>
  </si>
  <si>
    <t>Fri, 04 Nov 2022 00:00:00 GMT</t>
  </si>
  <si>
    <t>Mon, 07 Nov 2022 00:00:00 GMT</t>
  </si>
  <si>
    <t>Tue, 08 Nov 2022 00:00:00 GMT</t>
  </si>
  <si>
    <t>Wed, 09 Nov 2022 00:00:00 GMT</t>
  </si>
  <si>
    <t>Thu, 10 Nov 2022 00:00:00 GMT</t>
  </si>
  <si>
    <t>Fri, 11 Nov 2022 00:00:00 GMT</t>
  </si>
  <si>
    <t>Mon, 14 Nov 2022 00:00:00 GMT</t>
  </si>
  <si>
    <t>Tue, 15 Nov 2022 00:00:00 GMT</t>
  </si>
  <si>
    <t>Wed, 16 Nov 2022 00:00:00 GMT</t>
  </si>
  <si>
    <t>Thu, 17 Nov 2022 00:00:00 GMT</t>
  </si>
  <si>
    <t>Fri, 18 Nov 2022 00:00:00 GMT</t>
  </si>
  <si>
    <t>Mon, 21 Nov 2022 00:00:00 GMT</t>
  </si>
  <si>
    <t>Tue, 22 Nov 2022 00:00:00 GMT</t>
  </si>
  <si>
    <t>Wed, 23 Nov 2022 00:00:00 GMT</t>
  </si>
  <si>
    <t>Fri, 25 Nov 2022 00:00:00 GMT</t>
  </si>
  <si>
    <t>Mon, 28 Nov 2022 00:00:00 GMT</t>
  </si>
  <si>
    <t>Tue, 29 Nov 2022 00:00:00 GMT</t>
  </si>
  <si>
    <t>Wed, 30 Nov 2022 00:00:00 GMT</t>
  </si>
  <si>
    <t>Thu, 01 Dec 2022 00:00:00 GMT</t>
  </si>
  <si>
    <t>Fri, 02 Dec 2022 00:00:00 GMT</t>
  </si>
  <si>
    <t>Mon, 05 Dec 2022 00:00:00 GMT</t>
  </si>
  <si>
    <t>Tue, 06 Dec 2022 00:00:00 GMT</t>
  </si>
  <si>
    <t>Wed, 07 Dec 2022 00:00:00 GMT</t>
  </si>
  <si>
    <t>Thu, 08 Dec 2022 00:00:00 GMT</t>
  </si>
  <si>
    <t>Fri, 09 Dec 2022 00:00:00 GMT</t>
  </si>
  <si>
    <t>Mon, 12 Dec 2022 00:00:00 GMT</t>
  </si>
  <si>
    <t>Tue, 13 Dec 2022 00:00:00 GMT</t>
  </si>
  <si>
    <t>Wed, 14 Dec 2022 00:00:00 GMT</t>
  </si>
  <si>
    <t>Thu, 15 Dec 2022 00:00:00 GMT</t>
  </si>
  <si>
    <t>Fri, 16 Dec 2022 00:00:00 GMT</t>
  </si>
  <si>
    <t>Mon, 19 Dec 2022 00:00:00 GMT</t>
  </si>
  <si>
    <t>Tue, 20 Dec 2022 00:00:00 GMT</t>
  </si>
  <si>
    <t>Wed, 21 Dec 2022 00:00:00 GMT</t>
  </si>
  <si>
    <t>Thu, 22 Dec 2022 00:00:00 GMT</t>
  </si>
  <si>
    <t>Fri, 23 Dec 2022 00:00:00 GMT</t>
  </si>
  <si>
    <t>Tue, 27 Dec 2022 00:00:00 GMT</t>
  </si>
  <si>
    <t>Wed, 28 Dec 2022 00:00:00 GMT</t>
  </si>
  <si>
    <t>Thu, 29 Dec 2022 00:00:00 GMT</t>
  </si>
  <si>
    <t>Fri, 30 Dec 2022 00:00:00 GMT</t>
  </si>
  <si>
    <t>Tue, 03 Jan 2023 00:00:00 GMT</t>
  </si>
  <si>
    <t>Wed, 04 Jan 2023 00:00:00 GMT</t>
  </si>
  <si>
    <t>Thu, 05 Jan 2023 00:00:00 GMT</t>
  </si>
  <si>
    <t>Fri, 06 Jan 2023 00:00:00 GMT</t>
  </si>
  <si>
    <t>Mon, 09 Jan 2023 00:00:00 GMT</t>
  </si>
  <si>
    <t>Tue, 10 Jan 2023 00:00:00 GMT</t>
  </si>
  <si>
    <t>Wed, 11 Jan 2023 00:00:00 GMT</t>
  </si>
  <si>
    <t>Thu, 12 Jan 2023 00:00:00 GMT</t>
  </si>
  <si>
    <t>Fri, 13 Jan 2023 00:00:00 GMT</t>
  </si>
  <si>
    <t>Tue, 17 Jan 2023 00:00:00 GMT</t>
  </si>
  <si>
    <t>Wed, 18 Jan 2023 00:00:00 GMT</t>
  </si>
  <si>
    <t>Thu, 19 Jan 2023 00:00:00 GMT</t>
  </si>
  <si>
    <t>Fri, 20 Jan 2023 00:00:00 GMT</t>
  </si>
  <si>
    <t>Mon, 23 Jan 2023 00:00:00 GMT</t>
  </si>
  <si>
    <t>Tue, 24 Jan 2023 00:00:00 GMT</t>
  </si>
  <si>
    <t>Wed, 25 Jan 2023 00:00:00 GMT</t>
  </si>
  <si>
    <t>Thu, 26 Jan 2023 00:00:00 GMT</t>
  </si>
  <si>
    <t>Fri, 27 Jan 2023 00:00:00 GMT</t>
  </si>
  <si>
    <t>Mon, 30 Jan 2023 00:00:00 GMT</t>
  </si>
  <si>
    <t>Tue, 31 Jan 2023 00:00:00 GMT</t>
  </si>
  <si>
    <t>Wed, 01 Feb 2023 00:00:00 GMT</t>
  </si>
  <si>
    <t>Thu, 02 Feb 2023 00:00:00 GMT</t>
  </si>
  <si>
    <t>Fri, 03 Feb 2023 00:00:00 GMT</t>
  </si>
  <si>
    <t>Mon, 06 Feb 2023 00:00:00 GMT</t>
  </si>
  <si>
    <t>Tue, 07 Feb 2023 00:00:00 GMT</t>
  </si>
  <si>
    <t>Wed, 08 Feb 2023 00:00:00 GMT</t>
  </si>
  <si>
    <t>Thu, 09 Feb 2023 00:00:00 GMT</t>
  </si>
  <si>
    <t>Fri, 10 Feb 2023 00:00:00 GMT</t>
  </si>
  <si>
    <t>Mon, 13 Feb 2023 00:00:00 GMT</t>
  </si>
  <si>
    <t>Tue, 14 Feb 2023 00:00:00 GMT</t>
  </si>
  <si>
    <t>Wed, 15 Feb 2023 00:00:00 GMT</t>
  </si>
  <si>
    <t>Thu, 16 Feb 2023 00:00:00 GMT</t>
  </si>
  <si>
    <t>Fri, 17 Feb 2023 00:00:00 GMT</t>
  </si>
  <si>
    <t>Tue, 21 Feb 2023 00:00:00 GMT</t>
  </si>
  <si>
    <t>Wed, 22 Feb 2023 00:00:00 GMT</t>
  </si>
  <si>
    <t>Thu, 23 Feb 2023 00:00:00 GMT</t>
  </si>
  <si>
    <t>Fri, 24 Feb 2023 00:00:00 GMT</t>
  </si>
  <si>
    <t>Mon, 27 Feb 2023 00:00:00 GMT</t>
  </si>
  <si>
    <t>Tue, 28 Feb 2023 00:00:00 GMT</t>
  </si>
  <si>
    <t>Wed, 01 Mar 2023 00:00:00 GMT</t>
  </si>
  <si>
    <t>Thu, 02 Mar 2023 00:00:00 GMT</t>
  </si>
  <si>
    <t>Fri, 03 Mar 2023 00:00:00 GMT</t>
  </si>
  <si>
    <t>Mon, 06 Mar 2023 00:00:00 GMT</t>
  </si>
  <si>
    <t>Tue, 07 Mar 2023 00:00:00 GMT</t>
  </si>
  <si>
    <t>Wed, 08 Mar 2023 00:00:00 GMT</t>
  </si>
  <si>
    <t>Thu, 09 Mar 2023 00:00:00 GMT</t>
  </si>
  <si>
    <t>Fri, 10 Mar 2023 00:00:00 GMT</t>
  </si>
  <si>
    <t>Mon, 13 Mar 2023 00:00:00 GMT</t>
  </si>
  <si>
    <t>Tue, 14 Mar 2023 00:00:00 GMT</t>
  </si>
  <si>
    <t>Wed, 15 Mar 2023 00:00:00 GMT</t>
  </si>
  <si>
    <t>Thu, 16 Mar 2023 00:00:00 GMT</t>
  </si>
  <si>
    <t>Fri, 17 Mar 2023 00:00:00 GMT</t>
  </si>
  <si>
    <t>Mon, 20 Mar 2023 00:00:00 GMT</t>
  </si>
  <si>
    <t>Tue, 21 Mar 2023 00:00:00 GMT</t>
  </si>
  <si>
    <t>Wed, 22 Mar 2023 00:00:00 GMT</t>
  </si>
  <si>
    <t>Thu, 23 Mar 2023 00:00:00 GMT</t>
  </si>
  <si>
    <t>Fri, 24 Mar 2023 00:00:00 GMT</t>
  </si>
  <si>
    <t>Mon, 27 Mar 2023 00:00:00 GMT</t>
  </si>
  <si>
    <t>Tue, 28 Mar 2023 00:00:00 GMT</t>
  </si>
  <si>
    <t>Wed, 29 Mar 2023 00:00:00 GMT</t>
  </si>
  <si>
    <t>Thu, 30 Mar 2023 00:00:00 GMT</t>
  </si>
  <si>
    <t>Fri, 31 Mar 2023 00:00:00 GMT</t>
  </si>
  <si>
    <t>Mon, 03 Apr 2023 00:00:00 GMT</t>
  </si>
  <si>
    <t>Tue, 04 Apr 2023 00:00:00 GMT</t>
  </si>
  <si>
    <t>Wed, 05 Apr 2023 00:00:00 GMT</t>
  </si>
  <si>
    <t>Thu, 06 Apr 2023 00:00:00 GMT</t>
  </si>
  <si>
    <t>Mon, 10 Apr 2023 00:00:00 GMT</t>
  </si>
  <si>
    <t>Tue, 11 Apr 2023 00:00:00 GMT</t>
  </si>
  <si>
    <t>Wed, 12 Apr 2023 00:00:00 GMT</t>
  </si>
  <si>
    <t>Thu, 13 Apr 2023 00:00:00 GMT</t>
  </si>
  <si>
    <t>Fri, 14 Apr 2023 00:00:00 GMT</t>
  </si>
  <si>
    <t>Mon, 17 Apr 2023 00:00:00 GMT</t>
  </si>
  <si>
    <t>Tue, 18 Apr 2023 00:00:00 GMT</t>
  </si>
  <si>
    <t>Wed, 19 Apr 2023 00:00:00 GMT</t>
  </si>
  <si>
    <t>Thu, 20 Apr 2023 00:00:00 GMT</t>
  </si>
  <si>
    <t>Fri, 21 Apr 2023 00:00:00 GMT</t>
  </si>
  <si>
    <t>Mon, 24 Apr 2023 00:00:00 GMT</t>
  </si>
  <si>
    <t>Tue, 25 Apr 2023 00:00:00 GMT</t>
  </si>
  <si>
    <t>Wed, 26 Apr 2023 00:00:00 GMT</t>
  </si>
  <si>
    <t>Thu, 27 Apr 2023 00:00:00 GMT</t>
  </si>
  <si>
    <t>Fri, 28 Apr 2023 00:00:00 GMT</t>
  </si>
  <si>
    <t>Mon, 01 May 2023 00:00:00 GMT</t>
  </si>
  <si>
    <t>Tue, 02 May 2023 00:00:00 GMT</t>
  </si>
  <si>
    <t>Wed, 03 May 2023 00:00:00 GMT</t>
  </si>
  <si>
    <t>Thu, 04 May 2023 00:00:00 GMT</t>
  </si>
  <si>
    <t>Fri, 05 May 2023 00:00:00 GMT</t>
  </si>
  <si>
    <t>Mon, 08 May 2023 00:00:00 GMT</t>
  </si>
  <si>
    <t>Tue, 09 May 2023 00:00:00 GMT</t>
  </si>
  <si>
    <t>Wed, 10 May 2023 00:00:00 GMT</t>
  </si>
  <si>
    <t>Thu, 11 May 2023 00:00:00 GMT</t>
  </si>
  <si>
    <t>Fri, 12 May 2023 00:00:00 GMT</t>
  </si>
  <si>
    <t>Mon, 15 May 2023 00:00:00 GMT</t>
  </si>
  <si>
    <t>Tue, 16 May 2023 00:00:00 GMT</t>
  </si>
  <si>
    <t>Wed, 17 May 2023 00:00:00 GMT</t>
  </si>
  <si>
    <t>Thu, 18 May 2023 00:00:00 GMT</t>
  </si>
  <si>
    <t>Fri, 19 May 2023 00:00:00 GMT</t>
  </si>
  <si>
    <t>Mon, 22 May 2023 00:00:00 GMT</t>
  </si>
  <si>
    <t>Tue, 23 May 2023 00:00:00 GMT</t>
  </si>
  <si>
    <t>Wed, 24 May 2023 00:00:00 GMT</t>
  </si>
  <si>
    <t>Thu, 25 May 2023 00:00:00 GMT</t>
  </si>
  <si>
    <t>Fri, 26 May 2023 00:00:00 GMT</t>
  </si>
  <si>
    <t>Tue, 30 May 2023 00:00:00 GMT</t>
  </si>
  <si>
    <t>Wed, 31 May 2023 00:00:00 GMT</t>
  </si>
  <si>
    <t>Thu, 01 Jun 2023 00:00:00 GMT</t>
  </si>
  <si>
    <t>Fri, 02 Jun 2023 00:00:00 GMT</t>
  </si>
  <si>
    <t>Mon, 05 Jun 2023 00:00:00 GMT</t>
  </si>
  <si>
    <t>Tue, 06 Jun 2023 00:00:00 GMT</t>
  </si>
  <si>
    <t>Wed, 07 Jun 2023 00:00:00 GMT</t>
  </si>
  <si>
    <t>Thu, 08 Jun 2023 00:00:00 GMT</t>
  </si>
  <si>
    <t>Fri, 09 Jun 2023 00:00:00 GMT</t>
  </si>
  <si>
    <t>Mon, 12 Jun 2023 00:00:00 GMT</t>
  </si>
  <si>
    <t>Tue, 13 Jun 2023 00:00:00 GMT</t>
  </si>
  <si>
    <t>Wed, 14 Jun 2023 00:00:00 GMT</t>
  </si>
  <si>
    <t>Thu, 15 Jun 2023 00:00:00 GMT</t>
  </si>
  <si>
    <t>Fri, 16 Jun 2023 00:00:00 GMT</t>
  </si>
  <si>
    <t>Tue, 20 Jun 2023 00:00:00 GMT</t>
  </si>
  <si>
    <t>Wed, 21 Jun 2023 00:00:00 GMT</t>
  </si>
  <si>
    <t>Thu, 22 Jun 2023 00:00:00 GMT</t>
  </si>
  <si>
    <t>Fri, 23 Jun 2023 00:00:00 GMT</t>
  </si>
  <si>
    <t>Mon, 26 Jun 2023 00:00:00 GMT</t>
  </si>
  <si>
    <t>Tue, 27 Jun 2023 00:00:00 GMT</t>
  </si>
  <si>
    <t>Wed, 28 Jun 2023 00:00:00 GMT</t>
  </si>
  <si>
    <t>Thu, 29 Jun 2023 00:00:00 GMT</t>
  </si>
  <si>
    <t>Fri, 30 Jun 2023 00:00:00 GMT</t>
  </si>
  <si>
    <t>Mon, 03 Jul 2023 00:00:00 GMT</t>
  </si>
  <si>
    <t>Wed, 05 Jul 2023 00:00:00 GMT</t>
  </si>
  <si>
    <t>Thu, 06 Jul 2023 00:00:00 GMT</t>
  </si>
  <si>
    <t>Fri, 07 Jul 2023 00:00:00 GMT</t>
  </si>
  <si>
    <t>Mon, 10 Jul 2023 00:00:00 GMT</t>
  </si>
  <si>
    <t>Tue, 11 Jul 2023 00:00:00 GMT</t>
  </si>
  <si>
    <t>Wed, 12 Jul 2023 00:00:00 GMT</t>
  </si>
  <si>
    <t>Thu, 13 Jul 2023 00:00:00 GMT</t>
  </si>
  <si>
    <t>Fri, 14 Jul 2023 00:00:00 GMT</t>
  </si>
  <si>
    <t>Mon, 17 Jul 2023 00:00:00 GMT</t>
  </si>
  <si>
    <t>Tue, 18 Jul 2023 00:00:00 GMT</t>
  </si>
  <si>
    <t>Wed, 19 Jul 2023 00:00:00 GMT</t>
  </si>
  <si>
    <t>Thu, 20 Jul 2023 00:00:00 GMT</t>
  </si>
  <si>
    <t>Fri, 21 Jul 2023 00:00:00 GMT</t>
  </si>
  <si>
    <t>Mon, 24 Jul 2023 00:00:00 GMT</t>
  </si>
  <si>
    <t>Tue, 25 Jul 2023 00:00:00 GMT</t>
  </si>
  <si>
    <t>Wed, 26 Jul 2023 00:00:00 GMT</t>
  </si>
  <si>
    <t>Thu, 27 Jul 2023 00:00:00 GMT</t>
  </si>
  <si>
    <t>Fri, 28 Jul 2023 00:00:00 GMT</t>
  </si>
  <si>
    <t>Mon, 31 Jul 2023 00:00:00 GMT</t>
  </si>
  <si>
    <t>Tue, 01 Aug 2023 00:00:00 GMT</t>
  </si>
  <si>
    <t>Wed, 02 Aug 2023 00:00:00 GMT</t>
  </si>
  <si>
    <t>Thu, 03 Aug 2023 00:00:00 GMT</t>
  </si>
  <si>
    <t>Fri, 04 Aug 2023 00:00:00 GMT</t>
  </si>
  <si>
    <t>Mon, 07 Aug 2023 00:00:00 GMT</t>
  </si>
  <si>
    <t>Tue, 08 Aug 2023 00:00:00 GMT</t>
  </si>
  <si>
    <t>Wed, 09 Aug 2023 00:00:00 GMT</t>
  </si>
  <si>
    <t>Thu, 10 Aug 2023 00:00:00 GMT</t>
  </si>
  <si>
    <t>Fri, 11 Aug 2023 00:00:00 GMT</t>
  </si>
  <si>
    <t>Mon, 14 Aug 2023 00:00:00 GMT</t>
  </si>
  <si>
    <t>Tue, 15 Aug 2023 00:00:00 GMT</t>
  </si>
  <si>
    <t>Wed, 16 Aug 2023 00:00:00 GMT</t>
  </si>
  <si>
    <t>Thu, 17 Aug 2023 00:00:00 GMT</t>
  </si>
  <si>
    <t>Fri, 18 Aug 2023 00:00:00 GMT</t>
  </si>
  <si>
    <t>Mon, 21 Aug 2023 00:00:00 GMT</t>
  </si>
  <si>
    <t>Tue, 22 Aug 2023 00:00:00 GMT</t>
  </si>
  <si>
    <t>Wed, 23 Aug 2023 00:00:00 GMT</t>
  </si>
  <si>
    <t>Thu, 24 Aug 2023 00:00:00 GMT</t>
  </si>
  <si>
    <t>Fri, 25 Aug 2023 00:00:00 GMT</t>
  </si>
  <si>
    <t>Mon, 28 Aug 2023 00:00:00 GMT</t>
  </si>
  <si>
    <t>Tue, 29 Aug 2023 00:00:00 GMT</t>
  </si>
  <si>
    <t>Wed, 30 Aug 2023 00:00:00 GMT</t>
  </si>
  <si>
    <t>Thu, 31 Aug 2023 00:00:00 GMT</t>
  </si>
  <si>
    <t>Fri, 01 Sep 2023 00:00:00 GMT</t>
  </si>
  <si>
    <t>Tue, 05 Sep 2023 00:00:00 GMT</t>
  </si>
  <si>
    <t>Wed, 06 Sep 2023 00:00:00 GMT</t>
  </si>
  <si>
    <t>Thu, 07 Sep 2023 00:00:00 GMT</t>
  </si>
  <si>
    <t>Fri, 08 Sep 2023 00:00:00 GMT</t>
  </si>
  <si>
    <t>Mon, 11 Sep 2023 00:00:00 GMT</t>
  </si>
  <si>
    <t>Tue, 12 Sep 2023 00:00:00 GMT</t>
  </si>
  <si>
    <t>Wed, 13 Sep 2023 00:00:00 GMT</t>
  </si>
  <si>
    <t>Thu, 14 Sep 2023 00:00:00 GMT</t>
  </si>
  <si>
    <t>Fri, 15 Sep 2023 00:00:00 GMT</t>
  </si>
  <si>
    <t>Mon, 18 Sep 2023 00:00:00 GMT</t>
  </si>
  <si>
    <t>Tue, 19 Sep 2023 00:00:00 GMT</t>
  </si>
  <si>
    <t>Wed, 20 Sep 2023 00:00:00 GMT</t>
  </si>
  <si>
    <t>Thu, 21 Sep 2023 00:00:00 GMT</t>
  </si>
  <si>
    <t>Fri, 22 Sep 2023 00:00:00 GMT</t>
  </si>
  <si>
    <t>Mon, 25 Sep 2023 00:00:00 GMT</t>
  </si>
  <si>
    <t>Tue, 26 Sep 2023 00:00:00 GMT</t>
  </si>
  <si>
    <t>Wed, 27 Sep 2023 00:00:00 GMT</t>
  </si>
  <si>
    <t>Thu, 28 Sep 2023 00:00:00 GMT</t>
  </si>
  <si>
    <t>Fri, 29 Sep 2023 00:00:00 GMT</t>
  </si>
  <si>
    <t>Mon, 02 Oct 2023 00:00:00 GMT</t>
  </si>
  <si>
    <t>Tue, 03 Oct 2023 00:00:00 GMT</t>
  </si>
  <si>
    <t>Wed, 04 Oct 2023 00:00:00 GMT</t>
  </si>
  <si>
    <t>Thu, 05 Oct 2023 00:00:00 GMT</t>
  </si>
  <si>
    <t>Fri, 06 Oct 2023 00:00:00 GMT</t>
  </si>
  <si>
    <t>Mon, 09 Oct 2023 00:00:00 GMT</t>
  </si>
  <si>
    <t>Tue, 10 Oct 2023 00:00:00 GMT</t>
  </si>
  <si>
    <t>Wed, 11 Oct 2023 00:00:00 GMT</t>
  </si>
  <si>
    <t>Thu, 12 Oct 2023 00:00:00 GMT</t>
  </si>
  <si>
    <t>Fri, 13 Oct 2023 00:00:00 GMT</t>
  </si>
  <si>
    <t>Mon, 16 Oct 2023 00:00:00 GMT</t>
  </si>
  <si>
    <t>Tue, 17 Oct 2023 00:00:00 GMT</t>
  </si>
  <si>
    <t>Wed, 18 Oct 2023 00:00:00 GMT</t>
  </si>
  <si>
    <t>Thu, 19 Oct 2023 00:00:00 GMT</t>
  </si>
  <si>
    <t>Fri, 20 Oct 2023 00:00:00 GMT</t>
  </si>
  <si>
    <t>Mon, 23 Oct 2023 00:00:00 GMT</t>
  </si>
  <si>
    <t>Tue, 24 Oct 2023 00:00:00 GMT</t>
  </si>
  <si>
    <t>Wed, 25 Oct 2023 00:00:00 GMT</t>
  </si>
  <si>
    <t>Thu, 26 Oct 2023 00:00:00 GMT</t>
  </si>
  <si>
    <t>Fri, 27 Oct 2023 00:00:00 GMT</t>
  </si>
  <si>
    <t>Mon, 30 Oct 2023 00:00:00 GMT</t>
  </si>
  <si>
    <t>Tue, 31 Oct 2023 00:00:00 GMT</t>
  </si>
  <si>
    <t>Wed, 01 Nov 2023 00:00:00 GMT</t>
  </si>
  <si>
    <t>Thu, 02 Nov 2023 00:00:00 GMT</t>
  </si>
  <si>
    <t>Fri, 03 Nov 2023 00:00:00 GMT</t>
  </si>
  <si>
    <t>Mon, 06 Nov 2023 00:00:00 GMT</t>
  </si>
  <si>
    <t>Tue, 07 Nov 2023 00:00:00 GMT</t>
  </si>
  <si>
    <t>Wed, 08 Nov 2023 00:00:00 GMT</t>
  </si>
  <si>
    <t>Thu, 09 Nov 2023 00:00:00 GMT</t>
  </si>
  <si>
    <t>Fri, 10 Nov 2023 00:00:00 GMT</t>
  </si>
  <si>
    <t>Mon, 13 Nov 2023 00:00:00 GMT</t>
  </si>
  <si>
    <t>Tue, 14 Nov 2023 00:00:00 GMT</t>
  </si>
  <si>
    <t>Wed, 15 Nov 2023 00:00:00 GMT</t>
  </si>
  <si>
    <t>Thu, 16 Nov 2023 00:00:00 GMT</t>
  </si>
  <si>
    <t>Fri, 17 Nov 2023 00:00:00 GMT</t>
  </si>
  <si>
    <t>Mon, 20 Nov 2023 00:00:00 GMT</t>
  </si>
  <si>
    <t>Tue, 21 Nov 2023 00:00:00 GMT</t>
  </si>
  <si>
    <t>Wed, 22 Nov 2023 00:00:00 GMT</t>
  </si>
  <si>
    <t>Fri, 24 Nov 2023 00:00:00 GMT</t>
  </si>
  <si>
    <t>Mon, 27 Nov 2023 00:00:00 GMT</t>
  </si>
  <si>
    <t>Tue, 28 Nov 2023 00:00:00 GMT</t>
  </si>
  <si>
    <t>Wed, 29 Nov 2023 00:00:00 GMT</t>
  </si>
  <si>
    <t>Thu, 30 Nov 2023 00:00:00 GMT</t>
  </si>
  <si>
    <t>Fri, 01 Dec 2023 00:00:00 GMT</t>
  </si>
  <si>
    <t>Mon, 04 Dec 2023 00:00:00 GMT</t>
  </si>
  <si>
    <t>Tue, 05 Dec 2023 00:00:00 GMT</t>
  </si>
  <si>
    <t>Wed, 06 Dec 2023 00:00:00 GMT</t>
  </si>
  <si>
    <t>Thu, 07 Dec 2023 00:00:00 GMT</t>
  </si>
  <si>
    <t>Fri, 08 Dec 2023 00:00:00 GMT</t>
  </si>
  <si>
    <t>Mon, 11 Dec 2023 00:00:00 GMT</t>
  </si>
  <si>
    <t>Tue, 12 Dec 2023 00:00:00 GMT</t>
  </si>
  <si>
    <t>Wed, 13 Dec 2023 00:00:00 GMT</t>
  </si>
  <si>
    <t>Thu, 14 Dec 2023 00:00:00 GMT</t>
  </si>
  <si>
    <t>Fri, 15 Dec 2023 00:00:00 GMT</t>
  </si>
  <si>
    <t>Mon, 18 Dec 2023 00:00:00 GMT</t>
  </si>
  <si>
    <t>Tue, 19 Dec 2023 00:00:00 GMT</t>
  </si>
  <si>
    <t>Wed, 20 Dec 2023 00:00:00 GMT</t>
  </si>
  <si>
    <t>Thu, 21 Dec 2023 00:00:00 GMT</t>
  </si>
  <si>
    <t>Fri, 22 Dec 2023 00:00:00 GMT</t>
  </si>
  <si>
    <t>Tue, 26 Dec 2023 00:00:00 GMT</t>
  </si>
  <si>
    <t>Wed, 27 Dec 2023 00:00:00 GMT</t>
  </si>
  <si>
    <t>Thu, 28 Dec 2023 00:00:00 GMT</t>
  </si>
  <si>
    <t>Fri, 29 Dec 2023 00:00:00 GMT</t>
  </si>
  <si>
    <t>Tue, 02 Jan 2024 00:00:00 GMT</t>
  </si>
  <si>
    <t>Wed, 03 Jan 2024 00:00:00 GMT</t>
  </si>
  <si>
    <t>Thu, 04 Jan 2024 00:00:00 GMT</t>
  </si>
  <si>
    <t>Fri, 05 Jan 2024 00:00:00 GMT</t>
  </si>
  <si>
    <t>Mon, 08 Jan 2024 00:00:00 GMT</t>
  </si>
  <si>
    <t>Tue, 09 Jan 2024 00:00:00 GMT</t>
  </si>
  <si>
    <t>Wed, 10 Jan 2024 00:00:00 GMT</t>
  </si>
  <si>
    <t>Thu, 11 Jan 2024 00:00:00 GMT</t>
  </si>
  <si>
    <t>Fri, 12 Jan 2024 00:00:00 GMT</t>
  </si>
  <si>
    <t>Tue, 16 Jan 2024 00:00:00 GMT</t>
  </si>
  <si>
    <t>Wed, 17 Jan 2024 00:00:00 GMT</t>
  </si>
  <si>
    <t>Thu, 18 Jan 2024 00:00:00 GMT</t>
  </si>
  <si>
    <t>Fri, 19 Jan 2024 00:00:00 GMT</t>
  </si>
  <si>
    <t>Mon, 22 Jan 2024 00:00:00 GMT</t>
  </si>
  <si>
    <t>Tue, 23 Jan 2024 00:00:00 GMT</t>
  </si>
  <si>
    <t>Wed, 24 Jan 2024 00:00:00 GMT</t>
  </si>
  <si>
    <t>Thu, 25 Jan 2024 00:00:00 GMT</t>
  </si>
  <si>
    <t>Fri, 26 Jan 2024 00:00:00 GMT</t>
  </si>
  <si>
    <t>Mon, 29 Jan 2024 00:00:00 GMT</t>
  </si>
  <si>
    <t>Tue, 30 Jan 2024 00:00:00 GMT</t>
  </si>
  <si>
    <t>Wed, 31 Jan 2024 00:00:00 GMT</t>
  </si>
  <si>
    <t>Thu, 01 Feb 2024 00:00:00 GMT</t>
  </si>
  <si>
    <t>Fri, 02 Feb 2024 00:00:00 GMT</t>
  </si>
  <si>
    <t>Mon, 05 Feb 2024 00:00:00 GMT</t>
  </si>
  <si>
    <t>Tue, 06 Feb 2024 00:00:00 GMT</t>
  </si>
  <si>
    <t>Wed, 07 Feb 2024 00:00:00 GMT</t>
  </si>
  <si>
    <t>Thu, 08 Feb 2024 00:00:00 GMT</t>
  </si>
  <si>
    <t>Fri, 09 Feb 2024 00:00:00 GMT</t>
  </si>
  <si>
    <t>Mon, 12 Feb 2024 00:00:00 GMT</t>
  </si>
  <si>
    <t>Tue, 13 Feb 2024 00:00:00 GMT</t>
  </si>
  <si>
    <t>Wed, 14 Feb 2024 00:00:00 GMT</t>
  </si>
  <si>
    <t>Thu, 15 Feb 2024 00:00:00 GMT</t>
  </si>
  <si>
    <t>Fri, 16 Feb 2024 00:00:00 GMT</t>
  </si>
  <si>
    <t>Tue, 20 Feb 2024 00:00:00 GMT</t>
  </si>
  <si>
    <t>Wed, 21 Feb 2024 00:00:00 GMT</t>
  </si>
  <si>
    <t>Thu, 22 Feb 2024 00:00:00 GMT</t>
  </si>
  <si>
    <t>Fri, 23 Feb 2024 00:00:00 GMT</t>
  </si>
  <si>
    <t>Mon, 26 Feb 2024 00:00:00 GMT</t>
  </si>
  <si>
    <t>Tue, 27 Feb 2024 00:00:00 GMT</t>
  </si>
  <si>
    <t>Wed, 28 Feb 2024 00:00:00 GMT</t>
  </si>
  <si>
    <t>Thu, 29 Feb 2024 00:00:00 GMT</t>
  </si>
  <si>
    <t>Fri, 01 Mar 2024 00:00:00 GMT</t>
  </si>
  <si>
    <t>Mon, 04 Mar 2024 00:00:00 GMT</t>
  </si>
  <si>
    <t>Tue, 05 Mar 2024 00:00:00 GMT</t>
  </si>
  <si>
    <t>Wed, 06 Mar 2024 00:00:00 GMT</t>
  </si>
  <si>
    <t>Thu, 07 Mar 2024 00:00:00 GMT</t>
  </si>
  <si>
    <t>Fri, 08 Mar 2024 00:00:00 GMT</t>
  </si>
  <si>
    <t>Mon, 11 Mar 2024 00:00:00 GMT</t>
  </si>
  <si>
    <t>Tue, 12 Mar 2024 00:00:00 GMT</t>
  </si>
  <si>
    <t>Wed, 13 Mar 2024 00:00:00 GMT</t>
  </si>
  <si>
    <t>Thu, 14 Mar 2024 00:00:00 GMT</t>
  </si>
  <si>
    <t>Fri, 15 Mar 2024 00:00:00 GMT</t>
  </si>
  <si>
    <t>Mon, 18 Mar 2024 00:00:00 GMT</t>
  </si>
  <si>
    <t>Tue, 19 Mar 2024 00:00:00 GMT</t>
  </si>
  <si>
    <t>Wed, 20 Mar 2024 00:00:00 GMT</t>
  </si>
  <si>
    <t>Thu, 21 Mar 2024 00:00:00 GMT</t>
  </si>
  <si>
    <t>Fri, 22 Mar 2024 00:00:00 GMT</t>
  </si>
  <si>
    <t>Mon, 25 Mar 2024 00:00:00 GMT</t>
  </si>
  <si>
    <t>Wed, 26 Mar 2025 00:00:00 GMT</t>
  </si>
  <si>
    <t>Thu, 27 Mar 2025 00:00:00 GMT</t>
  </si>
  <si>
    <t>Fri, 28 Mar 2025 00:00:00 GMT</t>
  </si>
  <si>
    <t>Mon, 31 Mar 2025 00:00:00 GMT</t>
  </si>
  <si>
    <t>Tue, 01 Apr 2025 00:00:00 GMT</t>
  </si>
  <si>
    <t>Wed, 02 Apr 2025 00:00:00 GMT</t>
  </si>
  <si>
    <t>Thu, 03 Apr 2025 00:00:00 GMT</t>
  </si>
  <si>
    <t>Fri, 04 Apr 2025 00:00:00 GMT</t>
  </si>
  <si>
    <t>Mon, 07 Apr 2025 00:00:00 GMT</t>
  </si>
  <si>
    <t>Tue, 08 Apr 2025 00:00:00 GMT</t>
  </si>
  <si>
    <t>Wed, 09 Apr 2025 00:00:00 GMT</t>
  </si>
  <si>
    <t>Thu, 10 Apr 2025 00:00:00 GMT</t>
  </si>
  <si>
    <t>Fri, 11 Apr 2025 00:00:00 GMT</t>
  </si>
  <si>
    <t>Mon, 14 Apr 2025 00:00:00 GMT</t>
  </si>
  <si>
    <t>Tue, 15 Apr 2025 00:00:00 GMT</t>
  </si>
  <si>
    <t>Wed, 16 Apr 2025 00:00:00 GMT</t>
  </si>
  <si>
    <t>Thu, 17 Apr 2025 00:00:00 GMT</t>
  </si>
  <si>
    <t>Mon, 21 Apr 2025 00:00:00 GMT</t>
  </si>
  <si>
    <t>Tue, 22 Apr 2025 00:00:00 GMT</t>
  </si>
  <si>
    <t>Wed, 23 Apr 2025 00:00:00 GMT</t>
  </si>
  <si>
    <t>Thu, 24 Apr 2025 00:00:00 GMT</t>
  </si>
  <si>
    <t>Fri, 25 Apr 2025 00:00:00 GMT</t>
  </si>
  <si>
    <t>Mon, 28 Apr 2025 00:00:00 GMT</t>
  </si>
  <si>
    <t>Tue, 29 Apr 2025 00:00:00 GMT</t>
  </si>
  <si>
    <t>Wed, 30 Apr 2025 00:00:00 GMT</t>
  </si>
  <si>
    <t>Thu, 01 May 2025 00:00:00 GMT</t>
  </si>
  <si>
    <t>Fri, 02 May 2025 00:00:00 GMT</t>
  </si>
  <si>
    <t>Mon, 05 May 2025 00:00:00 GMT</t>
  </si>
  <si>
    <t>Tue, 06 May 2025 00:00:00 GMT</t>
  </si>
  <si>
    <t>Wed, 07 May 2025 00:00:00 GMT</t>
  </si>
  <si>
    <t>Thu, 08 May 2025 00:00:00 GMT</t>
  </si>
  <si>
    <t>Fri, 09 May 2025 00:00:00 GMT</t>
  </si>
  <si>
    <t>Mon, 12 May 2025 00:00:00 GMT</t>
  </si>
  <si>
    <t>Tue, 13 May 2025 00:00:00 GMT</t>
  </si>
  <si>
    <t>Wed, 14 May 2025 00:00:00 GMT</t>
  </si>
  <si>
    <t>Thu, 15 May 2025 00:00:00 GMT</t>
  </si>
  <si>
    <t>Fri, 16 May 2025 00:00:00 GMT</t>
  </si>
  <si>
    <t>Mon, 19 May 2025 00:00:00 GMT</t>
  </si>
  <si>
    <t>Tue, 20 May 2025 00:00:00 GMT</t>
  </si>
  <si>
    <t>Wed, 21 May 2025 00:00:00 GMT</t>
  </si>
  <si>
    <t>Thu, 22 May 2025 00:00:00 GMT</t>
  </si>
  <si>
    <t>Fri, 23 May 2025 00:00:00 GMT</t>
  </si>
  <si>
    <r>
      <rPr>
        <i/>
        <sz val="11"/>
        <color theme="1"/>
        <rFont val="Calibre"/>
      </rPr>
      <t>1758</t>
    </r>
    <r>
      <rPr>
        <sz val="11"/>
        <color theme="1"/>
        <rFont val="Calibre"/>
      </rPr>
      <t xml:space="preserve"> Trading Days (From: 5/26/18-5/26/25)</t>
    </r>
  </si>
  <si>
    <t>Q/q Total Revenues, Net Income, FCF</t>
  </si>
  <si>
    <t>Y/y Total Revenues, Net Income, FCF</t>
  </si>
  <si>
    <t>BNPL (competing with AFRM, XYZ and Klarna)</t>
  </si>
  <si>
    <t>Digital wallets (competing with AAPL, GOOG, XYZ, Zelle)</t>
  </si>
  <si>
    <t xml:space="preserve">Operating a traditional payment network/CC offerings (competing with V, MA, and AXP) </t>
  </si>
  <si>
    <t>PayPal operates in many high value markets including:</t>
  </si>
  <si>
    <t>The Company's valuation multiples is discounted in comparison to peers... the firm has anemic user growth, and is continuing to spend on expensive marketing campaigns, all while competing firms continue to seize market share in virtually every category PayPal operates in</t>
  </si>
  <si>
    <t xml:space="preserve">My model is relatively conservative with most future projected figures, except for operating margin (which I believe will see some decent expansion over FY '25 due to Braintree contract renegotiations). I believe PayPal is a decent long around the ($55-65) range and have an initial price target of ~$85… could be an incredible value trap though as there are a few challenges I feel will be difficult for the firm to overcome.  </t>
  </si>
  <si>
    <t>Looking at the CME tool, 3 FED cuts are currently priced in for year end overnight lending rates between 3.5-3.75%</t>
  </si>
  <si>
    <t>From a macro perspective -&gt; watching credit spreads, default rates and credit revaluations will be important to monitor throughout the year</t>
  </si>
  <si>
    <t xml:space="preserve">2025 is  expected to see a disproportionately large wave of corporate debt refinancing from the 2020-2021 low rate era. Refinancing will happen at a much higher rate across the board. </t>
  </si>
  <si>
    <t xml:space="preserve">The newly issued notes have effective interest rates between 4.5-5%, a 2-3x increase in borrowing costs </t>
  </si>
  <si>
    <t>The notes terming out were issued before the FED hiking cycle beginning Mar. '22, having effective interest rates below 2%</t>
  </si>
  <si>
    <t>A brief observation I had while scoping out the balance sheet was in regards to the refinancing of $1.5 billion in bonds terming out in 2025</t>
  </si>
  <si>
    <t>Operating margin better tracks the true operating performance on a Q/q basis ex 1 time cash inflows from other incomes and divestments</t>
  </si>
  <si>
    <t>Operating income margin will be important to track very closely for short term modeling</t>
  </si>
  <si>
    <t>60% of 2025 Coachella tickets were purchased using BNPL services… LMAOO</t>
  </si>
  <si>
    <t>User growth has stagnated for the last couple of years; TPV is still growing faster than GDP… check against inflation/money supply growth</t>
  </si>
  <si>
    <t>BNPL services allow for a greater sum of users to access "credit" and make transactions they otherwise may have held off on --&gt; increases TPV --&gt; must analyze consumer credit risks to ensure recollection of loaned funds</t>
  </si>
  <si>
    <t>TPV is the sole most important "macro" figure for PayPal. PayPal's revenues are directly correlated with TPV --&gt; a focus of management should be on network access/boosting conversion rates</t>
  </si>
  <si>
    <t>E-Commerce payment processing (competing with XYY, ADYEY, SHOP)</t>
  </si>
  <si>
    <t xml:space="preserve">Revenue Breakdown by Segment </t>
  </si>
  <si>
    <t xml:space="preserve">[PYPL] Historical Return Histogram (Date Built) </t>
  </si>
  <si>
    <t>PYPL</t>
  </si>
  <si>
    <t>Paypal (PYPL)</t>
  </si>
  <si>
    <t>Paypal IR Page</t>
  </si>
  <si>
    <t>Paypal Homepage</t>
  </si>
  <si>
    <t>Sector: Financials</t>
  </si>
  <si>
    <t>Industry: FinTech / Credit Services</t>
  </si>
  <si>
    <t>IPO: Feb 15, 2002 -- ~$800M valuation (bought by eBay for $1.5B in stock: Oct, 3,2002)</t>
  </si>
  <si>
    <t>Will PayPal's day-to-day EQ returns be more volatile going forward? Hahaha, lever up 20x… FAFO</t>
  </si>
  <si>
    <t>https://www.paypal.com/us/home</t>
  </si>
  <si>
    <t>https://www.sec.gov/edgar/browse/?CIK=1633917&amp;owner=exclude</t>
  </si>
  <si>
    <t>https://investor.pypl.com/home/</t>
  </si>
  <si>
    <t>https://seekingalpha.com/symbol/PYPL/earnings/transcripts</t>
  </si>
  <si>
    <t>https://stockanalysis.com/stocks/pypl/</t>
  </si>
  <si>
    <t>More</t>
  </si>
  <si>
    <t>Transaction Expenses % of Revenue</t>
  </si>
  <si>
    <t>Transaction &amp; Credit Losses % of Revenue</t>
  </si>
  <si>
    <t>Customer Support &amp; Op. Expenses % of Revenue</t>
  </si>
  <si>
    <t>Invested Capital</t>
  </si>
  <si>
    <t>AVG Invested Capital</t>
  </si>
  <si>
    <t>ROIC</t>
  </si>
  <si>
    <t>2023-2024</t>
  </si>
  <si>
    <t>Terminal</t>
  </si>
  <si>
    <t>RFR (10-year yield)</t>
  </si>
  <si>
    <t>ERP 
(Avg. market return - (less) RFR)</t>
  </si>
  <si>
    <t>Equity β (1-year avg.)</t>
  </si>
  <si>
    <t>Discount (Cost of Equity)</t>
  </si>
  <si>
    <t>NPV</t>
  </si>
  <si>
    <t>FV</t>
  </si>
  <si>
    <t>CP</t>
  </si>
  <si>
    <t>Q2'25</t>
  </si>
  <si>
    <t>Projected ROIC:</t>
  </si>
  <si>
    <t>Change Δ</t>
  </si>
  <si>
    <r>
      <t xml:space="preserve">PayPal Holdings, Inc. operates a scaled financial technology platform that enables </t>
    </r>
    <r>
      <rPr>
        <b/>
        <sz val="11"/>
        <color theme="1"/>
        <rFont val="Calibre"/>
      </rPr>
      <t>digital payments</t>
    </r>
    <r>
      <rPr>
        <sz val="11"/>
        <color theme="1"/>
        <rFont val="Calibre"/>
      </rPr>
      <t xml:space="preserve"> on behalf of both </t>
    </r>
    <r>
      <rPr>
        <b/>
        <sz val="11"/>
        <color theme="1"/>
        <rFont val="Calibre"/>
      </rPr>
      <t>merchants</t>
    </r>
    <r>
      <rPr>
        <sz val="11"/>
        <color theme="1"/>
        <rFont val="Calibre"/>
      </rPr>
      <t xml:space="preserve"> and </t>
    </r>
    <r>
      <rPr>
        <b/>
        <sz val="11"/>
        <color theme="1"/>
        <rFont val="Calibre"/>
      </rPr>
      <t>consumers</t>
    </r>
    <r>
      <rPr>
        <sz val="11"/>
        <color theme="1"/>
        <rFont val="Calibre"/>
      </rPr>
      <t xml:space="preserve"> worldwide</t>
    </r>
  </si>
  <si>
    <r>
      <t xml:space="preserve">The Company's payments platform allows consumers to </t>
    </r>
    <r>
      <rPr>
        <b/>
        <sz val="11"/>
        <color theme="1"/>
        <rFont val="Calibre"/>
      </rPr>
      <t>send and receive payments in approximately 200 markets</t>
    </r>
    <r>
      <rPr>
        <sz val="11"/>
        <color theme="1"/>
        <rFont val="Calibre"/>
      </rPr>
      <t xml:space="preserve"> and in approximately 100 currencies, withdraw funds to their bank accounts in 56 currencies, and hold balances in their PayPal accounts in 25 currencies</t>
    </r>
  </si>
  <si>
    <t>It generates most revenue from transaction fees on total payment volume (TPV), with additional contribution from value‑added services such as merchant solutions, credit products, and partnerships</t>
  </si>
  <si>
    <t>2211 North First Street San Jose, CA 95131 U.S.</t>
  </si>
  <si>
    <t>Q3'25</t>
  </si>
  <si>
    <t>Active Users: 432M</t>
  </si>
  <si>
    <t>Q2 2027</t>
  </si>
  <si>
    <t>Q3 2027</t>
  </si>
  <si>
    <t>Q4 2027</t>
  </si>
  <si>
    <t>Founder(s): Peter Thiel, Max Levchin, Luke Nosek, Ken Howery, Yu Pan, Elon Musk</t>
  </si>
  <si>
    <t>(408) 967 - 7000</t>
  </si>
  <si>
    <t>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</si>
</sst>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22">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b/>
      <u/>
      <sz val="11"/>
      <color theme="1"/>
      <name val="Calibre"/>
    </font>
    <font>
      <sz val="10"/>
      <name val="Calibre"/>
    </font>
    <font>
      <sz val="10"/>
      <name val="Arial"/>
      <family val="2"/>
    </font>
    <font>
      <sz val="11"/>
      <color theme="4" tint="-0.249977111117893"/>
      <name val="Calibre"/>
    </font>
    <font>
      <b/>
      <sz val="11"/>
      <color theme="4" tint="-0.249977111117893"/>
      <name val="Calibre"/>
    </font>
  </fonts>
  <fills count="7">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FF00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84">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0" fontId="16" fillId="0" borderId="0" xfId="2" applyFont="1"/>
    <xf numFmtId="9" fontId="2" fillId="0" borderId="0" xfId="0" applyNumberFormat="1" applyFont="1"/>
    <xf numFmtId="1" fontId="2" fillId="0" borderId="0" xfId="0" applyNumberFormat="1" applyFont="1"/>
    <xf numFmtId="0" fontId="2" fillId="6" borderId="0" xfId="0" applyFont="1" applyFill="1"/>
    <xf numFmtId="164" fontId="2" fillId="0" borderId="0" xfId="1" applyNumberFormat="1" applyFont="1"/>
    <xf numFmtId="1" fontId="13" fillId="0" borderId="0" xfId="0" applyNumberFormat="1" applyFont="1"/>
    <xf numFmtId="10" fontId="18" fillId="0" borderId="0" xfId="0" applyNumberFormat="1" applyFont="1"/>
    <xf numFmtId="0" fontId="19" fillId="0" borderId="0" xfId="0" applyFont="1"/>
    <xf numFmtId="1" fontId="3" fillId="0" borderId="0" xfId="0" applyNumberFormat="1" applyFont="1"/>
    <xf numFmtId="10" fontId="2" fillId="0" borderId="0" xfId="1" applyNumberFormat="1" applyFont="1"/>
    <xf numFmtId="164" fontId="2" fillId="0" borderId="0" xfId="0" applyNumberFormat="1" applyFont="1"/>
    <xf numFmtId="10" fontId="0" fillId="0" borderId="0" xfId="0" applyNumberFormat="1"/>
    <xf numFmtId="0" fontId="0" fillId="0" borderId="18" xfId="0" applyBorder="1"/>
    <xf numFmtId="0" fontId="9" fillId="0" borderId="17" xfId="0" applyFont="1" applyBorder="1" applyAlignment="1">
      <alignment horizontal="center"/>
    </xf>
    <xf numFmtId="164" fontId="20" fillId="0" borderId="0" xfId="0" applyNumberFormat="1" applyFont="1"/>
    <xf numFmtId="0" fontId="20" fillId="0" borderId="0" xfId="0" applyFont="1"/>
    <xf numFmtId="0" fontId="21" fillId="0" borderId="0" xfId="0" applyFont="1"/>
    <xf numFmtId="1" fontId="20" fillId="0" borderId="0" xfId="0" applyNumberFormat="1" applyFont="1"/>
    <xf numFmtId="1" fontId="21" fillId="0" borderId="0" xfId="0" applyNumberFormat="1" applyFont="1"/>
    <xf numFmtId="164" fontId="20" fillId="0" borderId="0" xfId="1" applyNumberFormat="1" applyFont="1"/>
    <xf numFmtId="0" fontId="13" fillId="0" borderId="0" xfId="0" applyFont="1" applyAlignment="1">
      <alignment vertical="top" wrapText="1"/>
    </xf>
    <xf numFmtId="1" fontId="2" fillId="0" borderId="0" xfId="0" applyNumberFormat="1" applyFont="1" applyAlignment="1">
      <alignment horizontal="left" indent="5"/>
    </xf>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0" applyNumberFormat="1" applyFont="1" applyAlignment="1">
      <alignment vertical="top"/>
    </xf>
    <xf numFmtId="164" fontId="13" fillId="0" borderId="0" xfId="1" applyNumberFormat="1" applyFont="1" applyAlignment="1">
      <alignment vertical="top"/>
    </xf>
    <xf numFmtId="14" fontId="13" fillId="0" borderId="0" xfId="0" applyNumberFormat="1" applyFont="1" applyAlignment="1">
      <alignment horizontal="right" vertical="top"/>
    </xf>
    <xf numFmtId="2" fontId="13" fillId="0" borderId="0" xfId="0" applyNumberFormat="1" applyFont="1" applyAlignment="1">
      <alignment vertical="top"/>
    </xf>
    <xf numFmtId="0" fontId="3" fillId="0" borderId="0" xfId="0" applyFont="1" applyAlignment="1">
      <alignment vertical="top"/>
    </xf>
    <xf numFmtId="49" fontId="13" fillId="0" borderId="0" xfId="0" applyNumberFormat="1" applyFont="1" applyAlignment="1">
      <alignment horizontal="right" vertical="top"/>
    </xf>
    <xf numFmtId="14" fontId="13" fillId="0" borderId="0" xfId="0" applyNumberFormat="1" applyFont="1" applyAlignment="1">
      <alignment horizontal="left" vertical="top"/>
    </xf>
    <xf numFmtId="0" fontId="13" fillId="0" borderId="0" xfId="0" applyFont="1" applyAlignment="1">
      <alignment horizontal="left" vertical="top"/>
    </xf>
    <xf numFmtId="49" fontId="13" fillId="0" borderId="0" xfId="0" applyNumberFormat="1" applyFont="1" applyAlignment="1">
      <alignment horizontal="left" vertical="top"/>
    </xf>
    <xf numFmtId="164" fontId="3" fillId="0" borderId="0" xfId="0" applyNumberFormat="1" applyFont="1"/>
    <xf numFmtId="164" fontId="21" fillId="0" borderId="0" xfId="0" applyNumberFormat="1" applyFont="1"/>
    <xf numFmtId="2" fontId="13" fillId="0" borderId="0" xfId="0" applyNumberFormat="1" applyFont="1"/>
    <xf numFmtId="165" fontId="2" fillId="0" borderId="0" xfId="0" applyNumberFormat="1" applyFont="1" applyAlignment="1">
      <alignment horizontal="left" indent="5"/>
    </xf>
    <xf numFmtId="2" fontId="2" fillId="0" borderId="0" xfId="0" applyNumberFormat="1" applyFont="1" applyAlignment="1">
      <alignment horizontal="left" indent="5"/>
    </xf>
    <xf numFmtId="166" fontId="2" fillId="0" borderId="0" xfId="3" applyNumberFormat="1" applyFont="1" applyAlignment="1">
      <alignment horizontal="left" indent="3"/>
    </xf>
    <xf numFmtId="49" fontId="2" fillId="0" borderId="0" xfId="0" applyNumberFormat="1" applyFont="1" applyAlignment="1">
      <alignment horizontal="left"/>
    </xf>
    <xf numFmtId="0" fontId="20" fillId="0" borderId="0" xfId="0" applyFont="1" applyAlignment="1">
      <alignment horizontal="center"/>
    </xf>
  </cellXfs>
  <cellStyles count="4">
    <cellStyle name="Comma" xfId="3" builtinId="3"/>
    <cellStyle name="Hyperlink" xfId="2" builtinId="8"/>
    <cellStyle name="Normal" xfId="0" builtinId="0"/>
    <cellStyle name="Percent" xfId="1" builtinId="5"/>
  </cellStyles>
  <dxfs count="10">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1"/>
      </font>
      <fill>
        <patternFill>
          <bgColor rgb="FFFF6D6D"/>
        </patternFill>
      </fill>
    </dxf>
    <dxf>
      <font>
        <b/>
        <i val="0"/>
        <color theme="1"/>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(PYPL)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Analysis'!$I$212</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52400" cap="flat" cmpd="sng" algn="ctr">
                <a:solidFill>
                  <a:srgbClr val="00B0F0"/>
                </a:solidFill>
                <a:round/>
              </a:ln>
              <a:effectLst/>
            </c:spPr>
          </c:errBars>
          <c:xVal>
            <c:numRef>
              <c:f>'Notes | Quant Analysis'!$I$214:$I$264</c:f>
              <c:numCache>
                <c:formatCode>0.00%</c:formatCode>
                <c:ptCount val="51"/>
                <c:pt idx="0">
                  <c:v>-6.25E-2</c:v>
                </c:pt>
                <c:pt idx="1">
                  <c:v>-0.06</c:v>
                </c:pt>
                <c:pt idx="2">
                  <c:v>-5.7500000000000002E-2</c:v>
                </c:pt>
                <c:pt idx="3">
                  <c:v>-5.5E-2</c:v>
                </c:pt>
                <c:pt idx="4">
                  <c:v>-5.2499999999999977E-2</c:v>
                </c:pt>
                <c:pt idx="5">
                  <c:v>-4.9999999999999975E-2</c:v>
                </c:pt>
                <c:pt idx="6">
                  <c:v>-4.7499999999999973E-2</c:v>
                </c:pt>
                <c:pt idx="7">
                  <c:v>-4.4999999999999971E-2</c:v>
                </c:pt>
                <c:pt idx="8">
                  <c:v>-4.2499999999999968E-2</c:v>
                </c:pt>
                <c:pt idx="9">
                  <c:v>-3.9999999999999966E-2</c:v>
                </c:pt>
                <c:pt idx="10">
                  <c:v>-3.7499999999999964E-2</c:v>
                </c:pt>
                <c:pt idx="11">
                  <c:v>-3.4999999999999962E-2</c:v>
                </c:pt>
                <c:pt idx="12">
                  <c:v>-3.2499999999999959E-2</c:v>
                </c:pt>
                <c:pt idx="13">
                  <c:v>-2.9999999999999961E-2</c:v>
                </c:pt>
                <c:pt idx="14">
                  <c:v>-2.7499999999999962E-2</c:v>
                </c:pt>
                <c:pt idx="15">
                  <c:v>-2.4999999999999963E-2</c:v>
                </c:pt>
                <c:pt idx="16">
                  <c:v>-2.2499999999999964E-2</c:v>
                </c:pt>
                <c:pt idx="17">
                  <c:v>-1.9999999999999966E-2</c:v>
                </c:pt>
                <c:pt idx="18">
                  <c:v>-1.7499999999999967E-2</c:v>
                </c:pt>
                <c:pt idx="19">
                  <c:v>-1.4999999999999966E-2</c:v>
                </c:pt>
                <c:pt idx="20">
                  <c:v>-1.2499999999999966E-2</c:v>
                </c:pt>
                <c:pt idx="21">
                  <c:v>-9.9999999999999655E-3</c:v>
                </c:pt>
                <c:pt idx="22">
                  <c:v>-7.499999999999965E-3</c:v>
                </c:pt>
                <c:pt idx="23">
                  <c:v>-4.9999999999999645E-3</c:v>
                </c:pt>
                <c:pt idx="24">
                  <c:v>-2.4999999999999645E-3</c:v>
                </c:pt>
                <c:pt idx="25">
                  <c:v>3.5561831257524545E-17</c:v>
                </c:pt>
                <c:pt idx="26">
                  <c:v>2.5000000000000356E-3</c:v>
                </c:pt>
                <c:pt idx="27">
                  <c:v>5.0000000000000357E-3</c:v>
                </c:pt>
                <c:pt idx="28">
                  <c:v>7.5000000000000362E-3</c:v>
                </c:pt>
                <c:pt idx="29">
                  <c:v>1.0000000000000037E-2</c:v>
                </c:pt>
                <c:pt idx="30">
                  <c:v>1.2500000000000037E-2</c:v>
                </c:pt>
                <c:pt idx="31">
                  <c:v>1.5000000000000038E-2</c:v>
                </c:pt>
                <c:pt idx="32">
                  <c:v>1.7500000000000036E-2</c:v>
                </c:pt>
                <c:pt idx="33">
                  <c:v>2.0000000000000035E-2</c:v>
                </c:pt>
                <c:pt idx="34">
                  <c:v>2.2500000000000034E-2</c:v>
                </c:pt>
                <c:pt idx="35">
                  <c:v>2.5000000000000033E-2</c:v>
                </c:pt>
                <c:pt idx="36">
                  <c:v>2.7500000000000031E-2</c:v>
                </c:pt>
                <c:pt idx="37">
                  <c:v>3.000000000000003E-2</c:v>
                </c:pt>
                <c:pt idx="38">
                  <c:v>3.2500000000000029E-2</c:v>
                </c:pt>
                <c:pt idx="39">
                  <c:v>3.5000000000000031E-2</c:v>
                </c:pt>
                <c:pt idx="40">
                  <c:v>3.7500000000000033E-2</c:v>
                </c:pt>
                <c:pt idx="41">
                  <c:v>4.0000000000000036E-2</c:v>
                </c:pt>
                <c:pt idx="42">
                  <c:v>4.2500000000000038E-2</c:v>
                </c:pt>
                <c:pt idx="43">
                  <c:v>4.500000000000004E-2</c:v>
                </c:pt>
                <c:pt idx="44">
                  <c:v>4.7500000000000042E-2</c:v>
                </c:pt>
                <c:pt idx="45">
                  <c:v>5.0000000000000044E-2</c:v>
                </c:pt>
                <c:pt idx="46">
                  <c:v>5.2500000000000047E-2</c:v>
                </c:pt>
                <c:pt idx="47">
                  <c:v>5.5E-2</c:v>
                </c:pt>
                <c:pt idx="48">
                  <c:v>5.7500000000000002E-2</c:v>
                </c:pt>
                <c:pt idx="49">
                  <c:v>0.06</c:v>
                </c:pt>
                <c:pt idx="50">
                  <c:v>6.25E-2</c:v>
                </c:pt>
              </c:numCache>
            </c:numRef>
          </c:xVal>
          <c:yVal>
            <c:numRef>
              <c:f>'Notes | Quant Analysis'!$J$214:$J$264</c:f>
              <c:numCache>
                <c:formatCode>General</c:formatCode>
                <c:ptCount val="51"/>
                <c:pt idx="0">
                  <c:v>0</c:v>
                </c:pt>
                <c:pt idx="1">
                  <c:v>0</c:v>
                </c:pt>
                <c:pt idx="2">
                  <c:v>5</c:v>
                </c:pt>
                <c:pt idx="3">
                  <c:v>4</c:v>
                </c:pt>
                <c:pt idx="4">
                  <c:v>3</c:v>
                </c:pt>
                <c:pt idx="5">
                  <c:v>8</c:v>
                </c:pt>
                <c:pt idx="6">
                  <c:v>2</c:v>
                </c:pt>
                <c:pt idx="7">
                  <c:v>10</c:v>
                </c:pt>
                <c:pt idx="8">
                  <c:v>10</c:v>
                </c:pt>
                <c:pt idx="9">
                  <c:v>9</c:v>
                </c:pt>
                <c:pt idx="10">
                  <c:v>12</c:v>
                </c:pt>
                <c:pt idx="11">
                  <c:v>16</c:v>
                </c:pt>
                <c:pt idx="12">
                  <c:v>16</c:v>
                </c:pt>
                <c:pt idx="13">
                  <c:v>26</c:v>
                </c:pt>
                <c:pt idx="14">
                  <c:v>21</c:v>
                </c:pt>
                <c:pt idx="15">
                  <c:v>30</c:v>
                </c:pt>
                <c:pt idx="16">
                  <c:v>30</c:v>
                </c:pt>
                <c:pt idx="17">
                  <c:v>57</c:v>
                </c:pt>
                <c:pt idx="18">
                  <c:v>36</c:v>
                </c:pt>
                <c:pt idx="19">
                  <c:v>52</c:v>
                </c:pt>
                <c:pt idx="20">
                  <c:v>62</c:v>
                </c:pt>
                <c:pt idx="21">
                  <c:v>75</c:v>
                </c:pt>
                <c:pt idx="22">
                  <c:v>73</c:v>
                </c:pt>
                <c:pt idx="23">
                  <c:v>101</c:v>
                </c:pt>
                <c:pt idx="24">
                  <c:v>95</c:v>
                </c:pt>
                <c:pt idx="25">
                  <c:v>96</c:v>
                </c:pt>
                <c:pt idx="26">
                  <c:v>100</c:v>
                </c:pt>
                <c:pt idx="27">
                  <c:v>102</c:v>
                </c:pt>
                <c:pt idx="28">
                  <c:v>108</c:v>
                </c:pt>
                <c:pt idx="29">
                  <c:v>100</c:v>
                </c:pt>
                <c:pt idx="30">
                  <c:v>89</c:v>
                </c:pt>
                <c:pt idx="31">
                  <c:v>79</c:v>
                </c:pt>
                <c:pt idx="32">
                  <c:v>57</c:v>
                </c:pt>
                <c:pt idx="33">
                  <c:v>55</c:v>
                </c:pt>
                <c:pt idx="34">
                  <c:v>35</c:v>
                </c:pt>
                <c:pt idx="35">
                  <c:v>31</c:v>
                </c:pt>
                <c:pt idx="36">
                  <c:v>25</c:v>
                </c:pt>
                <c:pt idx="37">
                  <c:v>19</c:v>
                </c:pt>
                <c:pt idx="38">
                  <c:v>17</c:v>
                </c:pt>
                <c:pt idx="39">
                  <c:v>12</c:v>
                </c:pt>
                <c:pt idx="40">
                  <c:v>20</c:v>
                </c:pt>
                <c:pt idx="41">
                  <c:v>9</c:v>
                </c:pt>
                <c:pt idx="42">
                  <c:v>9</c:v>
                </c:pt>
                <c:pt idx="43">
                  <c:v>8</c:v>
                </c:pt>
                <c:pt idx="44">
                  <c:v>6</c:v>
                </c:pt>
                <c:pt idx="45">
                  <c:v>5</c:v>
                </c:pt>
                <c:pt idx="46">
                  <c:v>3</c:v>
                </c:pt>
                <c:pt idx="47">
                  <c:v>3</c:v>
                </c:pt>
                <c:pt idx="48">
                  <c:v>0</c:v>
                </c:pt>
                <c:pt idx="49">
                  <c:v>3</c:v>
                </c:pt>
                <c:pt idx="50">
                  <c:v>1</c:v>
                </c:pt>
              </c:numCache>
            </c:numRef>
          </c:yVal>
          <c:smooth val="1"/>
          <c:extLst>
            <c:ext xmlns:c16="http://schemas.microsoft.com/office/drawing/2014/chart" uri="{C3380CC4-5D6E-409C-BE32-E72D297353CC}">
              <c16:uniqueId val="{00000000-28C7-4862-86E9-AF862A5BA0AD}"/>
            </c:ext>
          </c:extLst>
        </c:ser>
        <c:ser>
          <c:idx val="1"/>
          <c:order val="1"/>
          <c:tx>
            <c:strRef>
              <c:f>'Notes | Quant Analysis'!$L$212</c:f>
              <c:strCache>
                <c:ptCount val="1"/>
                <c:pt idx="0">
                  <c:v>Distribution Overlay</c:v>
                </c:pt>
              </c:strCache>
            </c:strRef>
          </c:tx>
          <c:spPr>
            <a:ln w="19050" cap="rnd">
              <a:solidFill>
                <a:srgbClr val="FFC000"/>
              </a:solidFill>
              <a:round/>
            </a:ln>
            <a:effectLst/>
          </c:spPr>
          <c:marker>
            <c:symbol val="none"/>
          </c:marker>
          <c:xVal>
            <c:numRef>
              <c:f>'Notes | Quant Analysis'!$L$214:$L$266</c:f>
              <c:numCache>
                <c:formatCode>0.00%</c:formatCode>
                <c:ptCount val="53"/>
                <c:pt idx="0">
                  <c:v>-6.5000000000000002E-2</c:v>
                </c:pt>
                <c:pt idx="1">
                  <c:v>-6.25E-2</c:v>
                </c:pt>
                <c:pt idx="2">
                  <c:v>-0.06</c:v>
                </c:pt>
                <c:pt idx="3">
                  <c:v>-5.7500000000000002E-2</c:v>
                </c:pt>
                <c:pt idx="4">
                  <c:v>-5.5E-2</c:v>
                </c:pt>
                <c:pt idx="5">
                  <c:v>-5.2499999999999977E-2</c:v>
                </c:pt>
                <c:pt idx="6">
                  <c:v>-4.9999999999999975E-2</c:v>
                </c:pt>
                <c:pt idx="7">
                  <c:v>-4.7499999999999973E-2</c:v>
                </c:pt>
                <c:pt idx="8">
                  <c:v>-4.4999999999999971E-2</c:v>
                </c:pt>
                <c:pt idx="9">
                  <c:v>-4.2499999999999968E-2</c:v>
                </c:pt>
                <c:pt idx="10">
                  <c:v>-3.9999999999999966E-2</c:v>
                </c:pt>
                <c:pt idx="11">
                  <c:v>-3.7499999999999964E-2</c:v>
                </c:pt>
                <c:pt idx="12">
                  <c:v>-3.4999999999999962E-2</c:v>
                </c:pt>
                <c:pt idx="13">
                  <c:v>-3.2499999999999959E-2</c:v>
                </c:pt>
                <c:pt idx="14">
                  <c:v>-2.9999999999999961E-2</c:v>
                </c:pt>
                <c:pt idx="15">
                  <c:v>-2.7499999999999962E-2</c:v>
                </c:pt>
                <c:pt idx="16">
                  <c:v>-2.4999999999999963E-2</c:v>
                </c:pt>
                <c:pt idx="17">
                  <c:v>-2.2499999999999964E-2</c:v>
                </c:pt>
                <c:pt idx="18">
                  <c:v>-1.9999999999999966E-2</c:v>
                </c:pt>
                <c:pt idx="19">
                  <c:v>-1.7499999999999967E-2</c:v>
                </c:pt>
                <c:pt idx="20">
                  <c:v>-1.4999999999999966E-2</c:v>
                </c:pt>
                <c:pt idx="21">
                  <c:v>-1.2499999999999966E-2</c:v>
                </c:pt>
                <c:pt idx="22">
                  <c:v>-9.9999999999999655E-3</c:v>
                </c:pt>
                <c:pt idx="23">
                  <c:v>-7.499999999999965E-3</c:v>
                </c:pt>
                <c:pt idx="24">
                  <c:v>-4.9999999999999645E-3</c:v>
                </c:pt>
                <c:pt idx="25">
                  <c:v>-2.4999999999999645E-3</c:v>
                </c:pt>
                <c:pt idx="26">
                  <c:v>3.5561831257524545E-17</c:v>
                </c:pt>
                <c:pt idx="27">
                  <c:v>2.5000000000000356E-3</c:v>
                </c:pt>
                <c:pt idx="28">
                  <c:v>5.0000000000000357E-3</c:v>
                </c:pt>
                <c:pt idx="29">
                  <c:v>7.5000000000000362E-3</c:v>
                </c:pt>
                <c:pt idx="30">
                  <c:v>1.0000000000000037E-2</c:v>
                </c:pt>
                <c:pt idx="31">
                  <c:v>1.2500000000000037E-2</c:v>
                </c:pt>
                <c:pt idx="32">
                  <c:v>1.5000000000000038E-2</c:v>
                </c:pt>
                <c:pt idx="33">
                  <c:v>1.7500000000000036E-2</c:v>
                </c:pt>
                <c:pt idx="34">
                  <c:v>2.0000000000000035E-2</c:v>
                </c:pt>
                <c:pt idx="35">
                  <c:v>2.2500000000000034E-2</c:v>
                </c:pt>
                <c:pt idx="36">
                  <c:v>2.5000000000000033E-2</c:v>
                </c:pt>
                <c:pt idx="37">
                  <c:v>2.7500000000000031E-2</c:v>
                </c:pt>
                <c:pt idx="38">
                  <c:v>3.000000000000003E-2</c:v>
                </c:pt>
                <c:pt idx="39">
                  <c:v>3.2500000000000029E-2</c:v>
                </c:pt>
                <c:pt idx="40">
                  <c:v>3.5000000000000031E-2</c:v>
                </c:pt>
                <c:pt idx="41">
                  <c:v>3.7500000000000033E-2</c:v>
                </c:pt>
                <c:pt idx="42">
                  <c:v>4.0000000000000036E-2</c:v>
                </c:pt>
                <c:pt idx="43">
                  <c:v>4.2500000000000038E-2</c:v>
                </c:pt>
                <c:pt idx="44">
                  <c:v>4.500000000000004E-2</c:v>
                </c:pt>
                <c:pt idx="45">
                  <c:v>4.7500000000000042E-2</c:v>
                </c:pt>
                <c:pt idx="46">
                  <c:v>5.0000000000000044E-2</c:v>
                </c:pt>
                <c:pt idx="47">
                  <c:v>5.2500000000000047E-2</c:v>
                </c:pt>
                <c:pt idx="48">
                  <c:v>5.5E-2</c:v>
                </c:pt>
                <c:pt idx="49">
                  <c:v>5.7500000000000002E-2</c:v>
                </c:pt>
                <c:pt idx="50">
                  <c:v>0.06</c:v>
                </c:pt>
                <c:pt idx="51">
                  <c:v>6.25E-2</c:v>
                </c:pt>
                <c:pt idx="52">
                  <c:v>6.5000000000000002E-2</c:v>
                </c:pt>
              </c:numCache>
            </c:numRef>
          </c:xVal>
          <c:yVal>
            <c:numRef>
              <c:f>'Notes | Quant Analysis'!$M$214:$M$266</c:f>
              <c:numCache>
                <c:formatCode>General</c:formatCode>
                <c:ptCount val="53"/>
                <c:pt idx="0">
                  <c:v>0.12156126078930457</c:v>
                </c:pt>
                <c:pt idx="1">
                  <c:v>0.17839428180525357</c:v>
                </c:pt>
                <c:pt idx="2">
                  <c:v>0.25788756965457676</c:v>
                </c:pt>
                <c:pt idx="3">
                  <c:v>0.36723463605214407</c:v>
                </c:pt>
                <c:pt idx="4">
                  <c:v>0.51513446512562022</c:v>
                </c:pt>
                <c:pt idx="5">
                  <c:v>0.71180547725341714</c:v>
                </c:pt>
                <c:pt idx="6">
                  <c:v>0.96887062713868832</c:v>
                </c:pt>
                <c:pt idx="7">
                  <c:v>1.2990743270912819</c:v>
                </c:pt>
                <c:pt idx="8">
                  <c:v>1.7157972071675667</c:v>
                </c:pt>
                <c:pt idx="9">
                  <c:v>2.232346774428922</c:v>
                </c:pt>
                <c:pt idx="10">
                  <c:v>2.8610214100209967</c:v>
                </c:pt>
                <c:pt idx="11">
                  <c:v>3.6119713974231842</c:v>
                </c:pt>
                <c:pt idx="12">
                  <c:v>4.4919120403384687</c:v>
                </c:pt>
                <c:pt idx="13">
                  <c:v>5.5027772151966117</c:v>
                </c:pt>
                <c:pt idx="14">
                  <c:v>6.6404324537987902</c:v>
                </c:pt>
                <c:pt idx="15">
                  <c:v>7.8935895925982047</c:v>
                </c:pt>
                <c:pt idx="16">
                  <c:v>9.2430748054944782</c:v>
                </c:pt>
                <c:pt idx="17">
                  <c:v>10.661593973379171</c:v>
                </c:pt>
                <c:pt idx="18">
                  <c:v>12.11411122196237</c:v>
                </c:pt>
                <c:pt idx="19">
                  <c:v>13.558908196278635</c:v>
                </c:pt>
                <c:pt idx="20">
                  <c:v>14.949326594274027</c:v>
                </c:pt>
                <c:pt idx="21">
                  <c:v>16.236121240858456</c:v>
                </c:pt>
                <c:pt idx="22">
                  <c:v>17.370274738436311</c:v>
                </c:pt>
                <c:pt idx="23">
                  <c:v>18.306058063334685</c:v>
                </c:pt>
                <c:pt idx="24">
                  <c:v>19.0040747328989</c:v>
                </c:pt>
                <c:pt idx="25">
                  <c:v>19.434007668903707</c:v>
                </c:pt>
                <c:pt idx="26">
                  <c:v>19.57680234522671</c:v>
                </c:pt>
                <c:pt idx="27">
                  <c:v>19.426067274984298</c:v>
                </c:pt>
                <c:pt idx="28">
                  <c:v>18.988548443673075</c:v>
                </c:pt>
                <c:pt idx="29">
                  <c:v>18.283628629490281</c:v>
                </c:pt>
                <c:pt idx="30">
                  <c:v>17.341903376734823</c:v>
                </c:pt>
                <c:pt idx="31">
                  <c:v>16.202979365612055</c:v>
                </c:pt>
                <c:pt idx="32">
                  <c:v>14.912715816016281</c:v>
                </c:pt>
                <c:pt idx="33">
                  <c:v>13.520176176975948</c:v>
                </c:pt>
                <c:pt idx="34">
                  <c:v>12.074570897597075</c:v>
                </c:pt>
                <c:pt idx="35">
                  <c:v>10.622452727672599</c:v>
                </c:pt>
                <c:pt idx="36">
                  <c:v>9.2053785875835619</c:v>
                </c:pt>
                <c:pt idx="37">
                  <c:v>7.8581849787486746</c:v>
                </c:pt>
                <c:pt idx="38">
                  <c:v>6.6079475509294134</c:v>
                </c:pt>
                <c:pt idx="39">
                  <c:v>5.4736203666706915</c:v>
                </c:pt>
                <c:pt idx="40">
                  <c:v>4.4662857396330473</c:v>
                </c:pt>
                <c:pt idx="41">
                  <c:v>3.5898977781552577</c:v>
                </c:pt>
                <c:pt idx="42">
                  <c:v>2.8423752061086356</c:v>
                </c:pt>
                <c:pt idx="43">
                  <c:v>2.2168916936824616</c:v>
                </c:pt>
                <c:pt idx="44">
                  <c:v>1.7032221338835254</c:v>
                </c:pt>
                <c:pt idx="45">
                  <c:v>1.2890265258579112</c:v>
                </c:pt>
                <c:pt idx="46">
                  <c:v>0.96098401293179403</c:v>
                </c:pt>
                <c:pt idx="47">
                  <c:v>0.70572291146641664</c:v>
                </c:pt>
                <c:pt idx="48">
                  <c:v>0.51052382875314051</c:v>
                </c:pt>
                <c:pt idx="49">
                  <c:v>0.36379905300946513</c:v>
                </c:pt>
                <c:pt idx="50">
                  <c:v>0.25537057651629269</c:v>
                </c:pt>
                <c:pt idx="51">
                  <c:v>0.17658096900980194</c:v>
                </c:pt>
                <c:pt idx="52">
                  <c:v>0.12027647198019387</c:v>
                </c:pt>
              </c:numCache>
            </c:numRef>
          </c:yVal>
          <c:smooth val="1"/>
          <c:extLst>
            <c:ext xmlns:c16="http://schemas.microsoft.com/office/drawing/2014/chart" uri="{C3380CC4-5D6E-409C-BE32-E72D297353CC}">
              <c16:uniqueId val="{00000001-28C7-4862-86E9-AF862A5BA0AD}"/>
            </c:ext>
          </c:extLst>
        </c:ser>
        <c:ser>
          <c:idx val="2"/>
          <c:order val="2"/>
          <c:tx>
            <c:strRef>
              <c:f>'Notes | Quant Analysis'!$O$214</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9369726920298856E-2"/>
                  <c:y val="-3.9751923963718828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611561124647507"/>
                      <c:h val="7.744836646093260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Analysis'!$P$214:$P$215</c:f>
              <c:numCache>
                <c:formatCode>0.00%</c:formatCode>
                <c:ptCount val="2"/>
                <c:pt idx="0">
                  <c:v>-3.394171843334212E-5</c:v>
                </c:pt>
                <c:pt idx="1">
                  <c:v>-3.394171843334212E-5</c:v>
                </c:pt>
              </c:numCache>
            </c:numRef>
          </c:xVal>
          <c:yVal>
            <c:numRef>
              <c:f>'Notes | Quant Analysis'!$Q$214:$Q$215</c:f>
              <c:numCache>
                <c:formatCode>General</c:formatCode>
                <c:ptCount val="2"/>
                <c:pt idx="0">
                  <c:v>0</c:v>
                </c:pt>
                <c:pt idx="1">
                  <c:v>20</c:v>
                </c:pt>
              </c:numCache>
            </c:numRef>
          </c:yVal>
          <c:smooth val="1"/>
          <c:extLst>
            <c:ext xmlns:c16="http://schemas.microsoft.com/office/drawing/2014/chart" uri="{C3380CC4-5D6E-409C-BE32-E72D297353CC}">
              <c16:uniqueId val="{00000004-28C7-4862-86E9-AF862A5BA0AD}"/>
            </c:ext>
          </c:extLst>
        </c:ser>
        <c:ser>
          <c:idx val="3"/>
          <c:order val="3"/>
          <c:tx>
            <c:strRef>
              <c:f>'Notes | Quant Analysis'!$O$216</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4.2278393489133349E-2"/>
                  <c:y val="-2.937691163859859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-6.116880736210107E-2</c:v>
                </c:pt>
                <c:pt idx="1">
                  <c:v>-6.116880736210107E-2</c:v>
                </c:pt>
              </c:numCache>
            </c:numRef>
          </c:xVal>
          <c:yVal>
            <c:numRef>
              <c:f>'Notes | Quant Analysis'!$Q$216:$Q$217</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Analysis'!$O$218</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2.6204823657417997E-2"/>
                  <c:y val="-4.85371700727156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-4.0790518814211828E-2</c:v>
                </c:pt>
                <c:pt idx="1">
                  <c:v>-4.0790518814211828E-2</c:v>
                </c:pt>
              </c:numCache>
            </c:numRef>
          </c:xVal>
          <c:yVal>
            <c:numRef>
              <c:f>'Notes | Quant Analysis'!$Q$218:$Q$219</c:f>
              <c:numCache>
                <c:formatCode>General</c:formatCode>
                <c:ptCount val="2"/>
                <c:pt idx="0">
                  <c:v>0</c:v>
                </c:pt>
                <c:pt idx="1">
                  <c:v>4</c:v>
                </c:pt>
              </c:numCache>
            </c:numRef>
          </c:yVal>
          <c:smooth val="1"/>
          <c:extLst>
            <c:ext xmlns:c16="http://schemas.microsoft.com/office/drawing/2014/chart" uri="{C3380CC4-5D6E-409C-BE32-E72D297353CC}">
              <c16:uniqueId val="{0000000A-28C7-4862-86E9-AF862A5BA0AD}"/>
            </c:ext>
          </c:extLst>
        </c:ser>
        <c:ser>
          <c:idx val="5"/>
          <c:order val="5"/>
          <c:tx>
            <c:strRef>
              <c:f>'Notes | Quant Analysis'!$O$220</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5.6505600454082587E-2"/>
                  <c:y val="-5.776382978087678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-2.0412230266322585E-2</c:v>
                </c:pt>
                <c:pt idx="1">
                  <c:v>-2.0412230266322585E-2</c:v>
                </c:pt>
              </c:numCache>
            </c:numRef>
          </c:xVal>
          <c:yVal>
            <c:numRef>
              <c:f>'Notes | Quant Analysis'!$Q$220:$Q$221</c:f>
              <c:numCache>
                <c:formatCode>General</c:formatCode>
                <c:ptCount val="2"/>
                <c:pt idx="0">
                  <c:v>0</c:v>
                </c:pt>
                <c:pt idx="1">
                  <c:v>11</c:v>
                </c:pt>
              </c:numCache>
            </c:numRef>
          </c:yVal>
          <c:smooth val="1"/>
          <c:extLst>
            <c:ext xmlns:c16="http://schemas.microsoft.com/office/drawing/2014/chart" uri="{C3380CC4-5D6E-409C-BE32-E72D297353CC}">
              <c16:uniqueId val="{0000000D-28C7-4862-86E9-AF862A5BA0AD}"/>
            </c:ext>
          </c:extLst>
        </c:ser>
        <c:ser>
          <c:idx val="6"/>
          <c:order val="6"/>
          <c:tx>
            <c:strRef>
              <c:f>'Notes | Quant Analysis'!$O$222</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1161585781011825E-2"/>
                  <c:y val="-5.270430567493354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2.0344346829455899E-2</c:v>
                </c:pt>
                <c:pt idx="1">
                  <c:v>2.0344346829455899E-2</c:v>
                </c:pt>
              </c:numCache>
            </c:numRef>
          </c:xVal>
          <c:yVal>
            <c:numRef>
              <c:f>'Notes | Quant Analysis'!$Q$222:$Q$223</c:f>
              <c:numCache>
                <c:formatCode>General</c:formatCode>
                <c:ptCount val="2"/>
                <c:pt idx="0">
                  <c:v>0</c:v>
                </c:pt>
                <c:pt idx="1">
                  <c:v>11</c:v>
                </c:pt>
              </c:numCache>
            </c:numRef>
          </c:yVal>
          <c:smooth val="1"/>
          <c:extLst>
            <c:ext xmlns:c16="http://schemas.microsoft.com/office/drawing/2014/chart" uri="{C3380CC4-5D6E-409C-BE32-E72D297353CC}">
              <c16:uniqueId val="{0000000F-28C7-4862-86E9-AF862A5BA0AD}"/>
            </c:ext>
          </c:extLst>
        </c:ser>
        <c:ser>
          <c:idx val="7"/>
          <c:order val="7"/>
          <c:tx>
            <c:strRef>
              <c:f>'Notes | Quant Analysis'!$O$224</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4.9223710124004547E-2"/>
                  <c:y val="-4.868437433705783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Analysis'!$P$224:$P$225</c:f>
              <c:numCache>
                <c:formatCode>0.00%</c:formatCode>
                <c:ptCount val="2"/>
                <c:pt idx="0">
                  <c:v>4.0722635377345141E-2</c:v>
                </c:pt>
                <c:pt idx="1">
                  <c:v>4.0722635377345141E-2</c:v>
                </c:pt>
              </c:numCache>
            </c:numRef>
          </c:xVal>
          <c:yVal>
            <c:numRef>
              <c:f>'Notes | Quant Analysis'!$Q$224:$Q$225</c:f>
              <c:numCache>
                <c:formatCode>General</c:formatCode>
                <c:ptCount val="2"/>
                <c:pt idx="0">
                  <c:v>0</c:v>
                </c:pt>
                <c:pt idx="1">
                  <c:v>4</c:v>
                </c:pt>
              </c:numCache>
            </c:numRef>
          </c:yVal>
          <c:smooth val="1"/>
          <c:extLst>
            <c:ext xmlns:c16="http://schemas.microsoft.com/office/drawing/2014/chart" uri="{C3380CC4-5D6E-409C-BE32-E72D297353CC}">
              <c16:uniqueId val="{00000012-28C7-4862-86E9-AF862A5BA0AD}"/>
            </c:ext>
          </c:extLst>
        </c:ser>
        <c:ser>
          <c:idx val="8"/>
          <c:order val="8"/>
          <c:tx>
            <c:strRef>
              <c:f>'Notes | Quant Analysis'!$O$226</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4.4259826519671447E-2"/>
                  <c:y val="-2.665771622244775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Analysis'!$P$226:$P$227</c:f>
              <c:numCache>
                <c:formatCode>0.00%</c:formatCode>
                <c:ptCount val="2"/>
                <c:pt idx="0">
                  <c:v>6.1100923925234384E-2</c:v>
                </c:pt>
                <c:pt idx="1">
                  <c:v>6.1100923925234384E-2</c:v>
                </c:pt>
              </c:numCache>
            </c:numRef>
          </c:xVal>
          <c:yVal>
            <c:numRef>
              <c:f>'Notes | Quant Analysis'!$Q$226:$Q$227</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7.0000000000000007E-2"/>
          <c:min val="-7.0000000000000007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(PYPL)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Model!$W$1:$AQ$1</c:f>
              <c:strCache>
                <c:ptCount val="21"/>
                <c:pt idx="0">
                  <c:v>Q1 2020</c:v>
                </c:pt>
                <c:pt idx="4">
                  <c:v>Q1 2021</c:v>
                </c:pt>
                <c:pt idx="8">
                  <c:v>Q1 2022</c:v>
                </c:pt>
                <c:pt idx="12">
                  <c:v>Q1 2023</c:v>
                </c:pt>
                <c:pt idx="16">
                  <c:v>Q1 2024</c:v>
                </c:pt>
                <c:pt idx="20">
                  <c:v>Q1 2025</c:v>
                </c:pt>
              </c:strCache>
            </c:strRef>
          </c:cat>
          <c:val>
            <c:numRef>
              <c:f>Model!$W$41:$AS$41</c:f>
              <c:numCache>
                <c:formatCode>General</c:formatCode>
                <c:ptCount val="23"/>
                <c:pt idx="0">
                  <c:v>84</c:v>
                </c:pt>
                <c:pt idx="1">
                  <c:v>1530</c:v>
                </c:pt>
                <c:pt idx="2">
                  <c:v>1021</c:v>
                </c:pt>
                <c:pt idx="3">
                  <c:v>1567</c:v>
                </c:pt>
                <c:pt idx="4">
                  <c:v>1097</c:v>
                </c:pt>
                <c:pt idx="5">
                  <c:v>1184</c:v>
                </c:pt>
                <c:pt idx="6">
                  <c:v>1087</c:v>
                </c:pt>
                <c:pt idx="7">
                  <c:v>801</c:v>
                </c:pt>
                <c:pt idx="8">
                  <c:v>509</c:v>
                </c:pt>
                <c:pt idx="9">
                  <c:v>-341</c:v>
                </c:pt>
                <c:pt idx="10">
                  <c:v>1330</c:v>
                </c:pt>
                <c:pt idx="11">
                  <c:v>921</c:v>
                </c:pt>
                <c:pt idx="12">
                  <c:v>795</c:v>
                </c:pt>
                <c:pt idx="13">
                  <c:v>1029</c:v>
                </c:pt>
                <c:pt idx="14">
                  <c:v>1020</c:v>
                </c:pt>
                <c:pt idx="15">
                  <c:v>1402</c:v>
                </c:pt>
                <c:pt idx="16">
                  <c:v>888</c:v>
                </c:pt>
                <c:pt idx="17">
                  <c:v>1128</c:v>
                </c:pt>
                <c:pt idx="18">
                  <c:v>1010</c:v>
                </c:pt>
                <c:pt idx="19">
                  <c:v>1121</c:v>
                </c:pt>
                <c:pt idx="20">
                  <c:v>1287</c:v>
                </c:pt>
                <c:pt idx="21">
                  <c:v>1261</c:v>
                </c:pt>
                <c:pt idx="22">
                  <c:v>1248</c:v>
                </c:pt>
              </c:numCache>
            </c:numRef>
          </c:val>
          <c:extLst>
            <c:ext xmlns:c16="http://schemas.microsoft.com/office/drawing/2014/chart" uri="{C3380CC4-5D6E-409C-BE32-E72D297353CC}">
              <c16:uniqueId val="{00000000-0BB5-4A05-84FB-A4F369DFD254}"/>
            </c:ext>
          </c:extLst>
        </c:ser>
        <c:ser>
          <c:idx val="2"/>
          <c:order val="2"/>
          <c:tx>
            <c:v>FCF</c:v>
          </c:tx>
          <c:spPr>
            <a:solidFill>
              <a:srgbClr val="FFC000"/>
            </a:solidFill>
            <a:ln>
              <a:noFill/>
            </a:ln>
          </c:spPr>
          <c:invertIfNegative val="0"/>
          <c:cat>
            <c:strRef>
              <c:f>Model!$W$1:$AQ$1</c:f>
              <c:strCache>
                <c:ptCount val="21"/>
                <c:pt idx="0">
                  <c:v>Q1 2020</c:v>
                </c:pt>
                <c:pt idx="4">
                  <c:v>Q1 2021</c:v>
                </c:pt>
                <c:pt idx="8">
                  <c:v>Q1 2022</c:v>
                </c:pt>
                <c:pt idx="12">
                  <c:v>Q1 2023</c:v>
                </c:pt>
                <c:pt idx="16">
                  <c:v>Q1 2024</c:v>
                </c:pt>
                <c:pt idx="20">
                  <c:v>Q1 2025</c:v>
                </c:pt>
              </c:strCache>
            </c:strRef>
          </c:cat>
          <c:val>
            <c:numRef>
              <c:f>Model!$W$102:$AS$102</c:f>
              <c:numCache>
                <c:formatCode>General</c:formatCode>
                <c:ptCount val="23"/>
                <c:pt idx="0">
                  <c:v>1334</c:v>
                </c:pt>
                <c:pt idx="1">
                  <c:v>1580</c:v>
                </c:pt>
                <c:pt idx="2">
                  <c:v>1073</c:v>
                </c:pt>
                <c:pt idx="3">
                  <c:v>1486</c:v>
                </c:pt>
                <c:pt idx="4">
                  <c:v>1537</c:v>
                </c:pt>
                <c:pt idx="5">
                  <c:v>1060</c:v>
                </c:pt>
                <c:pt idx="6">
                  <c:v>1288</c:v>
                </c:pt>
                <c:pt idx="7">
                  <c:v>1009</c:v>
                </c:pt>
                <c:pt idx="8">
                  <c:v>1029</c:v>
                </c:pt>
                <c:pt idx="9">
                  <c:v>1077</c:v>
                </c:pt>
                <c:pt idx="10">
                  <c:v>1573</c:v>
                </c:pt>
                <c:pt idx="11">
                  <c:v>1433</c:v>
                </c:pt>
                <c:pt idx="12">
                  <c:v>1001</c:v>
                </c:pt>
                <c:pt idx="13">
                  <c:v>-311</c:v>
                </c:pt>
                <c:pt idx="14">
                  <c:v>1105</c:v>
                </c:pt>
                <c:pt idx="15">
                  <c:v>2470</c:v>
                </c:pt>
                <c:pt idx="16">
                  <c:v>1763</c:v>
                </c:pt>
                <c:pt idx="17">
                  <c:v>1368</c:v>
                </c:pt>
                <c:pt idx="18">
                  <c:v>1445</c:v>
                </c:pt>
                <c:pt idx="19">
                  <c:v>2192</c:v>
                </c:pt>
                <c:pt idx="20">
                  <c:v>966</c:v>
                </c:pt>
                <c:pt idx="21">
                  <c:v>690</c:v>
                </c:pt>
                <c:pt idx="22">
                  <c:v>1524</c:v>
                </c:pt>
              </c:numCache>
            </c:numRef>
          </c:val>
          <c:extLst>
            <c:ext xmlns:c16="http://schemas.microsoft.com/office/drawing/2014/chart" uri="{C3380CC4-5D6E-409C-BE32-E72D297353CC}">
              <c16:uniqueId val="{00000001-0BB5-4A05-84FB-A4F369DFD254}"/>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a:solidFill>
                <a:srgbClr val="00B0F0"/>
              </a:solidFill>
            </a:ln>
          </c:spPr>
          <c:marker>
            <c:symbol val="none"/>
          </c:marker>
          <c:cat>
            <c:strRef>
              <c:f>Model!$W$1:$AQ$1</c:f>
              <c:strCache>
                <c:ptCount val="21"/>
                <c:pt idx="0">
                  <c:v>Q1 2020</c:v>
                </c:pt>
                <c:pt idx="4">
                  <c:v>Q1 2021</c:v>
                </c:pt>
                <c:pt idx="8">
                  <c:v>Q1 2022</c:v>
                </c:pt>
                <c:pt idx="12">
                  <c:v>Q1 2023</c:v>
                </c:pt>
                <c:pt idx="16">
                  <c:v>Q1 2024</c:v>
                </c:pt>
                <c:pt idx="20">
                  <c:v>Q1 2025</c:v>
                </c:pt>
              </c:strCache>
            </c:strRef>
          </c:cat>
          <c:val>
            <c:numRef>
              <c:f>Model!$W$29:$AS$29</c:f>
              <c:numCache>
                <c:formatCode>General</c:formatCode>
                <c:ptCount val="23"/>
                <c:pt idx="0">
                  <c:v>4618</c:v>
                </c:pt>
                <c:pt idx="1">
                  <c:v>5261</c:v>
                </c:pt>
                <c:pt idx="2">
                  <c:v>5459</c:v>
                </c:pt>
                <c:pt idx="3">
                  <c:v>6116</c:v>
                </c:pt>
                <c:pt idx="4">
                  <c:v>6033</c:v>
                </c:pt>
                <c:pt idx="5">
                  <c:v>6238</c:v>
                </c:pt>
                <c:pt idx="6">
                  <c:v>6182</c:v>
                </c:pt>
                <c:pt idx="7">
                  <c:v>6918</c:v>
                </c:pt>
                <c:pt idx="8">
                  <c:v>6483</c:v>
                </c:pt>
                <c:pt idx="9">
                  <c:v>6806</c:v>
                </c:pt>
                <c:pt idx="10">
                  <c:v>6846</c:v>
                </c:pt>
                <c:pt idx="11">
                  <c:v>7383</c:v>
                </c:pt>
                <c:pt idx="12">
                  <c:v>7040</c:v>
                </c:pt>
                <c:pt idx="13">
                  <c:v>7287</c:v>
                </c:pt>
                <c:pt idx="14">
                  <c:v>7418</c:v>
                </c:pt>
                <c:pt idx="15">
                  <c:v>8026</c:v>
                </c:pt>
                <c:pt idx="16">
                  <c:v>7699</c:v>
                </c:pt>
                <c:pt idx="17">
                  <c:v>7885</c:v>
                </c:pt>
                <c:pt idx="18">
                  <c:v>7847</c:v>
                </c:pt>
                <c:pt idx="19">
                  <c:v>8366</c:v>
                </c:pt>
                <c:pt idx="20">
                  <c:v>7791</c:v>
                </c:pt>
                <c:pt idx="21">
                  <c:v>8288</c:v>
                </c:pt>
                <c:pt idx="22">
                  <c:v>8417</c:v>
                </c:pt>
              </c:numCache>
            </c:numRef>
          </c:val>
          <c:smooth val="0"/>
          <c:extLst>
            <c:ext xmlns:c16="http://schemas.microsoft.com/office/drawing/2014/chart" uri="{C3380CC4-5D6E-409C-BE32-E72D297353CC}">
              <c16:uniqueId val="{00000002-0BB5-4A05-84FB-A4F369DFD254}"/>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(PYPL)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Model!$B$5</c:f>
              <c:strCache>
                <c:ptCount val="1"/>
                <c:pt idx="0">
                  <c:v>Revenues from other VASs</c:v>
                </c:pt>
              </c:strCache>
            </c:strRef>
          </c:tx>
          <c:spPr>
            <a:solidFill>
              <a:srgbClr val="FFC000"/>
            </a:solidFill>
            <a:ln>
              <a:noFill/>
            </a:ln>
            <a:effectLst/>
          </c:spPr>
          <c:invertIfNegative val="0"/>
          <c:cat>
            <c:strRef>
              <c:f>Model!$W$1:$AQ$1</c:f>
              <c:strCache>
                <c:ptCount val="21"/>
                <c:pt idx="0">
                  <c:v>Q1 2020</c:v>
                </c:pt>
                <c:pt idx="4">
                  <c:v>Q1 2021</c:v>
                </c:pt>
                <c:pt idx="8">
                  <c:v>Q1 2022</c:v>
                </c:pt>
                <c:pt idx="12">
                  <c:v>Q1 2023</c:v>
                </c:pt>
                <c:pt idx="16">
                  <c:v>Q1 2024</c:v>
                </c:pt>
                <c:pt idx="20">
                  <c:v>Q1 2025</c:v>
                </c:pt>
              </c:strCache>
            </c:strRef>
          </c:cat>
          <c:val>
            <c:numRef>
              <c:f>Model!$W$5:$AS$5</c:f>
              <c:numCache>
                <c:formatCode>General</c:formatCode>
                <c:ptCount val="23"/>
                <c:pt idx="0">
                  <c:v>403</c:v>
                </c:pt>
                <c:pt idx="1">
                  <c:v>316</c:v>
                </c:pt>
                <c:pt idx="2">
                  <c:v>383</c:v>
                </c:pt>
                <c:pt idx="3">
                  <c:v>434</c:v>
                </c:pt>
                <c:pt idx="4">
                  <c:v>412</c:v>
                </c:pt>
                <c:pt idx="5">
                  <c:v>441</c:v>
                </c:pt>
                <c:pt idx="6">
                  <c:v>575</c:v>
                </c:pt>
                <c:pt idx="7">
                  <c:v>541</c:v>
                </c:pt>
                <c:pt idx="8">
                  <c:v>485</c:v>
                </c:pt>
                <c:pt idx="9">
                  <c:v>534</c:v>
                </c:pt>
                <c:pt idx="10">
                  <c:v>612</c:v>
                </c:pt>
                <c:pt idx="11">
                  <c:v>681</c:v>
                </c:pt>
                <c:pt idx="12">
                  <c:v>676</c:v>
                </c:pt>
                <c:pt idx="13">
                  <c:v>731</c:v>
                </c:pt>
                <c:pt idx="14">
                  <c:v>764</c:v>
                </c:pt>
                <c:pt idx="15">
                  <c:v>743</c:v>
                </c:pt>
                <c:pt idx="16">
                  <c:v>665</c:v>
                </c:pt>
                <c:pt idx="17">
                  <c:v>732</c:v>
                </c:pt>
                <c:pt idx="18">
                  <c:v>780</c:v>
                </c:pt>
                <c:pt idx="19">
                  <c:v>778</c:v>
                </c:pt>
                <c:pt idx="20">
                  <c:v>775</c:v>
                </c:pt>
                <c:pt idx="21">
                  <c:v>847</c:v>
                </c:pt>
                <c:pt idx="22">
                  <c:v>895</c:v>
                </c:pt>
              </c:numCache>
            </c:numRef>
          </c:val>
          <c:extLst>
            <c:ext xmlns:c16="http://schemas.microsoft.com/office/drawing/2014/chart" uri="{C3380CC4-5D6E-409C-BE32-E72D297353CC}">
              <c16:uniqueId val="{00000000-F448-4FD7-A554-4C02AA93338D}"/>
            </c:ext>
          </c:extLst>
        </c:ser>
        <c:ser>
          <c:idx val="2"/>
          <c:order val="1"/>
          <c:tx>
            <c:strRef>
              <c:f>Model!$B$4</c:f>
              <c:strCache>
                <c:ptCount val="1"/>
                <c:pt idx="0">
                  <c:v>Transaction Revenues</c:v>
                </c:pt>
              </c:strCache>
            </c:strRef>
          </c:tx>
          <c:spPr>
            <a:solidFill>
              <a:srgbClr val="00B0F0"/>
            </a:solidFill>
            <a:ln>
              <a:noFill/>
            </a:ln>
            <a:effectLst/>
          </c:spPr>
          <c:invertIfNegative val="0"/>
          <c:cat>
            <c:strRef>
              <c:f>Model!$W$1:$AQ$1</c:f>
              <c:strCache>
                <c:ptCount val="21"/>
                <c:pt idx="0">
                  <c:v>Q1 2020</c:v>
                </c:pt>
                <c:pt idx="4">
                  <c:v>Q1 2021</c:v>
                </c:pt>
                <c:pt idx="8">
                  <c:v>Q1 2022</c:v>
                </c:pt>
                <c:pt idx="12">
                  <c:v>Q1 2023</c:v>
                </c:pt>
                <c:pt idx="16">
                  <c:v>Q1 2024</c:v>
                </c:pt>
                <c:pt idx="20">
                  <c:v>Q1 2025</c:v>
                </c:pt>
              </c:strCache>
            </c:strRef>
          </c:cat>
          <c:val>
            <c:numRef>
              <c:f>Model!$W$4:$AS$4</c:f>
              <c:numCache>
                <c:formatCode>General</c:formatCode>
                <c:ptCount val="23"/>
                <c:pt idx="0">
                  <c:v>4215</c:v>
                </c:pt>
                <c:pt idx="1">
                  <c:v>4945</c:v>
                </c:pt>
                <c:pt idx="2">
                  <c:v>5076</c:v>
                </c:pt>
                <c:pt idx="3">
                  <c:v>5682</c:v>
                </c:pt>
                <c:pt idx="4">
                  <c:v>5621</c:v>
                </c:pt>
                <c:pt idx="5">
                  <c:v>5797</c:v>
                </c:pt>
                <c:pt idx="6">
                  <c:v>5607</c:v>
                </c:pt>
                <c:pt idx="7">
                  <c:v>6377</c:v>
                </c:pt>
                <c:pt idx="8">
                  <c:v>5998</c:v>
                </c:pt>
                <c:pt idx="9">
                  <c:v>6272</c:v>
                </c:pt>
                <c:pt idx="10">
                  <c:v>6234</c:v>
                </c:pt>
                <c:pt idx="11">
                  <c:v>6702</c:v>
                </c:pt>
                <c:pt idx="12">
                  <c:v>6364</c:v>
                </c:pt>
                <c:pt idx="13">
                  <c:v>6556</c:v>
                </c:pt>
                <c:pt idx="14">
                  <c:v>6654</c:v>
                </c:pt>
                <c:pt idx="15">
                  <c:v>7283</c:v>
                </c:pt>
                <c:pt idx="16">
                  <c:v>7034</c:v>
                </c:pt>
                <c:pt idx="17">
                  <c:v>7153</c:v>
                </c:pt>
                <c:pt idx="18">
                  <c:v>7067</c:v>
                </c:pt>
                <c:pt idx="19">
                  <c:v>7588</c:v>
                </c:pt>
                <c:pt idx="20">
                  <c:v>7016</c:v>
                </c:pt>
                <c:pt idx="21">
                  <c:v>7441</c:v>
                </c:pt>
                <c:pt idx="22">
                  <c:v>7522</c:v>
                </c:pt>
              </c:numCache>
            </c:numRef>
          </c:val>
          <c:extLst>
            <c:ext xmlns:c16="http://schemas.microsoft.com/office/drawing/2014/chart" uri="{C3380CC4-5D6E-409C-BE32-E72D297353CC}">
              <c16:uniqueId val="{00000001-F448-4FD7-A554-4C02AA93338D}"/>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(PYPL) Yearly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numRef>
              <c:f>Model!$BG$3:$BP$3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Model!$BG$41:$BP$41</c:f>
              <c:numCache>
                <c:formatCode>0</c:formatCode>
                <c:ptCount val="10"/>
                <c:pt idx="0">
                  <c:v>1228</c:v>
                </c:pt>
                <c:pt idx="1">
                  <c:v>1401</c:v>
                </c:pt>
                <c:pt idx="2">
                  <c:v>1795</c:v>
                </c:pt>
                <c:pt idx="3">
                  <c:v>2057</c:v>
                </c:pt>
                <c:pt idx="4">
                  <c:v>2459</c:v>
                </c:pt>
                <c:pt idx="5">
                  <c:v>4202</c:v>
                </c:pt>
                <c:pt idx="6">
                  <c:v>4169</c:v>
                </c:pt>
                <c:pt idx="7">
                  <c:v>2419</c:v>
                </c:pt>
                <c:pt idx="8">
                  <c:v>4246</c:v>
                </c:pt>
                <c:pt idx="9">
                  <c:v>4147</c:v>
                </c:pt>
              </c:numCache>
            </c:numRef>
          </c:val>
          <c:extLst>
            <c:ext xmlns:c16="http://schemas.microsoft.com/office/drawing/2014/chart" uri="{C3380CC4-5D6E-409C-BE32-E72D297353CC}">
              <c16:uniqueId val="{00000000-1FD9-4D82-BBED-644115553674}"/>
            </c:ext>
          </c:extLst>
        </c:ser>
        <c:ser>
          <c:idx val="2"/>
          <c:order val="2"/>
          <c:tx>
            <c:v>FCF</c:v>
          </c:tx>
          <c:spPr>
            <a:solidFill>
              <a:srgbClr val="FFC000"/>
            </a:solidFill>
            <a:ln>
              <a:solidFill>
                <a:srgbClr val="FFC000"/>
              </a:solidFill>
            </a:ln>
          </c:spPr>
          <c:invertIfNegative val="0"/>
          <c:cat>
            <c:numRef>
              <c:f>Model!$BG$3:$BP$3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Model!$BG$102:$BP$102</c:f>
              <c:numCache>
                <c:formatCode>0</c:formatCode>
                <c:ptCount val="10"/>
                <c:pt idx="0">
                  <c:v>1850</c:v>
                </c:pt>
                <c:pt idx="1">
                  <c:v>2489</c:v>
                </c:pt>
                <c:pt idx="2">
                  <c:v>1864</c:v>
                </c:pt>
                <c:pt idx="3">
                  <c:v>4657</c:v>
                </c:pt>
                <c:pt idx="4">
                  <c:v>3367</c:v>
                </c:pt>
                <c:pt idx="5">
                  <c:v>5473</c:v>
                </c:pt>
                <c:pt idx="6">
                  <c:v>4889</c:v>
                </c:pt>
                <c:pt idx="7">
                  <c:v>5107</c:v>
                </c:pt>
                <c:pt idx="8">
                  <c:v>4220</c:v>
                </c:pt>
                <c:pt idx="9">
                  <c:v>6767</c:v>
                </c:pt>
              </c:numCache>
            </c:numRef>
          </c:val>
          <c:extLst>
            <c:ext xmlns:c16="http://schemas.microsoft.com/office/drawing/2014/chart" uri="{C3380CC4-5D6E-409C-BE32-E72D297353CC}">
              <c16:uniqueId val="{00000001-1FD9-4D82-BBED-644115553674}"/>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5400">
              <a:solidFill>
                <a:srgbClr val="00B0F0"/>
              </a:solidFill>
            </a:ln>
          </c:spPr>
          <c:marker>
            <c:symbol val="none"/>
          </c:marker>
          <c:cat>
            <c:numRef>
              <c:f>Model!$BG$3:$BP$3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Model!$BG$29:$BP$29</c:f>
              <c:numCache>
                <c:formatCode>General</c:formatCode>
                <c:ptCount val="10"/>
                <c:pt idx="0">
                  <c:v>9248</c:v>
                </c:pt>
                <c:pt idx="1">
                  <c:v>10842</c:v>
                </c:pt>
                <c:pt idx="2">
                  <c:v>13094</c:v>
                </c:pt>
                <c:pt idx="3">
                  <c:v>15451</c:v>
                </c:pt>
                <c:pt idx="4">
                  <c:v>17772</c:v>
                </c:pt>
                <c:pt idx="5">
                  <c:v>21454</c:v>
                </c:pt>
                <c:pt idx="6">
                  <c:v>25371</c:v>
                </c:pt>
                <c:pt idx="7">
                  <c:v>27518</c:v>
                </c:pt>
                <c:pt idx="8">
                  <c:v>29771</c:v>
                </c:pt>
                <c:pt idx="9">
                  <c:v>31797</c:v>
                </c:pt>
              </c:numCache>
            </c:numRef>
          </c:val>
          <c:smooth val="0"/>
          <c:extLst>
            <c:ext xmlns:c16="http://schemas.microsoft.com/office/drawing/2014/chart" uri="{C3380CC4-5D6E-409C-BE32-E72D297353CC}">
              <c16:uniqueId val="{00000002-1FD9-4D82-BBED-644115553674}"/>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chart" Target="../charts/chart4.xml"/><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8.png"/><Relationship Id="rId5" Type="http://schemas.openxmlformats.org/officeDocument/2006/relationships/image" Target="../media/image4.pn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4</xdr:row>
      <xdr:rowOff>9526</xdr:rowOff>
    </xdr:from>
    <xdr:to>
      <xdr:col>12</xdr:col>
      <xdr:colOff>0</xdr:colOff>
      <xdr:row>9</xdr:row>
      <xdr:rowOff>171450</xdr:rowOff>
    </xdr:to>
    <xdr:pic>
      <xdr:nvPicPr>
        <xdr:cNvPr id="3" name="Picture 2">
          <a:extLst>
            <a:ext uri="{FF2B5EF4-FFF2-40B4-BE49-F238E27FC236}">
              <a16:creationId xmlns:a16="http://schemas.microsoft.com/office/drawing/2014/main" id="{E5378656-464C-405D-81F0-8D056427AF8E}"/>
            </a:ext>
          </a:extLst>
        </xdr:cNvPr>
        <xdr:cNvPicPr>
          <a:picLocks noChangeAspect="1"/>
        </xdr:cNvPicPr>
      </xdr:nvPicPr>
      <xdr:blipFill>
        <a:blip xmlns:r="http://schemas.openxmlformats.org/officeDocument/2006/relationships" r:embed="rId1"/>
        <a:stretch>
          <a:fillRect/>
        </a:stretch>
      </xdr:blipFill>
      <xdr:spPr>
        <a:xfrm>
          <a:off x="5600700" y="752476"/>
          <a:ext cx="1819275" cy="10667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45</xdr:col>
      <xdr:colOff>0</xdr:colOff>
      <xdr:row>0</xdr:row>
      <xdr:rowOff>0</xdr:rowOff>
    </xdr:from>
    <xdr:to>
      <xdr:col>45</xdr:col>
      <xdr:colOff>0</xdr:colOff>
      <xdr:row>132</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28664647" y="0"/>
          <a:ext cx="0" cy="218021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0</xdr:colOff>
      <xdr:row>0</xdr:row>
      <xdr:rowOff>0</xdr:rowOff>
    </xdr:from>
    <xdr:to>
      <xdr:col>68</xdr:col>
      <xdr:colOff>0</xdr:colOff>
      <xdr:row>131</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170</xdr:row>
      <xdr:rowOff>0</xdr:rowOff>
    </xdr:from>
    <xdr:to>
      <xdr:col>23</xdr:col>
      <xdr:colOff>0</xdr:colOff>
      <xdr:row>198</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104</xdr:row>
      <xdr:rowOff>0</xdr:rowOff>
    </xdr:from>
    <xdr:to>
      <xdr:col>23</xdr:col>
      <xdr:colOff>0</xdr:colOff>
      <xdr:row>132</xdr:row>
      <xdr:rowOff>0</xdr:rowOff>
    </xdr:to>
    <xdr:graphicFrame macro="">
      <xdr:nvGraphicFramePr>
        <xdr:cNvPr id="6" name="Chart 5">
          <a:extLst>
            <a:ext uri="{FF2B5EF4-FFF2-40B4-BE49-F238E27FC236}">
              <a16:creationId xmlns:a16="http://schemas.microsoft.com/office/drawing/2014/main" id="{D1602C8F-7FF1-437C-96A7-F75FADA59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19049</xdr:colOff>
      <xdr:row>2</xdr:row>
      <xdr:rowOff>19050</xdr:rowOff>
    </xdr:from>
    <xdr:to>
      <xdr:col>17</xdr:col>
      <xdr:colOff>0</xdr:colOff>
      <xdr:row>31</xdr:row>
      <xdr:rowOff>0</xdr:rowOff>
    </xdr:to>
    <xdr:pic>
      <xdr:nvPicPr>
        <xdr:cNvPr id="7" name="Picture 6">
          <a:extLst>
            <a:ext uri="{FF2B5EF4-FFF2-40B4-BE49-F238E27FC236}">
              <a16:creationId xmlns:a16="http://schemas.microsoft.com/office/drawing/2014/main" id="{6276AE7D-6F78-4D71-F21B-73C8610AF944}"/>
            </a:ext>
          </a:extLst>
        </xdr:cNvPr>
        <xdr:cNvPicPr>
          <a:picLocks noChangeAspect="1"/>
        </xdr:cNvPicPr>
      </xdr:nvPicPr>
      <xdr:blipFill>
        <a:blip xmlns:r="http://schemas.openxmlformats.org/officeDocument/2006/relationships" r:embed="rId3"/>
        <a:stretch>
          <a:fillRect/>
        </a:stretch>
      </xdr:blipFill>
      <xdr:spPr>
        <a:xfrm>
          <a:off x="4495799" y="390525"/>
          <a:ext cx="5467351" cy="5238750"/>
        </a:xfrm>
        <a:prstGeom prst="rect">
          <a:avLst/>
        </a:prstGeom>
      </xdr:spPr>
    </xdr:pic>
    <xdr:clientData/>
  </xdr:twoCellAnchor>
  <xdr:twoCellAnchor editAs="oneCell">
    <xdr:from>
      <xdr:col>17</xdr:col>
      <xdr:colOff>0</xdr:colOff>
      <xdr:row>2</xdr:row>
      <xdr:rowOff>9525</xdr:rowOff>
    </xdr:from>
    <xdr:to>
      <xdr:col>27</xdr:col>
      <xdr:colOff>1</xdr:colOff>
      <xdr:row>30</xdr:row>
      <xdr:rowOff>171450</xdr:rowOff>
    </xdr:to>
    <xdr:pic>
      <xdr:nvPicPr>
        <xdr:cNvPr id="8" name="Picture 7">
          <a:extLst>
            <a:ext uri="{FF2B5EF4-FFF2-40B4-BE49-F238E27FC236}">
              <a16:creationId xmlns:a16="http://schemas.microsoft.com/office/drawing/2014/main" id="{A73583FE-6442-E87A-EF49-4FDFCFD63926}"/>
            </a:ext>
          </a:extLst>
        </xdr:cNvPr>
        <xdr:cNvPicPr>
          <a:picLocks noChangeAspect="1"/>
        </xdr:cNvPicPr>
      </xdr:nvPicPr>
      <xdr:blipFill>
        <a:blip xmlns:r="http://schemas.openxmlformats.org/officeDocument/2006/relationships" r:embed="rId4"/>
        <a:stretch>
          <a:fillRect/>
        </a:stretch>
      </xdr:blipFill>
      <xdr:spPr>
        <a:xfrm>
          <a:off x="9963150" y="381000"/>
          <a:ext cx="6096000" cy="5238750"/>
        </a:xfrm>
        <a:prstGeom prst="rect">
          <a:avLst/>
        </a:prstGeom>
      </xdr:spPr>
    </xdr:pic>
    <xdr:clientData/>
  </xdr:twoCellAnchor>
  <xdr:twoCellAnchor editAs="oneCell">
    <xdr:from>
      <xdr:col>8</xdr:col>
      <xdr:colOff>0</xdr:colOff>
      <xdr:row>36</xdr:row>
      <xdr:rowOff>0</xdr:rowOff>
    </xdr:from>
    <xdr:to>
      <xdr:col>17</xdr:col>
      <xdr:colOff>1397</xdr:colOff>
      <xdr:row>63</xdr:row>
      <xdr:rowOff>31936</xdr:rowOff>
    </xdr:to>
    <xdr:pic>
      <xdr:nvPicPr>
        <xdr:cNvPr id="9" name="Picture 8">
          <a:extLst>
            <a:ext uri="{FF2B5EF4-FFF2-40B4-BE49-F238E27FC236}">
              <a16:creationId xmlns:a16="http://schemas.microsoft.com/office/drawing/2014/main" id="{BB5A58ED-A371-7AF7-1BC7-74DEC7ED5F21}"/>
            </a:ext>
          </a:extLst>
        </xdr:cNvPr>
        <xdr:cNvPicPr>
          <a:picLocks noChangeAspect="1"/>
        </xdr:cNvPicPr>
      </xdr:nvPicPr>
      <xdr:blipFill rotWithShape="1">
        <a:blip xmlns:r="http://schemas.openxmlformats.org/officeDocument/2006/relationships" r:embed="rId5"/>
        <a:srcRect b="3065"/>
        <a:stretch>
          <a:fillRect/>
        </a:stretch>
      </xdr:blipFill>
      <xdr:spPr>
        <a:xfrm>
          <a:off x="4476750" y="6543675"/>
          <a:ext cx="5483315" cy="4914899"/>
        </a:xfrm>
        <a:prstGeom prst="rect">
          <a:avLst/>
        </a:prstGeom>
      </xdr:spPr>
    </xdr:pic>
    <xdr:clientData/>
  </xdr:twoCellAnchor>
  <xdr:twoCellAnchor>
    <xdr:from>
      <xdr:col>8</xdr:col>
      <xdr:colOff>0</xdr:colOff>
      <xdr:row>68</xdr:row>
      <xdr:rowOff>0</xdr:rowOff>
    </xdr:from>
    <xdr:to>
      <xdr:col>23</xdr:col>
      <xdr:colOff>0</xdr:colOff>
      <xdr:row>99</xdr:row>
      <xdr:rowOff>0</xdr:rowOff>
    </xdr:to>
    <xdr:graphicFrame macro="">
      <xdr:nvGraphicFramePr>
        <xdr:cNvPr id="10" name="Chart 9">
          <a:extLst>
            <a:ext uri="{FF2B5EF4-FFF2-40B4-BE49-F238E27FC236}">
              <a16:creationId xmlns:a16="http://schemas.microsoft.com/office/drawing/2014/main" id="{16469E54-5DA7-4381-A6F4-7C3A4FAFE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137</xdr:row>
      <xdr:rowOff>0</xdr:rowOff>
    </xdr:from>
    <xdr:to>
      <xdr:col>23</xdr:col>
      <xdr:colOff>0</xdr:colOff>
      <xdr:row>165</xdr:row>
      <xdr:rowOff>0</xdr:rowOff>
    </xdr:to>
    <xdr:graphicFrame macro="">
      <xdr:nvGraphicFramePr>
        <xdr:cNvPr id="2" name="Chart 1">
          <a:extLst>
            <a:ext uri="{FF2B5EF4-FFF2-40B4-BE49-F238E27FC236}">
              <a16:creationId xmlns:a16="http://schemas.microsoft.com/office/drawing/2014/main" id="{9F0B3EE4-0DFB-4BB4-B88C-143444E1D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39</xdr:col>
      <xdr:colOff>593912</xdr:colOff>
      <xdr:row>68</xdr:row>
      <xdr:rowOff>1</xdr:rowOff>
    </xdr:from>
    <xdr:to>
      <xdr:col>50</xdr:col>
      <xdr:colOff>605117</xdr:colOff>
      <xdr:row>95</xdr:row>
      <xdr:rowOff>0</xdr:rowOff>
    </xdr:to>
    <xdr:pic>
      <xdr:nvPicPr>
        <xdr:cNvPr id="3" name="Picture 2">
          <a:extLst>
            <a:ext uri="{FF2B5EF4-FFF2-40B4-BE49-F238E27FC236}">
              <a16:creationId xmlns:a16="http://schemas.microsoft.com/office/drawing/2014/main" id="{2322F3B3-318A-AD57-FF18-DF797F744EF4}"/>
            </a:ext>
          </a:extLst>
        </xdr:cNvPr>
        <xdr:cNvPicPr>
          <a:picLocks noChangeAspect="1"/>
        </xdr:cNvPicPr>
      </xdr:nvPicPr>
      <xdr:blipFill>
        <a:blip xmlns:r="http://schemas.openxmlformats.org/officeDocument/2006/relationships" r:embed="rId8"/>
        <a:stretch>
          <a:fillRect/>
        </a:stretch>
      </xdr:blipFill>
      <xdr:spPr>
        <a:xfrm>
          <a:off x="19150853" y="12248030"/>
          <a:ext cx="6667499" cy="4840941"/>
        </a:xfrm>
        <a:prstGeom prst="rect">
          <a:avLst/>
        </a:prstGeom>
      </xdr:spPr>
    </xdr:pic>
    <xdr:clientData/>
  </xdr:twoCellAnchor>
  <xdr:twoCellAnchor editAs="oneCell">
    <xdr:from>
      <xdr:col>29</xdr:col>
      <xdr:colOff>11205</xdr:colOff>
      <xdr:row>36</xdr:row>
      <xdr:rowOff>11206</xdr:rowOff>
    </xdr:from>
    <xdr:to>
      <xdr:col>40</xdr:col>
      <xdr:colOff>0</xdr:colOff>
      <xdr:row>63</xdr:row>
      <xdr:rowOff>0</xdr:rowOff>
    </xdr:to>
    <xdr:pic>
      <xdr:nvPicPr>
        <xdr:cNvPr id="5" name="Picture 4">
          <a:extLst>
            <a:ext uri="{FF2B5EF4-FFF2-40B4-BE49-F238E27FC236}">
              <a16:creationId xmlns:a16="http://schemas.microsoft.com/office/drawing/2014/main" id="{9F34B30B-0FF1-8CF9-5046-6D3C1D29928F}"/>
            </a:ext>
          </a:extLst>
        </xdr:cNvPr>
        <xdr:cNvPicPr>
          <a:picLocks noChangeAspect="1"/>
        </xdr:cNvPicPr>
      </xdr:nvPicPr>
      <xdr:blipFill>
        <a:blip xmlns:r="http://schemas.openxmlformats.org/officeDocument/2006/relationships" r:embed="rId9"/>
        <a:stretch>
          <a:fillRect/>
        </a:stretch>
      </xdr:blipFill>
      <xdr:spPr>
        <a:xfrm>
          <a:off x="12516970" y="6510618"/>
          <a:ext cx="6645089" cy="4829735"/>
        </a:xfrm>
        <a:prstGeom prst="rect">
          <a:avLst/>
        </a:prstGeom>
      </xdr:spPr>
    </xdr:pic>
    <xdr:clientData/>
  </xdr:twoCellAnchor>
  <xdr:twoCellAnchor editAs="oneCell">
    <xdr:from>
      <xdr:col>28</xdr:col>
      <xdr:colOff>190499</xdr:colOff>
      <xdr:row>68</xdr:row>
      <xdr:rowOff>0</xdr:rowOff>
    </xdr:from>
    <xdr:to>
      <xdr:col>40</xdr:col>
      <xdr:colOff>1556</xdr:colOff>
      <xdr:row>95</xdr:row>
      <xdr:rowOff>0</xdr:rowOff>
    </xdr:to>
    <xdr:pic>
      <xdr:nvPicPr>
        <xdr:cNvPr id="11" name="Picture 10">
          <a:extLst>
            <a:ext uri="{FF2B5EF4-FFF2-40B4-BE49-F238E27FC236}">
              <a16:creationId xmlns:a16="http://schemas.microsoft.com/office/drawing/2014/main" id="{73A0C8D5-33B0-888B-28CC-E45AF75C1624}"/>
            </a:ext>
          </a:extLst>
        </xdr:cNvPr>
        <xdr:cNvPicPr>
          <a:picLocks noChangeAspect="1"/>
        </xdr:cNvPicPr>
      </xdr:nvPicPr>
      <xdr:blipFill>
        <a:blip xmlns:r="http://schemas.openxmlformats.org/officeDocument/2006/relationships" r:embed="rId10"/>
        <a:stretch>
          <a:fillRect/>
        </a:stretch>
      </xdr:blipFill>
      <xdr:spPr>
        <a:xfrm>
          <a:off x="12505764" y="12248029"/>
          <a:ext cx="6657851" cy="4840942"/>
        </a:xfrm>
        <a:prstGeom prst="rect">
          <a:avLst/>
        </a:prstGeom>
      </xdr:spPr>
    </xdr:pic>
    <xdr:clientData/>
  </xdr:twoCellAnchor>
  <xdr:twoCellAnchor editAs="oneCell">
    <xdr:from>
      <xdr:col>50</xdr:col>
      <xdr:colOff>605117</xdr:colOff>
      <xdr:row>68</xdr:row>
      <xdr:rowOff>0</xdr:rowOff>
    </xdr:from>
    <xdr:to>
      <xdr:col>62</xdr:col>
      <xdr:colOff>11206</xdr:colOff>
      <xdr:row>95</xdr:row>
      <xdr:rowOff>0</xdr:rowOff>
    </xdr:to>
    <xdr:pic>
      <xdr:nvPicPr>
        <xdr:cNvPr id="12" name="Picture 11">
          <a:extLst>
            <a:ext uri="{FF2B5EF4-FFF2-40B4-BE49-F238E27FC236}">
              <a16:creationId xmlns:a16="http://schemas.microsoft.com/office/drawing/2014/main" id="{8D9CF584-5FE0-8D84-94E3-901784DC65B8}"/>
            </a:ext>
          </a:extLst>
        </xdr:cNvPr>
        <xdr:cNvPicPr>
          <a:picLocks noChangeAspect="1"/>
        </xdr:cNvPicPr>
      </xdr:nvPicPr>
      <xdr:blipFill>
        <a:blip xmlns:r="http://schemas.openxmlformats.org/officeDocument/2006/relationships" r:embed="rId11"/>
        <a:stretch>
          <a:fillRect/>
        </a:stretch>
      </xdr:blipFill>
      <xdr:spPr>
        <a:xfrm>
          <a:off x="25818352" y="12248029"/>
          <a:ext cx="6667501" cy="4840942"/>
        </a:xfrm>
        <a:prstGeom prst="rect">
          <a:avLst/>
        </a:prstGeom>
      </xdr:spPr>
    </xdr:pic>
    <xdr:clientData/>
  </xdr:twoCellAnchor>
  <xdr:twoCellAnchor editAs="oneCell">
    <xdr:from>
      <xdr:col>29</xdr:col>
      <xdr:colOff>17318</xdr:colOff>
      <xdr:row>137</xdr:row>
      <xdr:rowOff>0</xdr:rowOff>
    </xdr:from>
    <xdr:to>
      <xdr:col>42</xdr:col>
      <xdr:colOff>603300</xdr:colOff>
      <xdr:row>174</xdr:row>
      <xdr:rowOff>0</xdr:rowOff>
    </xdr:to>
    <xdr:pic>
      <xdr:nvPicPr>
        <xdr:cNvPr id="14" name="Picture 13">
          <a:extLst>
            <a:ext uri="{FF2B5EF4-FFF2-40B4-BE49-F238E27FC236}">
              <a16:creationId xmlns:a16="http://schemas.microsoft.com/office/drawing/2014/main" id="{6DC09348-7EE0-9CD2-982C-6DA7208F9876}"/>
            </a:ext>
          </a:extLst>
        </xdr:cNvPr>
        <xdr:cNvPicPr>
          <a:picLocks noChangeAspect="1"/>
        </xdr:cNvPicPr>
      </xdr:nvPicPr>
      <xdr:blipFill>
        <a:blip xmlns:r="http://schemas.openxmlformats.org/officeDocument/2006/relationships" r:embed="rId12"/>
        <a:stretch>
          <a:fillRect/>
        </a:stretch>
      </xdr:blipFill>
      <xdr:spPr>
        <a:xfrm>
          <a:off x="12538363" y="23847136"/>
          <a:ext cx="8465755" cy="64250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stockanalysis.com/stocks/pypl/" TargetMode="External"/><Relationship Id="rId7" Type="http://schemas.openxmlformats.org/officeDocument/2006/relationships/drawing" Target="../drawings/drawing1.xml"/><Relationship Id="rId2" Type="http://schemas.openxmlformats.org/officeDocument/2006/relationships/hyperlink" Target="https://seekingalpha.com/symbol/PYPL/earnings/transcripts" TargetMode="External"/><Relationship Id="rId1" Type="http://schemas.openxmlformats.org/officeDocument/2006/relationships/hyperlink" Target="https://www.sec.gov/edgar/browse/?CIK=1633917&amp;owner=exclude" TargetMode="External"/><Relationship Id="rId6" Type="http://schemas.openxmlformats.org/officeDocument/2006/relationships/hyperlink" Target="https://www.paypal.com/us/home" TargetMode="External"/><Relationship Id="rId5" Type="http://schemas.openxmlformats.org/officeDocument/2006/relationships/hyperlink" Target="000%20Fin-Tech%20Master%20List%20000.xlsx" TargetMode="External"/><Relationship Id="rId4" Type="http://schemas.openxmlformats.org/officeDocument/2006/relationships/hyperlink" Target="https://app.godeltermina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2"/>
  <sheetViews>
    <sheetView workbookViewId="0">
      <selection activeCell="C6" sqref="C6"/>
    </sheetView>
  </sheetViews>
  <sheetFormatPr defaultRowHeight="14.25"/>
  <cols>
    <col min="1" max="1" width="3.42578125" style="1" customWidth="1"/>
    <col min="2" max="2" width="9.140625" style="1" customWidth="1"/>
    <col min="3" max="3" width="13" style="1" customWidth="1"/>
    <col min="4" max="4" width="11.5703125" style="1" customWidth="1"/>
    <col min="5" max="16384" width="9.140625" style="1"/>
  </cols>
  <sheetData>
    <row r="1" spans="1:21">
      <c r="A1" s="40" t="s">
        <v>0</v>
      </c>
    </row>
    <row r="2" spans="1:21" ht="15">
      <c r="A2" s="2" t="s">
        <v>138</v>
      </c>
    </row>
    <row r="4" spans="1:21" ht="15">
      <c r="B4" s="2" t="s">
        <v>2062</v>
      </c>
      <c r="C4" s="61"/>
    </row>
    <row r="5" spans="1:21">
      <c r="B5" s="1" t="s">
        <v>1</v>
      </c>
      <c r="C5" s="80">
        <v>57.8</v>
      </c>
      <c r="D5" s="82" t="s">
        <v>2105</v>
      </c>
    </row>
    <row r="6" spans="1:21">
      <c r="B6" s="1" t="s">
        <v>2</v>
      </c>
      <c r="C6" s="79">
        <v>935.65</v>
      </c>
      <c r="D6" s="1" t="s">
        <v>2098</v>
      </c>
    </row>
    <row r="7" spans="1:21">
      <c r="B7" s="1" t="s">
        <v>3</v>
      </c>
      <c r="C7" s="81">
        <f>C5*C6</f>
        <v>54080.569999999992</v>
      </c>
    </row>
    <row r="8" spans="1:21">
      <c r="B8" s="1" t="s">
        <v>4</v>
      </c>
      <c r="C8" s="81">
        <f>8995+1760</f>
        <v>10755</v>
      </c>
      <c r="D8" s="1" t="s">
        <v>2098</v>
      </c>
    </row>
    <row r="9" spans="1:21">
      <c r="B9" s="1" t="s">
        <v>5</v>
      </c>
      <c r="C9" s="81">
        <v>11276</v>
      </c>
      <c r="D9" s="1" t="s">
        <v>2098</v>
      </c>
    </row>
    <row r="10" spans="1:21">
      <c r="B10" s="1" t="s">
        <v>6</v>
      </c>
      <c r="C10" s="81">
        <f>C7-C8+C9</f>
        <v>54601.569999999992</v>
      </c>
    </row>
    <row r="12" spans="1:21" ht="15">
      <c r="B12" s="2" t="s">
        <v>2063</v>
      </c>
    </row>
    <row r="14" spans="1:21" ht="15">
      <c r="B14" s="1" t="s">
        <v>2103</v>
      </c>
      <c r="J14" s="1" t="s">
        <v>7</v>
      </c>
      <c r="Q14" s="1" t="s">
        <v>137</v>
      </c>
      <c r="T14" s="2"/>
    </row>
    <row r="15" spans="1:21">
      <c r="B15" s="1" t="s">
        <v>139</v>
      </c>
      <c r="J15" s="1" t="s">
        <v>134</v>
      </c>
      <c r="K15" s="1" t="s">
        <v>2097</v>
      </c>
      <c r="Q15" s="1" t="s">
        <v>9</v>
      </c>
      <c r="T15" s="40" t="s">
        <v>2071</v>
      </c>
      <c r="U15" s="40"/>
    </row>
    <row r="16" spans="1:21">
      <c r="B16" s="1" t="s">
        <v>140</v>
      </c>
      <c r="J16" s="1" t="s">
        <v>8</v>
      </c>
      <c r="Q16" s="1" t="s">
        <v>2065</v>
      </c>
      <c r="T16" s="40" t="s">
        <v>2070</v>
      </c>
      <c r="U16" s="40"/>
    </row>
    <row r="17" spans="1:21">
      <c r="B17" s="1" t="s">
        <v>141</v>
      </c>
      <c r="J17" s="1" t="s">
        <v>135</v>
      </c>
      <c r="R17" s="1" t="s">
        <v>2064</v>
      </c>
      <c r="T17" s="40"/>
      <c r="U17" s="40" t="s">
        <v>2072</v>
      </c>
    </row>
    <row r="18" spans="1:21">
      <c r="B18" s="1" t="s">
        <v>142</v>
      </c>
      <c r="J18" s="1" t="s">
        <v>128</v>
      </c>
      <c r="K18" s="1" t="s">
        <v>2104</v>
      </c>
      <c r="M18" s="1" t="s">
        <v>129</v>
      </c>
      <c r="Q18" s="1" t="s">
        <v>131</v>
      </c>
      <c r="T18" s="40" t="s">
        <v>2073</v>
      </c>
      <c r="U18" s="40"/>
    </row>
    <row r="19" spans="1:21">
      <c r="B19" s="1" t="s">
        <v>2067</v>
      </c>
      <c r="Q19" s="1" t="s">
        <v>132</v>
      </c>
      <c r="T19" s="40" t="s">
        <v>2074</v>
      </c>
      <c r="U19" s="40"/>
    </row>
    <row r="20" spans="1:21">
      <c r="B20" s="1" t="s">
        <v>2066</v>
      </c>
      <c r="Q20" s="1" t="s">
        <v>10</v>
      </c>
      <c r="T20" s="40" t="s">
        <v>133</v>
      </c>
    </row>
    <row r="21" spans="1:21" ht="15">
      <c r="B21" s="1" t="s">
        <v>2068</v>
      </c>
      <c r="O21" s="2"/>
    </row>
    <row r="22" spans="1:21" ht="15">
      <c r="B22" s="2" t="s">
        <v>2099</v>
      </c>
    </row>
    <row r="23" spans="1:21" ht="15">
      <c r="B23" s="2"/>
    </row>
    <row r="24" spans="1:21" ht="15">
      <c r="A24" s="2" t="s">
        <v>11</v>
      </c>
    </row>
    <row r="25" spans="1:21" ht="15">
      <c r="B25" s="1" t="s">
        <v>2094</v>
      </c>
    </row>
    <row r="26" spans="1:21">
      <c r="C26" s="1" t="s">
        <v>2096</v>
      </c>
    </row>
    <row r="27" spans="1:21" ht="15">
      <c r="B27" s="1" t="s">
        <v>2095</v>
      </c>
    </row>
    <row r="35" spans="1:4" ht="15">
      <c r="A35" s="2" t="s">
        <v>209</v>
      </c>
    </row>
    <row r="36" spans="1:4">
      <c r="B36" s="1" t="s">
        <v>208</v>
      </c>
    </row>
    <row r="37" spans="1:4" ht="15">
      <c r="B37" s="1" t="s">
        <v>207</v>
      </c>
      <c r="C37" s="1" t="s">
        <v>206</v>
      </c>
    </row>
    <row r="38" spans="1:4" ht="15">
      <c r="D38" s="1" t="s">
        <v>205</v>
      </c>
    </row>
    <row r="39" spans="1:4" ht="15">
      <c r="D39" s="1" t="s">
        <v>204</v>
      </c>
    </row>
    <row r="40" spans="1:4" ht="15">
      <c r="D40" s="1" t="s">
        <v>203</v>
      </c>
    </row>
    <row r="41" spans="1:4" ht="15">
      <c r="B41" s="1" t="s">
        <v>202</v>
      </c>
      <c r="C41" s="2" t="s">
        <v>201</v>
      </c>
      <c r="D41" s="2"/>
    </row>
    <row r="42" spans="1:4" ht="15">
      <c r="C42" s="2"/>
      <c r="D42" s="2" t="s">
        <v>200</v>
      </c>
    </row>
    <row r="43" spans="1:4" ht="15">
      <c r="C43" s="2"/>
      <c r="D43" s="2" t="s">
        <v>199</v>
      </c>
    </row>
    <row r="44" spans="1:4" ht="15">
      <c r="C44" s="2"/>
      <c r="D44" s="2" t="s">
        <v>198</v>
      </c>
    </row>
    <row r="45" spans="1:4" ht="15">
      <c r="B45" s="1" t="s">
        <v>197</v>
      </c>
      <c r="C45" s="1" t="s">
        <v>196</v>
      </c>
    </row>
    <row r="46" spans="1:4" ht="15">
      <c r="D46" s="1" t="s">
        <v>195</v>
      </c>
    </row>
    <row r="47" spans="1:4" ht="15">
      <c r="D47" s="1" t="s">
        <v>194</v>
      </c>
    </row>
    <row r="48" spans="1:4" ht="15">
      <c r="D48" s="1" t="s">
        <v>193</v>
      </c>
    </row>
    <row r="49" spans="2:4" ht="15">
      <c r="D49" s="1" t="s">
        <v>192</v>
      </c>
    </row>
    <row r="50" spans="2:4" ht="15">
      <c r="D50" s="1" t="s">
        <v>191</v>
      </c>
    </row>
    <row r="51" spans="2:4" ht="15">
      <c r="B51" s="1" t="s">
        <v>190</v>
      </c>
      <c r="C51" s="1" t="s">
        <v>189</v>
      </c>
    </row>
    <row r="52" spans="2:4" ht="15">
      <c r="D52" s="1" t="s">
        <v>188</v>
      </c>
    </row>
    <row r="53" spans="2:4" ht="15">
      <c r="D53" s="1" t="s">
        <v>187</v>
      </c>
    </row>
    <row r="54" spans="2:4" ht="15">
      <c r="D54" s="1" t="s">
        <v>186</v>
      </c>
    </row>
    <row r="55" spans="2:4" ht="15">
      <c r="D55" s="1" t="s">
        <v>185</v>
      </c>
    </row>
    <row r="56" spans="2:4">
      <c r="B56" s="1" t="s">
        <v>184</v>
      </c>
      <c r="C56" s="1" t="s">
        <v>183</v>
      </c>
    </row>
    <row r="57" spans="2:4">
      <c r="D57" s="1" t="s">
        <v>182</v>
      </c>
    </row>
    <row r="58" spans="2:4">
      <c r="D58" s="1" t="s">
        <v>181</v>
      </c>
    </row>
    <row r="59" spans="2:4">
      <c r="D59" s="1" t="s">
        <v>180</v>
      </c>
    </row>
    <row r="60" spans="2:4">
      <c r="D60" s="1" t="s">
        <v>179</v>
      </c>
    </row>
    <row r="61" spans="2:4">
      <c r="B61" s="1" t="s">
        <v>178</v>
      </c>
      <c r="C61" s="1" t="s">
        <v>177</v>
      </c>
    </row>
    <row r="62" spans="2:4">
      <c r="D62" s="1" t="s">
        <v>176</v>
      </c>
    </row>
    <row r="63" spans="2:4">
      <c r="D63" s="1" t="s">
        <v>175</v>
      </c>
    </row>
    <row r="64" spans="2:4">
      <c r="D64" s="1" t="s">
        <v>174</v>
      </c>
    </row>
    <row r="65" spans="1:6">
      <c r="C65" s="1" t="s">
        <v>173</v>
      </c>
    </row>
    <row r="66" spans="1:6">
      <c r="B66" s="1" t="s">
        <v>172</v>
      </c>
      <c r="C66" s="1" t="s">
        <v>171</v>
      </c>
    </row>
    <row r="67" spans="1:6">
      <c r="D67" s="1" t="s">
        <v>170</v>
      </c>
    </row>
    <row r="68" spans="1:6">
      <c r="D68" s="1" t="s">
        <v>169</v>
      </c>
    </row>
    <row r="69" spans="1:6">
      <c r="D69" s="1" t="s">
        <v>168</v>
      </c>
    </row>
    <row r="70" spans="1:6">
      <c r="C70" s="1" t="s">
        <v>167</v>
      </c>
    </row>
    <row r="71" spans="1:6">
      <c r="B71" s="1" t="s">
        <v>166</v>
      </c>
      <c r="C71" s="1" t="s">
        <v>165</v>
      </c>
    </row>
    <row r="72" spans="1:6">
      <c r="D72" s="1" t="s">
        <v>164</v>
      </c>
    </row>
    <row r="73" spans="1:6">
      <c r="D73" s="1" t="s">
        <v>163</v>
      </c>
    </row>
    <row r="74" spans="1:6">
      <c r="D74" s="1" t="s">
        <v>162</v>
      </c>
    </row>
    <row r="75" spans="1:6" ht="15">
      <c r="B75" s="1" t="s">
        <v>161</v>
      </c>
    </row>
    <row r="77" spans="1:6" ht="15">
      <c r="A77" s="2" t="s">
        <v>160</v>
      </c>
    </row>
    <row r="78" spans="1:6" ht="15">
      <c r="B78" s="2" t="s">
        <v>159</v>
      </c>
      <c r="F78" s="2" t="s">
        <v>158</v>
      </c>
    </row>
    <row r="79" spans="1:6" ht="15">
      <c r="B79" s="1" t="s">
        <v>157</v>
      </c>
    </row>
    <row r="80" spans="1:6" ht="15">
      <c r="B80" s="1" t="s">
        <v>156</v>
      </c>
    </row>
    <row r="81" spans="2:7">
      <c r="C81" s="1" t="s">
        <v>155</v>
      </c>
    </row>
    <row r="82" spans="2:7" ht="15">
      <c r="B82" s="2" t="s">
        <v>154</v>
      </c>
      <c r="G82" s="2" t="s">
        <v>153</v>
      </c>
    </row>
    <row r="83" spans="2:7" ht="15">
      <c r="C83" s="1" t="s">
        <v>152</v>
      </c>
    </row>
    <row r="84" spans="2:7" ht="15">
      <c r="D84" s="1" t="s">
        <v>151</v>
      </c>
    </row>
    <row r="85" spans="2:7">
      <c r="D85" s="1" t="s">
        <v>150</v>
      </c>
    </row>
    <row r="86" spans="2:7" ht="15">
      <c r="C86" s="2" t="s">
        <v>149</v>
      </c>
      <c r="F86" s="2"/>
      <c r="G86" s="2"/>
    </row>
    <row r="87" spans="2:7" ht="15">
      <c r="D87" s="1" t="s">
        <v>148</v>
      </c>
    </row>
    <row r="88" spans="2:7" ht="15">
      <c r="D88" s="1" t="s">
        <v>147</v>
      </c>
    </row>
    <row r="89" spans="2:7" ht="15">
      <c r="C89" s="1" t="s">
        <v>146</v>
      </c>
    </row>
    <row r="90" spans="2:7" ht="15">
      <c r="C90" s="2"/>
      <c r="D90" s="1" t="s">
        <v>145</v>
      </c>
      <c r="F90" s="2"/>
      <c r="G90" s="2"/>
    </row>
    <row r="91" spans="2:7" ht="15">
      <c r="D91" s="1" t="s">
        <v>144</v>
      </c>
    </row>
    <row r="92" spans="2:7" ht="15">
      <c r="D92" s="1" t="s">
        <v>143</v>
      </c>
    </row>
  </sheetData>
  <hyperlinks>
    <hyperlink ref="T15" r:id="rId1" xr:uid="{739BC0F6-DDEA-409E-BAA0-CED0EC3FAC10}"/>
    <hyperlink ref="T18" r:id="rId2" xr:uid="{E44B94DF-FE8A-4931-93F9-24899DFED42C}"/>
    <hyperlink ref="T19" r:id="rId3" xr:uid="{02ECFE4E-0865-458E-9F04-951EDF61DD89}"/>
    <hyperlink ref="T20" r:id="rId4" xr:uid="{14375537-5C3D-4253-9650-337AB6789785}"/>
    <hyperlink ref="A1" r:id="rId5" xr:uid="{51F6C14B-B0DB-4D9C-935E-98D334F5D285}"/>
    <hyperlink ref="T16" r:id="rId6" xr:uid="{DD4F737D-F0DE-4E57-9A8C-74C21CB7FABF}"/>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A1:EA105"/>
  <sheetViews>
    <sheetView tabSelected="1" zoomScale="85" zoomScaleNormal="85" workbookViewId="0">
      <pane xSplit="2" ySplit="3" topLeftCell="BG33" activePane="bottomRight" state="frozen"/>
      <selection pane="topRight" activeCell="C1" sqref="C1"/>
      <selection pane="bottomLeft" activeCell="A4" sqref="A4"/>
      <selection pane="bottomRight" activeCell="CA67" sqref="CA67"/>
    </sheetView>
  </sheetViews>
  <sheetFormatPr defaultRowHeight="14.25"/>
  <cols>
    <col min="1" max="1" width="3.140625" style="1" customWidth="1"/>
    <col min="2" max="2" width="36.42578125" style="1" customWidth="1"/>
    <col min="3" max="45" width="9.140625" style="1" customWidth="1"/>
    <col min="46" max="50" width="9.140625" style="34" customWidth="1"/>
    <col min="51" max="68" width="9.140625" style="1" customWidth="1"/>
    <col min="69" max="69" width="9.140625" style="55" customWidth="1"/>
    <col min="70" max="130" width="9" style="55" customWidth="1"/>
    <col min="131" max="131" width="9" style="1" customWidth="1"/>
    <col min="132" max="16384" width="9.140625" style="1"/>
  </cols>
  <sheetData>
    <row r="1" spans="2:131" ht="15">
      <c r="B1" s="1" t="s">
        <v>94</v>
      </c>
      <c r="W1" s="32" t="s">
        <v>66</v>
      </c>
      <c r="AA1" s="32" t="s">
        <v>70</v>
      </c>
      <c r="AE1" s="32" t="s">
        <v>74</v>
      </c>
      <c r="AI1" s="32" t="s">
        <v>78</v>
      </c>
      <c r="AM1" s="32" t="s">
        <v>82</v>
      </c>
      <c r="AQ1" s="32" t="s">
        <v>86</v>
      </c>
      <c r="AR1" s="32"/>
      <c r="AU1" s="33" t="s">
        <v>90</v>
      </c>
    </row>
    <row r="2" spans="2:131">
      <c r="B2" s="1" t="s">
        <v>95</v>
      </c>
    </row>
    <row r="3" spans="2:131" ht="15">
      <c r="B3" s="2" t="s">
        <v>96</v>
      </c>
      <c r="C3" s="32" t="s">
        <v>46</v>
      </c>
      <c r="D3" s="32" t="s">
        <v>47</v>
      </c>
      <c r="E3" s="32" t="s">
        <v>48</v>
      </c>
      <c r="F3" s="32" t="s">
        <v>49</v>
      </c>
      <c r="G3" s="32" t="s">
        <v>50</v>
      </c>
      <c r="H3" s="32" t="s">
        <v>51</v>
      </c>
      <c r="I3" s="32" t="s">
        <v>52</v>
      </c>
      <c r="J3" s="32" t="s">
        <v>53</v>
      </c>
      <c r="K3" s="32" t="s">
        <v>54</v>
      </c>
      <c r="L3" s="32" t="s">
        <v>55</v>
      </c>
      <c r="M3" s="32" t="s">
        <v>56</v>
      </c>
      <c r="N3" s="32" t="s">
        <v>57</v>
      </c>
      <c r="O3" s="32" t="s">
        <v>58</v>
      </c>
      <c r="P3" s="32" t="s">
        <v>59</v>
      </c>
      <c r="Q3" s="32" t="s">
        <v>60</v>
      </c>
      <c r="R3" s="32" t="s">
        <v>61</v>
      </c>
      <c r="S3" s="32" t="s">
        <v>62</v>
      </c>
      <c r="T3" s="32" t="s">
        <v>63</v>
      </c>
      <c r="U3" s="32" t="s">
        <v>64</v>
      </c>
      <c r="V3" s="32" t="s">
        <v>65</v>
      </c>
      <c r="W3" s="32" t="s">
        <v>66</v>
      </c>
      <c r="X3" s="32" t="s">
        <v>67</v>
      </c>
      <c r="Y3" s="32" t="s">
        <v>68</v>
      </c>
      <c r="Z3" s="32" t="s">
        <v>69</v>
      </c>
      <c r="AA3" s="32" t="s">
        <v>70</v>
      </c>
      <c r="AB3" s="32" t="s">
        <v>71</v>
      </c>
      <c r="AC3" s="32" t="s">
        <v>72</v>
      </c>
      <c r="AD3" s="32" t="s">
        <v>73</v>
      </c>
      <c r="AE3" s="32" t="s">
        <v>74</v>
      </c>
      <c r="AF3" s="32" t="s">
        <v>75</v>
      </c>
      <c r="AG3" s="32" t="s">
        <v>76</v>
      </c>
      <c r="AH3" s="32" t="s">
        <v>77</v>
      </c>
      <c r="AI3" s="32" t="s">
        <v>78</v>
      </c>
      <c r="AJ3" s="32" t="s">
        <v>79</v>
      </c>
      <c r="AK3" s="32" t="s">
        <v>80</v>
      </c>
      <c r="AL3" s="32" t="s">
        <v>81</v>
      </c>
      <c r="AM3" s="32" t="s">
        <v>82</v>
      </c>
      <c r="AN3" s="32" t="s">
        <v>83</v>
      </c>
      <c r="AO3" s="32" t="s">
        <v>84</v>
      </c>
      <c r="AP3" s="32" t="s">
        <v>85</v>
      </c>
      <c r="AQ3" s="32" t="s">
        <v>86</v>
      </c>
      <c r="AR3" s="32" t="s">
        <v>87</v>
      </c>
      <c r="AS3" s="2" t="s">
        <v>88</v>
      </c>
      <c r="AT3" s="33" t="s">
        <v>89</v>
      </c>
      <c r="AU3" s="33" t="s">
        <v>90</v>
      </c>
      <c r="AV3" s="33" t="s">
        <v>91</v>
      </c>
      <c r="AW3" s="33" t="s">
        <v>92</v>
      </c>
      <c r="AX3" s="33" t="s">
        <v>93</v>
      </c>
      <c r="AY3" s="33" t="s">
        <v>277</v>
      </c>
      <c r="AZ3" s="33" t="s">
        <v>2100</v>
      </c>
      <c r="BA3" s="33" t="s">
        <v>2101</v>
      </c>
      <c r="BB3" s="33" t="s">
        <v>2102</v>
      </c>
      <c r="BG3" s="2">
        <v>2015</v>
      </c>
      <c r="BH3" s="2">
        <f t="shared" ref="BH3:DM3" si="0">BG3+1</f>
        <v>2016</v>
      </c>
      <c r="BI3" s="2">
        <f t="shared" si="0"/>
        <v>2017</v>
      </c>
      <c r="BJ3" s="2">
        <f t="shared" si="0"/>
        <v>2018</v>
      </c>
      <c r="BK3" s="2">
        <f t="shared" si="0"/>
        <v>2019</v>
      </c>
      <c r="BL3" s="2">
        <f t="shared" si="0"/>
        <v>2020</v>
      </c>
      <c r="BM3" s="2">
        <f t="shared" si="0"/>
        <v>2021</v>
      </c>
      <c r="BN3" s="2">
        <f t="shared" si="0"/>
        <v>2022</v>
      </c>
      <c r="BO3" s="2">
        <f t="shared" si="0"/>
        <v>2023</v>
      </c>
      <c r="BP3" s="2">
        <f t="shared" si="0"/>
        <v>2024</v>
      </c>
      <c r="BQ3" s="56">
        <f t="shared" si="0"/>
        <v>2025</v>
      </c>
      <c r="BR3" s="56">
        <f t="shared" si="0"/>
        <v>2026</v>
      </c>
      <c r="BS3" s="56">
        <f t="shared" si="0"/>
        <v>2027</v>
      </c>
      <c r="BT3" s="56">
        <f t="shared" si="0"/>
        <v>2028</v>
      </c>
      <c r="BU3" s="56">
        <f t="shared" si="0"/>
        <v>2029</v>
      </c>
      <c r="BV3" s="56">
        <f t="shared" si="0"/>
        <v>2030</v>
      </c>
      <c r="BW3" s="56">
        <f t="shared" si="0"/>
        <v>2031</v>
      </c>
      <c r="BX3" s="56">
        <f t="shared" si="0"/>
        <v>2032</v>
      </c>
      <c r="BY3" s="56">
        <f t="shared" si="0"/>
        <v>2033</v>
      </c>
      <c r="BZ3" s="56">
        <f t="shared" si="0"/>
        <v>2034</v>
      </c>
      <c r="CA3" s="56">
        <f t="shared" si="0"/>
        <v>2035</v>
      </c>
      <c r="CB3" s="56">
        <f t="shared" si="0"/>
        <v>2036</v>
      </c>
      <c r="CC3" s="56">
        <f t="shared" si="0"/>
        <v>2037</v>
      </c>
      <c r="CD3" s="56">
        <f t="shared" si="0"/>
        <v>2038</v>
      </c>
      <c r="CE3" s="56">
        <f t="shared" si="0"/>
        <v>2039</v>
      </c>
      <c r="CF3" s="56">
        <f t="shared" si="0"/>
        <v>2040</v>
      </c>
      <c r="CG3" s="56">
        <f t="shared" si="0"/>
        <v>2041</v>
      </c>
      <c r="CH3" s="56">
        <f t="shared" si="0"/>
        <v>2042</v>
      </c>
      <c r="CI3" s="56">
        <f t="shared" si="0"/>
        <v>2043</v>
      </c>
      <c r="CJ3" s="56">
        <f t="shared" si="0"/>
        <v>2044</v>
      </c>
      <c r="CK3" s="56">
        <f t="shared" si="0"/>
        <v>2045</v>
      </c>
      <c r="CL3" s="56">
        <f t="shared" si="0"/>
        <v>2046</v>
      </c>
      <c r="CM3" s="56">
        <f t="shared" si="0"/>
        <v>2047</v>
      </c>
      <c r="CN3" s="56">
        <f t="shared" si="0"/>
        <v>2048</v>
      </c>
      <c r="CO3" s="56">
        <f t="shared" si="0"/>
        <v>2049</v>
      </c>
      <c r="CP3" s="56">
        <f t="shared" si="0"/>
        <v>2050</v>
      </c>
      <c r="CQ3" s="56">
        <f t="shared" si="0"/>
        <v>2051</v>
      </c>
      <c r="CR3" s="56">
        <f t="shared" si="0"/>
        <v>2052</v>
      </c>
      <c r="CS3" s="56">
        <f t="shared" si="0"/>
        <v>2053</v>
      </c>
      <c r="CT3" s="56">
        <f t="shared" si="0"/>
        <v>2054</v>
      </c>
      <c r="CU3" s="56">
        <f t="shared" si="0"/>
        <v>2055</v>
      </c>
      <c r="CV3" s="56">
        <f t="shared" si="0"/>
        <v>2056</v>
      </c>
      <c r="CW3" s="56">
        <f t="shared" si="0"/>
        <v>2057</v>
      </c>
      <c r="CX3" s="56">
        <f t="shared" si="0"/>
        <v>2058</v>
      </c>
      <c r="CY3" s="56">
        <f t="shared" si="0"/>
        <v>2059</v>
      </c>
      <c r="CZ3" s="56">
        <f t="shared" si="0"/>
        <v>2060</v>
      </c>
      <c r="DA3" s="56">
        <f t="shared" si="0"/>
        <v>2061</v>
      </c>
      <c r="DB3" s="56">
        <f t="shared" si="0"/>
        <v>2062</v>
      </c>
      <c r="DC3" s="56">
        <f t="shared" si="0"/>
        <v>2063</v>
      </c>
      <c r="DD3" s="56">
        <f t="shared" si="0"/>
        <v>2064</v>
      </c>
      <c r="DE3" s="56">
        <f t="shared" si="0"/>
        <v>2065</v>
      </c>
      <c r="DF3" s="56">
        <f t="shared" si="0"/>
        <v>2066</v>
      </c>
      <c r="DG3" s="56">
        <f t="shared" si="0"/>
        <v>2067</v>
      </c>
      <c r="DH3" s="56">
        <f t="shared" si="0"/>
        <v>2068</v>
      </c>
      <c r="DI3" s="56">
        <f t="shared" si="0"/>
        <v>2069</v>
      </c>
      <c r="DJ3" s="56">
        <f t="shared" si="0"/>
        <v>2070</v>
      </c>
      <c r="DK3" s="56">
        <f t="shared" si="0"/>
        <v>2071</v>
      </c>
      <c r="DL3" s="56">
        <f t="shared" si="0"/>
        <v>2072</v>
      </c>
      <c r="DM3" s="56">
        <f t="shared" si="0"/>
        <v>2073</v>
      </c>
      <c r="DN3" s="56">
        <f t="shared" ref="DN3:DX3" si="1">DM3+1</f>
        <v>2074</v>
      </c>
      <c r="DO3" s="56">
        <f t="shared" si="1"/>
        <v>2075</v>
      </c>
      <c r="DP3" s="56">
        <f t="shared" si="1"/>
        <v>2076</v>
      </c>
      <c r="DQ3" s="56">
        <f t="shared" si="1"/>
        <v>2077</v>
      </c>
      <c r="DR3" s="56">
        <f t="shared" si="1"/>
        <v>2078</v>
      </c>
      <c r="DS3" s="56">
        <f t="shared" si="1"/>
        <v>2079</v>
      </c>
      <c r="DT3" s="56">
        <f t="shared" si="1"/>
        <v>2080</v>
      </c>
      <c r="DU3" s="56">
        <f t="shared" si="1"/>
        <v>2081</v>
      </c>
      <c r="DV3" s="56">
        <f t="shared" si="1"/>
        <v>2082</v>
      </c>
      <c r="DW3" s="56">
        <f t="shared" si="1"/>
        <v>2083</v>
      </c>
      <c r="DX3" s="56">
        <f t="shared" si="1"/>
        <v>2084</v>
      </c>
      <c r="DY3" s="56"/>
      <c r="DZ3" s="56"/>
      <c r="EA3" s="2"/>
    </row>
    <row r="4" spans="2:131">
      <c r="B4" s="1" t="s">
        <v>276</v>
      </c>
      <c r="W4" s="1">
        <v>4215</v>
      </c>
      <c r="X4" s="1">
        <v>4945</v>
      </c>
      <c r="Y4" s="1">
        <v>5076</v>
      </c>
      <c r="Z4" s="1">
        <f>19918-SUM(W4:Y4)</f>
        <v>5682</v>
      </c>
      <c r="AA4" s="1">
        <v>5621</v>
      </c>
      <c r="AB4" s="1">
        <v>5797</v>
      </c>
      <c r="AC4" s="1">
        <v>5607</v>
      </c>
      <c r="AD4" s="1">
        <f>23402-SUM(AA4:AC4)</f>
        <v>6377</v>
      </c>
      <c r="AE4" s="1">
        <v>5998</v>
      </c>
      <c r="AF4" s="1">
        <v>6272</v>
      </c>
      <c r="AG4" s="1">
        <v>6234</v>
      </c>
      <c r="AH4" s="1">
        <f>25206-SUM(AE4:AG4)</f>
        <v>6702</v>
      </c>
      <c r="AI4" s="1">
        <v>6364</v>
      </c>
      <c r="AJ4" s="1">
        <v>6556</v>
      </c>
      <c r="AK4" s="1">
        <v>6654</v>
      </c>
      <c r="AL4" s="1">
        <f>26857-SUM(AI4:AK4)</f>
        <v>7283</v>
      </c>
      <c r="AM4" s="1">
        <v>7034</v>
      </c>
      <c r="AN4" s="1">
        <v>7153</v>
      </c>
      <c r="AO4" s="1">
        <v>7067</v>
      </c>
      <c r="AP4" s="1">
        <f>28842-SUM(AM4:AO4)</f>
        <v>7588</v>
      </c>
      <c r="AQ4" s="1">
        <v>7016</v>
      </c>
      <c r="AR4" s="1">
        <v>7441</v>
      </c>
      <c r="AS4" s="1">
        <v>7522</v>
      </c>
      <c r="BL4" s="42">
        <f t="shared" ref="BL4:BL6" si="2">SUM(W4:Z4)</f>
        <v>19918</v>
      </c>
      <c r="BM4" s="42">
        <f t="shared" ref="BM4:BM6" si="3">SUM(AA4:AD4)</f>
        <v>23402</v>
      </c>
      <c r="BN4" s="42">
        <f t="shared" ref="BN4:BN6" si="4">SUM(AE4:AH4)</f>
        <v>25206</v>
      </c>
      <c r="BO4" s="1">
        <f>SUM(Model!AI4:AL4)</f>
        <v>26857</v>
      </c>
      <c r="BP4" s="1">
        <f>SUM(Model!AM4:AP4)</f>
        <v>28842</v>
      </c>
      <c r="BQ4" s="57">
        <f>BP4*(1+BQ8)</f>
        <v>30067.785</v>
      </c>
      <c r="BR4" s="57">
        <f t="shared" ref="BR4:BZ4" si="5">BQ4*(1+BR8)</f>
        <v>31390.767540000001</v>
      </c>
      <c r="BS4" s="57">
        <f t="shared" si="5"/>
        <v>32803.352079299999</v>
      </c>
      <c r="BT4" s="57">
        <f t="shared" si="5"/>
        <v>34312.306274947798</v>
      </c>
      <c r="BU4" s="57">
        <f t="shared" si="5"/>
        <v>35924.98466987034</v>
      </c>
      <c r="BV4" s="57">
        <f t="shared" si="5"/>
        <v>37649.383934024117</v>
      </c>
      <c r="BW4" s="57">
        <f t="shared" si="5"/>
        <v>39494.203746791296</v>
      </c>
      <c r="BX4" s="57">
        <f t="shared" si="5"/>
        <v>41468.913934130862</v>
      </c>
      <c r="BY4" s="57">
        <f t="shared" si="5"/>
        <v>43542.359630837404</v>
      </c>
      <c r="BZ4" s="57">
        <f t="shared" si="5"/>
        <v>45719.477612379276</v>
      </c>
    </row>
    <row r="5" spans="2:131">
      <c r="B5" s="1" t="s">
        <v>275</v>
      </c>
      <c r="W5" s="1">
        <v>403</v>
      </c>
      <c r="X5" s="1">
        <v>316</v>
      </c>
      <c r="Y5" s="1">
        <v>383</v>
      </c>
      <c r="Z5" s="1">
        <f>1536-SUM(W5:Y5)</f>
        <v>434</v>
      </c>
      <c r="AA5" s="1">
        <v>412</v>
      </c>
      <c r="AB5" s="1">
        <v>441</v>
      </c>
      <c r="AC5" s="1">
        <v>575</v>
      </c>
      <c r="AD5" s="1">
        <f>1969-SUM(AA5:AC5)</f>
        <v>541</v>
      </c>
      <c r="AE5" s="1">
        <v>485</v>
      </c>
      <c r="AF5" s="1">
        <v>534</v>
      </c>
      <c r="AG5" s="1">
        <v>612</v>
      </c>
      <c r="AH5" s="1">
        <f>2312-SUM(AE5:AG5)</f>
        <v>681</v>
      </c>
      <c r="AI5" s="1">
        <v>676</v>
      </c>
      <c r="AJ5" s="1">
        <v>731</v>
      </c>
      <c r="AK5" s="1">
        <v>764</v>
      </c>
      <c r="AL5" s="1">
        <f>2914-SUM(AI5:AK5)</f>
        <v>743</v>
      </c>
      <c r="AM5" s="1">
        <v>665</v>
      </c>
      <c r="AN5" s="1">
        <v>732</v>
      </c>
      <c r="AO5" s="1">
        <v>780</v>
      </c>
      <c r="AP5" s="1">
        <f>2955-SUM(AM5:AO5)</f>
        <v>778</v>
      </c>
      <c r="AQ5" s="1">
        <v>775</v>
      </c>
      <c r="AR5" s="1">
        <v>847</v>
      </c>
      <c r="AS5" s="1">
        <v>895</v>
      </c>
      <c r="BL5" s="42">
        <f t="shared" si="2"/>
        <v>1536</v>
      </c>
      <c r="BM5" s="42">
        <f t="shared" si="3"/>
        <v>1969</v>
      </c>
      <c r="BN5" s="42">
        <f t="shared" si="4"/>
        <v>2312</v>
      </c>
      <c r="BO5" s="1">
        <f>SUM(Model!AI5:AL5)</f>
        <v>2914</v>
      </c>
      <c r="BP5" s="1">
        <f>SUM(Model!AM5:AP5)</f>
        <v>2955</v>
      </c>
      <c r="BQ5" s="57">
        <f>BP5*(1+BQ9)</f>
        <v>3353.9250000000002</v>
      </c>
      <c r="BR5" s="57">
        <f t="shared" ref="BR5:BZ5" si="6">BQ5*(1+BR9)</f>
        <v>3957.6315</v>
      </c>
      <c r="BS5" s="57">
        <f t="shared" si="6"/>
        <v>4749.1578</v>
      </c>
      <c r="BT5" s="57">
        <f t="shared" si="6"/>
        <v>5556.5146259999992</v>
      </c>
      <c r="BU5" s="57">
        <f t="shared" si="6"/>
        <v>6334.4266736399995</v>
      </c>
      <c r="BV5" s="57">
        <f t="shared" si="6"/>
        <v>7094.5578744768</v>
      </c>
      <c r="BW5" s="57">
        <f t="shared" si="6"/>
        <v>7804.0136619244804</v>
      </c>
      <c r="BX5" s="57">
        <f t="shared" si="6"/>
        <v>8506.3748914976841</v>
      </c>
      <c r="BY5" s="57">
        <f t="shared" si="6"/>
        <v>9186.8848828174996</v>
      </c>
      <c r="BZ5" s="57">
        <f t="shared" si="6"/>
        <v>9829.9668246147248</v>
      </c>
    </row>
    <row r="6" spans="2:131" s="2" customFormat="1" ht="15">
      <c r="B6" s="2" t="s">
        <v>97</v>
      </c>
      <c r="W6" s="2">
        <f t="shared" ref="W6:AQ6" si="7">SUM(W4:W5)</f>
        <v>4618</v>
      </c>
      <c r="X6" s="2">
        <f t="shared" si="7"/>
        <v>5261</v>
      </c>
      <c r="Y6" s="2">
        <f t="shared" si="7"/>
        <v>5459</v>
      </c>
      <c r="Z6" s="2">
        <f t="shared" si="7"/>
        <v>6116</v>
      </c>
      <c r="AA6" s="2">
        <f t="shared" si="7"/>
        <v>6033</v>
      </c>
      <c r="AB6" s="2">
        <f t="shared" si="7"/>
        <v>6238</v>
      </c>
      <c r="AC6" s="2">
        <f t="shared" si="7"/>
        <v>6182</v>
      </c>
      <c r="AD6" s="2">
        <f t="shared" si="7"/>
        <v>6918</v>
      </c>
      <c r="AE6" s="2">
        <f t="shared" si="7"/>
        <v>6483</v>
      </c>
      <c r="AF6" s="2">
        <f t="shared" si="7"/>
        <v>6806</v>
      </c>
      <c r="AG6" s="2">
        <f t="shared" si="7"/>
        <v>6846</v>
      </c>
      <c r="AH6" s="2">
        <f t="shared" si="7"/>
        <v>7383</v>
      </c>
      <c r="AI6" s="2">
        <f t="shared" si="7"/>
        <v>7040</v>
      </c>
      <c r="AJ6" s="2">
        <f t="shared" si="7"/>
        <v>7287</v>
      </c>
      <c r="AK6" s="2">
        <f t="shared" si="7"/>
        <v>7418</v>
      </c>
      <c r="AL6" s="2">
        <f t="shared" si="7"/>
        <v>8026</v>
      </c>
      <c r="AM6" s="2">
        <f t="shared" si="7"/>
        <v>7699</v>
      </c>
      <c r="AN6" s="2">
        <f t="shared" si="7"/>
        <v>7885</v>
      </c>
      <c r="AO6" s="2">
        <f t="shared" si="7"/>
        <v>7847</v>
      </c>
      <c r="AP6" s="2">
        <f t="shared" si="7"/>
        <v>8366</v>
      </c>
      <c r="AQ6" s="2">
        <f t="shared" si="7"/>
        <v>7791</v>
      </c>
      <c r="AR6" s="2">
        <f t="shared" ref="AR6:AS6" si="8">SUM(AR4:AR5)</f>
        <v>8288</v>
      </c>
      <c r="AS6" s="2">
        <f t="shared" si="8"/>
        <v>8417</v>
      </c>
      <c r="AT6" s="33"/>
      <c r="AU6" s="33"/>
      <c r="AV6" s="33"/>
      <c r="AW6" s="33"/>
      <c r="AX6" s="33"/>
      <c r="BL6" s="42">
        <f t="shared" si="2"/>
        <v>21454</v>
      </c>
      <c r="BM6" s="42">
        <f t="shared" si="3"/>
        <v>25371</v>
      </c>
      <c r="BN6" s="42">
        <f t="shared" si="4"/>
        <v>27518</v>
      </c>
      <c r="BO6" s="1">
        <f>SUM(Model!AI6:AL6)</f>
        <v>29771</v>
      </c>
      <c r="BP6" s="1">
        <f>SUM(Model!AM6:AP6)</f>
        <v>31797</v>
      </c>
      <c r="BQ6" s="58">
        <f>SUM(BQ4:BQ5)</f>
        <v>33421.71</v>
      </c>
      <c r="BR6" s="58">
        <f t="shared" ref="BR6:BZ6" si="9">SUM(BR4:BR5)</f>
        <v>35348.399040000004</v>
      </c>
      <c r="BS6" s="58">
        <f t="shared" si="9"/>
        <v>37552.5098793</v>
      </c>
      <c r="BT6" s="58">
        <f t="shared" si="9"/>
        <v>39868.820900947794</v>
      </c>
      <c r="BU6" s="58">
        <f t="shared" si="9"/>
        <v>42259.411343510343</v>
      </c>
      <c r="BV6" s="58">
        <f t="shared" si="9"/>
        <v>44743.941808500917</v>
      </c>
      <c r="BW6" s="58">
        <f t="shared" si="9"/>
        <v>47298.217408715776</v>
      </c>
      <c r="BX6" s="58">
        <f t="shared" si="9"/>
        <v>49975.288825628544</v>
      </c>
      <c r="BY6" s="58">
        <f t="shared" si="9"/>
        <v>52729.244513654907</v>
      </c>
      <c r="BZ6" s="58">
        <f t="shared" si="9"/>
        <v>55549.444436994003</v>
      </c>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row>
    <row r="7" spans="2:131" ht="15">
      <c r="B7" s="2"/>
      <c r="W7" s="2"/>
      <c r="X7" s="2"/>
      <c r="Y7" s="2"/>
      <c r="Z7" s="2"/>
      <c r="AA7" s="2"/>
      <c r="AB7" s="2"/>
      <c r="AC7" s="2"/>
      <c r="AD7" s="2"/>
      <c r="AE7" s="2"/>
      <c r="AF7" s="2"/>
      <c r="AG7" s="2"/>
      <c r="AH7" s="2"/>
      <c r="AI7" s="2"/>
      <c r="AJ7" s="2"/>
      <c r="AK7" s="2"/>
      <c r="AL7" s="2"/>
      <c r="AM7" s="2"/>
      <c r="AN7" s="2"/>
      <c r="AO7" s="2"/>
      <c r="AP7" s="2"/>
      <c r="AQ7" s="2"/>
      <c r="AR7" s="2"/>
      <c r="AS7" s="2"/>
    </row>
    <row r="8" spans="2:131">
      <c r="B8" s="1" t="s">
        <v>272</v>
      </c>
      <c r="W8" s="50"/>
      <c r="X8" s="50"/>
      <c r="Y8" s="50"/>
      <c r="Z8" s="50"/>
      <c r="AA8" s="50">
        <f t="shared" ref="AA8:AJ10" si="10">AA4/W4-1</f>
        <v>0.3335705812574139</v>
      </c>
      <c r="AB8" s="50">
        <f t="shared" si="10"/>
        <v>0.17229524772497462</v>
      </c>
      <c r="AC8" s="50">
        <f t="shared" si="10"/>
        <v>0.10460992907801425</v>
      </c>
      <c r="AD8" s="50">
        <f t="shared" si="10"/>
        <v>0.12231608588525167</v>
      </c>
      <c r="AE8" s="50">
        <f t="shared" si="10"/>
        <v>6.7069916384984829E-2</v>
      </c>
      <c r="AF8" s="50">
        <f t="shared" si="10"/>
        <v>8.1938933931343882E-2</v>
      </c>
      <c r="AG8" s="50">
        <f t="shared" si="10"/>
        <v>0.11182450508293207</v>
      </c>
      <c r="AH8" s="50">
        <f t="shared" si="10"/>
        <v>5.0964403324447183E-2</v>
      </c>
      <c r="AI8" s="50">
        <f t="shared" si="10"/>
        <v>6.1020340113371097E-2</v>
      </c>
      <c r="AJ8" s="50">
        <f t="shared" si="10"/>
        <v>4.5280612244897878E-2</v>
      </c>
      <c r="AK8" s="50">
        <f t="shared" ref="AK8:AS10" si="11">AK4/AG4-1</f>
        <v>6.7372473532242516E-2</v>
      </c>
      <c r="AL8" s="50">
        <f t="shared" si="11"/>
        <v>8.6690540137272398E-2</v>
      </c>
      <c r="AM8" s="50">
        <f t="shared" si="11"/>
        <v>0.10527969830295403</v>
      </c>
      <c r="AN8" s="50">
        <f t="shared" si="11"/>
        <v>9.1061622940817655E-2</v>
      </c>
      <c r="AO8" s="50">
        <f t="shared" si="11"/>
        <v>6.2067929065223959E-2</v>
      </c>
      <c r="AP8" s="50">
        <f t="shared" si="11"/>
        <v>4.1878346835095392E-2</v>
      </c>
      <c r="AQ8" s="50">
        <f t="shared" si="11"/>
        <v>-2.5589991470003071E-3</v>
      </c>
      <c r="AR8" s="50">
        <f t="shared" si="11"/>
        <v>4.0262826785963934E-2</v>
      </c>
      <c r="AS8" s="50">
        <f t="shared" si="11"/>
        <v>6.438375548323183E-2</v>
      </c>
      <c r="BL8" s="50"/>
      <c r="BM8" s="50">
        <f t="shared" ref="BM8:BO8" si="12">BM4/BL4-1</f>
        <v>0.17491716035746552</v>
      </c>
      <c r="BN8" s="50">
        <f t="shared" si="12"/>
        <v>7.7087428424921001E-2</v>
      </c>
      <c r="BO8" s="50">
        <f t="shared" si="12"/>
        <v>6.5500277711656008E-2</v>
      </c>
      <c r="BP8" s="50">
        <f>BP4/BO4-1</f>
        <v>7.3909967606210714E-2</v>
      </c>
      <c r="BQ8" s="54">
        <v>4.2500000000000003E-2</v>
      </c>
      <c r="BR8" s="54">
        <v>4.3999999999999997E-2</v>
      </c>
      <c r="BS8" s="54">
        <v>4.4999999999999998E-2</v>
      </c>
      <c r="BT8" s="54">
        <v>4.5999999999999999E-2</v>
      </c>
      <c r="BU8" s="54">
        <v>4.7E-2</v>
      </c>
      <c r="BV8" s="54">
        <v>4.8000000000000001E-2</v>
      </c>
      <c r="BW8" s="54">
        <v>4.9000000000000002E-2</v>
      </c>
      <c r="BX8" s="54">
        <v>0.05</v>
      </c>
      <c r="BY8" s="54">
        <v>0.05</v>
      </c>
      <c r="BZ8" s="54">
        <v>0.05</v>
      </c>
    </row>
    <row r="9" spans="2:131">
      <c r="B9" s="1" t="s">
        <v>271</v>
      </c>
      <c r="W9" s="50"/>
      <c r="X9" s="50"/>
      <c r="Y9" s="50"/>
      <c r="Z9" s="50"/>
      <c r="AA9" s="50">
        <f t="shared" si="10"/>
        <v>2.2332506203474045E-2</v>
      </c>
      <c r="AB9" s="50">
        <f t="shared" si="10"/>
        <v>0.39556962025316467</v>
      </c>
      <c r="AC9" s="50">
        <f t="shared" si="10"/>
        <v>0.50130548302872069</v>
      </c>
      <c r="AD9" s="50">
        <f t="shared" si="10"/>
        <v>0.24654377880184342</v>
      </c>
      <c r="AE9" s="50">
        <f t="shared" si="10"/>
        <v>0.17718446601941751</v>
      </c>
      <c r="AF9" s="50">
        <f t="shared" si="10"/>
        <v>0.21088435374149661</v>
      </c>
      <c r="AG9" s="50">
        <f t="shared" si="10"/>
        <v>6.434782608695655E-2</v>
      </c>
      <c r="AH9" s="50">
        <f t="shared" si="10"/>
        <v>0.25878003696857665</v>
      </c>
      <c r="AI9" s="50">
        <f t="shared" si="10"/>
        <v>0.39381443298969065</v>
      </c>
      <c r="AJ9" s="50">
        <f t="shared" si="10"/>
        <v>0.36891385767790252</v>
      </c>
      <c r="AK9" s="50">
        <f t="shared" si="11"/>
        <v>0.24836601307189543</v>
      </c>
      <c r="AL9" s="50">
        <f t="shared" si="11"/>
        <v>9.1042584434654961E-2</v>
      </c>
      <c r="AM9" s="50">
        <f t="shared" si="11"/>
        <v>-1.6272189349112454E-2</v>
      </c>
      <c r="AN9" s="50">
        <f t="shared" si="11"/>
        <v>1.3679890560875929E-3</v>
      </c>
      <c r="AO9" s="50">
        <f t="shared" si="11"/>
        <v>2.0942408376963373E-2</v>
      </c>
      <c r="AP9" s="50">
        <f t="shared" si="11"/>
        <v>4.7106325706594898E-2</v>
      </c>
      <c r="AQ9" s="50">
        <f t="shared" si="11"/>
        <v>0.16541353383458657</v>
      </c>
      <c r="AR9" s="50">
        <f t="shared" si="11"/>
        <v>0.15710382513661192</v>
      </c>
      <c r="AS9" s="50">
        <f t="shared" si="11"/>
        <v>0.14743589743589736</v>
      </c>
      <c r="BL9" s="50"/>
      <c r="BM9" s="50">
        <f t="shared" ref="BM9:BO9" si="13">BM5/BL5-1</f>
        <v>0.28190104166666674</v>
      </c>
      <c r="BN9" s="50">
        <f t="shared" si="13"/>
        <v>0.17420010157440324</v>
      </c>
      <c r="BO9" s="50">
        <f t="shared" si="13"/>
        <v>0.26038062283737018</v>
      </c>
      <c r="BP9" s="50">
        <f>BP5/BO5-1</f>
        <v>1.4070006863418083E-2</v>
      </c>
      <c r="BQ9" s="54">
        <v>0.13500000000000001</v>
      </c>
      <c r="BR9" s="54">
        <v>0.18</v>
      </c>
      <c r="BS9" s="54">
        <v>0.2</v>
      </c>
      <c r="BT9" s="54">
        <v>0.17</v>
      </c>
      <c r="BU9" s="54">
        <v>0.14000000000000001</v>
      </c>
      <c r="BV9" s="54">
        <v>0.12</v>
      </c>
      <c r="BW9" s="54">
        <v>0.1</v>
      </c>
      <c r="BX9" s="54">
        <v>0.09</v>
      </c>
      <c r="BY9" s="54">
        <v>0.08</v>
      </c>
      <c r="BZ9" s="54">
        <v>7.0000000000000007E-2</v>
      </c>
    </row>
    <row r="10" spans="2:131" s="2" customFormat="1" ht="15">
      <c r="B10" s="2" t="s">
        <v>270</v>
      </c>
      <c r="W10" s="76"/>
      <c r="X10" s="76"/>
      <c r="Y10" s="76"/>
      <c r="Z10" s="76"/>
      <c r="AA10" s="76">
        <f t="shared" si="10"/>
        <v>0.30640970116933741</v>
      </c>
      <c r="AB10" s="76">
        <f t="shared" si="10"/>
        <v>0.18570613951720216</v>
      </c>
      <c r="AC10" s="76">
        <f t="shared" si="10"/>
        <v>0.13244183916468222</v>
      </c>
      <c r="AD10" s="76">
        <f t="shared" si="10"/>
        <v>0.13113145846958796</v>
      </c>
      <c r="AE10" s="76">
        <f t="shared" si="10"/>
        <v>7.458975634012921E-2</v>
      </c>
      <c r="AF10" s="76">
        <f t="shared" si="10"/>
        <v>9.105482526450781E-2</v>
      </c>
      <c r="AG10" s="76">
        <f t="shared" si="10"/>
        <v>0.10740860562924626</v>
      </c>
      <c r="AH10" s="76">
        <f t="shared" si="10"/>
        <v>6.7215958369470918E-2</v>
      </c>
      <c r="AI10" s="76">
        <f t="shared" si="10"/>
        <v>8.5917013728212144E-2</v>
      </c>
      <c r="AJ10" s="76">
        <f t="shared" si="10"/>
        <v>7.0672935645019086E-2</v>
      </c>
      <c r="AK10" s="76">
        <f t="shared" si="11"/>
        <v>8.3552439380660148E-2</v>
      </c>
      <c r="AL10" s="76">
        <f t="shared" si="11"/>
        <v>8.7091968034674228E-2</v>
      </c>
      <c r="AM10" s="76">
        <f t="shared" si="11"/>
        <v>9.3607954545454453E-2</v>
      </c>
      <c r="AN10" s="76">
        <f t="shared" si="11"/>
        <v>8.2063949499108002E-2</v>
      </c>
      <c r="AO10" s="76">
        <f t="shared" si="11"/>
        <v>5.7832299811269916E-2</v>
      </c>
      <c r="AP10" s="76">
        <f t="shared" si="11"/>
        <v>4.2362322452030865E-2</v>
      </c>
      <c r="AQ10" s="76">
        <f t="shared" si="11"/>
        <v>1.1949603844655154E-2</v>
      </c>
      <c r="AR10" s="76">
        <f t="shared" si="11"/>
        <v>5.1109701965757814E-2</v>
      </c>
      <c r="AS10" s="76">
        <f t="shared" si="11"/>
        <v>7.2639225181598155E-2</v>
      </c>
      <c r="AT10" s="33"/>
      <c r="AU10" s="33"/>
      <c r="AV10" s="33"/>
      <c r="AW10" s="33"/>
      <c r="AX10" s="33"/>
      <c r="BL10" s="76"/>
      <c r="BM10" s="76">
        <f t="shared" ref="BM10:BO10" si="14">BM6/BL6-1</f>
        <v>0.18257667567819524</v>
      </c>
      <c r="BN10" s="76">
        <f t="shared" si="14"/>
        <v>8.4624177210200546E-2</v>
      </c>
      <c r="BO10" s="76">
        <f t="shared" si="14"/>
        <v>8.1873682680427384E-2</v>
      </c>
      <c r="BP10" s="76">
        <f>BP6/BO6-1</f>
        <v>6.8052803063383793E-2</v>
      </c>
      <c r="BQ10" s="77">
        <f>BQ6/BP6-1</f>
        <v>5.1096329842437838E-2</v>
      </c>
      <c r="BR10" s="77">
        <f t="shared" ref="BR10:BZ10" si="15">BR6/BQ6-1</f>
        <v>5.7647829509621218E-2</v>
      </c>
      <c r="BS10" s="77">
        <f t="shared" si="15"/>
        <v>6.2353908498255839E-2</v>
      </c>
      <c r="BT10" s="77">
        <f t="shared" si="15"/>
        <v>6.1681922968472858E-2</v>
      </c>
      <c r="BU10" s="77">
        <f t="shared" si="15"/>
        <v>5.9961403135092795E-2</v>
      </c>
      <c r="BV10" s="77">
        <f t="shared" si="15"/>
        <v>5.8792358577709258E-2</v>
      </c>
      <c r="BW10" s="77">
        <f t="shared" si="15"/>
        <v>5.7086512653419685E-2</v>
      </c>
      <c r="BX10" s="77">
        <f t="shared" si="15"/>
        <v>5.6599837447985024E-2</v>
      </c>
      <c r="BY10" s="77">
        <f t="shared" si="15"/>
        <v>5.5106348612318001E-2</v>
      </c>
      <c r="BZ10" s="77">
        <f t="shared" si="15"/>
        <v>5.3484550164733857E-2</v>
      </c>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row>
    <row r="11" spans="2:131">
      <c r="W11" s="50"/>
      <c r="X11" s="50"/>
      <c r="Y11" s="50"/>
      <c r="Z11" s="50"/>
      <c r="AA11" s="50"/>
      <c r="AB11" s="50"/>
      <c r="AC11" s="50"/>
      <c r="AD11" s="50"/>
      <c r="AE11" s="50"/>
      <c r="AF11" s="50"/>
      <c r="AG11" s="50"/>
      <c r="AH11" s="50"/>
      <c r="AI11" s="50"/>
      <c r="AJ11" s="50"/>
      <c r="AK11" s="50"/>
      <c r="AL11" s="50"/>
      <c r="AM11" s="50"/>
      <c r="AN11" s="50"/>
      <c r="AO11" s="50"/>
      <c r="AP11" s="50"/>
      <c r="AQ11" s="50"/>
      <c r="AR11" s="50"/>
      <c r="AS11" s="50"/>
      <c r="BL11" s="50"/>
      <c r="BM11" s="50"/>
      <c r="BN11" s="50"/>
      <c r="BO11" s="50"/>
      <c r="BP11" s="50"/>
    </row>
    <row r="12" spans="2:131">
      <c r="B12" s="1" t="s">
        <v>274</v>
      </c>
      <c r="W12" s="50">
        <f t="shared" ref="W12:AQ12" si="16">W4/W6</f>
        <v>0.91273278475530528</v>
      </c>
      <c r="X12" s="50">
        <f t="shared" si="16"/>
        <v>0.93993537350313627</v>
      </c>
      <c r="Y12" s="50">
        <f t="shared" si="16"/>
        <v>0.92984063015204255</v>
      </c>
      <c r="Z12" s="50">
        <f t="shared" si="16"/>
        <v>0.92903858731196864</v>
      </c>
      <c r="AA12" s="50">
        <f t="shared" si="16"/>
        <v>0.93170893419525935</v>
      </c>
      <c r="AB12" s="50">
        <f t="shared" si="16"/>
        <v>0.92930426418723955</v>
      </c>
      <c r="AC12" s="50">
        <f t="shared" si="16"/>
        <v>0.90698802976383053</v>
      </c>
      <c r="AD12" s="50">
        <f t="shared" si="16"/>
        <v>0.92179820757444353</v>
      </c>
      <c r="AE12" s="50">
        <f t="shared" si="16"/>
        <v>0.92518895573037174</v>
      </c>
      <c r="AF12" s="50">
        <f t="shared" si="16"/>
        <v>0.92153981780781669</v>
      </c>
      <c r="AG12" s="50">
        <f t="shared" si="16"/>
        <v>0.91060473269062225</v>
      </c>
      <c r="AH12" s="50">
        <f t="shared" si="16"/>
        <v>0.90776107273466067</v>
      </c>
      <c r="AI12" s="50">
        <f t="shared" si="16"/>
        <v>0.90397727272727268</v>
      </c>
      <c r="AJ12" s="50">
        <f t="shared" si="16"/>
        <v>0.89968436942500341</v>
      </c>
      <c r="AK12" s="50">
        <f t="shared" si="16"/>
        <v>0.897007279590186</v>
      </c>
      <c r="AL12" s="50">
        <f t="shared" si="16"/>
        <v>0.90742586593570895</v>
      </c>
      <c r="AM12" s="50">
        <f t="shared" si="16"/>
        <v>0.91362514612287316</v>
      </c>
      <c r="AN12" s="50">
        <f t="shared" si="16"/>
        <v>0.90716550412175012</v>
      </c>
      <c r="AO12" s="50">
        <f t="shared" si="16"/>
        <v>0.90059895501465526</v>
      </c>
      <c r="AP12" s="50">
        <f t="shared" si="16"/>
        <v>0.90700454219459714</v>
      </c>
      <c r="AQ12" s="50">
        <f t="shared" si="16"/>
        <v>0.90052624823514316</v>
      </c>
      <c r="AR12" s="50">
        <f t="shared" ref="AR12:AS12" si="17">AR4/AR6</f>
        <v>0.89780405405405406</v>
      </c>
      <c r="AS12" s="50">
        <f t="shared" si="17"/>
        <v>0.89366757752168235</v>
      </c>
      <c r="BL12" s="50">
        <f t="shared" ref="BL12:BO12" si="18">BL4/BL6</f>
        <v>0.92840495944812151</v>
      </c>
      <c r="BM12" s="50">
        <f t="shared" si="18"/>
        <v>0.92239170706712392</v>
      </c>
      <c r="BN12" s="50">
        <f t="shared" si="18"/>
        <v>0.91598226615306344</v>
      </c>
      <c r="BO12" s="50">
        <f t="shared" si="18"/>
        <v>0.90211951227704812</v>
      </c>
      <c r="BP12" s="50">
        <f>BP4/BP6</f>
        <v>0.90706670440607606</v>
      </c>
      <c r="BQ12" s="59">
        <f>BQ4/BQ6</f>
        <v>0.89964831242925636</v>
      </c>
      <c r="BR12" s="59">
        <f t="shared" ref="BR12:BZ12" si="19">BR4/BR6</f>
        <v>0.88803930001125153</v>
      </c>
      <c r="BS12" s="59">
        <f t="shared" si="19"/>
        <v>0.87353287928650891</v>
      </c>
      <c r="BT12" s="59">
        <f t="shared" si="19"/>
        <v>0.86063007381620604</v>
      </c>
      <c r="BU12" s="59">
        <f t="shared" si="19"/>
        <v>0.85010613086514841</v>
      </c>
      <c r="BV12" s="59">
        <f t="shared" si="19"/>
        <v>0.84144092836431994</v>
      </c>
      <c r="BW12" s="59">
        <f t="shared" si="19"/>
        <v>0.83500406380037462</v>
      </c>
      <c r="BX12" s="59">
        <f t="shared" si="19"/>
        <v>0.8297883795894061</v>
      </c>
      <c r="BY12" s="59">
        <f t="shared" si="19"/>
        <v>0.82577249176330525</v>
      </c>
      <c r="BZ12" s="59">
        <f t="shared" si="19"/>
        <v>0.82304113165768567</v>
      </c>
    </row>
    <row r="13" spans="2:131">
      <c r="B13" s="1" t="s">
        <v>273</v>
      </c>
      <c r="W13" s="50">
        <f t="shared" ref="W13:AQ13" si="20">W5/W6</f>
        <v>8.7267215244694676E-2</v>
      </c>
      <c r="X13" s="50">
        <f t="shared" si="20"/>
        <v>6.0064626496863713E-2</v>
      </c>
      <c r="Y13" s="50">
        <f t="shared" si="20"/>
        <v>7.0159369847957495E-2</v>
      </c>
      <c r="Z13" s="50">
        <f t="shared" si="20"/>
        <v>7.0961412688031397E-2</v>
      </c>
      <c r="AA13" s="50">
        <f t="shared" si="20"/>
        <v>6.8291065804740592E-2</v>
      </c>
      <c r="AB13" s="50">
        <f t="shared" si="20"/>
        <v>7.0695735812760493E-2</v>
      </c>
      <c r="AC13" s="50">
        <f t="shared" si="20"/>
        <v>9.3011970236169528E-2</v>
      </c>
      <c r="AD13" s="50">
        <f t="shared" si="20"/>
        <v>7.8201792425556513E-2</v>
      </c>
      <c r="AE13" s="50">
        <f t="shared" si="20"/>
        <v>7.4811044269628257E-2</v>
      </c>
      <c r="AF13" s="50">
        <f t="shared" si="20"/>
        <v>7.846018219218337E-2</v>
      </c>
      <c r="AG13" s="50">
        <f t="shared" si="20"/>
        <v>8.9395267309377732E-2</v>
      </c>
      <c r="AH13" s="50">
        <f t="shared" si="20"/>
        <v>9.2238927265339291E-2</v>
      </c>
      <c r="AI13" s="50">
        <f t="shared" si="20"/>
        <v>9.6022727272727273E-2</v>
      </c>
      <c r="AJ13" s="50">
        <f t="shared" si="20"/>
        <v>0.10031563057499657</v>
      </c>
      <c r="AK13" s="50">
        <f t="shared" si="20"/>
        <v>0.10299272040981397</v>
      </c>
      <c r="AL13" s="50">
        <f t="shared" si="20"/>
        <v>9.2574134064291061E-2</v>
      </c>
      <c r="AM13" s="50">
        <f t="shared" si="20"/>
        <v>8.63748538771269E-2</v>
      </c>
      <c r="AN13" s="50">
        <f t="shared" si="20"/>
        <v>9.2834495878249837E-2</v>
      </c>
      <c r="AO13" s="50">
        <f t="shared" si="20"/>
        <v>9.9401044985344716E-2</v>
      </c>
      <c r="AP13" s="50">
        <f t="shared" si="20"/>
        <v>9.2995457805402817E-2</v>
      </c>
      <c r="AQ13" s="50">
        <f t="shared" si="20"/>
        <v>9.9473751764856885E-2</v>
      </c>
      <c r="AR13" s="50">
        <f t="shared" ref="AR13:AS13" si="21">AR5/AR6</f>
        <v>0.10219594594594594</v>
      </c>
      <c r="AS13" s="50">
        <f t="shared" si="21"/>
        <v>0.10633242247831769</v>
      </c>
      <c r="BL13" s="50">
        <f t="shared" ref="BL13:BO13" si="22">BL5/BL6</f>
        <v>7.1595040551878444E-2</v>
      </c>
      <c r="BM13" s="50">
        <f t="shared" si="22"/>
        <v>7.7608292932876119E-2</v>
      </c>
      <c r="BN13" s="50">
        <f t="shared" si="22"/>
        <v>8.4017733846936546E-2</v>
      </c>
      <c r="BO13" s="50">
        <f t="shared" si="22"/>
        <v>9.7880487722951867E-2</v>
      </c>
      <c r="BP13" s="50">
        <f>BP5/BP6</f>
        <v>9.2933295593923951E-2</v>
      </c>
      <c r="BQ13" s="59">
        <f>BQ5/BQ6</f>
        <v>0.1003516875707437</v>
      </c>
      <c r="BR13" s="59">
        <f t="shared" ref="BR13:BZ13" si="23">BR5/BR6</f>
        <v>0.11196069998874833</v>
      </c>
      <c r="BS13" s="59">
        <f t="shared" si="23"/>
        <v>0.12646712071349109</v>
      </c>
      <c r="BT13" s="59">
        <f t="shared" si="23"/>
        <v>0.13936992618379404</v>
      </c>
      <c r="BU13" s="59">
        <f t="shared" si="23"/>
        <v>0.14989386913485153</v>
      </c>
      <c r="BV13" s="59">
        <f t="shared" si="23"/>
        <v>0.15855907163568014</v>
      </c>
      <c r="BW13" s="59">
        <f t="shared" si="23"/>
        <v>0.16499593619962541</v>
      </c>
      <c r="BX13" s="59">
        <f t="shared" si="23"/>
        <v>0.17021162041059396</v>
      </c>
      <c r="BY13" s="59">
        <f t="shared" si="23"/>
        <v>0.17422750823669472</v>
      </c>
      <c r="BZ13" s="59">
        <f t="shared" si="23"/>
        <v>0.17695886834231428</v>
      </c>
    </row>
    <row r="14" spans="2:131">
      <c r="W14" s="41"/>
      <c r="X14" s="41"/>
      <c r="Y14" s="41"/>
      <c r="Z14" s="41"/>
      <c r="AA14" s="41"/>
      <c r="AB14" s="41"/>
      <c r="AC14" s="41"/>
      <c r="AD14" s="41"/>
      <c r="AE14" s="41"/>
      <c r="AF14" s="41"/>
      <c r="AG14" s="41"/>
      <c r="AH14" s="41"/>
      <c r="AI14" s="41"/>
      <c r="AJ14" s="41"/>
      <c r="AK14" s="41"/>
      <c r="AL14" s="41"/>
      <c r="AM14" s="41"/>
      <c r="AN14" s="41"/>
      <c r="AO14" s="41"/>
      <c r="AP14" s="41"/>
      <c r="AQ14" s="41"/>
      <c r="AR14" s="41"/>
      <c r="AS14" s="41"/>
    </row>
    <row r="15" spans="2:131">
      <c r="B15" s="1" t="s">
        <v>269</v>
      </c>
      <c r="W15" s="1">
        <v>2469</v>
      </c>
      <c r="X15" s="1">
        <v>2651</v>
      </c>
      <c r="Y15" s="1">
        <v>2820</v>
      </c>
      <c r="Z15" s="1">
        <f>11013-SUM(W15:Y15)</f>
        <v>3073</v>
      </c>
      <c r="AA15" s="1">
        <v>3063</v>
      </c>
      <c r="AB15" s="1">
        <v>3272</v>
      </c>
      <c r="AC15" s="1">
        <v>3476</v>
      </c>
      <c r="AD15" s="1">
        <f>13712-SUM(AA15:AC15)</f>
        <v>3901</v>
      </c>
      <c r="AE15" s="1">
        <v>3671</v>
      </c>
      <c r="AF15" s="1">
        <v>3863</v>
      </c>
      <c r="AG15" s="1">
        <v>3978</v>
      </c>
      <c r="AH15" s="1">
        <f>15807-SUM(AE15:AG15)</f>
        <v>4295</v>
      </c>
      <c r="AI15" s="1">
        <v>4147</v>
      </c>
      <c r="AJ15" s="1">
        <v>4210</v>
      </c>
      <c r="AK15" s="1">
        <v>4257</v>
      </c>
      <c r="AL15" s="1">
        <f>17253-SUM(AI15:AK15)</f>
        <v>4639</v>
      </c>
      <c r="AM15" s="1">
        <v>4467</v>
      </c>
      <c r="AN15" s="1">
        <v>4550</v>
      </c>
      <c r="AO15" s="1">
        <v>4518</v>
      </c>
      <c r="AP15" s="1">
        <f>18267-SUM(AM15:AO15)</f>
        <v>4732</v>
      </c>
      <c r="AQ15" s="1">
        <v>4463</v>
      </c>
      <c r="AR15" s="1">
        <v>4709</v>
      </c>
      <c r="AS15" s="1">
        <v>4753</v>
      </c>
      <c r="BL15" s="42">
        <f t="shared" ref="BL15:BL17" si="24">SUM(W15:Z15)</f>
        <v>11013</v>
      </c>
      <c r="BM15" s="42">
        <f t="shared" ref="BM15:BM17" si="25">SUM(AA15:AD15)</f>
        <v>13712</v>
      </c>
      <c r="BN15" s="42">
        <f t="shared" ref="BN15:BN17" si="26">SUM(AE15:AH15)</f>
        <v>15807</v>
      </c>
      <c r="BO15" s="1">
        <f>SUM(Model!AI15:AL15)</f>
        <v>17253</v>
      </c>
      <c r="BP15" s="1">
        <f>SUM(Model!AM15:AP15)</f>
        <v>18267</v>
      </c>
    </row>
    <row r="16" spans="2:131">
      <c r="B16" s="1" t="s">
        <v>268</v>
      </c>
      <c r="W16" s="1">
        <f>478+1671</f>
        <v>2149</v>
      </c>
      <c r="X16" s="1">
        <f>586+2024</f>
        <v>2610</v>
      </c>
      <c r="Y16" s="1">
        <f>606+2033</f>
        <v>2639</v>
      </c>
      <c r="Z16" s="1">
        <f>2340+8101-SUM(W16:Y16)</f>
        <v>3043</v>
      </c>
      <c r="AA16" s="1">
        <f>625+2345</f>
        <v>2970</v>
      </c>
      <c r="AB16" s="1">
        <f>587+2379</f>
        <v>2966</v>
      </c>
      <c r="AC16" s="1">
        <f>529+2177</f>
        <v>2706</v>
      </c>
      <c r="AD16" s="1">
        <f>2340+9319-SUM(AA16:AC16)</f>
        <v>3017</v>
      </c>
      <c r="AE16" s="1">
        <v>2812</v>
      </c>
      <c r="AF16" s="1">
        <v>2943</v>
      </c>
      <c r="AG16" s="1">
        <v>2868</v>
      </c>
      <c r="AH16" s="1">
        <f>2071+9640-SUM(AE16:AG16)</f>
        <v>3088</v>
      </c>
      <c r="AI16" s="1">
        <v>2893</v>
      </c>
      <c r="AJ16" s="1">
        <v>3077</v>
      </c>
      <c r="AK16" s="1">
        <v>3161</v>
      </c>
      <c r="AL16" s="1">
        <f>12518-SUM(AI16:AK16)</f>
        <v>3387</v>
      </c>
      <c r="AM16" s="1">
        <v>3232</v>
      </c>
      <c r="AN16" s="1">
        <v>3335</v>
      </c>
      <c r="AO16" s="1">
        <v>3329</v>
      </c>
      <c r="AP16" s="1">
        <f>13530-SUM(AM16:AO16)</f>
        <v>3634</v>
      </c>
      <c r="AQ16" s="1">
        <v>3328</v>
      </c>
      <c r="AR16" s="1">
        <v>3579</v>
      </c>
      <c r="AS16" s="1">
        <v>3664</v>
      </c>
      <c r="BL16" s="42">
        <f t="shared" si="24"/>
        <v>10441</v>
      </c>
      <c r="BM16" s="42">
        <f t="shared" si="25"/>
        <v>11659</v>
      </c>
      <c r="BN16" s="42">
        <f t="shared" si="26"/>
        <v>11711</v>
      </c>
      <c r="BO16" s="1">
        <f>SUM(Model!AI16:AL16)</f>
        <v>12518</v>
      </c>
      <c r="BP16" s="1">
        <f>SUM(Model!AM16:AP16)</f>
        <v>13530</v>
      </c>
    </row>
    <row r="17" spans="2:130" ht="15">
      <c r="B17" s="2" t="s">
        <v>97</v>
      </c>
      <c r="W17" s="2">
        <f t="shared" ref="W17:AQ17" si="27">W16+W15</f>
        <v>4618</v>
      </c>
      <c r="X17" s="2">
        <f t="shared" si="27"/>
        <v>5261</v>
      </c>
      <c r="Y17" s="2">
        <f t="shared" si="27"/>
        <v>5459</v>
      </c>
      <c r="Z17" s="2">
        <f t="shared" si="27"/>
        <v>6116</v>
      </c>
      <c r="AA17" s="2">
        <f t="shared" si="27"/>
        <v>6033</v>
      </c>
      <c r="AB17" s="2">
        <f t="shared" si="27"/>
        <v>6238</v>
      </c>
      <c r="AC17" s="2">
        <f t="shared" si="27"/>
        <v>6182</v>
      </c>
      <c r="AD17" s="2">
        <f t="shared" si="27"/>
        <v>6918</v>
      </c>
      <c r="AE17" s="2">
        <f t="shared" si="27"/>
        <v>6483</v>
      </c>
      <c r="AF17" s="2">
        <f t="shared" si="27"/>
        <v>6806</v>
      </c>
      <c r="AG17" s="2">
        <f t="shared" si="27"/>
        <v>6846</v>
      </c>
      <c r="AH17" s="2">
        <f t="shared" si="27"/>
        <v>7383</v>
      </c>
      <c r="AI17" s="2">
        <f t="shared" si="27"/>
        <v>7040</v>
      </c>
      <c r="AJ17" s="2">
        <f t="shared" si="27"/>
        <v>7287</v>
      </c>
      <c r="AK17" s="2">
        <f t="shared" si="27"/>
        <v>7418</v>
      </c>
      <c r="AL17" s="2">
        <f t="shared" si="27"/>
        <v>8026</v>
      </c>
      <c r="AM17" s="2">
        <f t="shared" si="27"/>
        <v>7699</v>
      </c>
      <c r="AN17" s="2">
        <f t="shared" si="27"/>
        <v>7885</v>
      </c>
      <c r="AO17" s="2">
        <f t="shared" si="27"/>
        <v>7847</v>
      </c>
      <c r="AP17" s="2">
        <f t="shared" si="27"/>
        <v>8366</v>
      </c>
      <c r="AQ17" s="2">
        <f t="shared" si="27"/>
        <v>7791</v>
      </c>
      <c r="AR17" s="2">
        <f t="shared" ref="AR17:AS17" si="28">AR16+AR15</f>
        <v>8288</v>
      </c>
      <c r="AS17" s="2">
        <f t="shared" si="28"/>
        <v>8417</v>
      </c>
      <c r="BL17" s="42">
        <f t="shared" si="24"/>
        <v>21454</v>
      </c>
      <c r="BM17" s="42">
        <f t="shared" si="25"/>
        <v>25371</v>
      </c>
      <c r="BN17" s="42">
        <f t="shared" si="26"/>
        <v>27518</v>
      </c>
      <c r="BO17" s="1">
        <f>SUM(Model!AI17:AL17)</f>
        <v>29771</v>
      </c>
      <c r="BP17" s="1">
        <f>SUM(Model!AM17:AP17)</f>
        <v>31797</v>
      </c>
    </row>
    <row r="18" spans="2:130" ht="15">
      <c r="B18" s="2"/>
      <c r="W18" s="2"/>
      <c r="X18" s="2"/>
      <c r="Y18" s="2"/>
      <c r="Z18" s="2"/>
      <c r="AA18" s="2"/>
      <c r="AB18" s="2"/>
      <c r="AC18" s="2"/>
      <c r="AD18" s="2"/>
      <c r="AE18" s="2"/>
      <c r="AF18" s="2"/>
      <c r="AG18" s="2"/>
      <c r="AH18" s="2"/>
      <c r="AI18" s="2"/>
      <c r="AJ18" s="2"/>
      <c r="AK18" s="2"/>
      <c r="AL18" s="2"/>
      <c r="AM18" s="2"/>
      <c r="AN18" s="2"/>
      <c r="AO18" s="2"/>
      <c r="AP18" s="2"/>
      <c r="AQ18" s="2"/>
      <c r="AR18" s="2"/>
      <c r="AS18" s="2"/>
    </row>
    <row r="19" spans="2:130">
      <c r="B19" s="1" t="s">
        <v>98</v>
      </c>
      <c r="W19" s="50"/>
      <c r="X19" s="50"/>
      <c r="Y19" s="50"/>
      <c r="Z19" s="50"/>
      <c r="AA19" s="50">
        <f t="shared" ref="AA19:AJ21" si="29">AA15/W15-1</f>
        <v>0.24058323207776433</v>
      </c>
      <c r="AB19" s="50">
        <f t="shared" si="29"/>
        <v>0.23425122595247072</v>
      </c>
      <c r="AC19" s="50">
        <f t="shared" si="29"/>
        <v>0.2326241134751772</v>
      </c>
      <c r="AD19" s="50">
        <f t="shared" si="29"/>
        <v>0.26944354051415553</v>
      </c>
      <c r="AE19" s="50">
        <f t="shared" si="29"/>
        <v>0.19849820437479604</v>
      </c>
      <c r="AF19" s="50">
        <f t="shared" si="29"/>
        <v>0.1806234718826405</v>
      </c>
      <c r="AG19" s="50">
        <f t="shared" si="29"/>
        <v>0.14441887226697347</v>
      </c>
      <c r="AH19" s="50">
        <f t="shared" si="29"/>
        <v>0.10099974365547304</v>
      </c>
      <c r="AI19" s="50">
        <f t="shared" si="29"/>
        <v>0.12966494143285212</v>
      </c>
      <c r="AJ19" s="50">
        <f t="shared" si="29"/>
        <v>8.9826559668651385E-2</v>
      </c>
      <c r="AK19" s="50">
        <f t="shared" ref="AK19:AS21" si="30">AK15/AG15-1</f>
        <v>7.0135746606334815E-2</v>
      </c>
      <c r="AL19" s="50">
        <f t="shared" si="30"/>
        <v>8.0093131548311991E-2</v>
      </c>
      <c r="AM19" s="50">
        <f t="shared" si="30"/>
        <v>7.7164215095249622E-2</v>
      </c>
      <c r="AN19" s="50">
        <f t="shared" si="30"/>
        <v>8.0760095011876532E-2</v>
      </c>
      <c r="AO19" s="50">
        <f t="shared" si="30"/>
        <v>6.1310782241014827E-2</v>
      </c>
      <c r="AP19" s="50">
        <f t="shared" si="30"/>
        <v>2.0047424013796E-2</v>
      </c>
      <c r="AQ19" s="50">
        <f t="shared" si="30"/>
        <v>-8.9545556301773299E-4</v>
      </c>
      <c r="AR19" s="50">
        <f t="shared" si="30"/>
        <v>3.4945054945054954E-2</v>
      </c>
      <c r="AS19" s="50">
        <f t="shared" si="30"/>
        <v>5.2014165559982395E-2</v>
      </c>
      <c r="BL19" s="50"/>
      <c r="BM19" s="50">
        <f t="shared" ref="BM19:BO19" si="31">BM15/BL15-1</f>
        <v>0.2450740034504677</v>
      </c>
      <c r="BN19" s="50">
        <f t="shared" si="31"/>
        <v>0.15278588098016344</v>
      </c>
      <c r="BO19" s="50">
        <f t="shared" si="31"/>
        <v>9.1478458910609239E-2</v>
      </c>
      <c r="BP19" s="50">
        <f>BP15/BO15-1</f>
        <v>5.8772387410884974E-2</v>
      </c>
    </row>
    <row r="20" spans="2:130">
      <c r="B20" s="1" t="s">
        <v>265</v>
      </c>
      <c r="W20" s="50"/>
      <c r="X20" s="50"/>
      <c r="Y20" s="50"/>
      <c r="Z20" s="50"/>
      <c r="AA20" s="50">
        <f t="shared" si="29"/>
        <v>0.38203815728245694</v>
      </c>
      <c r="AB20" s="50">
        <f t="shared" si="29"/>
        <v>0.13639846743295014</v>
      </c>
      <c r="AC20" s="50">
        <f t="shared" si="29"/>
        <v>2.5388404698749589E-2</v>
      </c>
      <c r="AD20" s="50">
        <f t="shared" si="29"/>
        <v>-8.544199802826169E-3</v>
      </c>
      <c r="AE20" s="50">
        <f t="shared" si="29"/>
        <v>-5.3198653198653245E-2</v>
      </c>
      <c r="AF20" s="50">
        <f t="shared" si="29"/>
        <v>-7.7545515846257906E-3</v>
      </c>
      <c r="AG20" s="50">
        <f t="shared" si="29"/>
        <v>5.9866962305986648E-2</v>
      </c>
      <c r="AH20" s="50">
        <f t="shared" si="29"/>
        <v>2.3533311236327403E-2</v>
      </c>
      <c r="AI20" s="50">
        <f t="shared" si="29"/>
        <v>2.8805120910384119E-2</v>
      </c>
      <c r="AJ20" s="50">
        <f t="shared" si="29"/>
        <v>4.5531770302412511E-2</v>
      </c>
      <c r="AK20" s="50">
        <f t="shared" si="30"/>
        <v>0.10216178521617847</v>
      </c>
      <c r="AL20" s="50">
        <f t="shared" si="30"/>
        <v>9.6826424870466221E-2</v>
      </c>
      <c r="AM20" s="50">
        <f t="shared" si="30"/>
        <v>0.1171793985482199</v>
      </c>
      <c r="AN20" s="50">
        <f t="shared" si="30"/>
        <v>8.3847903802404922E-2</v>
      </c>
      <c r="AO20" s="50">
        <f t="shared" si="30"/>
        <v>5.3147738057576666E-2</v>
      </c>
      <c r="AP20" s="50">
        <f t="shared" si="30"/>
        <v>7.2925893120755925E-2</v>
      </c>
      <c r="AQ20" s="50">
        <f t="shared" si="30"/>
        <v>2.9702970297029729E-2</v>
      </c>
      <c r="AR20" s="50">
        <f t="shared" si="30"/>
        <v>7.3163418290854487E-2</v>
      </c>
      <c r="AS20" s="50">
        <f t="shared" si="30"/>
        <v>0.10063082006608592</v>
      </c>
      <c r="BL20" s="50"/>
      <c r="BM20" s="50">
        <f t="shared" ref="BM20:BO20" si="32">BM16/BL16-1</f>
        <v>0.11665549276889187</v>
      </c>
      <c r="BN20" s="50">
        <f t="shared" si="32"/>
        <v>4.4600737627584763E-3</v>
      </c>
      <c r="BO20" s="50">
        <f t="shared" si="32"/>
        <v>6.8909572197079605E-2</v>
      </c>
      <c r="BP20" s="50">
        <f>BP16/BO16-1</f>
        <v>8.0843585237258431E-2</v>
      </c>
    </row>
    <row r="21" spans="2:130">
      <c r="B21" s="1" t="s">
        <v>264</v>
      </c>
      <c r="W21" s="50"/>
      <c r="X21" s="50"/>
      <c r="Y21" s="50"/>
      <c r="Z21" s="50"/>
      <c r="AA21" s="50">
        <f t="shared" si="29"/>
        <v>0.30640970116933741</v>
      </c>
      <c r="AB21" s="50">
        <f t="shared" si="29"/>
        <v>0.18570613951720216</v>
      </c>
      <c r="AC21" s="50">
        <f t="shared" si="29"/>
        <v>0.13244183916468222</v>
      </c>
      <c r="AD21" s="50">
        <f t="shared" si="29"/>
        <v>0.13113145846958796</v>
      </c>
      <c r="AE21" s="50">
        <f t="shared" si="29"/>
        <v>7.458975634012921E-2</v>
      </c>
      <c r="AF21" s="50">
        <f t="shared" si="29"/>
        <v>9.105482526450781E-2</v>
      </c>
      <c r="AG21" s="50">
        <f t="shared" si="29"/>
        <v>0.10740860562924626</v>
      </c>
      <c r="AH21" s="50">
        <f t="shared" si="29"/>
        <v>6.7215958369470918E-2</v>
      </c>
      <c r="AI21" s="50">
        <f t="shared" si="29"/>
        <v>8.5917013728212144E-2</v>
      </c>
      <c r="AJ21" s="50">
        <f t="shared" si="29"/>
        <v>7.0672935645019086E-2</v>
      </c>
      <c r="AK21" s="50">
        <f t="shared" si="30"/>
        <v>8.3552439380660148E-2</v>
      </c>
      <c r="AL21" s="50">
        <f t="shared" si="30"/>
        <v>8.7091968034674228E-2</v>
      </c>
      <c r="AM21" s="50">
        <f t="shared" si="30"/>
        <v>9.3607954545454453E-2</v>
      </c>
      <c r="AN21" s="50">
        <f t="shared" si="30"/>
        <v>8.2063949499108002E-2</v>
      </c>
      <c r="AO21" s="50">
        <f t="shared" si="30"/>
        <v>5.7832299811269916E-2</v>
      </c>
      <c r="AP21" s="50">
        <f t="shared" si="30"/>
        <v>4.2362322452030865E-2</v>
      </c>
      <c r="AQ21" s="50">
        <f t="shared" si="30"/>
        <v>1.1949603844655154E-2</v>
      </c>
      <c r="AR21" s="50">
        <f t="shared" si="30"/>
        <v>5.1109701965757814E-2</v>
      </c>
      <c r="AS21" s="50">
        <f t="shared" si="30"/>
        <v>7.2639225181598155E-2</v>
      </c>
      <c r="BL21" s="44"/>
      <c r="BM21" s="44">
        <f t="shared" ref="BM21:BO21" si="33">BM17/BL17-1</f>
        <v>0.18257667567819524</v>
      </c>
      <c r="BN21" s="44">
        <f t="shared" si="33"/>
        <v>8.4624177210200546E-2</v>
      </c>
      <c r="BO21" s="44">
        <f t="shared" si="33"/>
        <v>8.1873682680427384E-2</v>
      </c>
      <c r="BP21" s="44">
        <f>BP17/BO17-1</f>
        <v>6.8052803063383793E-2</v>
      </c>
    </row>
    <row r="22" spans="2:130">
      <c r="W22" s="50"/>
      <c r="X22" s="50"/>
      <c r="Y22" s="50"/>
      <c r="Z22" s="50"/>
      <c r="AA22" s="50"/>
      <c r="AB22" s="50"/>
      <c r="AC22" s="50"/>
      <c r="AD22" s="50"/>
      <c r="AE22" s="50"/>
      <c r="AF22" s="50"/>
      <c r="AG22" s="50"/>
      <c r="AH22" s="50"/>
      <c r="AI22" s="50"/>
      <c r="AJ22" s="50"/>
      <c r="AK22" s="50"/>
      <c r="AL22" s="50"/>
      <c r="AM22" s="50"/>
      <c r="AN22" s="50"/>
      <c r="AO22" s="50"/>
      <c r="AP22" s="50"/>
      <c r="AQ22" s="50"/>
      <c r="AR22" s="50"/>
      <c r="AS22" s="50"/>
      <c r="BL22" s="50"/>
      <c r="BM22" s="50"/>
      <c r="BN22" s="50"/>
      <c r="BO22" s="50"/>
      <c r="BP22" s="50"/>
    </row>
    <row r="23" spans="2:130">
      <c r="B23" s="1" t="s">
        <v>267</v>
      </c>
      <c r="W23" s="50">
        <f t="shared" ref="W23:AQ23" si="34">W15/W17</f>
        <v>0.53464703334776964</v>
      </c>
      <c r="X23" s="50">
        <f t="shared" si="34"/>
        <v>0.50389659760501804</v>
      </c>
      <c r="Y23" s="50">
        <f t="shared" si="34"/>
        <v>0.51657812786224588</v>
      </c>
      <c r="Z23" s="50">
        <f t="shared" si="34"/>
        <v>0.50245258338783516</v>
      </c>
      <c r="AA23" s="50">
        <f t="shared" si="34"/>
        <v>0.50770760815514671</v>
      </c>
      <c r="AB23" s="50">
        <f t="shared" si="34"/>
        <v>0.52452709201667203</v>
      </c>
      <c r="AC23" s="50">
        <f t="shared" si="34"/>
        <v>0.56227758007117434</v>
      </c>
      <c r="AD23" s="50">
        <f t="shared" si="34"/>
        <v>0.56389129806302396</v>
      </c>
      <c r="AE23" s="50">
        <f t="shared" si="34"/>
        <v>0.56625019281196975</v>
      </c>
      <c r="AF23" s="50">
        <f t="shared" si="34"/>
        <v>0.56758742286218045</v>
      </c>
      <c r="AG23" s="50">
        <f t="shared" si="34"/>
        <v>0.58106923751095529</v>
      </c>
      <c r="AH23" s="50">
        <f t="shared" si="34"/>
        <v>0.58174183936069346</v>
      </c>
      <c r="AI23" s="50">
        <f t="shared" si="34"/>
        <v>0.58906250000000004</v>
      </c>
      <c r="AJ23" s="50">
        <f t="shared" si="34"/>
        <v>0.57774118292850285</v>
      </c>
      <c r="AK23" s="50">
        <f t="shared" si="34"/>
        <v>0.57387435966567812</v>
      </c>
      <c r="AL23" s="50">
        <f t="shared" si="34"/>
        <v>0.577996511338151</v>
      </c>
      <c r="AM23" s="50">
        <f t="shared" si="34"/>
        <v>0.58020522145733211</v>
      </c>
      <c r="AN23" s="50">
        <f t="shared" si="34"/>
        <v>0.5770450221940393</v>
      </c>
      <c r="AO23" s="50">
        <f t="shared" si="34"/>
        <v>0.57576143749203512</v>
      </c>
      <c r="AP23" s="50">
        <f t="shared" si="34"/>
        <v>0.56562275878556056</v>
      </c>
      <c r="AQ23" s="50">
        <f t="shared" si="34"/>
        <v>0.57284045693749197</v>
      </c>
      <c r="AR23" s="50">
        <f t="shared" ref="AR23:AS23" si="35">AR15/AR17</f>
        <v>0.56817084942084939</v>
      </c>
      <c r="AS23" s="50">
        <f t="shared" si="35"/>
        <v>0.56469050730664128</v>
      </c>
      <c r="BL23" s="50">
        <f t="shared" ref="BL23:BO23" si="36">BL15/BL17</f>
        <v>0.51333084739442525</v>
      </c>
      <c r="BM23" s="50">
        <f t="shared" si="36"/>
        <v>0.54045957983524495</v>
      </c>
      <c r="BN23" s="50">
        <f t="shared" si="36"/>
        <v>0.57442401337306492</v>
      </c>
      <c r="BO23" s="50">
        <f t="shared" si="36"/>
        <v>0.57952369755802624</v>
      </c>
      <c r="BP23" s="50">
        <f>BP15/BP17</f>
        <v>0.57448815926030761</v>
      </c>
    </row>
    <row r="24" spans="2:130">
      <c r="B24" s="1" t="s">
        <v>266</v>
      </c>
      <c r="W24" s="50">
        <f t="shared" ref="W24:AQ24" si="37">W16/W17</f>
        <v>0.46535296665223042</v>
      </c>
      <c r="X24" s="50">
        <f t="shared" si="37"/>
        <v>0.49610340239498196</v>
      </c>
      <c r="Y24" s="50">
        <f t="shared" si="37"/>
        <v>0.48342187213775417</v>
      </c>
      <c r="Z24" s="50">
        <f t="shared" si="37"/>
        <v>0.49754741661216484</v>
      </c>
      <c r="AA24" s="50">
        <f t="shared" si="37"/>
        <v>0.49229239184485329</v>
      </c>
      <c r="AB24" s="50">
        <f t="shared" si="37"/>
        <v>0.47547290798332797</v>
      </c>
      <c r="AC24" s="50">
        <f t="shared" si="37"/>
        <v>0.4377224199288256</v>
      </c>
      <c r="AD24" s="50">
        <f t="shared" si="37"/>
        <v>0.43610870193697598</v>
      </c>
      <c r="AE24" s="50">
        <f t="shared" si="37"/>
        <v>0.43374980718803025</v>
      </c>
      <c r="AF24" s="50">
        <f t="shared" si="37"/>
        <v>0.43241257713781955</v>
      </c>
      <c r="AG24" s="50">
        <f t="shared" si="37"/>
        <v>0.41893076248904471</v>
      </c>
      <c r="AH24" s="50">
        <f t="shared" si="37"/>
        <v>0.41825816063930654</v>
      </c>
      <c r="AI24" s="50">
        <f t="shared" si="37"/>
        <v>0.41093750000000001</v>
      </c>
      <c r="AJ24" s="50">
        <f t="shared" si="37"/>
        <v>0.42225881707149721</v>
      </c>
      <c r="AK24" s="50">
        <f t="shared" si="37"/>
        <v>0.42612564033432193</v>
      </c>
      <c r="AL24" s="50">
        <f t="shared" si="37"/>
        <v>0.422003488661849</v>
      </c>
      <c r="AM24" s="50">
        <f t="shared" si="37"/>
        <v>0.41979477854266789</v>
      </c>
      <c r="AN24" s="50">
        <f t="shared" si="37"/>
        <v>0.4229549778059607</v>
      </c>
      <c r="AO24" s="50">
        <f t="shared" si="37"/>
        <v>0.42423856250796482</v>
      </c>
      <c r="AP24" s="50">
        <f t="shared" si="37"/>
        <v>0.43437724121443938</v>
      </c>
      <c r="AQ24" s="50">
        <f t="shared" si="37"/>
        <v>0.42715954306250803</v>
      </c>
      <c r="AR24" s="50">
        <f t="shared" ref="AR24:AS24" si="38">AR16/AR17</f>
        <v>0.43182915057915056</v>
      </c>
      <c r="AS24" s="50">
        <f t="shared" si="38"/>
        <v>0.43530949269335867</v>
      </c>
      <c r="BL24" s="50">
        <f t="shared" ref="BL24:BO24" si="39">BL16/BL17</f>
        <v>0.4866691526055747</v>
      </c>
      <c r="BM24" s="50">
        <f t="shared" si="39"/>
        <v>0.45954042016475505</v>
      </c>
      <c r="BN24" s="50">
        <f t="shared" si="39"/>
        <v>0.42557598662693508</v>
      </c>
      <c r="BO24" s="50">
        <f t="shared" si="39"/>
        <v>0.42047630244197376</v>
      </c>
      <c r="BP24" s="50">
        <f>BP16/BP17</f>
        <v>0.42551184073969245</v>
      </c>
    </row>
    <row r="26" spans="2:130">
      <c r="B26" s="1" t="s">
        <v>263</v>
      </c>
      <c r="AD26" s="1">
        <v>428</v>
      </c>
      <c r="AE26" s="1">
        <v>429</v>
      </c>
      <c r="AF26" s="1">
        <v>429</v>
      </c>
      <c r="AG26" s="1">
        <v>432</v>
      </c>
      <c r="AH26" s="1">
        <v>435</v>
      </c>
      <c r="AI26" s="1">
        <v>433</v>
      </c>
      <c r="AJ26" s="1">
        <v>431</v>
      </c>
      <c r="AK26" s="1">
        <v>428</v>
      </c>
      <c r="AL26" s="1">
        <v>426</v>
      </c>
      <c r="AM26" s="1">
        <v>427</v>
      </c>
      <c r="AN26" s="1">
        <v>429</v>
      </c>
      <c r="AO26" s="1">
        <v>432</v>
      </c>
      <c r="AP26" s="1">
        <v>434</v>
      </c>
      <c r="AQ26" s="1">
        <v>432</v>
      </c>
      <c r="AR26" s="1">
        <v>438</v>
      </c>
      <c r="AS26" s="1">
        <v>432</v>
      </c>
      <c r="BL26" s="42"/>
      <c r="BM26" s="42"/>
      <c r="BN26" s="42">
        <f>AVERAGE(AE26:AH26)</f>
        <v>431.25</v>
      </c>
      <c r="BO26" s="42">
        <f>AVERAGE(Model!AI26:AL26)</f>
        <v>429.5</v>
      </c>
      <c r="BP26" s="42">
        <f>AVERAGE(Model!AM26:AP26)</f>
        <v>430.5</v>
      </c>
    </row>
    <row r="27" spans="2:130">
      <c r="B27" s="1" t="s">
        <v>262</v>
      </c>
      <c r="BL27" s="28" t="s">
        <v>214</v>
      </c>
      <c r="BM27" s="28" t="s">
        <v>213</v>
      </c>
      <c r="BN27" s="28" t="s">
        <v>212</v>
      </c>
      <c r="BO27" s="28" t="s">
        <v>211</v>
      </c>
      <c r="BP27" s="28" t="s">
        <v>210</v>
      </c>
    </row>
    <row r="28" spans="2:130" ht="15">
      <c r="B28" s="32"/>
    </row>
    <row r="29" spans="2:130" s="2" customFormat="1" ht="15">
      <c r="B29" s="2" t="s">
        <v>96</v>
      </c>
      <c r="C29" s="2">
        <v>2137</v>
      </c>
      <c r="D29" s="2">
        <v>2297</v>
      </c>
      <c r="E29" s="2">
        <v>2258</v>
      </c>
      <c r="F29" s="2">
        <v>2556</v>
      </c>
      <c r="G29" s="2">
        <v>2544</v>
      </c>
      <c r="H29" s="2">
        <v>2650</v>
      </c>
      <c r="I29" s="2">
        <v>2667</v>
      </c>
      <c r="J29" s="2">
        <v>2981</v>
      </c>
      <c r="K29" s="2">
        <v>2975</v>
      </c>
      <c r="L29" s="2">
        <v>3136</v>
      </c>
      <c r="M29" s="2">
        <v>3239</v>
      </c>
      <c r="N29" s="2">
        <v>3744</v>
      </c>
      <c r="O29" s="2">
        <v>3685</v>
      </c>
      <c r="P29" s="2">
        <v>3857</v>
      </c>
      <c r="Q29" s="2">
        <v>3683</v>
      </c>
      <c r="R29" s="2">
        <v>4226</v>
      </c>
      <c r="S29" s="2">
        <v>4128</v>
      </c>
      <c r="T29" s="2">
        <v>4305</v>
      </c>
      <c r="U29" s="2">
        <v>4378</v>
      </c>
      <c r="V29" s="2">
        <v>4961</v>
      </c>
      <c r="W29" s="2">
        <f t="shared" ref="W29:AS29" si="40">W6</f>
        <v>4618</v>
      </c>
      <c r="X29" s="2">
        <f t="shared" si="40"/>
        <v>5261</v>
      </c>
      <c r="Y29" s="2">
        <f t="shared" si="40"/>
        <v>5459</v>
      </c>
      <c r="Z29" s="2">
        <f t="shared" si="40"/>
        <v>6116</v>
      </c>
      <c r="AA29" s="2">
        <f t="shared" si="40"/>
        <v>6033</v>
      </c>
      <c r="AB29" s="2">
        <f t="shared" si="40"/>
        <v>6238</v>
      </c>
      <c r="AC29" s="2">
        <f t="shared" si="40"/>
        <v>6182</v>
      </c>
      <c r="AD29" s="2">
        <f t="shared" si="40"/>
        <v>6918</v>
      </c>
      <c r="AE29" s="2">
        <f t="shared" si="40"/>
        <v>6483</v>
      </c>
      <c r="AF29" s="2">
        <f t="shared" si="40"/>
        <v>6806</v>
      </c>
      <c r="AG29" s="2">
        <f t="shared" si="40"/>
        <v>6846</v>
      </c>
      <c r="AH29" s="2">
        <f t="shared" si="40"/>
        <v>7383</v>
      </c>
      <c r="AI29" s="2">
        <f t="shared" si="40"/>
        <v>7040</v>
      </c>
      <c r="AJ29" s="2">
        <f t="shared" si="40"/>
        <v>7287</v>
      </c>
      <c r="AK29" s="2">
        <f t="shared" si="40"/>
        <v>7418</v>
      </c>
      <c r="AL29" s="2">
        <f t="shared" si="40"/>
        <v>8026</v>
      </c>
      <c r="AM29" s="2">
        <f t="shared" si="40"/>
        <v>7699</v>
      </c>
      <c r="AN29" s="2">
        <f t="shared" si="40"/>
        <v>7885</v>
      </c>
      <c r="AO29" s="2">
        <f t="shared" si="40"/>
        <v>7847</v>
      </c>
      <c r="AP29" s="2">
        <f t="shared" si="40"/>
        <v>8366</v>
      </c>
      <c r="AQ29" s="2">
        <f t="shared" si="40"/>
        <v>7791</v>
      </c>
      <c r="AR29" s="2">
        <f t="shared" si="40"/>
        <v>8288</v>
      </c>
      <c r="AS29" s="2">
        <f t="shared" si="40"/>
        <v>8417</v>
      </c>
      <c r="AT29" s="33">
        <v>8850</v>
      </c>
      <c r="AU29" s="33">
        <v>8280</v>
      </c>
      <c r="AV29" s="33">
        <v>8530</v>
      </c>
      <c r="AW29" s="33">
        <v>8630</v>
      </c>
      <c r="AX29" s="33">
        <v>9210</v>
      </c>
      <c r="AY29" s="33">
        <v>8940</v>
      </c>
      <c r="AZ29" s="33">
        <v>8970</v>
      </c>
      <c r="BA29" s="33">
        <v>9020</v>
      </c>
      <c r="BG29" s="2">
        <f>SUM(C29:F29)</f>
        <v>9248</v>
      </c>
      <c r="BH29" s="2">
        <f>SUM(G29:J29)</f>
        <v>10842</v>
      </c>
      <c r="BI29" s="2">
        <f>SUM(K29:N29)</f>
        <v>13094</v>
      </c>
      <c r="BJ29" s="2">
        <f>SUM(O29:R29)</f>
        <v>15451</v>
      </c>
      <c r="BK29" s="2">
        <f>SUM(S29:V29)</f>
        <v>17772</v>
      </c>
      <c r="BL29" s="2">
        <f>SUM(W29:Z29)</f>
        <v>21454</v>
      </c>
      <c r="BM29" s="2">
        <f>SUM(AA29:AD29)</f>
        <v>25371</v>
      </c>
      <c r="BN29" s="2">
        <f>SUM(AE29:AH29)</f>
        <v>27518</v>
      </c>
      <c r="BO29" s="2">
        <f>SUM(AI29:AL29)</f>
        <v>29771</v>
      </c>
      <c r="BP29" s="2">
        <f>SUM(AM29:AP29)</f>
        <v>31797</v>
      </c>
      <c r="BQ29" s="58">
        <f t="shared" ref="BQ29:BZ29" si="41">BQ6</f>
        <v>33421.71</v>
      </c>
      <c r="BR29" s="58">
        <f t="shared" si="41"/>
        <v>35348.399040000004</v>
      </c>
      <c r="BS29" s="58">
        <f t="shared" si="41"/>
        <v>37552.5098793</v>
      </c>
      <c r="BT29" s="58">
        <f t="shared" si="41"/>
        <v>39868.820900947794</v>
      </c>
      <c r="BU29" s="58">
        <f t="shared" si="41"/>
        <v>42259.411343510343</v>
      </c>
      <c r="BV29" s="58">
        <f t="shared" si="41"/>
        <v>44743.941808500917</v>
      </c>
      <c r="BW29" s="58">
        <f t="shared" si="41"/>
        <v>47298.217408715776</v>
      </c>
      <c r="BX29" s="58">
        <f t="shared" si="41"/>
        <v>49975.288825628544</v>
      </c>
      <c r="BY29" s="58">
        <f t="shared" si="41"/>
        <v>52729.244513654907</v>
      </c>
      <c r="BZ29" s="58">
        <f t="shared" si="41"/>
        <v>55549.444436994003</v>
      </c>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row>
    <row r="30" spans="2:130" ht="15">
      <c r="B30" s="1" t="s">
        <v>261</v>
      </c>
      <c r="W30" s="1">
        <v>1739</v>
      </c>
      <c r="X30" s="1">
        <v>1843</v>
      </c>
      <c r="Y30" s="1">
        <v>2022</v>
      </c>
      <c r="Z30" s="1">
        <f>7934-SUM(W30:Y30)</f>
        <v>2330</v>
      </c>
      <c r="AA30" s="1">
        <v>2275</v>
      </c>
      <c r="AB30" s="1">
        <v>2524</v>
      </c>
      <c r="AC30" s="1">
        <v>2564</v>
      </c>
      <c r="AD30" s="1">
        <f>10315-SUM(AA30:AC30)</f>
        <v>2952</v>
      </c>
      <c r="AE30" s="1">
        <v>2817</v>
      </c>
      <c r="AF30" s="1">
        <v>3044</v>
      </c>
      <c r="AG30" s="1">
        <v>2988</v>
      </c>
      <c r="AH30" s="1">
        <f>12173-SUM(AE30:AG30)</f>
        <v>3324</v>
      </c>
      <c r="AI30" s="1">
        <v>3283</v>
      </c>
      <c r="AJ30" s="1">
        <v>3541</v>
      </c>
      <c r="AK30" s="1">
        <v>3603</v>
      </c>
      <c r="AL30" s="1">
        <f>14385-SUM(AI30:AK30)</f>
        <v>3958</v>
      </c>
      <c r="AM30" s="1">
        <v>3917</v>
      </c>
      <c r="AN30" s="1">
        <v>3942</v>
      </c>
      <c r="AO30" s="1">
        <v>3841</v>
      </c>
      <c r="AP30" s="1">
        <f>15697-SUM(AM30:AO30)</f>
        <v>3997</v>
      </c>
      <c r="AQ30" s="1">
        <v>3704</v>
      </c>
      <c r="AR30" s="1">
        <v>3968</v>
      </c>
      <c r="AS30" s="1">
        <v>4063</v>
      </c>
      <c r="AT30" s="33"/>
      <c r="AU30" s="33"/>
      <c r="AV30" s="33"/>
      <c r="AW30" s="33"/>
      <c r="AX30" s="33"/>
      <c r="AY30" s="33"/>
      <c r="AZ30" s="33"/>
      <c r="BA30" s="33"/>
      <c r="BG30" s="42">
        <f t="shared" ref="BG30:BG43" si="42">SUM(C30:F30)</f>
        <v>0</v>
      </c>
      <c r="BH30" s="42">
        <f t="shared" ref="BH30:BH43" si="43">SUM(G30:J30)</f>
        <v>0</v>
      </c>
      <c r="BI30" s="42">
        <f t="shared" ref="BI30:BI43" si="44">SUM(K30:N30)</f>
        <v>0</v>
      </c>
      <c r="BJ30" s="42">
        <f t="shared" ref="BJ30:BJ43" si="45">SUM(O30:R30)</f>
        <v>0</v>
      </c>
      <c r="BK30" s="42">
        <f t="shared" ref="BK30:BK43" si="46">SUM(S30:V30)</f>
        <v>0</v>
      </c>
      <c r="BL30" s="42">
        <f t="shared" ref="BL30:BL43" si="47">SUM(W30:Z30)</f>
        <v>7934</v>
      </c>
      <c r="BM30" s="42">
        <f t="shared" ref="BM30:BM43" si="48">SUM(AA30:AD30)</f>
        <v>10315</v>
      </c>
      <c r="BN30" s="42">
        <f t="shared" ref="BN30:BN43" si="49">SUM(AE30:AH30)</f>
        <v>12173</v>
      </c>
      <c r="BO30" s="42">
        <f t="shared" ref="BO30:BO43" si="50">SUM(AI30:AL30)</f>
        <v>14385</v>
      </c>
      <c r="BP30" s="42">
        <f t="shared" ref="BP30:BP43" si="51">SUM(AM30:AP30)</f>
        <v>15697</v>
      </c>
      <c r="BQ30" s="57">
        <f>BQ29*BQ45</f>
        <v>16042.4208</v>
      </c>
      <c r="BR30" s="57">
        <f t="shared" ref="BR30:BZ30" si="52">BR29*BR45</f>
        <v>17143.9735344</v>
      </c>
      <c r="BS30" s="57">
        <f t="shared" si="52"/>
        <v>18400.729840856999</v>
      </c>
      <c r="BT30" s="57">
        <f t="shared" si="52"/>
        <v>19735.066345969157</v>
      </c>
      <c r="BU30" s="57">
        <f t="shared" si="52"/>
        <v>21129.705671755171</v>
      </c>
      <c r="BV30" s="57">
        <f t="shared" si="52"/>
        <v>22819.410322335469</v>
      </c>
      <c r="BW30" s="57">
        <f t="shared" si="52"/>
        <v>24595.073052532203</v>
      </c>
      <c r="BX30" s="57">
        <f t="shared" si="52"/>
        <v>26486.903077583131</v>
      </c>
      <c r="BY30" s="57">
        <f t="shared" si="52"/>
        <v>28473.792037373652</v>
      </c>
      <c r="BZ30" s="57">
        <f t="shared" si="52"/>
        <v>30552.194440346702</v>
      </c>
    </row>
    <row r="31" spans="2:130" ht="15">
      <c r="B31" s="1" t="s">
        <v>230</v>
      </c>
      <c r="W31" s="1">
        <v>591</v>
      </c>
      <c r="X31" s="1">
        <v>440</v>
      </c>
      <c r="Y31" s="1">
        <v>344</v>
      </c>
      <c r="Z31" s="1">
        <f>1741-SUM(W31:Y31)</f>
        <v>366</v>
      </c>
      <c r="AA31" s="1">
        <v>273</v>
      </c>
      <c r="AB31" s="1">
        <v>169</v>
      </c>
      <c r="AC31" s="1">
        <v>268</v>
      </c>
      <c r="AD31" s="1">
        <f>1060-SUM(AA31:AC31)</f>
        <v>350</v>
      </c>
      <c r="AE31" s="1">
        <v>369</v>
      </c>
      <c r="AF31" s="1">
        <v>448</v>
      </c>
      <c r="AG31" s="1">
        <v>367</v>
      </c>
      <c r="AH31" s="1">
        <f>1572-SUM(AE31:AG31)</f>
        <v>388</v>
      </c>
      <c r="AI31" s="1">
        <v>442</v>
      </c>
      <c r="AJ31" s="1">
        <v>398</v>
      </c>
      <c r="AK31" s="1">
        <v>446</v>
      </c>
      <c r="AL31" s="1">
        <f>1682-SUM(AI31:AK31)</f>
        <v>396</v>
      </c>
      <c r="AM31" s="1">
        <v>321</v>
      </c>
      <c r="AN31" s="1">
        <v>335</v>
      </c>
      <c r="AO31" s="1">
        <v>352</v>
      </c>
      <c r="AP31" s="1">
        <f>1442-SUM(AM31:AO31)</f>
        <v>434</v>
      </c>
      <c r="AQ31" s="1">
        <v>371</v>
      </c>
      <c r="AR31" s="1">
        <v>476</v>
      </c>
      <c r="AS31" s="1">
        <v>483</v>
      </c>
      <c r="AT31" s="33"/>
      <c r="AU31" s="33"/>
      <c r="AV31" s="33"/>
      <c r="AW31" s="33"/>
      <c r="AX31" s="33"/>
      <c r="AY31" s="33"/>
      <c r="AZ31" s="33"/>
      <c r="BA31" s="33"/>
      <c r="BG31" s="42">
        <f t="shared" si="42"/>
        <v>0</v>
      </c>
      <c r="BH31" s="42">
        <f t="shared" si="43"/>
        <v>0</v>
      </c>
      <c r="BI31" s="42">
        <f t="shared" si="44"/>
        <v>0</v>
      </c>
      <c r="BJ31" s="42">
        <f t="shared" si="45"/>
        <v>0</v>
      </c>
      <c r="BK31" s="42">
        <f t="shared" si="46"/>
        <v>0</v>
      </c>
      <c r="BL31" s="42">
        <f t="shared" si="47"/>
        <v>1741</v>
      </c>
      <c r="BM31" s="42">
        <f t="shared" si="48"/>
        <v>1060</v>
      </c>
      <c r="BN31" s="42">
        <f t="shared" si="49"/>
        <v>1572</v>
      </c>
      <c r="BO31" s="42">
        <f t="shared" si="50"/>
        <v>1682</v>
      </c>
      <c r="BP31" s="42">
        <f t="shared" si="51"/>
        <v>1442</v>
      </c>
      <c r="BQ31" s="57">
        <f>BQ29*BQ46</f>
        <v>1771.3506299999999</v>
      </c>
      <c r="BR31" s="57">
        <f t="shared" ref="BR31:BZ31" si="53">BR29*BR46</f>
        <v>1944.1619472000002</v>
      </c>
      <c r="BS31" s="57">
        <f t="shared" si="53"/>
        <v>2253.1505927579997</v>
      </c>
      <c r="BT31" s="57">
        <f t="shared" si="53"/>
        <v>1993.4410450473897</v>
      </c>
      <c r="BU31" s="57">
        <f t="shared" si="53"/>
        <v>1916.4723451062025</v>
      </c>
      <c r="BV31" s="57">
        <f t="shared" si="53"/>
        <v>1901.617526861289</v>
      </c>
      <c r="BW31" s="57">
        <f t="shared" si="53"/>
        <v>1986.5251311660627</v>
      </c>
      <c r="BX31" s="57">
        <f t="shared" si="53"/>
        <v>2048.9868418507704</v>
      </c>
      <c r="BY31" s="57">
        <f t="shared" si="53"/>
        <v>2109.1697805461963</v>
      </c>
      <c r="BZ31" s="57">
        <f t="shared" si="53"/>
        <v>2221.9777774797603</v>
      </c>
    </row>
    <row r="32" spans="2:130" ht="15">
      <c r="B32" s="1" t="s">
        <v>260</v>
      </c>
      <c r="W32" s="1">
        <v>399</v>
      </c>
      <c r="X32" s="1">
        <v>423</v>
      </c>
      <c r="Y32" s="1">
        <v>449</v>
      </c>
      <c r="Z32" s="1">
        <f>1778-SUM(W32:Y32)</f>
        <v>507</v>
      </c>
      <c r="AA32" s="1">
        <v>518</v>
      </c>
      <c r="AB32" s="1">
        <v>521</v>
      </c>
      <c r="AC32" s="1">
        <v>504</v>
      </c>
      <c r="AD32" s="1">
        <f>2075-SUM(AA32:AC32)</f>
        <v>532</v>
      </c>
      <c r="AE32" s="1">
        <v>534</v>
      </c>
      <c r="AF32" s="1">
        <v>536</v>
      </c>
      <c r="AG32" s="1">
        <v>509</v>
      </c>
      <c r="AH32" s="1">
        <f>2120-SUM(AE32:AG32)</f>
        <v>541</v>
      </c>
      <c r="AI32" s="1">
        <v>488</v>
      </c>
      <c r="AJ32" s="1">
        <v>492</v>
      </c>
      <c r="AK32" s="1">
        <v>474</v>
      </c>
      <c r="AL32" s="1">
        <f>1919-SUM(AI32:AK32)</f>
        <v>465</v>
      </c>
      <c r="AM32" s="1">
        <v>454</v>
      </c>
      <c r="AN32" s="1">
        <v>436</v>
      </c>
      <c r="AO32" s="1">
        <v>427</v>
      </c>
      <c r="AP32" s="1">
        <f>1768-SUM(AM32:AO32)</f>
        <v>451</v>
      </c>
      <c r="AQ32" s="1">
        <v>398</v>
      </c>
      <c r="AR32" s="1">
        <v>413</v>
      </c>
      <c r="AS32" s="1">
        <v>447</v>
      </c>
      <c r="AT32" s="33"/>
      <c r="AU32" s="33"/>
      <c r="AV32" s="33"/>
      <c r="AW32" s="33"/>
      <c r="AX32" s="33"/>
      <c r="AY32" s="33"/>
      <c r="AZ32" s="33"/>
      <c r="BA32" s="33"/>
      <c r="BG32" s="42">
        <f t="shared" si="42"/>
        <v>0</v>
      </c>
      <c r="BH32" s="42">
        <f t="shared" si="43"/>
        <v>0</v>
      </c>
      <c r="BI32" s="42">
        <f t="shared" si="44"/>
        <v>0</v>
      </c>
      <c r="BJ32" s="42">
        <f t="shared" si="45"/>
        <v>0</v>
      </c>
      <c r="BK32" s="42">
        <f t="shared" si="46"/>
        <v>0</v>
      </c>
      <c r="BL32" s="42">
        <f t="shared" si="47"/>
        <v>1778</v>
      </c>
      <c r="BM32" s="42">
        <f t="shared" si="48"/>
        <v>2075</v>
      </c>
      <c r="BN32" s="42">
        <f t="shared" si="49"/>
        <v>2120</v>
      </c>
      <c r="BO32" s="42">
        <f t="shared" si="50"/>
        <v>1919</v>
      </c>
      <c r="BP32" s="42">
        <f t="shared" si="51"/>
        <v>1768</v>
      </c>
      <c r="BQ32" s="57">
        <f>BQ29*BQ48</f>
        <v>3141.6407399999998</v>
      </c>
      <c r="BR32" s="57">
        <f t="shared" ref="BR32:BZ32" si="54">BR29*BR48</f>
        <v>3358.0979088000004</v>
      </c>
      <c r="BS32" s="57">
        <f t="shared" si="54"/>
        <v>3680.1459681714</v>
      </c>
      <c r="BT32" s="57">
        <f t="shared" si="54"/>
        <v>4066.6197318966747</v>
      </c>
      <c r="BU32" s="57">
        <f t="shared" si="54"/>
        <v>4437.2381910685854</v>
      </c>
      <c r="BV32" s="57">
        <f t="shared" si="54"/>
        <v>4698.1138898925965</v>
      </c>
      <c r="BW32" s="57">
        <f t="shared" si="54"/>
        <v>4966.312827915156</v>
      </c>
      <c r="BX32" s="57">
        <f t="shared" si="54"/>
        <v>5247.4053266909968</v>
      </c>
      <c r="BY32" s="57">
        <f t="shared" si="54"/>
        <v>5536.5706739337647</v>
      </c>
      <c r="BZ32" s="57">
        <f t="shared" si="54"/>
        <v>5832.6916658843702</v>
      </c>
    </row>
    <row r="33" spans="2:130" ht="15">
      <c r="B33" s="1" t="s">
        <v>259</v>
      </c>
      <c r="C33" s="1">
        <v>217</v>
      </c>
      <c r="D33" s="1">
        <v>215</v>
      </c>
      <c r="E33" s="1">
        <v>216</v>
      </c>
      <c r="F33" s="1">
        <v>273</v>
      </c>
      <c r="G33" s="1">
        <v>231</v>
      </c>
      <c r="H33" s="1">
        <v>261</v>
      </c>
      <c r="I33" s="1">
        <v>261</v>
      </c>
      <c r="J33" s="1">
        <v>275</v>
      </c>
      <c r="K33" s="1">
        <v>305</v>
      </c>
      <c r="L33" s="1">
        <v>282</v>
      </c>
      <c r="M33" s="1">
        <v>293</v>
      </c>
      <c r="N33" s="1">
        <v>510</v>
      </c>
      <c r="O33" s="1">
        <v>500</v>
      </c>
      <c r="P33" s="1">
        <v>503</v>
      </c>
      <c r="Q33" s="1">
        <v>405</v>
      </c>
      <c r="R33" s="1">
        <v>442</v>
      </c>
      <c r="S33" s="1">
        <v>492</v>
      </c>
      <c r="T33" s="1">
        <v>417</v>
      </c>
      <c r="U33" s="1">
        <v>401</v>
      </c>
      <c r="V33" s="1">
        <v>401</v>
      </c>
      <c r="W33" s="1">
        <v>371</v>
      </c>
      <c r="X33" s="1">
        <v>414</v>
      </c>
      <c r="Y33" s="1">
        <v>471</v>
      </c>
      <c r="Z33" s="1">
        <f>1861-SUM(W33:Y33)</f>
        <v>605</v>
      </c>
      <c r="AA33" s="1">
        <v>602</v>
      </c>
      <c r="AB33" s="1">
        <v>628</v>
      </c>
      <c r="AC33" s="1">
        <v>549</v>
      </c>
      <c r="AD33" s="1">
        <f>2445-SUM(AA33:AC33)</f>
        <v>666</v>
      </c>
      <c r="AE33" s="1">
        <v>594</v>
      </c>
      <c r="AF33" s="1">
        <v>595</v>
      </c>
      <c r="AG33" s="1">
        <v>544</v>
      </c>
      <c r="AH33" s="1">
        <f>2257-SUM(AE33:AG33)</f>
        <v>524</v>
      </c>
      <c r="AI33" s="1">
        <v>436</v>
      </c>
      <c r="AJ33" s="1">
        <v>465</v>
      </c>
      <c r="AK33" s="1">
        <v>442</v>
      </c>
      <c r="AL33" s="1">
        <f>1809-SUM(AI33:AK33)</f>
        <v>466</v>
      </c>
      <c r="AM33" s="1">
        <v>421</v>
      </c>
      <c r="AN33" s="1">
        <v>446</v>
      </c>
      <c r="AO33" s="1">
        <v>508</v>
      </c>
      <c r="AP33" s="1">
        <f>2001-SUM(AM33:AO33)</f>
        <v>626</v>
      </c>
      <c r="AQ33" s="1">
        <v>488</v>
      </c>
      <c r="AR33" s="1">
        <v>583</v>
      </c>
      <c r="AS33" s="1">
        <v>521</v>
      </c>
      <c r="AT33" s="33"/>
      <c r="AU33" s="33"/>
      <c r="AV33" s="33"/>
      <c r="AW33" s="33"/>
      <c r="AX33" s="33"/>
      <c r="AY33" s="33"/>
      <c r="AZ33" s="33"/>
      <c r="BA33" s="33"/>
      <c r="BG33" s="42">
        <f t="shared" si="42"/>
        <v>921</v>
      </c>
      <c r="BH33" s="42">
        <f t="shared" si="43"/>
        <v>1028</v>
      </c>
      <c r="BI33" s="42">
        <f t="shared" si="44"/>
        <v>1390</v>
      </c>
      <c r="BJ33" s="42">
        <f t="shared" si="45"/>
        <v>1850</v>
      </c>
      <c r="BK33" s="42">
        <f t="shared" si="46"/>
        <v>1711</v>
      </c>
      <c r="BL33" s="42">
        <f t="shared" si="47"/>
        <v>1861</v>
      </c>
      <c r="BM33" s="42">
        <f t="shared" si="48"/>
        <v>2445</v>
      </c>
      <c r="BN33" s="42">
        <f t="shared" si="49"/>
        <v>2257</v>
      </c>
      <c r="BO33" s="42">
        <f t="shared" si="50"/>
        <v>1809</v>
      </c>
      <c r="BP33" s="42">
        <f t="shared" si="51"/>
        <v>2001</v>
      </c>
      <c r="BQ33" s="55">
        <v>0</v>
      </c>
      <c r="BR33" s="55">
        <v>0</v>
      </c>
      <c r="BS33" s="55">
        <v>0</v>
      </c>
      <c r="BT33" s="55">
        <v>0</v>
      </c>
      <c r="BU33" s="55">
        <v>0</v>
      </c>
      <c r="BV33" s="55">
        <v>0</v>
      </c>
      <c r="BW33" s="55">
        <v>0</v>
      </c>
      <c r="BX33" s="55">
        <v>0</v>
      </c>
      <c r="BY33" s="55">
        <v>0</v>
      </c>
      <c r="BZ33" s="55">
        <v>0</v>
      </c>
    </row>
    <row r="34" spans="2:130" ht="15">
      <c r="B34" s="1" t="s">
        <v>258</v>
      </c>
      <c r="C34" s="1">
        <v>185</v>
      </c>
      <c r="D34" s="1">
        <v>202</v>
      </c>
      <c r="E34" s="1">
        <v>197</v>
      </c>
      <c r="F34" s="1">
        <v>208</v>
      </c>
      <c r="G34" s="1">
        <v>195</v>
      </c>
      <c r="H34" s="1">
        <v>209</v>
      </c>
      <c r="I34" s="1">
        <v>215</v>
      </c>
      <c r="J34" s="1">
        <v>215</v>
      </c>
      <c r="K34" s="1">
        <v>214</v>
      </c>
      <c r="L34" s="1">
        <v>232</v>
      </c>
      <c r="M34" s="1">
        <v>240</v>
      </c>
      <c r="N34" s="1">
        <v>1054</v>
      </c>
      <c r="O34" s="1">
        <v>448</v>
      </c>
      <c r="P34" s="1">
        <v>441</v>
      </c>
      <c r="Q34" s="1">
        <v>452</v>
      </c>
      <c r="R34" s="1">
        <v>490</v>
      </c>
      <c r="S34" s="1">
        <v>511</v>
      </c>
      <c r="T34" s="1">
        <v>483</v>
      </c>
      <c r="U34" s="1">
        <v>533</v>
      </c>
      <c r="V34" s="1">
        <v>558</v>
      </c>
      <c r="W34" s="1">
        <v>605</v>
      </c>
      <c r="X34" s="1">
        <v>631</v>
      </c>
      <c r="Y34" s="1">
        <v>674</v>
      </c>
      <c r="Z34" s="1">
        <f>2642-SUM(W34:Y34)</f>
        <v>732</v>
      </c>
      <c r="AA34" s="1">
        <v>741</v>
      </c>
      <c r="AB34" s="1">
        <v>746</v>
      </c>
      <c r="AC34" s="1">
        <v>755</v>
      </c>
      <c r="AD34" s="1">
        <f>3038-SUM(AA34:AC34)</f>
        <v>796</v>
      </c>
      <c r="AE34" s="1">
        <v>815</v>
      </c>
      <c r="AF34" s="1">
        <v>815</v>
      </c>
      <c r="AG34" s="1">
        <v>801</v>
      </c>
      <c r="AH34" s="1">
        <f>3253-SUM(AE34:AG34)</f>
        <v>822</v>
      </c>
      <c r="AI34" s="1">
        <v>721</v>
      </c>
      <c r="AJ34" s="1">
        <v>743</v>
      </c>
      <c r="AK34" s="1">
        <v>739</v>
      </c>
      <c r="AL34" s="1">
        <f>2973-SUM(AI34:AK34)</f>
        <v>770</v>
      </c>
      <c r="AM34" s="1">
        <v>742</v>
      </c>
      <c r="AN34" s="1">
        <v>718</v>
      </c>
      <c r="AO34" s="1">
        <v>746</v>
      </c>
      <c r="AP34" s="1">
        <f>2979-SUM(AM34:AO34)</f>
        <v>773</v>
      </c>
      <c r="AQ34" s="1">
        <v>731</v>
      </c>
      <c r="AR34" s="1">
        <v>767</v>
      </c>
      <c r="AS34" s="1">
        <v>801</v>
      </c>
      <c r="AT34" s="33"/>
      <c r="AU34" s="33"/>
      <c r="AV34" s="33"/>
      <c r="AW34" s="33"/>
      <c r="AX34" s="33"/>
      <c r="AY34" s="33"/>
      <c r="AZ34" s="33"/>
      <c r="BA34" s="33"/>
      <c r="BG34" s="42">
        <f t="shared" si="42"/>
        <v>792</v>
      </c>
      <c r="BH34" s="42">
        <f t="shared" si="43"/>
        <v>834</v>
      </c>
      <c r="BI34" s="42">
        <f t="shared" si="44"/>
        <v>1740</v>
      </c>
      <c r="BJ34" s="42">
        <f t="shared" si="45"/>
        <v>1831</v>
      </c>
      <c r="BK34" s="42">
        <f t="shared" si="46"/>
        <v>2085</v>
      </c>
      <c r="BL34" s="42">
        <f t="shared" si="47"/>
        <v>2642</v>
      </c>
      <c r="BM34" s="42">
        <f t="shared" si="48"/>
        <v>3038</v>
      </c>
      <c r="BN34" s="42">
        <f t="shared" si="49"/>
        <v>3253</v>
      </c>
      <c r="BO34" s="42">
        <f t="shared" si="50"/>
        <v>2973</v>
      </c>
      <c r="BP34" s="42">
        <f t="shared" si="51"/>
        <v>2979</v>
      </c>
      <c r="BQ34" s="57">
        <f>BQ29*BQ48</f>
        <v>3141.6407399999998</v>
      </c>
      <c r="BR34" s="57">
        <f t="shared" ref="BR34:BZ34" si="55">BR29*BR48</f>
        <v>3358.0979088000004</v>
      </c>
      <c r="BS34" s="57">
        <f t="shared" si="55"/>
        <v>3680.1459681714</v>
      </c>
      <c r="BT34" s="57">
        <f t="shared" si="55"/>
        <v>4066.6197318966747</v>
      </c>
      <c r="BU34" s="57">
        <f t="shared" si="55"/>
        <v>4437.2381910685854</v>
      </c>
      <c r="BV34" s="57">
        <f t="shared" si="55"/>
        <v>4698.1138898925965</v>
      </c>
      <c r="BW34" s="57">
        <f t="shared" si="55"/>
        <v>4966.312827915156</v>
      </c>
      <c r="BX34" s="57">
        <f t="shared" si="55"/>
        <v>5247.4053266909968</v>
      </c>
      <c r="BY34" s="57">
        <f t="shared" si="55"/>
        <v>5536.5706739337647</v>
      </c>
      <c r="BZ34" s="57">
        <f t="shared" si="55"/>
        <v>5832.6916658843702</v>
      </c>
    </row>
    <row r="35" spans="2:130" ht="15">
      <c r="B35" s="1" t="s">
        <v>257</v>
      </c>
      <c r="C35" s="1">
        <f>1815-SUM(C33:C34)</f>
        <v>1413</v>
      </c>
      <c r="D35" s="1">
        <f>1899-SUM(D33:D34)</f>
        <v>1482</v>
      </c>
      <c r="E35" s="1">
        <f>1928-SUM(E33:E34)</f>
        <v>1515</v>
      </c>
      <c r="F35" s="1">
        <f>2145-SUM(F33:F34)</f>
        <v>1664</v>
      </c>
      <c r="G35" s="1">
        <f>2137-SUM(G33:G34)</f>
        <v>1711</v>
      </c>
      <c r="H35" s="1">
        <f>2279-SUM(H33:H34)</f>
        <v>1809</v>
      </c>
      <c r="I35" s="1">
        <f>2319-SUM(I33:I34)</f>
        <v>1843</v>
      </c>
      <c r="J35" s="1">
        <f>2521-SUM(J33:J34)</f>
        <v>2031</v>
      </c>
      <c r="K35" s="1">
        <f>2544-SUM(K33:K34)</f>
        <v>2025</v>
      </c>
      <c r="L35" s="1">
        <f>2706-SUM(L33:L34)</f>
        <v>2192</v>
      </c>
      <c r="M35" s="1">
        <f>2816-SUM(M33:M34)</f>
        <v>2283</v>
      </c>
      <c r="N35" s="1">
        <f>2901-SUM(N33:N34)</f>
        <v>1337</v>
      </c>
      <c r="O35" s="1">
        <f>3151-SUM(O33:O34)</f>
        <v>2203</v>
      </c>
      <c r="P35" s="1">
        <f>3285-SUM(P33:P34)</f>
        <v>2341</v>
      </c>
      <c r="Q35" s="1">
        <f>3193-SUM(Q33:Q34)</f>
        <v>2336</v>
      </c>
      <c r="R35" s="1">
        <f>3628-SUM(R33:R34)</f>
        <v>2696</v>
      </c>
      <c r="S35" s="1">
        <f>3610-SUM(S33:S34)</f>
        <v>2607</v>
      </c>
      <c r="T35" s="1">
        <f>3600-SUM(T33:T34)</f>
        <v>2700</v>
      </c>
      <c r="U35" s="1">
        <f>3681-SUM(U33:U34)</f>
        <v>2747</v>
      </c>
      <c r="V35" s="1">
        <f>4162-SUM(V33:V34)</f>
        <v>3203</v>
      </c>
      <c r="W35" s="1">
        <v>486</v>
      </c>
      <c r="X35" s="1">
        <v>512</v>
      </c>
      <c r="Y35" s="1">
        <v>503</v>
      </c>
      <c r="Z35" s="1">
        <f>2070-SUM(W35:Y35)</f>
        <v>569</v>
      </c>
      <c r="AA35" s="1">
        <v>524</v>
      </c>
      <c r="AB35" s="1">
        <v>522</v>
      </c>
      <c r="AC35" s="1">
        <v>498</v>
      </c>
      <c r="AD35" s="1">
        <f>2114-SUM(AA35:AC35)</f>
        <v>570</v>
      </c>
      <c r="AE35" s="1">
        <v>607</v>
      </c>
      <c r="AF35" s="1">
        <v>514</v>
      </c>
      <c r="AG35" s="1">
        <v>463</v>
      </c>
      <c r="AH35" s="1">
        <f>2099-SUM(AE35:AG35)</f>
        <v>515</v>
      </c>
      <c r="AI35" s="1">
        <v>507</v>
      </c>
      <c r="AJ35" s="1">
        <v>491</v>
      </c>
      <c r="AK35" s="1">
        <v>507</v>
      </c>
      <c r="AL35" s="1">
        <f>2059-SUM(AI35:AK35)</f>
        <v>554</v>
      </c>
      <c r="AM35" s="1">
        <v>464</v>
      </c>
      <c r="AN35" s="1">
        <v>570</v>
      </c>
      <c r="AO35" s="1">
        <v>519</v>
      </c>
      <c r="AP35" s="1">
        <f>2147-SUM(AM35:AO35)</f>
        <v>594</v>
      </c>
      <c r="AQ35" s="1">
        <v>503</v>
      </c>
      <c r="AR35" s="1">
        <v>461</v>
      </c>
      <c r="AS35" s="1">
        <v>513</v>
      </c>
      <c r="AT35" s="33"/>
      <c r="AU35" s="33"/>
      <c r="AV35" s="33"/>
      <c r="AW35" s="33"/>
      <c r="AX35" s="33"/>
      <c r="AY35" s="33"/>
      <c r="AZ35" s="33"/>
      <c r="BA35" s="33"/>
      <c r="BG35" s="42">
        <f t="shared" si="42"/>
        <v>6074</v>
      </c>
      <c r="BH35" s="42">
        <f t="shared" si="43"/>
        <v>7394</v>
      </c>
      <c r="BI35" s="42">
        <f t="shared" si="44"/>
        <v>7837</v>
      </c>
      <c r="BJ35" s="42">
        <f t="shared" si="45"/>
        <v>9576</v>
      </c>
      <c r="BK35" s="42">
        <f t="shared" si="46"/>
        <v>11257</v>
      </c>
      <c r="BL35" s="42">
        <f t="shared" si="47"/>
        <v>2070</v>
      </c>
      <c r="BM35" s="42">
        <f t="shared" si="48"/>
        <v>2114</v>
      </c>
      <c r="BN35" s="42">
        <f t="shared" si="49"/>
        <v>2099</v>
      </c>
      <c r="BO35" s="42">
        <f t="shared" si="50"/>
        <v>2059</v>
      </c>
      <c r="BP35" s="42">
        <f t="shared" si="51"/>
        <v>2147</v>
      </c>
      <c r="BQ35" s="57">
        <f>BQ29*BQ49</f>
        <v>4144.2920400000003</v>
      </c>
      <c r="BR35" s="57">
        <f t="shared" ref="BR35:BZ35" si="56">BR29*BR49</f>
        <v>4418.5498800000005</v>
      </c>
      <c r="BS35" s="57">
        <f t="shared" si="56"/>
        <v>4506.3011855159994</v>
      </c>
      <c r="BT35" s="57">
        <f t="shared" si="56"/>
        <v>4704.5208663118392</v>
      </c>
      <c r="BU35" s="57">
        <f t="shared" si="56"/>
        <v>4859.8323045036896</v>
      </c>
      <c r="BV35" s="57">
        <f t="shared" si="56"/>
        <v>5145.553307977606</v>
      </c>
      <c r="BW35" s="57">
        <f t="shared" si="56"/>
        <v>5321.0494584805247</v>
      </c>
      <c r="BX35" s="57">
        <f t="shared" si="56"/>
        <v>5497.2817708191396</v>
      </c>
      <c r="BY35" s="57">
        <f t="shared" si="56"/>
        <v>5272.9244513654912</v>
      </c>
      <c r="BZ35" s="57">
        <f t="shared" si="56"/>
        <v>5554.9444436994008</v>
      </c>
    </row>
    <row r="36" spans="2:130" ht="15">
      <c r="B36" s="1" t="s">
        <v>256</v>
      </c>
      <c r="W36" s="1">
        <v>29</v>
      </c>
      <c r="X36" s="1">
        <v>47</v>
      </c>
      <c r="Y36" s="1">
        <v>19</v>
      </c>
      <c r="Z36" s="1">
        <f>139-SUM(W36:Y36)</f>
        <v>44</v>
      </c>
      <c r="AA36" s="1">
        <v>58</v>
      </c>
      <c r="AB36" s="1">
        <v>1</v>
      </c>
      <c r="AC36" s="1">
        <v>1</v>
      </c>
      <c r="AD36" s="1">
        <f>62-SUM(AA36:AC36)</f>
        <v>2</v>
      </c>
      <c r="AE36" s="1">
        <v>36</v>
      </c>
      <c r="AF36" s="1">
        <v>90</v>
      </c>
      <c r="AG36" s="1">
        <v>56</v>
      </c>
      <c r="AH36" s="1">
        <f>207-SUM(AE36:AG36)</f>
        <v>25</v>
      </c>
      <c r="AI36" s="1">
        <v>164</v>
      </c>
      <c r="AJ36" s="1">
        <v>24</v>
      </c>
      <c r="AK36" s="1">
        <v>39</v>
      </c>
      <c r="AL36" s="1">
        <f>-84-SUM(AI36:AK36)</f>
        <v>-311</v>
      </c>
      <c r="AM36" s="1">
        <v>212</v>
      </c>
      <c r="AN36" s="1">
        <v>113</v>
      </c>
      <c r="AO36" s="1">
        <v>63</v>
      </c>
      <c r="AP36" s="1">
        <f>438-SUM(AM36:AO36)</f>
        <v>50</v>
      </c>
      <c r="AQ36" s="1">
        <v>66</v>
      </c>
      <c r="AR36" s="1">
        <v>116</v>
      </c>
      <c r="AS36" s="1">
        <v>69</v>
      </c>
      <c r="AT36" s="33"/>
      <c r="AU36" s="33"/>
      <c r="AV36" s="33"/>
      <c r="AW36" s="33"/>
      <c r="AX36" s="33"/>
      <c r="AY36" s="33"/>
      <c r="AZ36" s="33"/>
      <c r="BA36" s="33"/>
      <c r="BG36" s="42">
        <f t="shared" si="42"/>
        <v>0</v>
      </c>
      <c r="BH36" s="42">
        <f t="shared" si="43"/>
        <v>0</v>
      </c>
      <c r="BI36" s="42">
        <f t="shared" si="44"/>
        <v>0</v>
      </c>
      <c r="BJ36" s="42">
        <f t="shared" si="45"/>
        <v>0</v>
      </c>
      <c r="BK36" s="42">
        <f t="shared" si="46"/>
        <v>0</v>
      </c>
      <c r="BL36" s="42">
        <f t="shared" si="47"/>
        <v>139</v>
      </c>
      <c r="BM36" s="42">
        <f t="shared" si="48"/>
        <v>62</v>
      </c>
      <c r="BN36" s="42">
        <f t="shared" si="49"/>
        <v>207</v>
      </c>
      <c r="BO36" s="42">
        <f t="shared" si="50"/>
        <v>-84</v>
      </c>
      <c r="BP36" s="42">
        <f t="shared" si="51"/>
        <v>438</v>
      </c>
      <c r="BQ36" s="55">
        <v>0</v>
      </c>
      <c r="BR36" s="55">
        <v>0</v>
      </c>
      <c r="BS36" s="55">
        <v>0</v>
      </c>
      <c r="BT36" s="55">
        <v>0</v>
      </c>
      <c r="BU36" s="55">
        <v>0</v>
      </c>
      <c r="BV36" s="55">
        <v>0</v>
      </c>
      <c r="BW36" s="55">
        <v>0</v>
      </c>
      <c r="BX36" s="55">
        <v>0</v>
      </c>
      <c r="BY36" s="55">
        <v>0</v>
      </c>
      <c r="BZ36" s="55">
        <v>0</v>
      </c>
    </row>
    <row r="37" spans="2:130" ht="15">
      <c r="B37" s="1" t="s">
        <v>255</v>
      </c>
      <c r="C37" s="1">
        <f t="shared" ref="C37:U37" si="57">C29-SUM(C30:C36)</f>
        <v>322</v>
      </c>
      <c r="D37" s="1">
        <f t="shared" si="57"/>
        <v>398</v>
      </c>
      <c r="E37" s="1">
        <f t="shared" si="57"/>
        <v>330</v>
      </c>
      <c r="F37" s="1">
        <f t="shared" si="57"/>
        <v>411</v>
      </c>
      <c r="G37" s="1">
        <f t="shared" si="57"/>
        <v>407</v>
      </c>
      <c r="H37" s="1">
        <f t="shared" si="57"/>
        <v>371</v>
      </c>
      <c r="I37" s="1">
        <f t="shared" si="57"/>
        <v>348</v>
      </c>
      <c r="J37" s="1">
        <f t="shared" si="57"/>
        <v>460</v>
      </c>
      <c r="K37" s="1">
        <f t="shared" si="57"/>
        <v>431</v>
      </c>
      <c r="L37" s="1">
        <f t="shared" si="57"/>
        <v>430</v>
      </c>
      <c r="M37" s="1">
        <f t="shared" si="57"/>
        <v>423</v>
      </c>
      <c r="N37" s="1">
        <f t="shared" si="57"/>
        <v>843</v>
      </c>
      <c r="O37" s="1">
        <f t="shared" si="57"/>
        <v>534</v>
      </c>
      <c r="P37" s="1">
        <f t="shared" si="57"/>
        <v>572</v>
      </c>
      <c r="Q37" s="1">
        <f t="shared" si="57"/>
        <v>490</v>
      </c>
      <c r="R37" s="1">
        <f t="shared" si="57"/>
        <v>598</v>
      </c>
      <c r="S37" s="1">
        <f t="shared" si="57"/>
        <v>518</v>
      </c>
      <c r="T37" s="1">
        <f t="shared" si="57"/>
        <v>705</v>
      </c>
      <c r="U37" s="1">
        <f t="shared" si="57"/>
        <v>697</v>
      </c>
      <c r="V37" s="1">
        <f t="shared" ref="V37:AQ37" si="58">V29-SUM(V30:V36)</f>
        <v>799</v>
      </c>
      <c r="W37" s="1">
        <f t="shared" si="58"/>
        <v>398</v>
      </c>
      <c r="X37" s="1">
        <f t="shared" si="58"/>
        <v>951</v>
      </c>
      <c r="Y37" s="1">
        <f t="shared" si="58"/>
        <v>977</v>
      </c>
      <c r="Z37" s="1">
        <f t="shared" si="58"/>
        <v>963</v>
      </c>
      <c r="AA37" s="1">
        <f t="shared" si="58"/>
        <v>1042</v>
      </c>
      <c r="AB37" s="1">
        <f t="shared" si="58"/>
        <v>1127</v>
      </c>
      <c r="AC37" s="1">
        <f t="shared" si="58"/>
        <v>1043</v>
      </c>
      <c r="AD37" s="1">
        <f t="shared" si="58"/>
        <v>1050</v>
      </c>
      <c r="AE37" s="1">
        <f t="shared" si="58"/>
        <v>711</v>
      </c>
      <c r="AF37" s="1">
        <f t="shared" si="58"/>
        <v>764</v>
      </c>
      <c r="AG37" s="1">
        <f t="shared" si="58"/>
        <v>1118</v>
      </c>
      <c r="AH37" s="1">
        <f t="shared" si="58"/>
        <v>1244</v>
      </c>
      <c r="AI37" s="1">
        <f t="shared" si="58"/>
        <v>999</v>
      </c>
      <c r="AJ37" s="1">
        <f t="shared" si="58"/>
        <v>1133</v>
      </c>
      <c r="AK37" s="1">
        <f t="shared" si="58"/>
        <v>1168</v>
      </c>
      <c r="AL37" s="1">
        <f t="shared" si="58"/>
        <v>1728</v>
      </c>
      <c r="AM37" s="1">
        <f t="shared" si="58"/>
        <v>1168</v>
      </c>
      <c r="AN37" s="1">
        <f t="shared" si="58"/>
        <v>1325</v>
      </c>
      <c r="AO37" s="1">
        <f t="shared" si="58"/>
        <v>1391</v>
      </c>
      <c r="AP37" s="1">
        <f t="shared" si="58"/>
        <v>1441</v>
      </c>
      <c r="AQ37" s="1">
        <f t="shared" si="58"/>
        <v>1530</v>
      </c>
      <c r="AR37" s="1">
        <f t="shared" ref="AR37:AS37" si="59">AR29-SUM(AR30:AR36)</f>
        <v>1504</v>
      </c>
      <c r="AS37" s="1">
        <f t="shared" si="59"/>
        <v>1520</v>
      </c>
      <c r="AT37" s="33"/>
      <c r="AU37" s="33"/>
      <c r="AV37" s="33"/>
      <c r="AW37" s="33"/>
      <c r="AX37" s="33"/>
      <c r="AY37" s="33"/>
      <c r="AZ37" s="33"/>
      <c r="BA37" s="33"/>
      <c r="BG37" s="42">
        <f t="shared" si="42"/>
        <v>1461</v>
      </c>
      <c r="BH37" s="42">
        <f t="shared" si="43"/>
        <v>1586</v>
      </c>
      <c r="BI37" s="42">
        <f t="shared" si="44"/>
        <v>2127</v>
      </c>
      <c r="BJ37" s="42">
        <f t="shared" si="45"/>
        <v>2194</v>
      </c>
      <c r="BK37" s="42">
        <f t="shared" si="46"/>
        <v>2719</v>
      </c>
      <c r="BL37" s="42">
        <f t="shared" si="47"/>
        <v>3289</v>
      </c>
      <c r="BM37" s="42">
        <f t="shared" si="48"/>
        <v>4262</v>
      </c>
      <c r="BN37" s="42">
        <f t="shared" si="49"/>
        <v>3837</v>
      </c>
      <c r="BO37" s="42">
        <f t="shared" si="50"/>
        <v>5028</v>
      </c>
      <c r="BP37" s="42">
        <f t="shared" si="51"/>
        <v>5325</v>
      </c>
      <c r="BQ37" s="57">
        <f>BQ29-SUM(BQ30:BQ36)</f>
        <v>5180.3650500000003</v>
      </c>
      <c r="BR37" s="57">
        <f t="shared" ref="BR37:BZ37" si="60">BR29-SUM(BR30:BR36)</f>
        <v>5125.5178607999987</v>
      </c>
      <c r="BS37" s="57">
        <f t="shared" si="60"/>
        <v>5032.0363238261998</v>
      </c>
      <c r="BT37" s="57">
        <f t="shared" si="60"/>
        <v>5302.5531798260636</v>
      </c>
      <c r="BU37" s="57">
        <f t="shared" si="60"/>
        <v>5478.9246400081101</v>
      </c>
      <c r="BV37" s="57">
        <f t="shared" si="60"/>
        <v>5481.132871541362</v>
      </c>
      <c r="BW37" s="57">
        <f t="shared" si="60"/>
        <v>5462.9441107066741</v>
      </c>
      <c r="BX37" s="57">
        <f t="shared" si="60"/>
        <v>5447.3064819935025</v>
      </c>
      <c r="BY37" s="57">
        <f t="shared" si="60"/>
        <v>5800.2168965020392</v>
      </c>
      <c r="BZ37" s="57">
        <f t="shared" si="60"/>
        <v>5554.9444436994017</v>
      </c>
    </row>
    <row r="38" spans="2:130" ht="15">
      <c r="B38" s="1" t="s">
        <v>254</v>
      </c>
      <c r="C38" s="1">
        <v>-1</v>
      </c>
      <c r="D38" s="1">
        <v>1</v>
      </c>
      <c r="E38" s="1">
        <v>20</v>
      </c>
      <c r="F38" s="1">
        <v>7</v>
      </c>
      <c r="G38" s="1">
        <v>15</v>
      </c>
      <c r="H38" s="1">
        <v>9</v>
      </c>
      <c r="I38" s="1">
        <v>12</v>
      </c>
      <c r="J38" s="1">
        <v>9</v>
      </c>
      <c r="K38" s="1">
        <v>7</v>
      </c>
      <c r="L38" s="1">
        <v>17</v>
      </c>
      <c r="M38" s="1">
        <v>28</v>
      </c>
      <c r="N38" s="1">
        <v>21</v>
      </c>
      <c r="O38" s="1">
        <v>14</v>
      </c>
      <c r="P38" s="1">
        <v>37</v>
      </c>
      <c r="Q38" s="1">
        <v>43</v>
      </c>
      <c r="R38" s="1">
        <v>88</v>
      </c>
      <c r="S38" s="1">
        <v>199</v>
      </c>
      <c r="T38" s="1">
        <v>238</v>
      </c>
      <c r="U38" s="1">
        <v>-213</v>
      </c>
      <c r="V38" s="1">
        <v>55</v>
      </c>
      <c r="W38" s="1">
        <v>-135</v>
      </c>
      <c r="X38" s="1">
        <v>848</v>
      </c>
      <c r="Y38" s="1">
        <v>167</v>
      </c>
      <c r="Z38" s="1">
        <f>1776-SUM(W38:Y38)</f>
        <v>896</v>
      </c>
      <c r="AA38" s="1">
        <v>-170</v>
      </c>
      <c r="AB38" s="1">
        <v>229</v>
      </c>
      <c r="AC38" s="1">
        <v>122</v>
      </c>
      <c r="AD38" s="1">
        <f>-163-SUM(AA38:AC38)</f>
        <v>-344</v>
      </c>
      <c r="AE38" s="1">
        <v>-82</v>
      </c>
      <c r="AF38" s="1">
        <v>-715</v>
      </c>
      <c r="AG38" s="1">
        <v>460</v>
      </c>
      <c r="AH38" s="1">
        <f>-471-SUM(AE38:AG38)</f>
        <v>-134</v>
      </c>
      <c r="AI38" s="1">
        <v>75</v>
      </c>
      <c r="AJ38" s="1">
        <v>170</v>
      </c>
      <c r="AK38" s="1">
        <v>73</v>
      </c>
      <c r="AL38" s="1">
        <f>383-SUM(AI38:AK38)</f>
        <v>65</v>
      </c>
      <c r="AM38" s="1">
        <v>41</v>
      </c>
      <c r="AN38" s="1">
        <v>74</v>
      </c>
      <c r="AO38" s="1">
        <v>-80</v>
      </c>
      <c r="AP38" s="1">
        <f>4-SUM(AM38:AO38)</f>
        <v>-31</v>
      </c>
      <c r="AQ38" s="1">
        <v>73</v>
      </c>
      <c r="AR38" s="1">
        <v>25</v>
      </c>
      <c r="AS38" s="1">
        <v>13</v>
      </c>
      <c r="AT38" s="33"/>
      <c r="AU38" s="33"/>
      <c r="AV38" s="33"/>
      <c r="AW38" s="33"/>
      <c r="AX38" s="33"/>
      <c r="AY38" s="33"/>
      <c r="AZ38" s="33"/>
      <c r="BA38" s="33"/>
      <c r="BG38" s="42">
        <f t="shared" si="42"/>
        <v>27</v>
      </c>
      <c r="BH38" s="42">
        <f t="shared" si="43"/>
        <v>45</v>
      </c>
      <c r="BI38" s="42">
        <f t="shared" si="44"/>
        <v>73</v>
      </c>
      <c r="BJ38" s="42">
        <f t="shared" si="45"/>
        <v>182</v>
      </c>
      <c r="BK38" s="42">
        <f t="shared" si="46"/>
        <v>279</v>
      </c>
      <c r="BL38" s="42">
        <f t="shared" si="47"/>
        <v>1776</v>
      </c>
      <c r="BM38" s="42">
        <f t="shared" si="48"/>
        <v>-163</v>
      </c>
      <c r="BN38" s="42">
        <f t="shared" si="49"/>
        <v>-471</v>
      </c>
      <c r="BO38" s="42">
        <f t="shared" si="50"/>
        <v>383</v>
      </c>
      <c r="BP38" s="42">
        <f t="shared" si="51"/>
        <v>4</v>
      </c>
      <c r="BQ38" s="57">
        <f t="shared" ref="BQ38:BZ38" si="61">BP54*$BZ$56</f>
        <v>387.09899999999999</v>
      </c>
      <c r="BR38" s="57">
        <f t="shared" si="61"/>
        <v>654.15354808635004</v>
      </c>
      <c r="BS38" s="57">
        <f t="shared" si="61"/>
        <v>932.06904778265016</v>
      </c>
      <c r="BT38" s="57">
        <f t="shared" si="61"/>
        <v>1220.6124656610864</v>
      </c>
      <c r="BU38" s="57">
        <f t="shared" si="61"/>
        <v>1536.2032195897548</v>
      </c>
      <c r="BV38" s="57">
        <f t="shared" si="61"/>
        <v>1875.5951054370994</v>
      </c>
      <c r="BW38" s="57">
        <f t="shared" si="61"/>
        <v>2231.513604963317</v>
      </c>
      <c r="BX38" s="57">
        <f t="shared" si="61"/>
        <v>2603.771469247431</v>
      </c>
      <c r="BY38" s="57">
        <f t="shared" si="61"/>
        <v>2993.2826205284673</v>
      </c>
      <c r="BZ38" s="57">
        <f t="shared" si="61"/>
        <v>3418.7121271624032</v>
      </c>
    </row>
    <row r="39" spans="2:130" ht="15">
      <c r="B39" s="1" t="s">
        <v>253</v>
      </c>
      <c r="C39" s="1">
        <f>C37+C38</f>
        <v>321</v>
      </c>
      <c r="D39" s="1">
        <f t="shared" ref="D39:V39" si="62">D37+D38</f>
        <v>399</v>
      </c>
      <c r="E39" s="1">
        <f t="shared" si="62"/>
        <v>350</v>
      </c>
      <c r="F39" s="1">
        <f t="shared" si="62"/>
        <v>418</v>
      </c>
      <c r="G39" s="1">
        <f t="shared" si="62"/>
        <v>422</v>
      </c>
      <c r="H39" s="1">
        <f t="shared" si="62"/>
        <v>380</v>
      </c>
      <c r="I39" s="1">
        <f t="shared" si="62"/>
        <v>360</v>
      </c>
      <c r="J39" s="1">
        <f t="shared" si="62"/>
        <v>469</v>
      </c>
      <c r="K39" s="1">
        <f t="shared" si="62"/>
        <v>438</v>
      </c>
      <c r="L39" s="1">
        <f t="shared" si="62"/>
        <v>447</v>
      </c>
      <c r="M39" s="1">
        <f t="shared" si="62"/>
        <v>451</v>
      </c>
      <c r="N39" s="1">
        <f t="shared" si="62"/>
        <v>864</v>
      </c>
      <c r="O39" s="1">
        <f t="shared" si="62"/>
        <v>548</v>
      </c>
      <c r="P39" s="1">
        <f t="shared" si="62"/>
        <v>609</v>
      </c>
      <c r="Q39" s="1">
        <f t="shared" si="62"/>
        <v>533</v>
      </c>
      <c r="R39" s="1">
        <f t="shared" si="62"/>
        <v>686</v>
      </c>
      <c r="S39" s="1">
        <f t="shared" si="62"/>
        <v>717</v>
      </c>
      <c r="T39" s="1">
        <f t="shared" si="62"/>
        <v>943</v>
      </c>
      <c r="U39" s="1">
        <f t="shared" si="62"/>
        <v>484</v>
      </c>
      <c r="V39" s="1">
        <f t="shared" si="62"/>
        <v>854</v>
      </c>
      <c r="W39" s="1">
        <f t="shared" ref="W39:AQ39" si="63">W37+W38</f>
        <v>263</v>
      </c>
      <c r="X39" s="1">
        <f t="shared" si="63"/>
        <v>1799</v>
      </c>
      <c r="Y39" s="1">
        <f t="shared" si="63"/>
        <v>1144</v>
      </c>
      <c r="Z39" s="1">
        <f t="shared" si="63"/>
        <v>1859</v>
      </c>
      <c r="AA39" s="1">
        <f t="shared" si="63"/>
        <v>872</v>
      </c>
      <c r="AB39" s="1">
        <f t="shared" si="63"/>
        <v>1356</v>
      </c>
      <c r="AC39" s="1">
        <f t="shared" si="63"/>
        <v>1165</v>
      </c>
      <c r="AD39" s="1">
        <f t="shared" si="63"/>
        <v>706</v>
      </c>
      <c r="AE39" s="1">
        <f t="shared" si="63"/>
        <v>629</v>
      </c>
      <c r="AF39" s="1">
        <f t="shared" si="63"/>
        <v>49</v>
      </c>
      <c r="AG39" s="1">
        <f t="shared" si="63"/>
        <v>1578</v>
      </c>
      <c r="AH39" s="1">
        <f t="shared" si="63"/>
        <v>1110</v>
      </c>
      <c r="AI39" s="1">
        <f t="shared" si="63"/>
        <v>1074</v>
      </c>
      <c r="AJ39" s="1">
        <f t="shared" si="63"/>
        <v>1303</v>
      </c>
      <c r="AK39" s="1">
        <f t="shared" si="63"/>
        <v>1241</v>
      </c>
      <c r="AL39" s="1">
        <f t="shared" si="63"/>
        <v>1793</v>
      </c>
      <c r="AM39" s="1">
        <f t="shared" si="63"/>
        <v>1209</v>
      </c>
      <c r="AN39" s="1">
        <f t="shared" si="63"/>
        <v>1399</v>
      </c>
      <c r="AO39" s="1">
        <f t="shared" si="63"/>
        <v>1311</v>
      </c>
      <c r="AP39" s="1">
        <f t="shared" si="63"/>
        <v>1410</v>
      </c>
      <c r="AQ39" s="1">
        <f t="shared" si="63"/>
        <v>1603</v>
      </c>
      <c r="AR39" s="1">
        <f t="shared" ref="AR39:AS39" si="64">AR37+AR38</f>
        <v>1529</v>
      </c>
      <c r="AS39" s="1">
        <f t="shared" si="64"/>
        <v>1533</v>
      </c>
      <c r="AT39" s="33"/>
      <c r="AU39" s="33"/>
      <c r="AV39" s="33"/>
      <c r="AW39" s="33"/>
      <c r="AX39" s="33"/>
      <c r="AY39" s="33"/>
      <c r="AZ39" s="33"/>
      <c r="BA39" s="33"/>
      <c r="BG39" s="42">
        <f t="shared" si="42"/>
        <v>1488</v>
      </c>
      <c r="BH39" s="42">
        <f t="shared" si="43"/>
        <v>1631</v>
      </c>
      <c r="BI39" s="42">
        <f t="shared" si="44"/>
        <v>2200</v>
      </c>
      <c r="BJ39" s="42">
        <f t="shared" si="45"/>
        <v>2376</v>
      </c>
      <c r="BK39" s="42">
        <f t="shared" si="46"/>
        <v>2998</v>
      </c>
      <c r="BL39" s="42">
        <f t="shared" si="47"/>
        <v>5065</v>
      </c>
      <c r="BM39" s="42">
        <f t="shared" si="48"/>
        <v>4099</v>
      </c>
      <c r="BN39" s="42">
        <f t="shared" si="49"/>
        <v>3366</v>
      </c>
      <c r="BO39" s="42">
        <f t="shared" si="50"/>
        <v>5411</v>
      </c>
      <c r="BP39" s="42">
        <f t="shared" si="51"/>
        <v>5329</v>
      </c>
      <c r="BQ39" s="57">
        <f>BQ37+BQ38</f>
        <v>5567.4640500000005</v>
      </c>
      <c r="BR39" s="57">
        <f t="shared" ref="BR39:BZ39" si="65">BR37+BR38</f>
        <v>5779.6714088863491</v>
      </c>
      <c r="BS39" s="57">
        <f t="shared" si="65"/>
        <v>5964.10537160885</v>
      </c>
      <c r="BT39" s="57">
        <f t="shared" si="65"/>
        <v>6523.16564548715</v>
      </c>
      <c r="BU39" s="57">
        <f t="shared" si="65"/>
        <v>7015.1278595978647</v>
      </c>
      <c r="BV39" s="57">
        <f t="shared" si="65"/>
        <v>7356.7279769784618</v>
      </c>
      <c r="BW39" s="57">
        <f t="shared" si="65"/>
        <v>7694.4577156699906</v>
      </c>
      <c r="BX39" s="57">
        <f t="shared" si="65"/>
        <v>8051.0779512409335</v>
      </c>
      <c r="BY39" s="57">
        <f t="shared" si="65"/>
        <v>8793.4995170305065</v>
      </c>
      <c r="BZ39" s="57">
        <f t="shared" si="65"/>
        <v>8973.6565708618054</v>
      </c>
    </row>
    <row r="40" spans="2:130" ht="15">
      <c r="B40" s="1" t="s">
        <v>252</v>
      </c>
      <c r="C40" s="1">
        <v>66</v>
      </c>
      <c r="D40" s="1">
        <v>94</v>
      </c>
      <c r="E40" s="1">
        <v>49</v>
      </c>
      <c r="F40" s="1">
        <v>51</v>
      </c>
      <c r="G40" s="1">
        <v>57</v>
      </c>
      <c r="H40" s="1">
        <v>57</v>
      </c>
      <c r="I40" s="1">
        <v>37</v>
      </c>
      <c r="J40" s="1">
        <v>79</v>
      </c>
      <c r="K40" s="1">
        <v>54</v>
      </c>
      <c r="L40" s="1">
        <v>36</v>
      </c>
      <c r="M40" s="1">
        <v>71</v>
      </c>
      <c r="N40" s="1">
        <v>244</v>
      </c>
      <c r="O40" s="1">
        <v>37</v>
      </c>
      <c r="P40" s="1">
        <v>83</v>
      </c>
      <c r="Q40" s="1">
        <v>97</v>
      </c>
      <c r="R40" s="1">
        <v>102</v>
      </c>
      <c r="S40" s="1">
        <v>50</v>
      </c>
      <c r="T40" s="1">
        <v>120</v>
      </c>
      <c r="U40" s="1">
        <v>22</v>
      </c>
      <c r="V40" s="1">
        <v>347</v>
      </c>
      <c r="W40" s="1">
        <v>179</v>
      </c>
      <c r="X40" s="1">
        <v>269</v>
      </c>
      <c r="Y40" s="1">
        <v>123</v>
      </c>
      <c r="Z40" s="1">
        <f>863-SUM(W40:Y40)</f>
        <v>292</v>
      </c>
      <c r="AA40" s="1">
        <v>-225</v>
      </c>
      <c r="AB40" s="1">
        <v>172</v>
      </c>
      <c r="AC40" s="1">
        <v>78</v>
      </c>
      <c r="AD40" s="1">
        <f>-70-SUM(AA40:AC40)</f>
        <v>-95</v>
      </c>
      <c r="AE40" s="1">
        <v>120</v>
      </c>
      <c r="AF40" s="1">
        <v>390</v>
      </c>
      <c r="AG40" s="1">
        <v>248</v>
      </c>
      <c r="AH40" s="1">
        <f>947-SUM(AE40:AG40)</f>
        <v>189</v>
      </c>
      <c r="AI40" s="1">
        <v>279</v>
      </c>
      <c r="AJ40" s="1">
        <v>274</v>
      </c>
      <c r="AK40" s="1">
        <v>221</v>
      </c>
      <c r="AL40" s="1">
        <f>1165-SUM(AI40:AK40)</f>
        <v>391</v>
      </c>
      <c r="AM40" s="1">
        <v>321</v>
      </c>
      <c r="AN40" s="1">
        <v>271</v>
      </c>
      <c r="AO40" s="1">
        <v>301</v>
      </c>
      <c r="AP40" s="1">
        <f>1182-SUM(AM40:AO40)</f>
        <v>289</v>
      </c>
      <c r="AQ40" s="1">
        <v>316</v>
      </c>
      <c r="AR40" s="1">
        <v>268</v>
      </c>
      <c r="AS40" s="1">
        <v>285</v>
      </c>
      <c r="AT40" s="33"/>
      <c r="AU40" s="33"/>
      <c r="AV40" s="33"/>
      <c r="AW40" s="33"/>
      <c r="AX40" s="33"/>
      <c r="AY40" s="33"/>
      <c r="AZ40" s="33"/>
      <c r="BA40" s="33"/>
      <c r="BG40" s="42">
        <f t="shared" si="42"/>
        <v>260</v>
      </c>
      <c r="BH40" s="42">
        <f t="shared" si="43"/>
        <v>230</v>
      </c>
      <c r="BI40" s="42">
        <f t="shared" si="44"/>
        <v>405</v>
      </c>
      <c r="BJ40" s="42">
        <f t="shared" si="45"/>
        <v>319</v>
      </c>
      <c r="BK40" s="42">
        <f t="shared" si="46"/>
        <v>539</v>
      </c>
      <c r="BL40" s="42">
        <f t="shared" si="47"/>
        <v>863</v>
      </c>
      <c r="BM40" s="42">
        <f t="shared" si="48"/>
        <v>-70</v>
      </c>
      <c r="BN40" s="42">
        <f t="shared" si="49"/>
        <v>947</v>
      </c>
      <c r="BO40" s="42">
        <f t="shared" si="50"/>
        <v>1165</v>
      </c>
      <c r="BP40" s="42">
        <f t="shared" si="51"/>
        <v>1182</v>
      </c>
      <c r="BQ40" s="57">
        <f>BQ39*BQ51</f>
        <v>1041.1157773500001</v>
      </c>
      <c r="BR40" s="57">
        <f t="shared" ref="BR40:BZ40" si="66">BR39*BR51</f>
        <v>1069.2392106439745</v>
      </c>
      <c r="BS40" s="57">
        <f t="shared" si="66"/>
        <v>1073.538966889593</v>
      </c>
      <c r="BT40" s="57">
        <f t="shared" si="66"/>
        <v>1174.169816187687</v>
      </c>
      <c r="BU40" s="57">
        <f t="shared" si="66"/>
        <v>1262.7230147276157</v>
      </c>
      <c r="BV40" s="57">
        <f t="shared" si="66"/>
        <v>1324.2110358561231</v>
      </c>
      <c r="BW40" s="57">
        <f t="shared" si="66"/>
        <v>1385.0023888205983</v>
      </c>
      <c r="BX40" s="57">
        <f t="shared" si="66"/>
        <v>1449.194031223368</v>
      </c>
      <c r="BY40" s="57">
        <f t="shared" si="66"/>
        <v>1582.8299130654912</v>
      </c>
      <c r="BZ40" s="57">
        <f t="shared" si="66"/>
        <v>1615.2581827551248</v>
      </c>
    </row>
    <row r="41" spans="2:130" s="2" customFormat="1" ht="15">
      <c r="B41" s="2" t="s">
        <v>111</v>
      </c>
      <c r="C41" s="2">
        <f>C39-C40</f>
        <v>255</v>
      </c>
      <c r="D41" s="2">
        <f t="shared" ref="D41:V41" si="67">D39-D40</f>
        <v>305</v>
      </c>
      <c r="E41" s="2">
        <f t="shared" si="67"/>
        <v>301</v>
      </c>
      <c r="F41" s="2">
        <f t="shared" si="67"/>
        <v>367</v>
      </c>
      <c r="G41" s="2">
        <f t="shared" si="67"/>
        <v>365</v>
      </c>
      <c r="H41" s="2">
        <f t="shared" si="67"/>
        <v>323</v>
      </c>
      <c r="I41" s="2">
        <f t="shared" si="67"/>
        <v>323</v>
      </c>
      <c r="J41" s="2">
        <f t="shared" si="67"/>
        <v>390</v>
      </c>
      <c r="K41" s="2">
        <f t="shared" si="67"/>
        <v>384</v>
      </c>
      <c r="L41" s="2">
        <f t="shared" si="67"/>
        <v>411</v>
      </c>
      <c r="M41" s="2">
        <f t="shared" si="67"/>
        <v>380</v>
      </c>
      <c r="N41" s="2">
        <f t="shared" si="67"/>
        <v>620</v>
      </c>
      <c r="O41" s="2">
        <f t="shared" si="67"/>
        <v>511</v>
      </c>
      <c r="P41" s="2">
        <f t="shared" si="67"/>
        <v>526</v>
      </c>
      <c r="Q41" s="2">
        <f t="shared" si="67"/>
        <v>436</v>
      </c>
      <c r="R41" s="2">
        <f t="shared" si="67"/>
        <v>584</v>
      </c>
      <c r="S41" s="2">
        <f t="shared" si="67"/>
        <v>667</v>
      </c>
      <c r="T41" s="2">
        <f t="shared" si="67"/>
        <v>823</v>
      </c>
      <c r="U41" s="2">
        <f t="shared" si="67"/>
        <v>462</v>
      </c>
      <c r="V41" s="2">
        <f t="shared" si="67"/>
        <v>507</v>
      </c>
      <c r="W41" s="2">
        <f t="shared" ref="W41:AQ41" si="68">W39-W40</f>
        <v>84</v>
      </c>
      <c r="X41" s="2">
        <f t="shared" si="68"/>
        <v>1530</v>
      </c>
      <c r="Y41" s="2">
        <f t="shared" si="68"/>
        <v>1021</v>
      </c>
      <c r="Z41" s="2">
        <f t="shared" si="68"/>
        <v>1567</v>
      </c>
      <c r="AA41" s="2">
        <f t="shared" si="68"/>
        <v>1097</v>
      </c>
      <c r="AB41" s="2">
        <f t="shared" si="68"/>
        <v>1184</v>
      </c>
      <c r="AC41" s="2">
        <f t="shared" si="68"/>
        <v>1087</v>
      </c>
      <c r="AD41" s="2">
        <f t="shared" si="68"/>
        <v>801</v>
      </c>
      <c r="AE41" s="2">
        <f t="shared" si="68"/>
        <v>509</v>
      </c>
      <c r="AF41" s="2">
        <f t="shared" si="68"/>
        <v>-341</v>
      </c>
      <c r="AG41" s="2">
        <f t="shared" si="68"/>
        <v>1330</v>
      </c>
      <c r="AH41" s="2">
        <f t="shared" si="68"/>
        <v>921</v>
      </c>
      <c r="AI41" s="2">
        <f t="shared" si="68"/>
        <v>795</v>
      </c>
      <c r="AJ41" s="2">
        <f t="shared" si="68"/>
        <v>1029</v>
      </c>
      <c r="AK41" s="2">
        <f t="shared" si="68"/>
        <v>1020</v>
      </c>
      <c r="AL41" s="2">
        <f t="shared" si="68"/>
        <v>1402</v>
      </c>
      <c r="AM41" s="2">
        <f t="shared" si="68"/>
        <v>888</v>
      </c>
      <c r="AN41" s="2">
        <f t="shared" si="68"/>
        <v>1128</v>
      </c>
      <c r="AO41" s="2">
        <f t="shared" si="68"/>
        <v>1010</v>
      </c>
      <c r="AP41" s="2">
        <f t="shared" si="68"/>
        <v>1121</v>
      </c>
      <c r="AQ41" s="2">
        <f t="shared" si="68"/>
        <v>1287</v>
      </c>
      <c r="AR41" s="2">
        <f t="shared" ref="AR41:AS41" si="69">AR39-AR40</f>
        <v>1261</v>
      </c>
      <c r="AS41" s="2">
        <f t="shared" si="69"/>
        <v>1248</v>
      </c>
      <c r="AT41" s="33">
        <v>1290</v>
      </c>
      <c r="AU41" s="33">
        <v>1150</v>
      </c>
      <c r="AV41" s="33">
        <v>1200</v>
      </c>
      <c r="AW41" s="33">
        <v>1250</v>
      </c>
      <c r="AX41" s="33">
        <v>1380</v>
      </c>
      <c r="AY41" s="33">
        <v>1280</v>
      </c>
      <c r="AZ41" s="33">
        <v>1340</v>
      </c>
      <c r="BA41" s="33">
        <v>1360</v>
      </c>
      <c r="BG41" s="48">
        <f t="shared" si="42"/>
        <v>1228</v>
      </c>
      <c r="BH41" s="48">
        <f t="shared" si="43"/>
        <v>1401</v>
      </c>
      <c r="BI41" s="48">
        <f t="shared" si="44"/>
        <v>1795</v>
      </c>
      <c r="BJ41" s="48">
        <f t="shared" si="45"/>
        <v>2057</v>
      </c>
      <c r="BK41" s="48">
        <f t="shared" si="46"/>
        <v>2459</v>
      </c>
      <c r="BL41" s="48">
        <f t="shared" si="47"/>
        <v>4202</v>
      </c>
      <c r="BM41" s="48">
        <f t="shared" si="48"/>
        <v>4169</v>
      </c>
      <c r="BN41" s="48">
        <f t="shared" si="49"/>
        <v>2419</v>
      </c>
      <c r="BO41" s="48">
        <f t="shared" si="50"/>
        <v>4246</v>
      </c>
      <c r="BP41" s="48">
        <f t="shared" si="51"/>
        <v>4147</v>
      </c>
      <c r="BQ41" s="58">
        <f>BQ39-BQ40</f>
        <v>4526.3482726500006</v>
      </c>
      <c r="BR41" s="58">
        <f t="shared" ref="BR41:BZ41" si="70">BR39-BR40</f>
        <v>4710.4321982423744</v>
      </c>
      <c r="BS41" s="58">
        <f t="shared" si="70"/>
        <v>4890.5664047192568</v>
      </c>
      <c r="BT41" s="58">
        <f t="shared" si="70"/>
        <v>5348.9958292994634</v>
      </c>
      <c r="BU41" s="58">
        <f t="shared" si="70"/>
        <v>5752.4048448702488</v>
      </c>
      <c r="BV41" s="58">
        <f t="shared" si="70"/>
        <v>6032.5169411223387</v>
      </c>
      <c r="BW41" s="58">
        <f t="shared" si="70"/>
        <v>6309.4553268493928</v>
      </c>
      <c r="BX41" s="58">
        <f t="shared" si="70"/>
        <v>6601.8839200175653</v>
      </c>
      <c r="BY41" s="58">
        <f t="shared" si="70"/>
        <v>7210.6696039650151</v>
      </c>
      <c r="BZ41" s="58">
        <f t="shared" si="70"/>
        <v>7358.3983881066806</v>
      </c>
      <c r="CA41" s="58">
        <f t="shared" ref="CA41:DF41" si="71">BZ41*(1+$BZ$57)</f>
        <v>7450.3783679580138</v>
      </c>
      <c r="CB41" s="58">
        <f t="shared" si="71"/>
        <v>7543.5080975574883</v>
      </c>
      <c r="CC41" s="58">
        <f t="shared" si="71"/>
        <v>7637.801948776957</v>
      </c>
      <c r="CD41" s="58">
        <f t="shared" si="71"/>
        <v>7733.2744731366683</v>
      </c>
      <c r="CE41" s="58">
        <f t="shared" si="71"/>
        <v>7829.9404040508762</v>
      </c>
      <c r="CF41" s="58">
        <f t="shared" si="71"/>
        <v>7927.814659101512</v>
      </c>
      <c r="CG41" s="58">
        <f t="shared" si="71"/>
        <v>8026.9123423402807</v>
      </c>
      <c r="CH41" s="58">
        <f t="shared" si="71"/>
        <v>8127.2487466195334</v>
      </c>
      <c r="CI41" s="58">
        <f t="shared" si="71"/>
        <v>8228.8393559522774</v>
      </c>
      <c r="CJ41" s="58">
        <f t="shared" si="71"/>
        <v>8331.6998479016802</v>
      </c>
      <c r="CK41" s="58">
        <f t="shared" si="71"/>
        <v>8435.8460960004504</v>
      </c>
      <c r="CL41" s="58">
        <f t="shared" si="71"/>
        <v>8541.2941722004562</v>
      </c>
      <c r="CM41" s="58">
        <f t="shared" si="71"/>
        <v>8648.0603493529616</v>
      </c>
      <c r="CN41" s="58">
        <f t="shared" si="71"/>
        <v>8756.1611037198727</v>
      </c>
      <c r="CO41" s="58">
        <f t="shared" si="71"/>
        <v>8865.61311751637</v>
      </c>
      <c r="CP41" s="58">
        <f t="shared" si="71"/>
        <v>8976.4332814853242</v>
      </c>
      <c r="CQ41" s="58">
        <f t="shared" si="71"/>
        <v>9088.6386975038895</v>
      </c>
      <c r="CR41" s="58">
        <f t="shared" si="71"/>
        <v>9202.2466812226885</v>
      </c>
      <c r="CS41" s="58">
        <f t="shared" si="71"/>
        <v>9317.2747647379711</v>
      </c>
      <c r="CT41" s="58">
        <f t="shared" si="71"/>
        <v>9433.7406992971955</v>
      </c>
      <c r="CU41" s="58">
        <f t="shared" si="71"/>
        <v>9551.6624580384105</v>
      </c>
      <c r="CV41" s="58">
        <f t="shared" si="71"/>
        <v>9671.0582387638897</v>
      </c>
      <c r="CW41" s="58">
        <f t="shared" si="71"/>
        <v>9791.9464667484372</v>
      </c>
      <c r="CX41" s="58">
        <f t="shared" si="71"/>
        <v>9914.3457975827914</v>
      </c>
      <c r="CY41" s="58">
        <f t="shared" si="71"/>
        <v>10038.275120052576</v>
      </c>
      <c r="CZ41" s="58">
        <f t="shared" si="71"/>
        <v>10163.753559053233</v>
      </c>
      <c r="DA41" s="58">
        <f t="shared" si="71"/>
        <v>10290.800478541398</v>
      </c>
      <c r="DB41" s="58">
        <f t="shared" si="71"/>
        <v>10419.435484523165</v>
      </c>
      <c r="DC41" s="58">
        <f t="shared" si="71"/>
        <v>10549.678428079704</v>
      </c>
      <c r="DD41" s="58">
        <f t="shared" si="71"/>
        <v>10681.549408430699</v>
      </c>
      <c r="DE41" s="58">
        <f t="shared" si="71"/>
        <v>10815.068776036083</v>
      </c>
      <c r="DF41" s="58">
        <f t="shared" si="71"/>
        <v>10950.257135736534</v>
      </c>
      <c r="DG41" s="58">
        <f t="shared" ref="DG41:DX41" si="72">DF41*(1+$BZ$57)</f>
        <v>11087.13534993324</v>
      </c>
      <c r="DH41" s="58">
        <f t="shared" si="72"/>
        <v>11225.724541807405</v>
      </c>
      <c r="DI41" s="58">
        <f t="shared" si="72"/>
        <v>11366.046098579998</v>
      </c>
      <c r="DJ41" s="58">
        <f t="shared" si="72"/>
        <v>11508.121674812248</v>
      </c>
      <c r="DK41" s="58">
        <f t="shared" si="72"/>
        <v>11651.9731957474</v>
      </c>
      <c r="DL41" s="58">
        <f t="shared" si="72"/>
        <v>11797.622860694242</v>
      </c>
      <c r="DM41" s="58">
        <f t="shared" si="72"/>
        <v>11945.09314645292</v>
      </c>
      <c r="DN41" s="58">
        <f t="shared" si="72"/>
        <v>12094.406810783581</v>
      </c>
      <c r="DO41" s="58">
        <f t="shared" si="72"/>
        <v>12245.586895918375</v>
      </c>
      <c r="DP41" s="58">
        <f t="shared" si="72"/>
        <v>12398.656732117355</v>
      </c>
      <c r="DQ41" s="58">
        <f t="shared" si="72"/>
        <v>12553.639941268822</v>
      </c>
      <c r="DR41" s="58">
        <f t="shared" si="72"/>
        <v>12710.560440534682</v>
      </c>
      <c r="DS41" s="58">
        <f t="shared" si="72"/>
        <v>12869.442446041365</v>
      </c>
      <c r="DT41" s="58">
        <f t="shared" si="72"/>
        <v>13030.310476616882</v>
      </c>
      <c r="DU41" s="58">
        <f t="shared" si="72"/>
        <v>13193.189357574593</v>
      </c>
      <c r="DV41" s="58">
        <f t="shared" si="72"/>
        <v>13358.104224544275</v>
      </c>
      <c r="DW41" s="58">
        <f t="shared" si="72"/>
        <v>13525.080527351078</v>
      </c>
      <c r="DX41" s="58">
        <f t="shared" si="72"/>
        <v>13694.144033942966</v>
      </c>
      <c r="DY41" s="56"/>
      <c r="DZ41" s="56"/>
    </row>
    <row r="42" spans="2:130">
      <c r="B42" s="1" t="s">
        <v>114</v>
      </c>
      <c r="C42" s="1">
        <v>1218</v>
      </c>
      <c r="D42" s="1">
        <v>1218</v>
      </c>
      <c r="E42" s="1">
        <v>1221</v>
      </c>
      <c r="F42" s="1">
        <v>1222</v>
      </c>
      <c r="G42" s="1">
        <v>1216</v>
      </c>
      <c r="H42" s="1">
        <v>1210</v>
      </c>
      <c r="I42" s="1">
        <v>1207</v>
      </c>
      <c r="J42" s="1">
        <v>1210</v>
      </c>
      <c r="K42" s="1">
        <v>1203</v>
      </c>
      <c r="L42" s="1">
        <v>1202</v>
      </c>
      <c r="M42" s="1">
        <v>1202</v>
      </c>
      <c r="N42" s="1">
        <v>1203</v>
      </c>
      <c r="O42" s="1">
        <v>1192</v>
      </c>
      <c r="P42" s="1">
        <v>1187</v>
      </c>
      <c r="Q42" s="1">
        <v>1181</v>
      </c>
      <c r="R42" s="1">
        <v>1184</v>
      </c>
      <c r="S42" s="1">
        <v>1171</v>
      </c>
      <c r="T42" s="1">
        <v>1175</v>
      </c>
      <c r="U42" s="1">
        <v>1175</v>
      </c>
      <c r="V42" s="1">
        <v>1174</v>
      </c>
      <c r="W42" s="1">
        <v>1185</v>
      </c>
      <c r="X42" s="1">
        <v>1184</v>
      </c>
      <c r="Y42" s="1">
        <v>1190</v>
      </c>
      <c r="Z42" s="1">
        <v>1174</v>
      </c>
      <c r="AA42" s="1">
        <v>1190</v>
      </c>
      <c r="AB42" s="1">
        <v>1186</v>
      </c>
      <c r="AC42" s="1">
        <v>1187</v>
      </c>
      <c r="AD42" s="1">
        <v>1174</v>
      </c>
      <c r="AE42" s="1">
        <v>1163</v>
      </c>
      <c r="AF42" s="1">
        <v>1158</v>
      </c>
      <c r="AG42" s="1">
        <v>1157</v>
      </c>
      <c r="AH42" s="1">
        <v>1131</v>
      </c>
      <c r="AI42" s="1">
        <v>1134</v>
      </c>
      <c r="AJ42" s="1">
        <v>1114</v>
      </c>
      <c r="AK42" s="1">
        <v>1098</v>
      </c>
      <c r="AL42" s="1">
        <v>1071</v>
      </c>
      <c r="AM42" s="1">
        <v>1072</v>
      </c>
      <c r="AN42" s="1">
        <v>1047</v>
      </c>
      <c r="AO42" s="1">
        <v>1024</v>
      </c>
      <c r="AP42" s="1">
        <v>989</v>
      </c>
      <c r="AQ42" s="1">
        <v>986</v>
      </c>
      <c r="AR42" s="1">
        <v>969</v>
      </c>
      <c r="AS42" s="1">
        <v>950</v>
      </c>
      <c r="AT42" s="45">
        <f t="shared" ref="AT42:AY42" si="73">AT41/AT43</f>
        <v>962.686567164179</v>
      </c>
      <c r="AU42" s="45">
        <f t="shared" si="73"/>
        <v>884.61538461538464</v>
      </c>
      <c r="AV42" s="45">
        <f t="shared" si="73"/>
        <v>857.14285714285722</v>
      </c>
      <c r="AW42" s="45">
        <f t="shared" si="73"/>
        <v>850.34013605442181</v>
      </c>
      <c r="AX42" s="45">
        <f t="shared" si="73"/>
        <v>971.83098591549299</v>
      </c>
      <c r="AY42" s="45">
        <f t="shared" si="73"/>
        <v>831.16883116883116</v>
      </c>
      <c r="AZ42" s="45">
        <f t="shared" ref="AZ42:BA42" si="74">AZ41/AZ43</f>
        <v>858.97435897435889</v>
      </c>
      <c r="BA42" s="45">
        <f t="shared" si="74"/>
        <v>814.37125748503001</v>
      </c>
      <c r="BG42" s="42">
        <f>AVERAGE(C42:F42)</f>
        <v>1219.75</v>
      </c>
      <c r="BH42" s="42">
        <f>AVERAGE(G42:J42)</f>
        <v>1210.75</v>
      </c>
      <c r="BI42" s="42">
        <f>AVERAGE(K42:N42)</f>
        <v>1202.5</v>
      </c>
      <c r="BJ42" s="42">
        <f>AVERAGE(O42:R42)</f>
        <v>1186</v>
      </c>
      <c r="BK42" s="42">
        <f>AVERAGE(S42:V42)</f>
        <v>1173.75</v>
      </c>
      <c r="BL42" s="42">
        <f>AVERAGE(W42:Z42)</f>
        <v>1183.25</v>
      </c>
      <c r="BM42" s="42">
        <f>AVERAGE(AA42:AD42)</f>
        <v>1184.25</v>
      </c>
      <c r="BN42" s="42">
        <f>AVERAGE(AE42:AH42)</f>
        <v>1152.25</v>
      </c>
      <c r="BO42" s="42">
        <f>AVERAGE(AI42:AL42)</f>
        <v>1104.25</v>
      </c>
      <c r="BP42" s="42">
        <f>AVERAGE(AM42:AP42)</f>
        <v>1033</v>
      </c>
    </row>
    <row r="43" spans="2:130">
      <c r="B43" s="1" t="s">
        <v>251</v>
      </c>
      <c r="C43" s="37">
        <f t="shared" ref="C43:V43" si="75">C41/C42</f>
        <v>0.20935960591133004</v>
      </c>
      <c r="D43" s="37">
        <f t="shared" si="75"/>
        <v>0.25041050903119871</v>
      </c>
      <c r="E43" s="37">
        <f t="shared" si="75"/>
        <v>0.24651924651924653</v>
      </c>
      <c r="F43" s="37">
        <f t="shared" si="75"/>
        <v>0.30032733224222585</v>
      </c>
      <c r="G43" s="37">
        <f t="shared" si="75"/>
        <v>0.30016447368421051</v>
      </c>
      <c r="H43" s="37">
        <f t="shared" si="75"/>
        <v>0.26694214876033057</v>
      </c>
      <c r="I43" s="37">
        <f t="shared" si="75"/>
        <v>0.26760563380281688</v>
      </c>
      <c r="J43" s="37">
        <f t="shared" si="75"/>
        <v>0.32231404958677684</v>
      </c>
      <c r="K43" s="37">
        <f t="shared" si="75"/>
        <v>0.31920199501246882</v>
      </c>
      <c r="L43" s="37">
        <f t="shared" si="75"/>
        <v>0.34193011647254573</v>
      </c>
      <c r="M43" s="37">
        <f t="shared" si="75"/>
        <v>0.31613976705490848</v>
      </c>
      <c r="N43" s="37">
        <f t="shared" si="75"/>
        <v>0.51537822111388198</v>
      </c>
      <c r="O43" s="37">
        <f t="shared" si="75"/>
        <v>0.42869127516778521</v>
      </c>
      <c r="P43" s="37">
        <f t="shared" si="75"/>
        <v>0.44313395113732096</v>
      </c>
      <c r="Q43" s="37">
        <f t="shared" si="75"/>
        <v>0.36917866215071971</v>
      </c>
      <c r="R43" s="37">
        <f t="shared" si="75"/>
        <v>0.49324324324324326</v>
      </c>
      <c r="S43" s="37">
        <f t="shared" si="75"/>
        <v>0.56959863364645602</v>
      </c>
      <c r="T43" s="37">
        <f t="shared" si="75"/>
        <v>0.70042553191489365</v>
      </c>
      <c r="U43" s="37">
        <f t="shared" si="75"/>
        <v>0.39319148936170212</v>
      </c>
      <c r="V43" s="37">
        <f t="shared" si="75"/>
        <v>0.43185689948892675</v>
      </c>
      <c r="W43" s="37">
        <f t="shared" ref="W43:AQ43" si="76">W41/W42</f>
        <v>7.0886075949367092E-2</v>
      </c>
      <c r="X43" s="37">
        <f t="shared" si="76"/>
        <v>1.2922297297297298</v>
      </c>
      <c r="Y43" s="37">
        <f t="shared" si="76"/>
        <v>0.85798319327731087</v>
      </c>
      <c r="Z43" s="37">
        <f t="shared" si="76"/>
        <v>1.3347529812606473</v>
      </c>
      <c r="AA43" s="37">
        <f t="shared" si="76"/>
        <v>0.92184873949579826</v>
      </c>
      <c r="AB43" s="37">
        <f t="shared" si="76"/>
        <v>0.99831365935919059</v>
      </c>
      <c r="AC43" s="37">
        <f t="shared" si="76"/>
        <v>0.91575400168491994</v>
      </c>
      <c r="AD43" s="37">
        <f t="shared" si="76"/>
        <v>0.68228279386712098</v>
      </c>
      <c r="AE43" s="37">
        <f t="shared" si="76"/>
        <v>0.43766122098022359</v>
      </c>
      <c r="AF43" s="37">
        <f t="shared" si="76"/>
        <v>-0.29447322970639034</v>
      </c>
      <c r="AG43" s="37">
        <f t="shared" si="76"/>
        <v>1.1495246326707</v>
      </c>
      <c r="AH43" s="37">
        <f t="shared" si="76"/>
        <v>0.81432360742705567</v>
      </c>
      <c r="AI43" s="37">
        <f t="shared" si="76"/>
        <v>0.70105820105820105</v>
      </c>
      <c r="AJ43" s="37">
        <f t="shared" si="76"/>
        <v>0.92369838420107719</v>
      </c>
      <c r="AK43" s="37">
        <f t="shared" si="76"/>
        <v>0.92896174863387981</v>
      </c>
      <c r="AL43" s="37">
        <f t="shared" si="76"/>
        <v>1.3090569561157797</v>
      </c>
      <c r="AM43" s="37">
        <f t="shared" si="76"/>
        <v>0.82835820895522383</v>
      </c>
      <c r="AN43" s="37">
        <f t="shared" si="76"/>
        <v>1.0773638968481376</v>
      </c>
      <c r="AO43" s="37">
        <f t="shared" si="76"/>
        <v>0.986328125</v>
      </c>
      <c r="AP43" s="37">
        <f t="shared" si="76"/>
        <v>1.1334681496461072</v>
      </c>
      <c r="AQ43" s="37">
        <f t="shared" si="76"/>
        <v>1.3052738336713996</v>
      </c>
      <c r="AR43" s="37">
        <f t="shared" ref="AR43:AS43" si="77">AR41/AR42</f>
        <v>1.3013415892672859</v>
      </c>
      <c r="AS43" s="37">
        <f t="shared" si="77"/>
        <v>1.3136842105263158</v>
      </c>
      <c r="AT43" s="78">
        <v>1.34</v>
      </c>
      <c r="AU43" s="78">
        <v>1.3</v>
      </c>
      <c r="AV43" s="78">
        <v>1.4</v>
      </c>
      <c r="AW43" s="78">
        <v>1.47</v>
      </c>
      <c r="AX43" s="78">
        <v>1.42</v>
      </c>
      <c r="AY43" s="78">
        <v>1.54</v>
      </c>
      <c r="AZ43" s="78">
        <v>1.56</v>
      </c>
      <c r="BA43" s="78">
        <v>1.67</v>
      </c>
      <c r="BG43" s="37">
        <f t="shared" si="42"/>
        <v>1.0066166937040011</v>
      </c>
      <c r="BH43" s="37">
        <f t="shared" si="43"/>
        <v>1.1570263058341348</v>
      </c>
      <c r="BI43" s="37">
        <f t="shared" si="44"/>
        <v>1.492650099653805</v>
      </c>
      <c r="BJ43" s="37">
        <f t="shared" si="45"/>
        <v>1.7342471316990691</v>
      </c>
      <c r="BK43" s="37">
        <f t="shared" si="46"/>
        <v>2.0950725544119786</v>
      </c>
      <c r="BL43" s="37">
        <f t="shared" si="47"/>
        <v>3.5558519802170552</v>
      </c>
      <c r="BM43" s="37">
        <f t="shared" si="48"/>
        <v>3.5181991944070301</v>
      </c>
      <c r="BN43" s="37">
        <f t="shared" si="49"/>
        <v>2.1070362313715889</v>
      </c>
      <c r="BO43" s="37">
        <f t="shared" si="50"/>
        <v>3.8627752900089378</v>
      </c>
      <c r="BP43" s="37">
        <f t="shared" si="51"/>
        <v>4.0255183804494692</v>
      </c>
    </row>
    <row r="45" spans="2:130">
      <c r="B45" s="1" t="s">
        <v>2076</v>
      </c>
      <c r="W45" s="44">
        <f t="shared" ref="W45:AR45" si="78">W30/W29</f>
        <v>0.37656994369857083</v>
      </c>
      <c r="X45" s="44">
        <f t="shared" si="78"/>
        <v>0.35031362858772097</v>
      </c>
      <c r="Y45" s="44">
        <f t="shared" si="78"/>
        <v>0.37039750870122734</v>
      </c>
      <c r="Z45" s="44">
        <f t="shared" si="78"/>
        <v>0.38096795291039898</v>
      </c>
      <c r="AA45" s="44">
        <f t="shared" si="78"/>
        <v>0.37709265705287587</v>
      </c>
      <c r="AB45" s="44">
        <f t="shared" si="78"/>
        <v>0.40461686437960886</v>
      </c>
      <c r="AC45" s="44">
        <f t="shared" si="78"/>
        <v>0.41475250727919766</v>
      </c>
      <c r="AD45" s="44">
        <f t="shared" si="78"/>
        <v>0.42671292281006074</v>
      </c>
      <c r="AE45" s="44">
        <f t="shared" si="78"/>
        <v>0.43452105506709854</v>
      </c>
      <c r="AF45" s="44">
        <f t="shared" si="78"/>
        <v>0.44725242433147222</v>
      </c>
      <c r="AG45" s="44">
        <f t="shared" si="78"/>
        <v>0.43645924627519722</v>
      </c>
      <c r="AH45" s="44">
        <f t="shared" si="78"/>
        <v>0.45022348638764731</v>
      </c>
      <c r="AI45" s="44">
        <f t="shared" si="78"/>
        <v>0.46633522727272725</v>
      </c>
      <c r="AJ45" s="44">
        <f t="shared" si="78"/>
        <v>0.48593385480993551</v>
      </c>
      <c r="AK45" s="44">
        <f t="shared" si="78"/>
        <v>0.48571043407926667</v>
      </c>
      <c r="AL45" s="44">
        <f t="shared" si="78"/>
        <v>0.49314727136805381</v>
      </c>
      <c r="AM45" s="44">
        <f t="shared" si="78"/>
        <v>0.50876737238602421</v>
      </c>
      <c r="AN45" s="44">
        <f t="shared" si="78"/>
        <v>0.49993658845909955</v>
      </c>
      <c r="AO45" s="44">
        <f t="shared" si="78"/>
        <v>0.48948642793424241</v>
      </c>
      <c r="AP45" s="44">
        <f t="shared" si="78"/>
        <v>0.47776715276117621</v>
      </c>
      <c r="AQ45" s="44">
        <f t="shared" si="78"/>
        <v>0.47542035682197409</v>
      </c>
      <c r="AR45" s="44">
        <f t="shared" si="78"/>
        <v>0.47876447876447875</v>
      </c>
      <c r="AS45" s="44">
        <f t="shared" ref="AS45" si="79">AS30/AS29</f>
        <v>0.48271355589877629</v>
      </c>
      <c r="BL45" s="44">
        <f>BL30/BL29</f>
        <v>0.36981448680898665</v>
      </c>
      <c r="BM45" s="44">
        <f t="shared" ref="BM45:BP45" si="80">BM30/BM29</f>
        <v>0.40656655236293404</v>
      </c>
      <c r="BN45" s="44">
        <f t="shared" si="80"/>
        <v>0.4423649974562105</v>
      </c>
      <c r="BO45" s="44">
        <f t="shared" si="80"/>
        <v>0.48318833764401597</v>
      </c>
      <c r="BP45" s="44">
        <f t="shared" si="80"/>
        <v>0.49366292417523666</v>
      </c>
      <c r="BQ45" s="59">
        <v>0.48</v>
      </c>
      <c r="BR45" s="59">
        <v>0.48499999999999999</v>
      </c>
      <c r="BS45" s="59">
        <v>0.49</v>
      </c>
      <c r="BT45" s="59">
        <v>0.495</v>
      </c>
      <c r="BU45" s="59">
        <v>0.5</v>
      </c>
      <c r="BV45" s="59">
        <v>0.51</v>
      </c>
      <c r="BW45" s="59">
        <v>0.52</v>
      </c>
      <c r="BX45" s="59">
        <v>0.53</v>
      </c>
      <c r="BY45" s="59">
        <v>0.54</v>
      </c>
      <c r="BZ45" s="59">
        <v>0.55000000000000004</v>
      </c>
    </row>
    <row r="46" spans="2:130">
      <c r="B46" s="1" t="s">
        <v>2077</v>
      </c>
      <c r="W46" s="44">
        <f t="shared" ref="W46:AR46" si="81">W31/W29</f>
        <v>0.12797747942832394</v>
      </c>
      <c r="X46" s="44">
        <f t="shared" si="81"/>
        <v>8.3634290058924157E-2</v>
      </c>
      <c r="Y46" s="44">
        <f t="shared" si="81"/>
        <v>6.3015204249862608E-2</v>
      </c>
      <c r="Z46" s="44">
        <f t="shared" si="81"/>
        <v>5.984303466317855E-2</v>
      </c>
      <c r="AA46" s="44">
        <f t="shared" si="81"/>
        <v>4.5251118846345105E-2</v>
      </c>
      <c r="AB46" s="44">
        <f t="shared" si="81"/>
        <v>2.709201667201026E-2</v>
      </c>
      <c r="AC46" s="44">
        <f t="shared" si="81"/>
        <v>4.335166612746684E-2</v>
      </c>
      <c r="AD46" s="44">
        <f t="shared" si="81"/>
        <v>5.0592656837236197E-2</v>
      </c>
      <c r="AE46" s="44">
        <f t="shared" si="81"/>
        <v>5.6918093475242945E-2</v>
      </c>
      <c r="AF46" s="44">
        <f t="shared" si="81"/>
        <v>6.5824272700558337E-2</v>
      </c>
      <c r="AG46" s="44">
        <f t="shared" si="81"/>
        <v>5.3607946245983057E-2</v>
      </c>
      <c r="AH46" s="44">
        <f t="shared" si="81"/>
        <v>5.255316267100095E-2</v>
      </c>
      <c r="AI46" s="44">
        <f t="shared" si="81"/>
        <v>6.2784090909090914E-2</v>
      </c>
      <c r="AJ46" s="44">
        <f t="shared" si="81"/>
        <v>5.4617812542884586E-2</v>
      </c>
      <c r="AK46" s="44">
        <f t="shared" si="81"/>
        <v>6.0124022647613913E-2</v>
      </c>
      <c r="AL46" s="44">
        <f t="shared" si="81"/>
        <v>4.9339646150012462E-2</v>
      </c>
      <c r="AM46" s="44">
        <f t="shared" si="81"/>
        <v>4.1693726457981556E-2</v>
      </c>
      <c r="AN46" s="44">
        <f t="shared" si="81"/>
        <v>4.2485732403297401E-2</v>
      </c>
      <c r="AO46" s="44">
        <f t="shared" si="81"/>
        <v>4.4857907480565819E-2</v>
      </c>
      <c r="AP46" s="44">
        <f t="shared" si="81"/>
        <v>5.1876643557255561E-2</v>
      </c>
      <c r="AQ46" s="44">
        <f t="shared" si="81"/>
        <v>4.7619047619047616E-2</v>
      </c>
      <c r="AR46" s="44">
        <f t="shared" si="81"/>
        <v>5.7432432432432436E-2</v>
      </c>
      <c r="AS46" s="44">
        <f t="shared" ref="AS46" si="82">AS31/AS29</f>
        <v>5.7383865985505524E-2</v>
      </c>
      <c r="BL46" s="44">
        <f>BL31/BL29</f>
        <v>8.1150368229700759E-2</v>
      </c>
      <c r="BM46" s="44">
        <f t="shared" ref="BM46:BP46" si="83">BM31/BM29</f>
        <v>4.1779985022269518E-2</v>
      </c>
      <c r="BN46" s="44">
        <f t="shared" si="83"/>
        <v>5.7126244639872086E-2</v>
      </c>
      <c r="BO46" s="44">
        <f t="shared" si="83"/>
        <v>5.6497934231298917E-2</v>
      </c>
      <c r="BP46" s="44">
        <f t="shared" si="83"/>
        <v>4.5350190269522285E-2</v>
      </c>
      <c r="BQ46" s="59">
        <v>5.2999999999999999E-2</v>
      </c>
      <c r="BR46" s="59">
        <v>5.5E-2</v>
      </c>
      <c r="BS46" s="59">
        <v>0.06</v>
      </c>
      <c r="BT46" s="59">
        <v>0.05</v>
      </c>
      <c r="BU46" s="59">
        <v>4.5350190269522285E-2</v>
      </c>
      <c r="BV46" s="59">
        <v>4.2500000000000003E-2</v>
      </c>
      <c r="BW46" s="59">
        <v>4.2000000000000003E-2</v>
      </c>
      <c r="BX46" s="59">
        <v>4.1000000000000002E-2</v>
      </c>
      <c r="BY46" s="59">
        <v>0.04</v>
      </c>
      <c r="BZ46" s="59">
        <v>0.04</v>
      </c>
    </row>
    <row r="47" spans="2:130">
      <c r="B47" s="1" t="s">
        <v>2078</v>
      </c>
      <c r="W47" s="44">
        <f t="shared" ref="W47:AR47" si="84">W32/W29</f>
        <v>8.6401039411000427E-2</v>
      </c>
      <c r="X47" s="44">
        <f t="shared" si="84"/>
        <v>8.0402965215738448E-2</v>
      </c>
      <c r="Y47" s="44">
        <f t="shared" si="84"/>
        <v>8.2249496244733461E-2</v>
      </c>
      <c r="Z47" s="44">
        <f t="shared" si="84"/>
        <v>8.2897318508829296E-2</v>
      </c>
      <c r="AA47" s="44">
        <f t="shared" si="84"/>
        <v>8.5861097298193273E-2</v>
      </c>
      <c r="AB47" s="44">
        <f t="shared" si="84"/>
        <v>8.3520359089451754E-2</v>
      </c>
      <c r="AC47" s="44">
        <f t="shared" si="84"/>
        <v>8.1527013911355542E-2</v>
      </c>
      <c r="AD47" s="44">
        <f t="shared" si="84"/>
        <v>7.6900838392599022E-2</v>
      </c>
      <c r="AE47" s="44">
        <f t="shared" si="84"/>
        <v>8.2369273484497921E-2</v>
      </c>
      <c r="AF47" s="44">
        <f t="shared" si="84"/>
        <v>7.8754040552453719E-2</v>
      </c>
      <c r="AG47" s="44">
        <f t="shared" si="84"/>
        <v>7.4349985392930182E-2</v>
      </c>
      <c r="AH47" s="44">
        <f t="shared" si="84"/>
        <v>7.3276445889204928E-2</v>
      </c>
      <c r="AI47" s="44">
        <f t="shared" si="84"/>
        <v>6.931818181818182E-2</v>
      </c>
      <c r="AJ47" s="44">
        <f t="shared" si="84"/>
        <v>6.7517496912309599E-2</v>
      </c>
      <c r="AK47" s="44">
        <f t="shared" si="84"/>
        <v>6.3898624966298195E-2</v>
      </c>
      <c r="AL47" s="44">
        <f t="shared" si="84"/>
        <v>5.7936705706454025E-2</v>
      </c>
      <c r="AM47" s="44">
        <f t="shared" si="84"/>
        <v>5.8968697233406933E-2</v>
      </c>
      <c r="AN47" s="44">
        <f t="shared" si="84"/>
        <v>5.5294863665187065E-2</v>
      </c>
      <c r="AO47" s="44">
        <f t="shared" si="84"/>
        <v>5.4415700267618196E-2</v>
      </c>
      <c r="AP47" s="44">
        <f t="shared" si="84"/>
        <v>5.3908677982309347E-2</v>
      </c>
      <c r="AQ47" s="44">
        <f t="shared" si="84"/>
        <v>5.1084584777307152E-2</v>
      </c>
      <c r="AR47" s="44">
        <f t="shared" si="84"/>
        <v>4.9831081081081079E-2</v>
      </c>
      <c r="AS47" s="44">
        <f t="shared" ref="AS47" si="85">AS32/AS29</f>
        <v>5.3106807651182128E-2</v>
      </c>
      <c r="BL47" s="44">
        <f>BL32/BL29</f>
        <v>8.2874988347161366E-2</v>
      </c>
      <c r="BM47" s="44">
        <f t="shared" ref="BM47:BP47" si="86">BM32/BM29</f>
        <v>8.1786291435103076E-2</v>
      </c>
      <c r="BN47" s="44">
        <f t="shared" si="86"/>
        <v>7.7040482593211709E-2</v>
      </c>
      <c r="BO47" s="44">
        <f t="shared" si="86"/>
        <v>6.4458701420845796E-2</v>
      </c>
      <c r="BP47" s="44">
        <f t="shared" si="86"/>
        <v>5.560272981727836E-2</v>
      </c>
      <c r="BQ47" s="59">
        <v>5.1999999999999998E-2</v>
      </c>
      <c r="BR47" s="59">
        <v>0.05</v>
      </c>
      <c r="BS47" s="59">
        <v>4.9000000000000002E-2</v>
      </c>
      <c r="BT47" s="59">
        <v>4.8000000000000001E-2</v>
      </c>
      <c r="BU47" s="59">
        <v>4.7E-2</v>
      </c>
      <c r="BV47" s="59">
        <v>4.5999999999999999E-2</v>
      </c>
      <c r="BW47" s="59">
        <v>4.4999999999999998E-2</v>
      </c>
      <c r="BX47" s="59">
        <v>4.4999999999999998E-2</v>
      </c>
      <c r="BY47" s="59">
        <v>4.4999999999999998E-2</v>
      </c>
      <c r="BZ47" s="59">
        <v>4.4999999999999998E-2</v>
      </c>
    </row>
    <row r="48" spans="2:130">
      <c r="B48" s="35" t="s">
        <v>99</v>
      </c>
      <c r="C48" s="44">
        <f t="shared" ref="C48:V48" si="87">C34/C29</f>
        <v>8.6569957884885348E-2</v>
      </c>
      <c r="D48" s="44">
        <f t="shared" si="87"/>
        <v>8.7940792337831961E-2</v>
      </c>
      <c r="E48" s="44">
        <f t="shared" si="87"/>
        <v>8.7245349867139055E-2</v>
      </c>
      <c r="F48" s="44">
        <f t="shared" si="87"/>
        <v>8.1377151799687006E-2</v>
      </c>
      <c r="G48" s="44">
        <f t="shared" si="87"/>
        <v>7.6650943396226412E-2</v>
      </c>
      <c r="H48" s="44">
        <f t="shared" si="87"/>
        <v>7.886792452830188E-2</v>
      </c>
      <c r="I48" s="44">
        <f t="shared" si="87"/>
        <v>8.0614923134608177E-2</v>
      </c>
      <c r="J48" s="44">
        <f t="shared" si="87"/>
        <v>7.2123448507212348E-2</v>
      </c>
      <c r="K48" s="44">
        <f t="shared" si="87"/>
        <v>7.1932773109243703E-2</v>
      </c>
      <c r="L48" s="44">
        <f t="shared" si="87"/>
        <v>7.3979591836734693E-2</v>
      </c>
      <c r="M48" s="44">
        <f t="shared" si="87"/>
        <v>7.4096943501080578E-2</v>
      </c>
      <c r="N48" s="44">
        <f t="shared" si="87"/>
        <v>0.28151709401709402</v>
      </c>
      <c r="O48" s="44">
        <f t="shared" si="87"/>
        <v>0.12157394843962008</v>
      </c>
      <c r="P48" s="44">
        <f t="shared" si="87"/>
        <v>0.11433756805807622</v>
      </c>
      <c r="Q48" s="44">
        <f t="shared" si="87"/>
        <v>0.12272603855552539</v>
      </c>
      <c r="R48" s="44">
        <f t="shared" si="87"/>
        <v>0.1159488878371983</v>
      </c>
      <c r="S48" s="44">
        <f t="shared" si="87"/>
        <v>0.12378875968992248</v>
      </c>
      <c r="T48" s="44">
        <f t="shared" si="87"/>
        <v>0.11219512195121951</v>
      </c>
      <c r="U48" s="44">
        <f t="shared" si="87"/>
        <v>0.12174508908177249</v>
      </c>
      <c r="V48" s="44">
        <f t="shared" si="87"/>
        <v>0.11247732312033865</v>
      </c>
      <c r="W48" s="44">
        <f t="shared" ref="W48:AP48" si="88">W34/W29</f>
        <v>0.13100909484625378</v>
      </c>
      <c r="X48" s="44">
        <f t="shared" si="88"/>
        <v>0.11993917506177533</v>
      </c>
      <c r="Y48" s="44">
        <f t="shared" si="88"/>
        <v>0.12346583623374244</v>
      </c>
      <c r="Z48" s="44">
        <f t="shared" si="88"/>
        <v>0.1196860693263571</v>
      </c>
      <c r="AA48" s="44">
        <f t="shared" si="88"/>
        <v>0.12282446544007956</v>
      </c>
      <c r="AB48" s="44">
        <f t="shared" si="88"/>
        <v>0.11958961205514589</v>
      </c>
      <c r="AC48" s="44">
        <f t="shared" si="88"/>
        <v>0.1221287609187965</v>
      </c>
      <c r="AD48" s="44">
        <f t="shared" si="88"/>
        <v>0.11506215669268574</v>
      </c>
      <c r="AE48" s="44">
        <f t="shared" si="88"/>
        <v>0.12571340428813821</v>
      </c>
      <c r="AF48" s="44">
        <f t="shared" si="88"/>
        <v>0.1197472818101675</v>
      </c>
      <c r="AG48" s="44">
        <f t="shared" si="88"/>
        <v>0.11700262927256792</v>
      </c>
      <c r="AH48" s="44">
        <f t="shared" si="88"/>
        <v>0.11133685493701748</v>
      </c>
      <c r="AI48" s="44">
        <f t="shared" si="88"/>
        <v>0.10241477272727273</v>
      </c>
      <c r="AJ48" s="44">
        <f t="shared" si="88"/>
        <v>0.10196239879236997</v>
      </c>
      <c r="AK48" s="44">
        <f t="shared" si="88"/>
        <v>9.9622539768131568E-2</v>
      </c>
      <c r="AL48" s="44">
        <f t="shared" si="88"/>
        <v>9.5938200847246455E-2</v>
      </c>
      <c r="AM48" s="44">
        <f t="shared" si="88"/>
        <v>9.6376152747110019E-2</v>
      </c>
      <c r="AN48" s="44">
        <f t="shared" si="88"/>
        <v>9.105897273303741E-2</v>
      </c>
      <c r="AO48" s="44">
        <f t="shared" si="88"/>
        <v>9.5068178921880978E-2</v>
      </c>
      <c r="AP48" s="44">
        <f t="shared" si="88"/>
        <v>9.239780062156347E-2</v>
      </c>
      <c r="AQ48" s="44">
        <f>AQ34/AQ29</f>
        <v>9.3826209729174687E-2</v>
      </c>
      <c r="AR48" s="44">
        <f>AR34/AR29</f>
        <v>9.2543436293436296E-2</v>
      </c>
      <c r="AS48" s="44">
        <f>AS34/AS29</f>
        <v>9.5164547938695498E-2</v>
      </c>
      <c r="BL48" s="44">
        <f t="shared" ref="BL48:BO48" si="89">BL34/BL29</f>
        <v>0.12314719865759299</v>
      </c>
      <c r="BM48" s="44">
        <f t="shared" si="89"/>
        <v>0.11974301367703283</v>
      </c>
      <c r="BN48" s="44">
        <f t="shared" si="89"/>
        <v>0.1182135329602442</v>
      </c>
      <c r="BO48" s="44">
        <f t="shared" si="89"/>
        <v>9.9862282086594339E-2</v>
      </c>
      <c r="BP48" s="44">
        <f>BP34/BP29</f>
        <v>9.3688083781488823E-2</v>
      </c>
      <c r="BQ48" s="59">
        <v>9.4E-2</v>
      </c>
      <c r="BR48" s="59">
        <v>9.5000000000000001E-2</v>
      </c>
      <c r="BS48" s="59">
        <v>9.8000000000000004E-2</v>
      </c>
      <c r="BT48" s="59">
        <v>0.10199999999999999</v>
      </c>
      <c r="BU48" s="59">
        <v>0.105</v>
      </c>
      <c r="BV48" s="59">
        <v>0.105</v>
      </c>
      <c r="BW48" s="59">
        <v>0.105</v>
      </c>
      <c r="BX48" s="59">
        <v>0.105</v>
      </c>
      <c r="BY48" s="59">
        <v>0.105</v>
      </c>
      <c r="BZ48" s="59">
        <v>0.105</v>
      </c>
    </row>
    <row r="49" spans="2:79">
      <c r="B49" s="35" t="s">
        <v>100</v>
      </c>
      <c r="C49" s="44">
        <f t="shared" ref="C49:V49" si="90">(C35+C33)/C29</f>
        <v>0.76275152082358444</v>
      </c>
      <c r="D49" s="44">
        <f t="shared" si="90"/>
        <v>0.73878972572921198</v>
      </c>
      <c r="E49" s="44">
        <f t="shared" si="90"/>
        <v>0.76660761736049599</v>
      </c>
      <c r="F49" s="44">
        <f t="shared" si="90"/>
        <v>0.75782472613458529</v>
      </c>
      <c r="G49" s="44">
        <f t="shared" si="90"/>
        <v>0.76336477987421381</v>
      </c>
      <c r="H49" s="44">
        <f t="shared" si="90"/>
        <v>0.78113207547169816</v>
      </c>
      <c r="I49" s="44">
        <f t="shared" si="90"/>
        <v>0.78890138732658421</v>
      </c>
      <c r="J49" s="44">
        <f t="shared" si="90"/>
        <v>0.77356591747735659</v>
      </c>
      <c r="K49" s="44">
        <f t="shared" si="90"/>
        <v>0.78319327731092436</v>
      </c>
      <c r="L49" s="44">
        <f t="shared" si="90"/>
        <v>0.78890306122448983</v>
      </c>
      <c r="M49" s="44">
        <f t="shared" si="90"/>
        <v>0.79530719357826485</v>
      </c>
      <c r="N49" s="44">
        <f t="shared" si="90"/>
        <v>0.4933226495726496</v>
      </c>
      <c r="O49" s="44">
        <f t="shared" si="90"/>
        <v>0.73351424694708278</v>
      </c>
      <c r="P49" s="44">
        <f t="shared" si="90"/>
        <v>0.73736064298677728</v>
      </c>
      <c r="Q49" s="44">
        <f t="shared" si="90"/>
        <v>0.74423024708118379</v>
      </c>
      <c r="R49" s="44">
        <f t="shared" si="90"/>
        <v>0.74254614292475152</v>
      </c>
      <c r="S49" s="44">
        <f t="shared" si="90"/>
        <v>0.75072674418604646</v>
      </c>
      <c r="T49" s="44">
        <f t="shared" si="90"/>
        <v>0.72404181184668992</v>
      </c>
      <c r="U49" s="44">
        <f t="shared" si="90"/>
        <v>0.71904979442667882</v>
      </c>
      <c r="V49" s="44">
        <f t="shared" si="90"/>
        <v>0.7264664382181012</v>
      </c>
      <c r="W49" s="44">
        <f t="shared" ref="W49:AP49" si="91">(W35+W33)/W29</f>
        <v>0.18557817236899091</v>
      </c>
      <c r="X49" s="44">
        <f t="shared" si="91"/>
        <v>0.17601216498764494</v>
      </c>
      <c r="Y49" s="44">
        <f t="shared" si="91"/>
        <v>0.17842095621908774</v>
      </c>
      <c r="Z49" s="44">
        <f t="shared" si="91"/>
        <v>0.1919555264879006</v>
      </c>
      <c r="AA49" s="44">
        <f t="shared" si="91"/>
        <v>0.18664014586441241</v>
      </c>
      <c r="AB49" s="44">
        <f t="shared" si="91"/>
        <v>0.18435395960243667</v>
      </c>
      <c r="AC49" s="44">
        <f t="shared" si="91"/>
        <v>0.16936266580394693</v>
      </c>
      <c r="AD49" s="44">
        <f t="shared" si="91"/>
        <v>0.17866435385949697</v>
      </c>
      <c r="AE49" s="44">
        <f t="shared" si="91"/>
        <v>0.18525374055221347</v>
      </c>
      <c r="AF49" s="44">
        <f t="shared" si="91"/>
        <v>0.1629444607699089</v>
      </c>
      <c r="AG49" s="44">
        <f t="shared" si="91"/>
        <v>0.14709319310546304</v>
      </c>
      <c r="AH49" s="44">
        <f t="shared" si="91"/>
        <v>0.14072870107002575</v>
      </c>
      <c r="AI49" s="44">
        <f t="shared" si="91"/>
        <v>0.13394886363636363</v>
      </c>
      <c r="AJ49" s="44">
        <f t="shared" si="91"/>
        <v>0.1311925346507479</v>
      </c>
      <c r="AK49" s="44">
        <f t="shared" si="91"/>
        <v>0.1279320571582637</v>
      </c>
      <c r="AL49" s="44">
        <f t="shared" si="91"/>
        <v>0.12708696735609271</v>
      </c>
      <c r="AM49" s="44">
        <f t="shared" si="91"/>
        <v>0.11494999350565008</v>
      </c>
      <c r="AN49" s="44">
        <f t="shared" si="91"/>
        <v>0.12885225110970197</v>
      </c>
      <c r="AO49" s="44">
        <f t="shared" si="91"/>
        <v>0.13087804256403721</v>
      </c>
      <c r="AP49" s="44">
        <f t="shared" si="91"/>
        <v>0.14582835285680135</v>
      </c>
      <c r="AQ49" s="44">
        <f>(AQ35+AQ33)/AQ29</f>
        <v>0.12719804903093312</v>
      </c>
      <c r="AR49" s="44">
        <f>(AR35+AR33)/AR29</f>
        <v>0.12596525096525096</v>
      </c>
      <c r="AS49" s="44">
        <f>(AS35+AS33)/AS29</f>
        <v>0.12284661993584413</v>
      </c>
      <c r="BL49" s="44">
        <f>(BL35+BL33)/BL29</f>
        <v>0.18322923464155869</v>
      </c>
      <c r="BM49" s="44">
        <f t="shared" ref="BM49:BO49" si="92">(BM35+BM33)/BM29</f>
        <v>0.17969335067596862</v>
      </c>
      <c r="BN49" s="44">
        <f t="shared" si="92"/>
        <v>0.15829638781888219</v>
      </c>
      <c r="BO49" s="44">
        <f t="shared" si="92"/>
        <v>0.12992509489100132</v>
      </c>
      <c r="BP49" s="44">
        <f>(BP35+BP33)/BP29</f>
        <v>0.13045255841746076</v>
      </c>
      <c r="BQ49" s="59">
        <v>0.124</v>
      </c>
      <c r="BR49" s="59">
        <v>0.125</v>
      </c>
      <c r="BS49" s="59">
        <v>0.12</v>
      </c>
      <c r="BT49" s="59">
        <v>0.11799999999999999</v>
      </c>
      <c r="BU49" s="59">
        <v>0.115</v>
      </c>
      <c r="BV49" s="59">
        <v>0.115</v>
      </c>
      <c r="BW49" s="59">
        <v>0.1125</v>
      </c>
      <c r="BX49" s="59">
        <v>0.11</v>
      </c>
      <c r="BY49" s="59">
        <v>0.1</v>
      </c>
      <c r="BZ49" s="59">
        <v>0.1</v>
      </c>
    </row>
    <row r="50" spans="2:79">
      <c r="B50" s="35" t="s">
        <v>101</v>
      </c>
      <c r="C50" s="44">
        <f t="shared" ref="C50:V50" si="93">C37/C29</f>
        <v>0.15067852129153017</v>
      </c>
      <c r="D50" s="44">
        <f t="shared" si="93"/>
        <v>0.17326948193295602</v>
      </c>
      <c r="E50" s="44">
        <f t="shared" si="93"/>
        <v>0.14614703277236493</v>
      </c>
      <c r="F50" s="44">
        <f t="shared" si="93"/>
        <v>0.16079812206572769</v>
      </c>
      <c r="G50" s="44">
        <f t="shared" si="93"/>
        <v>0.15998427672955975</v>
      </c>
      <c r="H50" s="44">
        <f t="shared" si="93"/>
        <v>0.14000000000000001</v>
      </c>
      <c r="I50" s="44">
        <f t="shared" si="93"/>
        <v>0.13048368953880765</v>
      </c>
      <c r="J50" s="44">
        <f t="shared" si="93"/>
        <v>0.15431063401543108</v>
      </c>
      <c r="K50" s="44">
        <f t="shared" si="93"/>
        <v>0.14487394957983193</v>
      </c>
      <c r="L50" s="44">
        <f t="shared" si="93"/>
        <v>0.1371173469387755</v>
      </c>
      <c r="M50" s="44">
        <f t="shared" si="93"/>
        <v>0.13059586292065453</v>
      </c>
      <c r="N50" s="44">
        <f t="shared" si="93"/>
        <v>0.22516025641025642</v>
      </c>
      <c r="O50" s="44">
        <f t="shared" si="93"/>
        <v>0.14491180461329714</v>
      </c>
      <c r="P50" s="44">
        <f t="shared" si="93"/>
        <v>0.14830178895514648</v>
      </c>
      <c r="Q50" s="44">
        <f t="shared" si="93"/>
        <v>0.13304371436329079</v>
      </c>
      <c r="R50" s="44">
        <f t="shared" si="93"/>
        <v>0.14150496923805017</v>
      </c>
      <c r="S50" s="44">
        <f t="shared" si="93"/>
        <v>0.12548449612403101</v>
      </c>
      <c r="T50" s="44">
        <f t="shared" si="93"/>
        <v>0.16376306620209058</v>
      </c>
      <c r="U50" s="44">
        <f t="shared" si="93"/>
        <v>0.15920511649154864</v>
      </c>
      <c r="V50" s="44">
        <f t="shared" si="93"/>
        <v>0.16105623866156016</v>
      </c>
      <c r="W50" s="44">
        <f t="shared" ref="W50:AP50" si="94">W37/W29</f>
        <v>8.6184495452576879E-2</v>
      </c>
      <c r="X50" s="44">
        <f t="shared" si="94"/>
        <v>0.18076411328644745</v>
      </c>
      <c r="Y50" s="44">
        <f t="shared" si="94"/>
        <v>0.17897050741894119</v>
      </c>
      <c r="Z50" s="44">
        <f t="shared" si="94"/>
        <v>0.15745585349901897</v>
      </c>
      <c r="AA50" s="44">
        <f t="shared" si="94"/>
        <v>0.17271672468092159</v>
      </c>
      <c r="AB50" s="44">
        <f t="shared" si="94"/>
        <v>0.18066688041038795</v>
      </c>
      <c r="AC50" s="44">
        <f t="shared" si="94"/>
        <v>0.16871562601099968</v>
      </c>
      <c r="AD50" s="44">
        <f t="shared" si="94"/>
        <v>0.15177797051170858</v>
      </c>
      <c r="AE50" s="44">
        <f t="shared" si="94"/>
        <v>0.10967144840351689</v>
      </c>
      <c r="AF50" s="44">
        <f t="shared" si="94"/>
        <v>0.11225389362327358</v>
      </c>
      <c r="AG50" s="44">
        <f t="shared" si="94"/>
        <v>0.16330704060765411</v>
      </c>
      <c r="AH50" s="44">
        <f t="shared" si="94"/>
        <v>0.1684951916565082</v>
      </c>
      <c r="AI50" s="44">
        <f t="shared" si="94"/>
        <v>0.14190340909090909</v>
      </c>
      <c r="AJ50" s="44">
        <f t="shared" si="94"/>
        <v>0.15548236585700562</v>
      </c>
      <c r="AK50" s="44">
        <f t="shared" si="94"/>
        <v>0.15745483957940146</v>
      </c>
      <c r="AL50" s="44">
        <f t="shared" si="94"/>
        <v>0.21530027410914529</v>
      </c>
      <c r="AM50" s="44">
        <f t="shared" si="94"/>
        <v>0.15170801402779582</v>
      </c>
      <c r="AN50" s="44">
        <f t="shared" si="94"/>
        <v>0.16804058338617628</v>
      </c>
      <c r="AO50" s="44">
        <f t="shared" si="94"/>
        <v>0.17726519689053141</v>
      </c>
      <c r="AP50" s="44">
        <f t="shared" si="94"/>
        <v>0.17224480038250059</v>
      </c>
      <c r="AQ50" s="44">
        <f>AQ37/AQ29</f>
        <v>0.19638043896804006</v>
      </c>
      <c r="AR50" s="44">
        <f>AR37/AR29</f>
        <v>0.18146718146718147</v>
      </c>
      <c r="AS50" s="44">
        <f>AS37/AS29</f>
        <v>0.18058690744920994</v>
      </c>
      <c r="BL50" s="44">
        <f t="shared" ref="BL50:BO50" si="95">BL37/BL29</f>
        <v>0.15330474503589075</v>
      </c>
      <c r="BM50" s="44">
        <f t="shared" si="95"/>
        <v>0.16798707185369122</v>
      </c>
      <c r="BN50" s="44">
        <f t="shared" si="95"/>
        <v>0.13943600552365723</v>
      </c>
      <c r="BO50" s="44">
        <f t="shared" si="95"/>
        <v>0.16888918746431092</v>
      </c>
      <c r="BP50" s="44">
        <f>BP37/BP29</f>
        <v>0.16746862911595434</v>
      </c>
      <c r="BQ50" s="59">
        <v>0.16500000000000001</v>
      </c>
      <c r="BR50" s="59">
        <f t="shared" ref="BR50:BZ50" si="96">BR37/BR29</f>
        <v>0.14499999999999996</v>
      </c>
      <c r="BS50" s="59">
        <f t="shared" si="96"/>
        <v>0.13400000000000001</v>
      </c>
      <c r="BT50" s="59">
        <f t="shared" si="96"/>
        <v>0.13300000000000017</v>
      </c>
      <c r="BU50" s="59">
        <f t="shared" si="96"/>
        <v>0.12964980973047777</v>
      </c>
      <c r="BV50" s="59">
        <f t="shared" si="96"/>
        <v>0.1225</v>
      </c>
      <c r="BW50" s="59">
        <f t="shared" si="96"/>
        <v>0.11550000000000005</v>
      </c>
      <c r="BX50" s="59">
        <f t="shared" si="96"/>
        <v>0.10899999999999982</v>
      </c>
      <c r="BY50" s="59">
        <f t="shared" si="96"/>
        <v>0.10999999999999999</v>
      </c>
      <c r="BZ50" s="59">
        <f t="shared" si="96"/>
        <v>0.10000000000000002</v>
      </c>
    </row>
    <row r="51" spans="2:79">
      <c r="B51" s="35" t="s">
        <v>102</v>
      </c>
      <c r="C51" s="44">
        <f t="shared" ref="C51:V51" si="97">C40/C39</f>
        <v>0.20560747663551401</v>
      </c>
      <c r="D51" s="44">
        <f t="shared" si="97"/>
        <v>0.23558897243107768</v>
      </c>
      <c r="E51" s="44">
        <f t="shared" si="97"/>
        <v>0.14000000000000001</v>
      </c>
      <c r="F51" s="44">
        <f t="shared" si="97"/>
        <v>0.12200956937799043</v>
      </c>
      <c r="G51" s="44">
        <f t="shared" si="97"/>
        <v>0.13507109004739337</v>
      </c>
      <c r="H51" s="44">
        <f t="shared" si="97"/>
        <v>0.15</v>
      </c>
      <c r="I51" s="44">
        <f t="shared" si="97"/>
        <v>0.10277777777777777</v>
      </c>
      <c r="J51" s="44">
        <f t="shared" si="97"/>
        <v>0.16844349680170576</v>
      </c>
      <c r="K51" s="44">
        <f t="shared" si="97"/>
        <v>0.12328767123287671</v>
      </c>
      <c r="L51" s="44">
        <f t="shared" si="97"/>
        <v>8.0536912751677847E-2</v>
      </c>
      <c r="M51" s="44">
        <f t="shared" si="97"/>
        <v>0.1574279379157428</v>
      </c>
      <c r="N51" s="44">
        <f t="shared" si="97"/>
        <v>0.28240740740740738</v>
      </c>
      <c r="O51" s="44">
        <f t="shared" si="97"/>
        <v>6.7518248175182483E-2</v>
      </c>
      <c r="P51" s="44">
        <f t="shared" si="97"/>
        <v>0.13628899835796388</v>
      </c>
      <c r="Q51" s="44">
        <f t="shared" si="97"/>
        <v>0.18198874296435272</v>
      </c>
      <c r="R51" s="44">
        <f t="shared" si="97"/>
        <v>0.14868804664723032</v>
      </c>
      <c r="S51" s="44">
        <f t="shared" si="97"/>
        <v>6.9735006973500699E-2</v>
      </c>
      <c r="T51" s="44">
        <f t="shared" si="97"/>
        <v>0.12725344644750794</v>
      </c>
      <c r="U51" s="44">
        <f t="shared" si="97"/>
        <v>4.5454545454545456E-2</v>
      </c>
      <c r="V51" s="44">
        <f t="shared" si="97"/>
        <v>0.40632318501170961</v>
      </c>
      <c r="W51" s="44">
        <f t="shared" ref="W51:AP51" si="98">W40/W39</f>
        <v>0.68060836501901145</v>
      </c>
      <c r="X51" s="44">
        <f t="shared" si="98"/>
        <v>0.14952751528627015</v>
      </c>
      <c r="Y51" s="44">
        <f t="shared" si="98"/>
        <v>0.10751748251748251</v>
      </c>
      <c r="Z51" s="44">
        <f t="shared" si="98"/>
        <v>0.15707369553523401</v>
      </c>
      <c r="AA51" s="44">
        <f t="shared" si="98"/>
        <v>-0.2580275229357798</v>
      </c>
      <c r="AB51" s="44">
        <f t="shared" si="98"/>
        <v>0.12684365781710916</v>
      </c>
      <c r="AC51" s="44">
        <f t="shared" si="98"/>
        <v>6.6952789699570817E-2</v>
      </c>
      <c r="AD51" s="44">
        <f t="shared" si="98"/>
        <v>-0.13456090651558072</v>
      </c>
      <c r="AE51" s="44">
        <f t="shared" si="98"/>
        <v>0.19077901430842609</v>
      </c>
      <c r="AF51" s="44">
        <f t="shared" si="98"/>
        <v>7.9591836734693882</v>
      </c>
      <c r="AG51" s="44">
        <f t="shared" si="98"/>
        <v>0.15716096324461343</v>
      </c>
      <c r="AH51" s="44">
        <f t="shared" si="98"/>
        <v>0.17027027027027028</v>
      </c>
      <c r="AI51" s="44">
        <f t="shared" si="98"/>
        <v>0.25977653631284914</v>
      </c>
      <c r="AJ51" s="44">
        <f t="shared" si="98"/>
        <v>0.21028396009209516</v>
      </c>
      <c r="AK51" s="44">
        <f t="shared" si="98"/>
        <v>0.17808219178082191</v>
      </c>
      <c r="AL51" s="44">
        <f t="shared" si="98"/>
        <v>0.2180702732849972</v>
      </c>
      <c r="AM51" s="44">
        <f t="shared" si="98"/>
        <v>0.26550868486352358</v>
      </c>
      <c r="AN51" s="44">
        <f t="shared" si="98"/>
        <v>0.1937097927090779</v>
      </c>
      <c r="AO51" s="44">
        <f t="shared" si="98"/>
        <v>0.2295957284515637</v>
      </c>
      <c r="AP51" s="44">
        <f t="shared" si="98"/>
        <v>0.20496453900709219</v>
      </c>
      <c r="AQ51" s="44">
        <f>AQ40/AQ39</f>
        <v>0.19713038053649407</v>
      </c>
      <c r="AR51" s="44">
        <f>AR40/AR39</f>
        <v>0.17527795945062133</v>
      </c>
      <c r="AS51" s="44">
        <f>AS40/AS39</f>
        <v>0.18590998043052837</v>
      </c>
      <c r="BL51" s="44">
        <f t="shared" ref="BL51:BO51" si="99">BL40/BL39</f>
        <v>0.17038499506416585</v>
      </c>
      <c r="BM51" s="44">
        <f t="shared" si="99"/>
        <v>-1.7077335935594046E-2</v>
      </c>
      <c r="BN51" s="44">
        <f t="shared" si="99"/>
        <v>0.28134284016636957</v>
      </c>
      <c r="BO51" s="44">
        <f t="shared" si="99"/>
        <v>0.21530216226205878</v>
      </c>
      <c r="BP51" s="44">
        <f>BP40/BP39</f>
        <v>0.22180521673860012</v>
      </c>
      <c r="BQ51" s="59">
        <v>0.187</v>
      </c>
      <c r="BR51" s="59">
        <v>0.185</v>
      </c>
      <c r="BS51" s="59">
        <v>0.18</v>
      </c>
      <c r="BT51" s="59">
        <v>0.18</v>
      </c>
      <c r="BU51" s="59">
        <v>0.18</v>
      </c>
      <c r="BV51" s="59">
        <v>0.18</v>
      </c>
      <c r="BW51" s="59">
        <v>0.18</v>
      </c>
      <c r="BX51" s="59">
        <v>0.18</v>
      </c>
      <c r="BY51" s="59">
        <v>0.18</v>
      </c>
      <c r="BZ51" s="59">
        <v>0.18</v>
      </c>
    </row>
    <row r="52" spans="2:79">
      <c r="B52" s="35" t="s">
        <v>103</v>
      </c>
      <c r="C52" s="44">
        <f t="shared" ref="C52:V52" si="100">C41/C29</f>
        <v>0.11932615816565278</v>
      </c>
      <c r="D52" s="44">
        <f t="shared" si="100"/>
        <v>0.1327818894209839</v>
      </c>
      <c r="E52" s="44">
        <f t="shared" si="100"/>
        <v>0.13330380868024802</v>
      </c>
      <c r="F52" s="44">
        <f t="shared" si="100"/>
        <v>0.14358372456964005</v>
      </c>
      <c r="G52" s="44">
        <f t="shared" si="100"/>
        <v>0.14347484276729561</v>
      </c>
      <c r="H52" s="44">
        <f t="shared" si="100"/>
        <v>0.12188679245283018</v>
      </c>
      <c r="I52" s="44">
        <f t="shared" si="100"/>
        <v>0.12110986126734158</v>
      </c>
      <c r="J52" s="44">
        <f t="shared" si="100"/>
        <v>0.13082858101308287</v>
      </c>
      <c r="K52" s="44">
        <f t="shared" si="100"/>
        <v>0.12907563025210084</v>
      </c>
      <c r="L52" s="44">
        <f t="shared" si="100"/>
        <v>0.13105867346938777</v>
      </c>
      <c r="M52" s="44">
        <f t="shared" si="100"/>
        <v>0.11732016054337759</v>
      </c>
      <c r="N52" s="44">
        <f t="shared" si="100"/>
        <v>0.16559829059829059</v>
      </c>
      <c r="O52" s="44">
        <f t="shared" si="100"/>
        <v>0.13867028493894165</v>
      </c>
      <c r="P52" s="44">
        <f t="shared" si="100"/>
        <v>0.13637542131190045</v>
      </c>
      <c r="Q52" s="44">
        <f t="shared" si="100"/>
        <v>0.11838175400488732</v>
      </c>
      <c r="R52" s="44">
        <f t="shared" si="100"/>
        <v>0.13819214387127307</v>
      </c>
      <c r="S52" s="44">
        <f t="shared" si="100"/>
        <v>0.16157945736434109</v>
      </c>
      <c r="T52" s="44">
        <f t="shared" si="100"/>
        <v>0.19117305458768874</v>
      </c>
      <c r="U52" s="44">
        <f t="shared" si="100"/>
        <v>0.10552763819095477</v>
      </c>
      <c r="V52" s="44">
        <f t="shared" si="100"/>
        <v>0.10219713767385608</v>
      </c>
      <c r="W52" s="44">
        <f t="shared" ref="W52:AP52" si="101">W41/W29</f>
        <v>1.8189692507579038E-2</v>
      </c>
      <c r="X52" s="44">
        <f t="shared" si="101"/>
        <v>0.29081923588671355</v>
      </c>
      <c r="Y52" s="44">
        <f t="shared" si="101"/>
        <v>0.18703059168345851</v>
      </c>
      <c r="Z52" s="44">
        <f t="shared" si="101"/>
        <v>0.25621321124918245</v>
      </c>
      <c r="AA52" s="44">
        <f t="shared" si="101"/>
        <v>0.1818332504558263</v>
      </c>
      <c r="AB52" s="44">
        <f t="shared" si="101"/>
        <v>0.18980442449503046</v>
      </c>
      <c r="AC52" s="44">
        <f t="shared" si="101"/>
        <v>0.17583306373341961</v>
      </c>
      <c r="AD52" s="44">
        <f t="shared" si="101"/>
        <v>0.11578490893321769</v>
      </c>
      <c r="AE52" s="44">
        <f t="shared" si="101"/>
        <v>7.8513034089156261E-2</v>
      </c>
      <c r="AF52" s="44">
        <f t="shared" si="101"/>
        <v>-5.0102850426094622E-2</v>
      </c>
      <c r="AG52" s="44">
        <f t="shared" si="101"/>
        <v>0.19427402862985685</v>
      </c>
      <c r="AH52" s="44">
        <f t="shared" si="101"/>
        <v>0.12474603819585535</v>
      </c>
      <c r="AI52" s="44">
        <f t="shared" si="101"/>
        <v>0.11292613636363637</v>
      </c>
      <c r="AJ52" s="44">
        <f t="shared" si="101"/>
        <v>0.14121037463976946</v>
      </c>
      <c r="AK52" s="44">
        <f t="shared" si="101"/>
        <v>0.13750337018064168</v>
      </c>
      <c r="AL52" s="44">
        <f t="shared" si="101"/>
        <v>0.17468228258160975</v>
      </c>
      <c r="AM52" s="44">
        <f t="shared" si="101"/>
        <v>0.11533965450058449</v>
      </c>
      <c r="AN52" s="44">
        <f t="shared" si="101"/>
        <v>0.14305643627140138</v>
      </c>
      <c r="AO52" s="44">
        <f t="shared" si="101"/>
        <v>0.12871160953230534</v>
      </c>
      <c r="AP52" s="44">
        <f t="shared" si="101"/>
        <v>0.13399474061678221</v>
      </c>
      <c r="AQ52" s="44">
        <f>AQ41/AQ29</f>
        <v>0.16519060454370427</v>
      </c>
      <c r="AR52" s="44">
        <f>AR41/AR29</f>
        <v>0.15214768339768339</v>
      </c>
      <c r="AS52" s="44">
        <f>AS41/AS29</f>
        <v>0.14827135558987764</v>
      </c>
      <c r="BL52" s="44">
        <f t="shared" ref="BL52:BO52" si="102">BL41/BL29</f>
        <v>0.19586091171809453</v>
      </c>
      <c r="BM52" s="44">
        <f t="shared" si="102"/>
        <v>0.16432146939419021</v>
      </c>
      <c r="BN52" s="44">
        <f t="shared" si="102"/>
        <v>8.7906097826876958E-2</v>
      </c>
      <c r="BO52" s="44">
        <f t="shared" si="102"/>
        <v>0.14262201471230393</v>
      </c>
      <c r="BP52" s="44">
        <f>BP41/BP29</f>
        <v>0.13042110890964556</v>
      </c>
      <c r="BQ52" s="59">
        <f>BQ41/BQ29</f>
        <v>0.13543137896445157</v>
      </c>
      <c r="BR52" s="59">
        <f t="shared" ref="BR52:BZ52" si="103">BR41/BR29</f>
        <v>0.13325729951481202</v>
      </c>
      <c r="BS52" s="59">
        <f t="shared" si="103"/>
        <v>0.13023274397472628</v>
      </c>
      <c r="BT52" s="59">
        <f t="shared" si="103"/>
        <v>0.13416488645572919</v>
      </c>
      <c r="BU52" s="59">
        <f t="shared" si="103"/>
        <v>0.13612127244535385</v>
      </c>
      <c r="BV52" s="59">
        <f t="shared" si="103"/>
        <v>0.1348231000062721</v>
      </c>
      <c r="BW52" s="59">
        <f t="shared" si="103"/>
        <v>0.13339731754217721</v>
      </c>
      <c r="BX52" s="59">
        <f t="shared" si="103"/>
        <v>0.13210296678929764</v>
      </c>
      <c r="BY52" s="59">
        <f t="shared" si="103"/>
        <v>0.13674896483862425</v>
      </c>
      <c r="BZ52" s="59">
        <f t="shared" si="103"/>
        <v>0.13246574223533084</v>
      </c>
    </row>
    <row r="54" spans="2:79">
      <c r="B54" s="1" t="s">
        <v>250</v>
      </c>
      <c r="AD54" s="1">
        <v>4794</v>
      </c>
      <c r="AE54" s="1">
        <v>5717</v>
      </c>
      <c r="AF54" s="1">
        <v>5745</v>
      </c>
      <c r="AG54" s="1">
        <v>7782</v>
      </c>
      <c r="AH54" s="1">
        <v>7776</v>
      </c>
      <c r="AI54" s="1">
        <v>7101</v>
      </c>
      <c r="AJ54" s="1">
        <v>5504</v>
      </c>
      <c r="AK54" s="1">
        <v>6816</v>
      </c>
      <c r="AL54" s="1">
        <v>9081</v>
      </c>
      <c r="AM54" s="1">
        <v>9693</v>
      </c>
      <c r="AN54" s="1">
        <v>7701</v>
      </c>
      <c r="AO54" s="1">
        <v>7272</v>
      </c>
      <c r="AP54" s="1">
        <v>6561</v>
      </c>
      <c r="AQ54" s="1">
        <v>7449</v>
      </c>
      <c r="AR54" s="1">
        <v>6688</v>
      </c>
      <c r="AS54" s="1">
        <v>8995</v>
      </c>
      <c r="BM54" s="1">
        <v>4794</v>
      </c>
      <c r="BN54" s="1">
        <v>7776</v>
      </c>
      <c r="BO54" s="1">
        <v>9081</v>
      </c>
      <c r="BP54" s="1">
        <v>6561</v>
      </c>
      <c r="BQ54" s="57">
        <f>BP54+BQ41</f>
        <v>11087.348272650001</v>
      </c>
      <c r="BR54" s="57">
        <f t="shared" ref="BR54:BZ54" si="104">BQ54+BR41</f>
        <v>15797.780470892376</v>
      </c>
      <c r="BS54" s="57">
        <f t="shared" si="104"/>
        <v>20688.346875611634</v>
      </c>
      <c r="BT54" s="57">
        <f t="shared" si="104"/>
        <v>26037.342704911098</v>
      </c>
      <c r="BU54" s="57">
        <f t="shared" si="104"/>
        <v>31789.747549781347</v>
      </c>
      <c r="BV54" s="57">
        <f t="shared" si="104"/>
        <v>37822.264490903683</v>
      </c>
      <c r="BW54" s="57">
        <f t="shared" si="104"/>
        <v>44131.719817753074</v>
      </c>
      <c r="BX54" s="57">
        <f t="shared" si="104"/>
        <v>50733.603737770638</v>
      </c>
      <c r="BY54" s="57">
        <f t="shared" si="104"/>
        <v>57944.27334173565</v>
      </c>
      <c r="BZ54" s="57">
        <f t="shared" si="104"/>
        <v>65302.671729842332</v>
      </c>
    </row>
    <row r="55" spans="2:79">
      <c r="B55" s="1" t="s">
        <v>104</v>
      </c>
      <c r="AD55" s="1">
        <v>8289</v>
      </c>
      <c r="AE55" s="1">
        <v>7369</v>
      </c>
      <c r="AF55" s="1">
        <v>6650</v>
      </c>
      <c r="AG55" s="1">
        <v>5510</v>
      </c>
      <c r="AH55" s="1">
        <v>3092</v>
      </c>
      <c r="AI55" s="1">
        <v>3559</v>
      </c>
      <c r="AJ55" s="1">
        <v>4398</v>
      </c>
      <c r="AK55" s="1">
        <v>4731</v>
      </c>
      <c r="AL55" s="1">
        <v>4979</v>
      </c>
      <c r="AM55" s="1">
        <v>4625</v>
      </c>
      <c r="AN55" s="1">
        <v>5915</v>
      </c>
      <c r="AO55" s="1">
        <v>4647</v>
      </c>
      <c r="AP55" s="1">
        <v>4262</v>
      </c>
      <c r="AQ55" s="1">
        <v>3762</v>
      </c>
      <c r="AR55" s="1">
        <v>3320</v>
      </c>
      <c r="AS55" s="1">
        <v>1760</v>
      </c>
      <c r="BM55" s="1">
        <v>8289</v>
      </c>
      <c r="BN55" s="1">
        <v>3092</v>
      </c>
      <c r="BO55" s="1">
        <v>4979</v>
      </c>
      <c r="BP55" s="1">
        <v>4262</v>
      </c>
    </row>
    <row r="56" spans="2:79" ht="15" customHeight="1">
      <c r="B56" s="1" t="s">
        <v>249</v>
      </c>
      <c r="AD56" s="1">
        <v>577</v>
      </c>
      <c r="AE56" s="1">
        <v>674</v>
      </c>
      <c r="AF56" s="1">
        <v>693</v>
      </c>
      <c r="AG56" s="1">
        <v>736</v>
      </c>
      <c r="AH56" s="1">
        <v>963</v>
      </c>
      <c r="AI56" s="1">
        <v>967</v>
      </c>
      <c r="AJ56" s="1">
        <v>928</v>
      </c>
      <c r="AK56" s="1">
        <v>988</v>
      </c>
      <c r="AL56" s="1">
        <v>1069</v>
      </c>
      <c r="AM56" s="1">
        <v>1108</v>
      </c>
      <c r="AN56" s="1">
        <v>987</v>
      </c>
      <c r="AO56" s="1">
        <v>1038</v>
      </c>
      <c r="AP56" s="1">
        <v>984</v>
      </c>
      <c r="AQ56" s="1">
        <v>1082</v>
      </c>
      <c r="AR56" s="1">
        <v>1099</v>
      </c>
      <c r="AS56" s="1">
        <v>973</v>
      </c>
      <c r="AT56" s="62"/>
      <c r="AU56" s="63"/>
      <c r="AV56" s="63"/>
      <c r="AW56" s="62"/>
      <c r="AX56" s="63"/>
      <c r="AY56" s="64"/>
      <c r="AZ56" s="64"/>
      <c r="BA56" s="60"/>
      <c r="BB56" s="65"/>
      <c r="BC56" s="63"/>
      <c r="BM56" s="1">
        <v>577</v>
      </c>
      <c r="BN56" s="1">
        <v>963</v>
      </c>
      <c r="BO56" s="1">
        <v>1069</v>
      </c>
      <c r="BP56" s="1">
        <v>984</v>
      </c>
      <c r="BR56" s="62" t="s">
        <v>2092</v>
      </c>
      <c r="BS56" s="63"/>
      <c r="BT56" s="63"/>
      <c r="BU56" s="62" t="s">
        <v>2079</v>
      </c>
      <c r="BV56" s="63"/>
      <c r="BW56" s="64" t="s">
        <v>2080</v>
      </c>
      <c r="BX56" s="63"/>
      <c r="BY56" s="60" t="s">
        <v>2081</v>
      </c>
      <c r="BZ56" s="65">
        <v>5.8999999999999997E-2</v>
      </c>
      <c r="CA56" s="63"/>
    </row>
    <row r="57" spans="2:79" ht="15" customHeight="1">
      <c r="B57" s="1" t="s">
        <v>248</v>
      </c>
      <c r="AD57" s="1">
        <v>0</v>
      </c>
      <c r="AE57" s="1">
        <v>0</v>
      </c>
      <c r="AF57" s="1">
        <v>0</v>
      </c>
      <c r="AG57" s="1">
        <v>0</v>
      </c>
      <c r="AH57" s="1">
        <v>0</v>
      </c>
      <c r="AI57" s="1">
        <v>0</v>
      </c>
      <c r="AJ57" s="1">
        <v>1903</v>
      </c>
      <c r="AK57" s="1">
        <v>2165</v>
      </c>
      <c r="AL57" s="1">
        <v>563</v>
      </c>
      <c r="AM57" s="1">
        <v>307</v>
      </c>
      <c r="AN57" s="1">
        <v>369</v>
      </c>
      <c r="AO57" s="1">
        <v>471</v>
      </c>
      <c r="AP57" s="1">
        <v>541</v>
      </c>
      <c r="AQ57" s="1">
        <v>714</v>
      </c>
      <c r="AR57" s="1">
        <v>817</v>
      </c>
      <c r="AS57" s="1">
        <v>1404</v>
      </c>
      <c r="AT57" s="63"/>
      <c r="AU57" s="63"/>
      <c r="AV57" s="63"/>
      <c r="AW57" s="63"/>
      <c r="AX57" s="63"/>
      <c r="AY57" s="64"/>
      <c r="AZ57" s="64"/>
      <c r="BA57" s="60"/>
      <c r="BB57" s="65"/>
      <c r="BC57" s="63"/>
      <c r="BM57" s="1">
        <v>0</v>
      </c>
      <c r="BN57" s="1">
        <v>0</v>
      </c>
      <c r="BO57" s="1">
        <v>563</v>
      </c>
      <c r="BP57" s="1">
        <v>541</v>
      </c>
      <c r="BR57" s="63">
        <v>2025</v>
      </c>
      <c r="BS57" s="63"/>
      <c r="BT57" s="63">
        <v>2023</v>
      </c>
      <c r="BU57" s="63">
        <v>2024</v>
      </c>
      <c r="BV57" s="63"/>
      <c r="BW57" s="64" t="s">
        <v>2082</v>
      </c>
      <c r="BX57" s="63"/>
      <c r="BY57" s="60" t="s">
        <v>2083</v>
      </c>
      <c r="BZ57" s="65">
        <v>1.2500000000000001E-2</v>
      </c>
      <c r="CA57" s="63"/>
    </row>
    <row r="58" spans="2:79" ht="15" customHeight="1">
      <c r="B58" s="1" t="s">
        <v>247</v>
      </c>
      <c r="AD58" s="1">
        <v>2769</v>
      </c>
      <c r="AE58" s="1">
        <v>2731</v>
      </c>
      <c r="AF58" s="1">
        <v>3283</v>
      </c>
      <c r="AG58" s="1">
        <v>3713</v>
      </c>
      <c r="AH58" s="1">
        <v>7431</v>
      </c>
      <c r="AI58" s="1">
        <v>7495</v>
      </c>
      <c r="AJ58" s="1">
        <v>5547</v>
      </c>
      <c r="AK58" s="1">
        <v>5066</v>
      </c>
      <c r="AL58" s="1">
        <v>5433</v>
      </c>
      <c r="AM58" s="1">
        <v>5202</v>
      </c>
      <c r="AN58" s="1">
        <v>5319</v>
      </c>
      <c r="AO58" s="1">
        <v>6003</v>
      </c>
      <c r="AP58" s="1">
        <v>6422</v>
      </c>
      <c r="AQ58" s="1">
        <v>6511</v>
      </c>
      <c r="AR58" s="1">
        <v>6938</v>
      </c>
      <c r="AS58" s="1">
        <v>6396</v>
      </c>
      <c r="AT58" s="66"/>
      <c r="AU58" s="63"/>
      <c r="AV58" s="67"/>
      <c r="AW58" s="67"/>
      <c r="AX58" s="63"/>
      <c r="AY58" s="67"/>
      <c r="AZ58" s="67"/>
      <c r="BA58" s="60"/>
      <c r="BB58" s="65"/>
      <c r="BC58" s="63"/>
      <c r="BM58" s="1">
        <v>2769</v>
      </c>
      <c r="BN58" s="1">
        <v>7431</v>
      </c>
      <c r="BO58" s="1">
        <v>5433</v>
      </c>
      <c r="BP58" s="1">
        <v>6422</v>
      </c>
      <c r="BR58" s="66">
        <f>AVERAGE(BQ37)*(1-BQ51)</f>
        <v>4211.6367856500001</v>
      </c>
      <c r="BS58" s="63"/>
      <c r="BT58" s="67">
        <f>SUM(BO54:BO59)-BO68+BO62+BO64+BO63</f>
        <v>72972</v>
      </c>
      <c r="BU58" s="67">
        <f>SUM(BP54:BP59)-BP68+BP62+BP64+BP63</f>
        <v>68885</v>
      </c>
      <c r="BV58" s="63"/>
      <c r="BW58" s="67">
        <f>AVERAGE(BT58:BU58)</f>
        <v>70928.5</v>
      </c>
      <c r="BX58" s="63"/>
      <c r="BY58" s="60" t="s">
        <v>2084</v>
      </c>
      <c r="BZ58" s="65">
        <v>3.9849999999999997E-2</v>
      </c>
      <c r="CA58" s="63"/>
    </row>
    <row r="59" spans="2:79" ht="15" customHeight="1">
      <c r="B59" s="1" t="s">
        <v>246</v>
      </c>
      <c r="AD59" s="1">
        <v>33418</v>
      </c>
      <c r="AE59" s="1">
        <v>35623</v>
      </c>
      <c r="AF59" s="1">
        <v>35670</v>
      </c>
      <c r="AG59" s="1">
        <v>35104</v>
      </c>
      <c r="AH59" s="1">
        <v>36264</v>
      </c>
      <c r="AI59" s="1">
        <v>35276</v>
      </c>
      <c r="AJ59" s="1">
        <v>33643</v>
      </c>
      <c r="AK59" s="1">
        <v>34641</v>
      </c>
      <c r="AL59" s="1">
        <v>38935</v>
      </c>
      <c r="AM59" s="1">
        <v>38353</v>
      </c>
      <c r="AN59" s="1">
        <v>38727</v>
      </c>
      <c r="AO59" s="1">
        <v>39182</v>
      </c>
      <c r="AP59" s="1">
        <v>37671</v>
      </c>
      <c r="AQ59" s="1">
        <v>39205</v>
      </c>
      <c r="AR59" s="1">
        <v>38923</v>
      </c>
      <c r="AS59" s="1">
        <v>38668</v>
      </c>
      <c r="AT59" s="68"/>
      <c r="AU59" s="63"/>
      <c r="AV59" s="63"/>
      <c r="AW59" s="63"/>
      <c r="AX59" s="63"/>
      <c r="AY59" s="63"/>
      <c r="AZ59" s="63"/>
      <c r="BA59" s="60"/>
      <c r="BB59" s="65"/>
      <c r="BC59" s="63"/>
      <c r="BM59" s="1">
        <v>33418</v>
      </c>
      <c r="BN59" s="1">
        <v>36264</v>
      </c>
      <c r="BO59" s="1">
        <v>38935</v>
      </c>
      <c r="BP59" s="1">
        <v>37671</v>
      </c>
      <c r="BR59" s="68">
        <f>BR58/BW58</f>
        <v>5.9378624750981622E-2</v>
      </c>
      <c r="BS59" s="63"/>
      <c r="BT59" s="63"/>
      <c r="BU59" s="63"/>
      <c r="BV59" s="63"/>
      <c r="BW59" s="63"/>
      <c r="BX59" s="63"/>
      <c r="BY59" s="60" t="s">
        <v>2085</v>
      </c>
      <c r="BZ59" s="65">
        <f>13.1%-BZ58</f>
        <v>9.1150000000000009E-2</v>
      </c>
      <c r="CA59" s="63"/>
    </row>
    <row r="60" spans="2:79" ht="15" customHeight="1">
      <c r="B60" s="1" t="s">
        <v>245</v>
      </c>
      <c r="AD60" s="1">
        <v>1148</v>
      </c>
      <c r="AE60" s="1">
        <v>1318</v>
      </c>
      <c r="AF60" s="1">
        <v>1190</v>
      </c>
      <c r="AG60" s="1">
        <v>1285</v>
      </c>
      <c r="AH60" s="1">
        <v>1898</v>
      </c>
      <c r="AI60" s="1">
        <v>2162</v>
      </c>
      <c r="AJ60" s="1">
        <v>2202</v>
      </c>
      <c r="AK60" s="1">
        <v>2228</v>
      </c>
      <c r="AL60" s="1">
        <v>2509</v>
      </c>
      <c r="AM60" s="1">
        <v>4418</v>
      </c>
      <c r="AN60" s="1">
        <v>3954</v>
      </c>
      <c r="AO60" s="1">
        <v>4060</v>
      </c>
      <c r="AP60" s="1">
        <v>4651</v>
      </c>
      <c r="AQ60" s="1">
        <v>1888</v>
      </c>
      <c r="AR60" s="1">
        <v>2094</v>
      </c>
      <c r="AS60" s="1">
        <v>1980</v>
      </c>
      <c r="AT60" s="63"/>
      <c r="AU60" s="63"/>
      <c r="AV60" s="63"/>
      <c r="AW60" s="63"/>
      <c r="AX60" s="63"/>
      <c r="AY60" s="63"/>
      <c r="AZ60" s="63"/>
      <c r="BA60" s="60"/>
      <c r="BB60" s="63"/>
      <c r="BC60" s="63"/>
      <c r="BM60" s="1">
        <v>1148</v>
      </c>
      <c r="BN60" s="1">
        <v>1898</v>
      </c>
      <c r="BO60" s="1">
        <v>2509</v>
      </c>
      <c r="BP60" s="1">
        <v>4651</v>
      </c>
      <c r="BR60" s="63"/>
      <c r="BS60" s="63"/>
      <c r="BT60" s="63"/>
      <c r="BU60" s="63"/>
      <c r="BV60" s="63"/>
      <c r="BW60" s="63"/>
      <c r="BX60" s="63"/>
      <c r="BY60" s="60" t="s">
        <v>2086</v>
      </c>
      <c r="BZ60" s="63">
        <v>0.49</v>
      </c>
      <c r="CA60" s="63"/>
    </row>
    <row r="61" spans="2:79" ht="15" customHeight="1">
      <c r="B61" s="1" t="s">
        <v>244</v>
      </c>
      <c r="AD61" s="1">
        <v>6089</v>
      </c>
      <c r="AE61" s="1">
        <v>5994</v>
      </c>
      <c r="AF61" s="1">
        <v>6968</v>
      </c>
      <c r="AG61" s="1">
        <v>6753</v>
      </c>
      <c r="AH61" s="1">
        <v>5018</v>
      </c>
      <c r="AI61" s="1">
        <v>4632</v>
      </c>
      <c r="AJ61" s="1">
        <v>4543</v>
      </c>
      <c r="AK61" s="1">
        <v>3855</v>
      </c>
      <c r="AL61" s="1">
        <v>3273</v>
      </c>
      <c r="AM61" s="1">
        <v>3409</v>
      </c>
      <c r="AN61" s="1">
        <v>4653</v>
      </c>
      <c r="AO61" s="1">
        <v>4282</v>
      </c>
      <c r="AP61" s="1">
        <v>4583</v>
      </c>
      <c r="AQ61" s="1">
        <v>4613</v>
      </c>
      <c r="AR61" s="1">
        <v>3645</v>
      </c>
      <c r="AS61" s="1">
        <v>3601</v>
      </c>
      <c r="AT61" s="63"/>
      <c r="AU61" s="63"/>
      <c r="AV61" s="63"/>
      <c r="AW61" s="63"/>
      <c r="AX61" s="63"/>
      <c r="AY61" s="63"/>
      <c r="AZ61" s="63"/>
      <c r="BA61" s="60"/>
      <c r="BB61" s="65"/>
      <c r="BC61" s="63"/>
      <c r="BM61" s="1">
        <v>6089</v>
      </c>
      <c r="BN61" s="1">
        <v>5018</v>
      </c>
      <c r="BO61" s="1">
        <v>3273</v>
      </c>
      <c r="BP61" s="1">
        <v>4583</v>
      </c>
      <c r="BR61" s="63"/>
      <c r="BS61" s="63"/>
      <c r="BT61" s="63"/>
      <c r="BU61" s="63"/>
      <c r="BV61" s="63"/>
      <c r="BW61" s="63"/>
      <c r="BX61" s="63"/>
      <c r="BY61" s="60" t="s">
        <v>2087</v>
      </c>
      <c r="BZ61" s="65">
        <f>+BZ58+(BZ59*BZ60)</f>
        <v>8.4513499999999991E-2</v>
      </c>
      <c r="CA61" s="63"/>
    </row>
    <row r="62" spans="2:79" ht="15" customHeight="1">
      <c r="B62" s="1" t="s">
        <v>243</v>
      </c>
      <c r="AD62" s="1">
        <v>1807</v>
      </c>
      <c r="AE62" s="1">
        <v>1806</v>
      </c>
      <c r="AF62" s="1">
        <v>1848</v>
      </c>
      <c r="AG62" s="1">
        <v>1900</v>
      </c>
      <c r="AH62" s="1">
        <v>1730</v>
      </c>
      <c r="AI62" s="1">
        <v>1633</v>
      </c>
      <c r="AJ62" s="1">
        <v>1589</v>
      </c>
      <c r="AK62" s="1">
        <v>1529</v>
      </c>
      <c r="AL62" s="1">
        <v>1488</v>
      </c>
      <c r="AM62" s="1">
        <v>1426</v>
      </c>
      <c r="AN62" s="1">
        <v>1459</v>
      </c>
      <c r="AO62" s="1">
        <v>1496</v>
      </c>
      <c r="AP62" s="1">
        <v>1508</v>
      </c>
      <c r="AQ62" s="1">
        <v>1537</v>
      </c>
      <c r="AR62" s="1">
        <v>1625</v>
      </c>
      <c r="AS62" s="1">
        <v>1656</v>
      </c>
      <c r="AT62" s="63"/>
      <c r="AU62" s="63"/>
      <c r="AV62" s="63"/>
      <c r="AW62" s="63"/>
      <c r="AX62" s="63"/>
      <c r="AY62" s="63"/>
      <c r="AZ62" s="63"/>
      <c r="BA62" s="60"/>
      <c r="BB62" s="63"/>
      <c r="BC62" s="63"/>
      <c r="BM62" s="1">
        <v>1807</v>
      </c>
      <c r="BN62" s="1">
        <v>1730</v>
      </c>
      <c r="BO62" s="1">
        <v>1488</v>
      </c>
      <c r="BP62" s="1">
        <v>1508</v>
      </c>
      <c r="BR62" s="63"/>
      <c r="BS62" s="63"/>
      <c r="BT62" s="63"/>
      <c r="BU62" s="63"/>
      <c r="BV62" s="63"/>
      <c r="BW62" s="63"/>
      <c r="BX62" s="63"/>
      <c r="BY62" s="60"/>
      <c r="BZ62" s="63"/>
      <c r="CA62" s="63"/>
    </row>
    <row r="63" spans="2:79" ht="15" customHeight="1">
      <c r="B63" s="1" t="s">
        <v>242</v>
      </c>
      <c r="AD63" s="1">
        <v>9135</v>
      </c>
      <c r="AE63" s="1">
        <v>9117</v>
      </c>
      <c r="AF63" s="1">
        <v>9564</v>
      </c>
      <c r="AG63" s="1">
        <v>9550</v>
      </c>
      <c r="AH63" s="1">
        <v>11209</v>
      </c>
      <c r="AI63" s="1">
        <v>11195</v>
      </c>
      <c r="AJ63" s="1">
        <v>11067</v>
      </c>
      <c r="AK63" s="1">
        <v>10935</v>
      </c>
      <c r="AL63" s="1">
        <v>11026</v>
      </c>
      <c r="AM63" s="1">
        <v>10916</v>
      </c>
      <c r="AN63" s="1">
        <v>10816</v>
      </c>
      <c r="AO63" s="1">
        <v>10996</v>
      </c>
      <c r="AP63" s="1">
        <v>10837</v>
      </c>
      <c r="AQ63" s="1">
        <v>10910</v>
      </c>
      <c r="AR63" s="1">
        <v>10976</v>
      </c>
      <c r="AS63" s="1">
        <v>10941</v>
      </c>
      <c r="AT63" s="63"/>
      <c r="AU63" s="63"/>
      <c r="AV63" s="63"/>
      <c r="AW63" s="63"/>
      <c r="AX63" s="63"/>
      <c r="AY63" s="63"/>
      <c r="AZ63" s="63"/>
      <c r="BA63" s="60"/>
      <c r="BB63" s="67"/>
      <c r="BC63" s="63"/>
      <c r="BM63" s="1">
        <v>9135</v>
      </c>
      <c r="BN63" s="1">
        <v>11209</v>
      </c>
      <c r="BO63" s="1">
        <v>11026</v>
      </c>
      <c r="BP63" s="1">
        <v>10837</v>
      </c>
      <c r="BR63" s="63"/>
      <c r="BS63" s="63"/>
      <c r="BT63" s="63"/>
      <c r="BU63" s="63"/>
      <c r="BV63" s="63"/>
      <c r="BW63" s="63"/>
      <c r="BX63" s="63"/>
      <c r="BY63" s="60" t="s">
        <v>2088</v>
      </c>
      <c r="BZ63" s="67">
        <f>NPV(BZ61,BQ41:DX41)</f>
        <v>81672.799729423496</v>
      </c>
      <c r="CA63" s="63"/>
    </row>
    <row r="64" spans="2:79" ht="15" customHeight="1">
      <c r="B64" s="1" t="s">
        <v>241</v>
      </c>
      <c r="AD64" s="1">
        <v>1048</v>
      </c>
      <c r="AE64" s="1">
        <v>938</v>
      </c>
      <c r="AF64" s="1">
        <v>920</v>
      </c>
      <c r="AG64" s="1">
        <v>808</v>
      </c>
      <c r="AH64" s="1">
        <v>788</v>
      </c>
      <c r="AI64" s="1">
        <v>730</v>
      </c>
      <c r="AJ64" s="1">
        <v>640</v>
      </c>
      <c r="AK64" s="1">
        <v>564</v>
      </c>
      <c r="AL64" s="1">
        <v>537</v>
      </c>
      <c r="AM64" s="1">
        <v>465</v>
      </c>
      <c r="AN64" s="1">
        <v>403</v>
      </c>
      <c r="AO64" s="1">
        <v>393</v>
      </c>
      <c r="AP64" s="1">
        <v>326</v>
      </c>
      <c r="AQ64" s="1">
        <v>296</v>
      </c>
      <c r="AR64" s="1">
        <v>271</v>
      </c>
      <c r="AS64" s="1">
        <v>226</v>
      </c>
      <c r="AT64" s="63"/>
      <c r="AU64" s="63"/>
      <c r="AV64" s="63"/>
      <c r="AW64" s="63"/>
      <c r="AX64" s="63"/>
      <c r="AY64" s="63"/>
      <c r="AZ64" s="63"/>
      <c r="BA64" s="60"/>
      <c r="BB64" s="67"/>
      <c r="BC64" s="69"/>
      <c r="BM64" s="1">
        <v>1048</v>
      </c>
      <c r="BN64" s="1">
        <v>788</v>
      </c>
      <c r="BO64" s="1">
        <v>537</v>
      </c>
      <c r="BP64" s="1">
        <v>326</v>
      </c>
      <c r="BR64" s="63"/>
      <c r="BS64" s="63"/>
      <c r="BT64" s="63"/>
      <c r="BU64" s="63"/>
      <c r="BV64" s="63"/>
      <c r="BW64" s="63"/>
      <c r="BX64" s="63"/>
      <c r="BY64" s="60" t="s">
        <v>114</v>
      </c>
      <c r="BZ64" s="67">
        <f>Main!C6</f>
        <v>935.65</v>
      </c>
      <c r="CA64" s="73" t="s">
        <v>2091</v>
      </c>
    </row>
    <row r="65" spans="2:130" ht="15" customHeight="1">
      <c r="B65" s="1" t="s">
        <v>240</v>
      </c>
      <c r="AD65" s="1">
        <v>1305</v>
      </c>
      <c r="AE65" s="1">
        <v>1230</v>
      </c>
      <c r="AF65" s="1">
        <v>1285</v>
      </c>
      <c r="AG65" s="1">
        <v>1393</v>
      </c>
      <c r="AH65" s="1">
        <v>2455</v>
      </c>
      <c r="AI65" s="1">
        <v>2436</v>
      </c>
      <c r="AJ65" s="1">
        <v>2615</v>
      </c>
      <c r="AK65" s="1">
        <v>2922</v>
      </c>
      <c r="AL65" s="1">
        <v>3273</v>
      </c>
      <c r="AM65" s="1">
        <v>3425</v>
      </c>
      <c r="AN65" s="1">
        <v>3713</v>
      </c>
      <c r="AO65" s="1">
        <v>3671</v>
      </c>
      <c r="AP65" s="1">
        <v>3265</v>
      </c>
      <c r="AQ65" s="1">
        <v>3307</v>
      </c>
      <c r="AR65" s="1">
        <v>3381</v>
      </c>
      <c r="AS65" s="1">
        <v>3201</v>
      </c>
      <c r="AT65" s="63"/>
      <c r="AU65" s="63"/>
      <c r="AV65" s="63"/>
      <c r="AW65" s="63"/>
      <c r="AX65" s="63"/>
      <c r="AY65" s="63"/>
      <c r="AZ65" s="63"/>
      <c r="BA65" s="60"/>
      <c r="BB65" s="70"/>
      <c r="BC65" s="62"/>
      <c r="BM65" s="1">
        <v>1305</v>
      </c>
      <c r="BN65" s="1">
        <v>2455</v>
      </c>
      <c r="BO65" s="1">
        <v>3273</v>
      </c>
      <c r="BP65" s="1">
        <v>3265</v>
      </c>
      <c r="BR65" s="63"/>
      <c r="BS65" s="63"/>
      <c r="BT65" s="63"/>
      <c r="BU65" s="63"/>
      <c r="BV65" s="63"/>
      <c r="BW65" s="63"/>
      <c r="BX65" s="63"/>
      <c r="BY65" s="60" t="s">
        <v>2089</v>
      </c>
      <c r="BZ65" s="70">
        <f>BZ63/BZ64</f>
        <v>87.289905124163411</v>
      </c>
      <c r="CA65" s="74"/>
    </row>
    <row r="66" spans="2:130" s="2" customFormat="1" ht="15" customHeight="1">
      <c r="B66" s="2" t="s">
        <v>239</v>
      </c>
      <c r="AD66" s="2">
        <f t="shared" ref="AD66:AQ66" si="105">SUM(AD54:AD65)</f>
        <v>70379</v>
      </c>
      <c r="AE66" s="2">
        <f t="shared" si="105"/>
        <v>72517</v>
      </c>
      <c r="AF66" s="2">
        <f t="shared" si="105"/>
        <v>73816</v>
      </c>
      <c r="AG66" s="2">
        <f t="shared" si="105"/>
        <v>74534</v>
      </c>
      <c r="AH66" s="2">
        <f t="shared" si="105"/>
        <v>78624</v>
      </c>
      <c r="AI66" s="2">
        <f t="shared" si="105"/>
        <v>77186</v>
      </c>
      <c r="AJ66" s="2">
        <f t="shared" si="105"/>
        <v>74579</v>
      </c>
      <c r="AK66" s="2">
        <f t="shared" si="105"/>
        <v>76440</v>
      </c>
      <c r="AL66" s="2">
        <f t="shared" si="105"/>
        <v>82166</v>
      </c>
      <c r="AM66" s="2">
        <f t="shared" si="105"/>
        <v>83347</v>
      </c>
      <c r="AN66" s="2">
        <f t="shared" si="105"/>
        <v>84016</v>
      </c>
      <c r="AO66" s="2">
        <f t="shared" si="105"/>
        <v>83511</v>
      </c>
      <c r="AP66" s="2">
        <f t="shared" si="105"/>
        <v>81611</v>
      </c>
      <c r="AQ66" s="2">
        <f t="shared" si="105"/>
        <v>81274</v>
      </c>
      <c r="AR66" s="2">
        <f t="shared" ref="AR66:AS66" si="106">SUM(AR54:AR65)</f>
        <v>79777</v>
      </c>
      <c r="AS66" s="2">
        <f t="shared" si="106"/>
        <v>79801</v>
      </c>
      <c r="AT66" s="71"/>
      <c r="AU66" s="71"/>
      <c r="AV66" s="71"/>
      <c r="AW66" s="71"/>
      <c r="AX66" s="71"/>
      <c r="AY66" s="71"/>
      <c r="AZ66" s="71"/>
      <c r="BA66" s="60"/>
      <c r="BB66" s="70"/>
      <c r="BC66" s="72"/>
      <c r="BM66" s="2">
        <f>SUM(BM54:BM65)</f>
        <v>70379</v>
      </c>
      <c r="BN66" s="2">
        <f>SUM(BN54:BN65)</f>
        <v>78624</v>
      </c>
      <c r="BO66" s="2">
        <f>SUM(BO54:BO65)</f>
        <v>82166</v>
      </c>
      <c r="BP66" s="2">
        <f>SUM(BP54:BP65)</f>
        <v>81611</v>
      </c>
      <c r="BQ66" s="56"/>
      <c r="BR66" s="71"/>
      <c r="BS66" s="71"/>
      <c r="BT66" s="71"/>
      <c r="BU66" s="71"/>
      <c r="BV66" s="71"/>
      <c r="BW66" s="71"/>
      <c r="BX66" s="71"/>
      <c r="BY66" s="60" t="s">
        <v>2090</v>
      </c>
      <c r="BZ66" s="70">
        <f>Main!C5</f>
        <v>57.8</v>
      </c>
      <c r="CA66" s="75"/>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row>
    <row r="67" spans="2:130" ht="15" customHeight="1">
      <c r="AT67" s="63"/>
      <c r="AU67" s="63"/>
      <c r="AV67" s="63"/>
      <c r="AW67" s="63"/>
      <c r="AX67" s="63"/>
      <c r="AY67" s="63"/>
      <c r="AZ67" s="63"/>
      <c r="BA67" s="60"/>
      <c r="BB67" s="65"/>
      <c r="BC67" s="62"/>
      <c r="BR67" s="63"/>
      <c r="BS67" s="63"/>
      <c r="BT67" s="63"/>
      <c r="BU67" s="63"/>
      <c r="BV67" s="63"/>
      <c r="BW67" s="63"/>
      <c r="BX67" s="63"/>
      <c r="BY67" s="60" t="s">
        <v>2093</v>
      </c>
      <c r="BZ67" s="65">
        <f>BZ65/BZ66-1</f>
        <v>0.5102059710062874</v>
      </c>
      <c r="CA67" s="74" t="str">
        <f>IF(BZ67&gt;0,"Upside","Downside")</f>
        <v>Upside</v>
      </c>
    </row>
    <row r="68" spans="2:130" ht="15" customHeight="1">
      <c r="B68" s="1" t="s">
        <v>238</v>
      </c>
      <c r="AD68" s="1">
        <v>252</v>
      </c>
      <c r="AE68" s="1">
        <v>191</v>
      </c>
      <c r="AF68" s="1">
        <v>260</v>
      </c>
      <c r="AG68" s="1">
        <v>186</v>
      </c>
      <c r="AH68" s="1">
        <v>126</v>
      </c>
      <c r="AI68" s="1">
        <v>142</v>
      </c>
      <c r="AJ68" s="1">
        <v>137</v>
      </c>
      <c r="AK68" s="1">
        <v>131</v>
      </c>
      <c r="AL68" s="1">
        <v>139</v>
      </c>
      <c r="AM68" s="1">
        <v>108</v>
      </c>
      <c r="AN68" s="1">
        <v>133</v>
      </c>
      <c r="AO68" s="1">
        <v>165</v>
      </c>
      <c r="AP68" s="1">
        <v>227</v>
      </c>
      <c r="AQ68" s="1">
        <v>175</v>
      </c>
      <c r="AR68" s="1">
        <v>221</v>
      </c>
      <c r="AS68" s="1">
        <v>208</v>
      </c>
      <c r="AT68" s="63"/>
      <c r="AU68" s="63"/>
      <c r="AV68" s="63"/>
      <c r="AW68" s="63"/>
      <c r="AX68" s="63"/>
      <c r="AY68" s="63"/>
      <c r="AZ68" s="63"/>
      <c r="BA68" s="83"/>
      <c r="BB68" s="83"/>
      <c r="BC68" s="67"/>
      <c r="BM68" s="1">
        <v>252</v>
      </c>
      <c r="BN68" s="1">
        <v>126</v>
      </c>
      <c r="BO68" s="1">
        <v>139</v>
      </c>
      <c r="BP68" s="1">
        <v>227</v>
      </c>
      <c r="BR68" s="63"/>
      <c r="BS68" s="63"/>
      <c r="BT68" s="63"/>
      <c r="BU68" s="63"/>
      <c r="BV68" s="63"/>
      <c r="BW68" s="63"/>
      <c r="BX68" s="63"/>
      <c r="BY68" s="83" t="str" cm="1">
        <f t="array" ref="BY68">_xlfn.IFS(BZ67&gt;=25%,"Strong Buy",BZ67&gt;=10.00001%,"Buy",AND(BZ67&lt;=10%,BZ67&gt;=-4.9999%),"Hold",AND(BZ67&lt;=-5%,BZ67&gt;=-14.999999%),"Sell",BZ67&lt;=-15%,"Strong Sell")</f>
        <v>Strong Buy</v>
      </c>
      <c r="BZ68" s="83"/>
      <c r="CA68" s="67"/>
    </row>
    <row r="69" spans="2:130" ht="15" customHeight="1">
      <c r="B69" s="1" t="s">
        <v>237</v>
      </c>
      <c r="AD69" s="1">
        <v>35418</v>
      </c>
      <c r="AE69" s="1">
        <v>38323</v>
      </c>
      <c r="AF69" s="1">
        <v>38370</v>
      </c>
      <c r="AG69" s="1">
        <v>37804</v>
      </c>
      <c r="AH69" s="1">
        <v>40014</v>
      </c>
      <c r="AI69" s="1">
        <v>39026</v>
      </c>
      <c r="AJ69" s="1">
        <v>37393</v>
      </c>
      <c r="AK69" s="1">
        <v>38641</v>
      </c>
      <c r="AL69" s="1">
        <v>41935</v>
      </c>
      <c r="AM69" s="1">
        <v>41353</v>
      </c>
      <c r="AN69" s="1">
        <v>41727</v>
      </c>
      <c r="AO69" s="1">
        <v>41182</v>
      </c>
      <c r="AP69" s="1">
        <v>39671</v>
      </c>
      <c r="AQ69" s="1">
        <v>41205</v>
      </c>
      <c r="AR69" s="1">
        <v>40923</v>
      </c>
      <c r="AS69" s="1">
        <v>40668</v>
      </c>
      <c r="BM69" s="1">
        <v>35418</v>
      </c>
      <c r="BN69" s="1">
        <v>40014</v>
      </c>
      <c r="BO69" s="1">
        <v>41935</v>
      </c>
      <c r="BP69" s="1">
        <v>39671</v>
      </c>
    </row>
    <row r="70" spans="2:130" ht="15" customHeight="1">
      <c r="B70" s="1" t="s">
        <v>236</v>
      </c>
      <c r="AD70" s="1">
        <f>2648+129</f>
        <v>2777</v>
      </c>
      <c r="AE70" s="1">
        <f>2731+95</f>
        <v>2826</v>
      </c>
      <c r="AF70" s="1">
        <f>2489+149</f>
        <v>2638</v>
      </c>
      <c r="AG70" s="1">
        <f>3554+151</f>
        <v>3705</v>
      </c>
      <c r="AH70" s="1">
        <f>4055+813</f>
        <v>4868</v>
      </c>
      <c r="AI70" s="1">
        <f>4164+577</f>
        <v>4741</v>
      </c>
      <c r="AJ70" s="1">
        <f>3433+791</f>
        <v>4224</v>
      </c>
      <c r="AK70" s="1">
        <f>3533+1137</f>
        <v>4670</v>
      </c>
      <c r="AL70" s="1">
        <v>6392</v>
      </c>
      <c r="AM70" s="1">
        <v>8385</v>
      </c>
      <c r="AN70" s="1">
        <v>8853</v>
      </c>
      <c r="AO70" s="1">
        <v>8921</v>
      </c>
      <c r="AP70" s="1">
        <v>8478</v>
      </c>
      <c r="AQ70" s="1">
        <v>5242</v>
      </c>
      <c r="AR70" s="1">
        <v>3906</v>
      </c>
      <c r="AS70" s="1">
        <v>4048</v>
      </c>
      <c r="BM70" s="1">
        <f>2648+129</f>
        <v>2777</v>
      </c>
      <c r="BN70" s="1">
        <f>4055+813</f>
        <v>4868</v>
      </c>
      <c r="BO70" s="1">
        <v>6392</v>
      </c>
      <c r="BP70" s="1">
        <v>8478</v>
      </c>
    </row>
    <row r="71" spans="2:130" ht="15" customHeight="1">
      <c r="B71" s="1" t="s">
        <v>235</v>
      </c>
      <c r="AD71" s="1">
        <v>2930</v>
      </c>
      <c r="AE71" s="1">
        <v>2794</v>
      </c>
      <c r="AF71" s="1">
        <v>2698</v>
      </c>
      <c r="AG71" s="1">
        <v>2800</v>
      </c>
      <c r="AH71" s="1">
        <v>2925</v>
      </c>
      <c r="AI71" s="1">
        <v>2938</v>
      </c>
      <c r="AJ71" s="1">
        <v>2615</v>
      </c>
      <c r="AK71" s="1">
        <v>2618</v>
      </c>
      <c r="AL71" s="1">
        <v>2973</v>
      </c>
      <c r="AM71" s="1">
        <v>3116</v>
      </c>
      <c r="AN71" s="1">
        <v>2954</v>
      </c>
      <c r="AO71" s="1">
        <v>3093</v>
      </c>
      <c r="AP71" s="1">
        <v>2939</v>
      </c>
      <c r="AQ71" s="1">
        <v>2981</v>
      </c>
      <c r="AR71" s="1">
        <v>3230</v>
      </c>
      <c r="AS71" s="1">
        <v>3403</v>
      </c>
      <c r="BM71" s="1">
        <v>2930</v>
      </c>
      <c r="BN71" s="1">
        <v>2925</v>
      </c>
      <c r="BO71" s="1">
        <v>2973</v>
      </c>
      <c r="BP71" s="1">
        <v>2939</v>
      </c>
    </row>
    <row r="72" spans="2:130" ht="15" customHeight="1">
      <c r="B72" s="1" t="s">
        <v>234</v>
      </c>
      <c r="AD72" s="1">
        <v>8939</v>
      </c>
      <c r="AE72" s="1">
        <v>8942</v>
      </c>
      <c r="AF72" s="1">
        <v>8945</v>
      </c>
      <c r="AG72" s="1">
        <v>7949</v>
      </c>
      <c r="AH72" s="1">
        <v>10417</v>
      </c>
      <c r="AI72" s="1">
        <v>10481</v>
      </c>
      <c r="AJ72" s="1">
        <v>10549</v>
      </c>
      <c r="AK72" s="1">
        <v>10640</v>
      </c>
      <c r="AL72" s="1">
        <v>9676</v>
      </c>
      <c r="AM72" s="1">
        <v>9683</v>
      </c>
      <c r="AN72" s="1">
        <v>9727</v>
      </c>
      <c r="AO72" s="1">
        <v>9976</v>
      </c>
      <c r="AP72" s="1">
        <v>9879</v>
      </c>
      <c r="AQ72" s="1">
        <v>11417</v>
      </c>
      <c r="AR72" s="1">
        <v>11296</v>
      </c>
      <c r="AS72" s="1">
        <v>11276</v>
      </c>
      <c r="BM72" s="1">
        <v>8939</v>
      </c>
      <c r="BN72" s="1">
        <v>10417</v>
      </c>
      <c r="BO72" s="1">
        <v>9676</v>
      </c>
      <c r="BP72" s="1">
        <v>9879</v>
      </c>
    </row>
    <row r="73" spans="2:130" s="2" customFormat="1" ht="15" customHeight="1">
      <c r="B73" s="2" t="s">
        <v>233</v>
      </c>
      <c r="AD73" s="2">
        <f t="shared" ref="AD73:AQ73" si="107">SUM(AD68:AD72)</f>
        <v>50316</v>
      </c>
      <c r="AE73" s="2">
        <f t="shared" si="107"/>
        <v>53076</v>
      </c>
      <c r="AF73" s="2">
        <f t="shared" si="107"/>
        <v>52911</v>
      </c>
      <c r="AG73" s="2">
        <f t="shared" si="107"/>
        <v>52444</v>
      </c>
      <c r="AH73" s="2">
        <f t="shared" si="107"/>
        <v>58350</v>
      </c>
      <c r="AI73" s="2">
        <f t="shared" si="107"/>
        <v>57328</v>
      </c>
      <c r="AJ73" s="2">
        <f t="shared" si="107"/>
        <v>54918</v>
      </c>
      <c r="AK73" s="2">
        <f t="shared" si="107"/>
        <v>56700</v>
      </c>
      <c r="AL73" s="2">
        <f t="shared" si="107"/>
        <v>61115</v>
      </c>
      <c r="AM73" s="2">
        <f t="shared" si="107"/>
        <v>62645</v>
      </c>
      <c r="AN73" s="2">
        <f t="shared" si="107"/>
        <v>63394</v>
      </c>
      <c r="AO73" s="2">
        <f t="shared" si="107"/>
        <v>63337</v>
      </c>
      <c r="AP73" s="2">
        <f t="shared" si="107"/>
        <v>61194</v>
      </c>
      <c r="AQ73" s="2">
        <f t="shared" si="107"/>
        <v>61020</v>
      </c>
      <c r="AR73" s="2">
        <f t="shared" ref="AR73:AS73" si="108">SUM(AR68:AR72)</f>
        <v>59576</v>
      </c>
      <c r="AS73" s="2">
        <f t="shared" si="108"/>
        <v>59603</v>
      </c>
      <c r="AT73" s="33"/>
      <c r="AU73" s="33"/>
      <c r="AV73" s="33"/>
      <c r="AW73" s="33"/>
      <c r="AX73" s="33"/>
      <c r="BM73" s="2">
        <f>SUM(BM68:BM72)</f>
        <v>50316</v>
      </c>
      <c r="BN73" s="2">
        <f>SUM(BN68:BN72)</f>
        <v>58350</v>
      </c>
      <c r="BO73" s="2">
        <f>SUM(BO68:BO72)</f>
        <v>61115</v>
      </c>
      <c r="BP73" s="2">
        <f>SUM(BP68:BP72)</f>
        <v>61194</v>
      </c>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row>
    <row r="74" spans="2:130" ht="15" customHeight="1">
      <c r="B74" s="1" t="s">
        <v>232</v>
      </c>
      <c r="AD74" s="1">
        <v>20063</v>
      </c>
      <c r="AE74" s="1">
        <v>19441</v>
      </c>
      <c r="AF74" s="1">
        <v>20905</v>
      </c>
      <c r="AG74" s="1">
        <v>22090</v>
      </c>
      <c r="AH74" s="1">
        <v>20274</v>
      </c>
      <c r="AI74" s="1">
        <v>19858</v>
      </c>
      <c r="AJ74" s="1">
        <v>19661</v>
      </c>
      <c r="AK74" s="1">
        <v>19740</v>
      </c>
      <c r="AL74" s="1">
        <v>21051</v>
      </c>
      <c r="AM74" s="1">
        <v>20702</v>
      </c>
      <c r="AN74" s="1">
        <v>20622</v>
      </c>
      <c r="AO74" s="1">
        <v>20174</v>
      </c>
      <c r="AP74" s="1">
        <v>20417</v>
      </c>
      <c r="AQ74" s="1">
        <v>20254</v>
      </c>
      <c r="AR74" s="1">
        <v>20201</v>
      </c>
      <c r="AS74" s="1">
        <v>20198</v>
      </c>
      <c r="BM74" s="1">
        <v>20063</v>
      </c>
      <c r="BN74" s="1">
        <v>20274</v>
      </c>
      <c r="BO74" s="1">
        <v>21051</v>
      </c>
      <c r="BP74" s="1">
        <v>20417</v>
      </c>
    </row>
    <row r="75" spans="2:130" s="2" customFormat="1" ht="15">
      <c r="B75" s="2" t="s">
        <v>231</v>
      </c>
      <c r="AD75" s="2">
        <f t="shared" ref="AD75:AQ75" si="109">AD74+AD73</f>
        <v>70379</v>
      </c>
      <c r="AE75" s="2">
        <f t="shared" si="109"/>
        <v>72517</v>
      </c>
      <c r="AF75" s="2">
        <f t="shared" si="109"/>
        <v>73816</v>
      </c>
      <c r="AG75" s="2">
        <f t="shared" si="109"/>
        <v>74534</v>
      </c>
      <c r="AH75" s="2">
        <f t="shared" si="109"/>
        <v>78624</v>
      </c>
      <c r="AI75" s="2">
        <f t="shared" si="109"/>
        <v>77186</v>
      </c>
      <c r="AJ75" s="2">
        <f t="shared" si="109"/>
        <v>74579</v>
      </c>
      <c r="AK75" s="2">
        <f t="shared" si="109"/>
        <v>76440</v>
      </c>
      <c r="AL75" s="2">
        <f t="shared" si="109"/>
        <v>82166</v>
      </c>
      <c r="AM75" s="2">
        <f t="shared" si="109"/>
        <v>83347</v>
      </c>
      <c r="AN75" s="2">
        <f t="shared" si="109"/>
        <v>84016</v>
      </c>
      <c r="AO75" s="2">
        <f t="shared" si="109"/>
        <v>83511</v>
      </c>
      <c r="AP75" s="2">
        <f t="shared" si="109"/>
        <v>81611</v>
      </c>
      <c r="AQ75" s="2">
        <f t="shared" si="109"/>
        <v>81274</v>
      </c>
      <c r="AR75" s="2">
        <f t="shared" ref="AR75:AS75" si="110">AR74+AR73</f>
        <v>79777</v>
      </c>
      <c r="AS75" s="2">
        <f t="shared" si="110"/>
        <v>79801</v>
      </c>
      <c r="AT75" s="33"/>
      <c r="AU75" s="33"/>
      <c r="AV75" s="33"/>
      <c r="AW75" s="33"/>
      <c r="AX75" s="33"/>
      <c r="BM75" s="2">
        <f>BM74+BM73</f>
        <v>70379</v>
      </c>
      <c r="BN75" s="2">
        <f>BN74+BN73</f>
        <v>78624</v>
      </c>
      <c r="BO75" s="2">
        <f>BO74+BO73</f>
        <v>82166</v>
      </c>
      <c r="BP75" s="2">
        <f>BP74+BP73</f>
        <v>81611</v>
      </c>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row>
    <row r="77" spans="2:130">
      <c r="B77" s="1" t="s">
        <v>105</v>
      </c>
      <c r="AD77" s="37">
        <f t="shared" ref="AD77:AP77" si="111">SUM(AD54:AD60)/SUM(AD68:AD70)</f>
        <v>1.3263713683772467</v>
      </c>
      <c r="AE77" s="37">
        <f t="shared" si="111"/>
        <v>1.2925012094823416</v>
      </c>
      <c r="AF77" s="37">
        <f t="shared" si="111"/>
        <v>1.289885625666376</v>
      </c>
      <c r="AG77" s="37">
        <f t="shared" si="111"/>
        <v>1.2982371987048806</v>
      </c>
      <c r="AH77" s="37">
        <f t="shared" si="111"/>
        <v>1.2758620689655173</v>
      </c>
      <c r="AI77" s="37">
        <f t="shared" si="111"/>
        <v>1.2881186089412193</v>
      </c>
      <c r="AJ77" s="37">
        <f t="shared" si="111"/>
        <v>1.2962829908511759</v>
      </c>
      <c r="AK77" s="37">
        <f t="shared" si="111"/>
        <v>1.3036922793609871</v>
      </c>
      <c r="AL77" s="37">
        <f t="shared" si="111"/>
        <v>1.2909874963892214</v>
      </c>
      <c r="AM77" s="37">
        <f t="shared" si="111"/>
        <v>1.2780564137543635</v>
      </c>
      <c r="AN77" s="37">
        <f t="shared" si="111"/>
        <v>1.2417328890028199</v>
      </c>
      <c r="AO77" s="37">
        <f t="shared" si="111"/>
        <v>1.2467772738123657</v>
      </c>
      <c r="AP77" s="37">
        <f t="shared" si="111"/>
        <v>1.2628576153464528</v>
      </c>
      <c r="AQ77" s="37">
        <f>SUM(AQ54:AQ60)/SUM(AQ68:AQ70)</f>
        <v>1.3000514778430783</v>
      </c>
      <c r="AR77" s="37">
        <f>SUM(AR54:AR60)/SUM(AR68:AR70)</f>
        <v>1.3291675915649279</v>
      </c>
      <c r="AS77" s="37">
        <f>SUM(AS54:AS60)/SUM(AS68:AS70)</f>
        <v>1.3395067224646069</v>
      </c>
      <c r="BK77" s="37"/>
      <c r="BL77" s="37"/>
      <c r="BM77" s="37">
        <f>SUM(BM54:BM60)/SUM(BM68:BM70)</f>
        <v>1.3263713683772467</v>
      </c>
      <c r="BN77" s="37">
        <f>SUM(BN54:BN60)/SUM(BN68:BN70)</f>
        <v>1.2758620689655173</v>
      </c>
      <c r="BO77" s="37">
        <f>SUM(BO54:BO60)/SUM(BO68:BO70)</f>
        <v>1.2909874963892214</v>
      </c>
      <c r="BP77" s="37">
        <f>SUM(BP54:BP60)/SUM(BP68:BP70)</f>
        <v>1.2628576153464528</v>
      </c>
    </row>
    <row r="78" spans="2:130">
      <c r="B78" s="1" t="s">
        <v>106</v>
      </c>
      <c r="AD78" s="37">
        <f t="shared" ref="AD78:AP78" si="112">SUM(AD54:AD60)/SUM(AD68:AD70)</f>
        <v>1.3263713683772467</v>
      </c>
      <c r="AE78" s="37">
        <f t="shared" si="112"/>
        <v>1.2925012094823416</v>
      </c>
      <c r="AF78" s="37">
        <f t="shared" si="112"/>
        <v>1.289885625666376</v>
      </c>
      <c r="AG78" s="37">
        <f t="shared" si="112"/>
        <v>1.2982371987048806</v>
      </c>
      <c r="AH78" s="37">
        <f t="shared" si="112"/>
        <v>1.2758620689655173</v>
      </c>
      <c r="AI78" s="37">
        <f t="shared" si="112"/>
        <v>1.2881186089412193</v>
      </c>
      <c r="AJ78" s="37">
        <f t="shared" si="112"/>
        <v>1.2962829908511759</v>
      </c>
      <c r="AK78" s="37">
        <f t="shared" si="112"/>
        <v>1.3036922793609871</v>
      </c>
      <c r="AL78" s="37">
        <f t="shared" si="112"/>
        <v>1.2909874963892214</v>
      </c>
      <c r="AM78" s="37">
        <f t="shared" si="112"/>
        <v>1.2780564137543635</v>
      </c>
      <c r="AN78" s="37">
        <f t="shared" si="112"/>
        <v>1.2417328890028199</v>
      </c>
      <c r="AO78" s="37">
        <f t="shared" si="112"/>
        <v>1.2467772738123657</v>
      </c>
      <c r="AP78" s="37">
        <f t="shared" si="112"/>
        <v>1.2628576153464528</v>
      </c>
      <c r="AQ78" s="37">
        <f>SUM(AQ54:AQ60)/SUM(AQ68:AQ70)</f>
        <v>1.3000514778430783</v>
      </c>
      <c r="AR78" s="37">
        <f>SUM(AR54:AR60)/SUM(AR68:AR70)</f>
        <v>1.3291675915649279</v>
      </c>
      <c r="AS78" s="37">
        <f>SUM(AS54:AS60)/SUM(AS68:AS70)</f>
        <v>1.3395067224646069</v>
      </c>
      <c r="BK78" s="37"/>
      <c r="BL78" s="37"/>
      <c r="BM78" s="37">
        <f>SUM(BM54:BM60)/SUM(BM68:BM70)</f>
        <v>1.3263713683772467</v>
      </c>
      <c r="BN78" s="37">
        <f>SUM(BN54:BN60)/SUM(BN68:BN70)</f>
        <v>1.2758620689655173</v>
      </c>
      <c r="BO78" s="37">
        <f>SUM(BO54:BO60)/SUM(BO68:BO70)</f>
        <v>1.2909874963892214</v>
      </c>
      <c r="BP78" s="37">
        <f>SUM(BP54:BP60)/SUM(BP68:BP70)</f>
        <v>1.2628576153464528</v>
      </c>
    </row>
    <row r="79" spans="2:130">
      <c r="B79" s="1" t="s">
        <v>107</v>
      </c>
      <c r="AD79" s="37">
        <f t="shared" ref="AD79:AP79" si="113">(SUM(AD54:AD55)+SUM(AD59))/(SUM(AD68:AD70))</f>
        <v>1.2094831846437955</v>
      </c>
      <c r="AE79" s="37">
        <f t="shared" si="113"/>
        <v>1.1782535074987905</v>
      </c>
      <c r="AF79" s="37">
        <f t="shared" si="113"/>
        <v>1.1647038867887951</v>
      </c>
      <c r="AG79" s="37">
        <f t="shared" si="113"/>
        <v>1.1607147139944838</v>
      </c>
      <c r="AH79" s="37">
        <f t="shared" si="113"/>
        <v>1.0471916103803769</v>
      </c>
      <c r="AI79" s="37">
        <f t="shared" si="113"/>
        <v>1.0461636566535335</v>
      </c>
      <c r="AJ79" s="37">
        <f t="shared" si="113"/>
        <v>1.0428940939790199</v>
      </c>
      <c r="AK79" s="37">
        <f t="shared" si="113"/>
        <v>1.0632107177385939</v>
      </c>
      <c r="AL79" s="37">
        <f t="shared" si="113"/>
        <v>1.0934469525027855</v>
      </c>
      <c r="AM79" s="37">
        <f t="shared" si="113"/>
        <v>1.0566745576375236</v>
      </c>
      <c r="AN79" s="37">
        <f t="shared" si="113"/>
        <v>1.0321416599294067</v>
      </c>
      <c r="AO79" s="37">
        <f t="shared" si="113"/>
        <v>1.0165711784833293</v>
      </c>
      <c r="AP79" s="37">
        <f t="shared" si="113"/>
        <v>1.0024392260625103</v>
      </c>
      <c r="AQ79" s="37">
        <f>(SUM(AQ54:AQ55)+SUM(AQ59))/(SUM(AQ68:AQ70))</f>
        <v>1.0813778902663977</v>
      </c>
      <c r="AR79" s="37">
        <f>(SUM(AR54:AR55)+SUM(AR59))/(SUM(AR68:AR70))</f>
        <v>1.0861487236403995</v>
      </c>
      <c r="AS79" s="37">
        <f>(SUM(AS54:AS55)+SUM(AS59))/(SUM(AS68:AS70))</f>
        <v>1.1001469147894221</v>
      </c>
      <c r="BK79" s="37"/>
      <c r="BL79" s="37"/>
      <c r="BM79" s="37">
        <f>(SUM(BM54:BM55)+SUM(BM59))/(SUM(BM68:BM70))</f>
        <v>1.2094831846437955</v>
      </c>
      <c r="BN79" s="37">
        <f>(SUM(BN54:BN55)+SUM(BN59))/(SUM(BN68:BN70))</f>
        <v>1.0471916103803769</v>
      </c>
      <c r="BO79" s="37">
        <f>(SUM(BO54:BO55)+SUM(BO59))/(SUM(BO68:BO70))</f>
        <v>1.0934469525027855</v>
      </c>
      <c r="BP79" s="37">
        <f>(SUM(BP54:BP55)+SUM(BP59))/(SUM(BP68:BP70))</f>
        <v>1.0024392260625103</v>
      </c>
    </row>
    <row r="80" spans="2:130">
      <c r="B80" s="1" t="s">
        <v>108</v>
      </c>
      <c r="AD80" s="37">
        <f t="shared" ref="AD80:AS80" si="114">AD6/AD66</f>
        <v>9.8296366813964392E-2</v>
      </c>
      <c r="AE80" s="37">
        <f t="shared" si="114"/>
        <v>8.9399726960574757E-2</v>
      </c>
      <c r="AF80" s="37">
        <f t="shared" si="114"/>
        <v>9.2202232578302804E-2</v>
      </c>
      <c r="AG80" s="37">
        <f t="shared" si="114"/>
        <v>9.1850699009847853E-2</v>
      </c>
      <c r="AH80" s="37">
        <f t="shared" si="114"/>
        <v>9.3902625152625152E-2</v>
      </c>
      <c r="AI80" s="37">
        <f t="shared" si="114"/>
        <v>9.120825020081362E-2</v>
      </c>
      <c r="AJ80" s="37">
        <f t="shared" si="114"/>
        <v>9.7708470212794482E-2</v>
      </c>
      <c r="AK80" s="37">
        <f t="shared" si="114"/>
        <v>9.704343275771847E-2</v>
      </c>
      <c r="AL80" s="37">
        <f t="shared" si="114"/>
        <v>9.7680305722561644E-2</v>
      </c>
      <c r="AM80" s="37">
        <f t="shared" si="114"/>
        <v>9.2372850852460192E-2</v>
      </c>
      <c r="AN80" s="37">
        <f t="shared" si="114"/>
        <v>9.3851171205484668E-2</v>
      </c>
      <c r="AO80" s="37">
        <f t="shared" si="114"/>
        <v>9.3963669456718274E-2</v>
      </c>
      <c r="AP80" s="37">
        <f t="shared" si="114"/>
        <v>0.10251069096077735</v>
      </c>
      <c r="AQ80" s="37">
        <f t="shared" si="114"/>
        <v>9.5860914929743829E-2</v>
      </c>
      <c r="AR80" s="37">
        <f t="shared" si="114"/>
        <v>0.10388959223836444</v>
      </c>
      <c r="AS80" s="37">
        <f t="shared" si="114"/>
        <v>0.10547486873598075</v>
      </c>
      <c r="BK80" s="37"/>
      <c r="BL80" s="37"/>
      <c r="BM80" s="37">
        <f>BM6/BM66</f>
        <v>0.36049105557055372</v>
      </c>
      <c r="BN80" s="37">
        <f>BN6/BN66</f>
        <v>0.34999491249491249</v>
      </c>
      <c r="BO80" s="37">
        <f>BO6/BO66</f>
        <v>0.36232748338728915</v>
      </c>
      <c r="BP80" s="37">
        <f>BP6/BP66</f>
        <v>0.3896165958020365</v>
      </c>
    </row>
    <row r="81" spans="1:68">
      <c r="B81" s="1" t="s">
        <v>109</v>
      </c>
      <c r="AD81" s="44">
        <f t="shared" ref="AD81:AQ81" si="115">AD41/AD75</f>
        <v>1.1381235880021028E-2</v>
      </c>
      <c r="AE81" s="44">
        <f t="shared" si="115"/>
        <v>7.0190438104168681E-3</v>
      </c>
      <c r="AF81" s="44">
        <f t="shared" si="115"/>
        <v>-4.6195946678226942E-3</v>
      </c>
      <c r="AG81" s="44">
        <f t="shared" si="115"/>
        <v>1.7844205329111545E-2</v>
      </c>
      <c r="AH81" s="44">
        <f t="shared" si="115"/>
        <v>1.1713980463980464E-2</v>
      </c>
      <c r="AI81" s="44">
        <f t="shared" si="115"/>
        <v>1.0299795299665742E-2</v>
      </c>
      <c r="AJ81" s="44">
        <f t="shared" si="115"/>
        <v>1.3797449684227463E-2</v>
      </c>
      <c r="AK81" s="44">
        <f t="shared" si="115"/>
        <v>1.3343799058084773E-2</v>
      </c>
      <c r="AL81" s="44">
        <f t="shared" si="115"/>
        <v>1.7063018766886547E-2</v>
      </c>
      <c r="AM81" s="44">
        <f t="shared" si="115"/>
        <v>1.0654252702556781E-2</v>
      </c>
      <c r="AN81" s="44">
        <f t="shared" si="115"/>
        <v>1.34260140925538E-2</v>
      </c>
      <c r="AO81" s="44">
        <f t="shared" si="115"/>
        <v>1.2094215133335728E-2</v>
      </c>
      <c r="AP81" s="44">
        <f t="shared" si="115"/>
        <v>1.3735893445736481E-2</v>
      </c>
      <c r="AQ81" s="44">
        <f t="shared" si="115"/>
        <v>1.5835322489356991E-2</v>
      </c>
      <c r="AR81" s="44">
        <f t="shared" ref="AR81:AS81" si="116">AR41/AR75</f>
        <v>1.5806560788197099E-2</v>
      </c>
      <c r="AS81" s="44">
        <f t="shared" si="116"/>
        <v>1.5638901768148267E-2</v>
      </c>
      <c r="BK81" s="44"/>
      <c r="BL81" s="44"/>
      <c r="BM81" s="44">
        <f>BM41/BM75</f>
        <v>5.9236419954816065E-2</v>
      </c>
      <c r="BN81" s="44">
        <f>BN41/BN75</f>
        <v>3.0766687016687017E-2</v>
      </c>
      <c r="BO81" s="44">
        <f>BO41/BO75</f>
        <v>5.1675875666334005E-2</v>
      </c>
      <c r="BP81" s="44">
        <f>BP41/BP75</f>
        <v>5.0814228474102753E-2</v>
      </c>
    </row>
    <row r="82" spans="1:68">
      <c r="B82" s="1" t="s">
        <v>110</v>
      </c>
      <c r="AD82" s="44">
        <f t="shared" ref="AD82:AQ82" si="117">AD41/AD74</f>
        <v>3.992423864825799E-2</v>
      </c>
      <c r="AE82" s="44">
        <f t="shared" si="117"/>
        <v>2.6181780772594001E-2</v>
      </c>
      <c r="AF82" s="44">
        <f t="shared" si="117"/>
        <v>-1.6311887108347287E-2</v>
      </c>
      <c r="AG82" s="44">
        <f t="shared" si="117"/>
        <v>6.0208239022181982E-2</v>
      </c>
      <c r="AH82" s="44">
        <f t="shared" si="117"/>
        <v>4.5427641313998221E-2</v>
      </c>
      <c r="AI82" s="44">
        <f t="shared" si="117"/>
        <v>4.0034243126195988E-2</v>
      </c>
      <c r="AJ82" s="44">
        <f t="shared" si="117"/>
        <v>5.2337114083719036E-2</v>
      </c>
      <c r="AK82" s="44">
        <f t="shared" si="117"/>
        <v>5.1671732522796353E-2</v>
      </c>
      <c r="AL82" s="44">
        <f t="shared" si="117"/>
        <v>6.6600161512517214E-2</v>
      </c>
      <c r="AM82" s="44">
        <f t="shared" si="117"/>
        <v>4.2894406337551927E-2</v>
      </c>
      <c r="AN82" s="44">
        <f t="shared" si="117"/>
        <v>5.4698865289496655E-2</v>
      </c>
      <c r="AO82" s="44">
        <f t="shared" si="117"/>
        <v>5.0064439377416475E-2</v>
      </c>
      <c r="AP82" s="44">
        <f t="shared" si="117"/>
        <v>5.4905226037125922E-2</v>
      </c>
      <c r="AQ82" s="44">
        <f t="shared" si="117"/>
        <v>6.3543003851091143E-2</v>
      </c>
      <c r="AR82" s="44">
        <f t="shared" ref="AR82:AS82" si="118">AR41/AR74</f>
        <v>6.2422652343943369E-2</v>
      </c>
      <c r="AS82" s="44">
        <f t="shared" si="118"/>
        <v>6.1788295870878307E-2</v>
      </c>
      <c r="BK82" s="44"/>
      <c r="BL82" s="44"/>
      <c r="BM82" s="44">
        <f>BM41/BM74</f>
        <v>0.20779544435029657</v>
      </c>
      <c r="BN82" s="44">
        <f>BN41/BN74</f>
        <v>0.11931537930354148</v>
      </c>
      <c r="BO82" s="44">
        <f>BO41/BO74</f>
        <v>0.20170063179896441</v>
      </c>
      <c r="BP82" s="44">
        <f>BP41/BP74</f>
        <v>0.20311505118283782</v>
      </c>
    </row>
    <row r="84" spans="1:68" hidden="1">
      <c r="B84" s="1" t="s">
        <v>111</v>
      </c>
      <c r="W84" s="1">
        <f t="shared" ref="W84:AQ84" si="119">W41</f>
        <v>84</v>
      </c>
      <c r="X84" s="1">
        <f t="shared" si="119"/>
        <v>1530</v>
      </c>
      <c r="Y84" s="1">
        <f t="shared" si="119"/>
        <v>1021</v>
      </c>
      <c r="Z84" s="1">
        <f t="shared" si="119"/>
        <v>1567</v>
      </c>
      <c r="AA84" s="1">
        <f t="shared" si="119"/>
        <v>1097</v>
      </c>
      <c r="AB84" s="1">
        <f t="shared" si="119"/>
        <v>1184</v>
      </c>
      <c r="AC84" s="1">
        <f t="shared" si="119"/>
        <v>1087</v>
      </c>
      <c r="AD84" s="1">
        <f t="shared" si="119"/>
        <v>801</v>
      </c>
      <c r="AE84" s="1">
        <f t="shared" si="119"/>
        <v>509</v>
      </c>
      <c r="AF84" s="1">
        <f t="shared" si="119"/>
        <v>-341</v>
      </c>
      <c r="AG84" s="1">
        <f t="shared" si="119"/>
        <v>1330</v>
      </c>
      <c r="AH84" s="1">
        <f t="shared" si="119"/>
        <v>921</v>
      </c>
      <c r="AI84" s="1">
        <f t="shared" si="119"/>
        <v>795</v>
      </c>
      <c r="AJ84" s="1">
        <f t="shared" si="119"/>
        <v>1029</v>
      </c>
      <c r="AK84" s="1">
        <f t="shared" si="119"/>
        <v>1020</v>
      </c>
      <c r="AL84" s="1">
        <f t="shared" si="119"/>
        <v>1402</v>
      </c>
      <c r="AM84" s="1">
        <f t="shared" si="119"/>
        <v>888</v>
      </c>
      <c r="AN84" s="1">
        <f t="shared" si="119"/>
        <v>1128</v>
      </c>
      <c r="AO84" s="1">
        <f t="shared" si="119"/>
        <v>1010</v>
      </c>
      <c r="AP84" s="1">
        <f t="shared" si="119"/>
        <v>1121</v>
      </c>
      <c r="AQ84" s="1">
        <f t="shared" si="119"/>
        <v>1287</v>
      </c>
      <c r="AR84" s="1">
        <f t="shared" ref="AR84:AS84" si="120">AR41</f>
        <v>1261</v>
      </c>
      <c r="AS84" s="1">
        <f t="shared" si="120"/>
        <v>1248</v>
      </c>
      <c r="BL84" s="1">
        <f>SUM(Model!C80:F80)</f>
        <v>0</v>
      </c>
      <c r="BM84" s="1">
        <f>SUM(Model!G80:J80)</f>
        <v>0</v>
      </c>
      <c r="BN84" s="1">
        <f>SUM(Model!K80:N80)</f>
        <v>0</v>
      </c>
      <c r="BO84" s="1">
        <f>SUM(Model!O80:R80)</f>
        <v>0</v>
      </c>
      <c r="BP84" s="1">
        <f>SUM(Model!S80:V80)</f>
        <v>0</v>
      </c>
    </row>
    <row r="85" spans="1:68" hidden="1">
      <c r="B85" s="1" t="s">
        <v>230</v>
      </c>
      <c r="W85" s="1">
        <v>591</v>
      </c>
      <c r="X85" s="1">
        <f>1031-W85</f>
        <v>440</v>
      </c>
      <c r="Y85" s="1">
        <f>1184-SUM(W85:X85)</f>
        <v>153</v>
      </c>
      <c r="Z85" s="1">
        <f>1741-SUM(W85:Y85)</f>
        <v>557</v>
      </c>
      <c r="AA85" s="1">
        <v>273</v>
      </c>
      <c r="AB85" s="1">
        <f>442-AA85</f>
        <v>169</v>
      </c>
      <c r="AC85" s="1">
        <f>710-SUM(AA85:AB85)</f>
        <v>268</v>
      </c>
      <c r="AD85" s="1">
        <f>1572-SUM(AA85:AC85)</f>
        <v>862</v>
      </c>
      <c r="AE85" s="1">
        <v>369</v>
      </c>
      <c r="AF85" s="1">
        <f>817-AE85</f>
        <v>448</v>
      </c>
      <c r="AG85" s="1">
        <f>1184-SUM(AE85:AF85)</f>
        <v>367</v>
      </c>
      <c r="AH85" s="1">
        <f>1572-SUM(AE85:AG85)</f>
        <v>388</v>
      </c>
      <c r="AI85" s="1">
        <v>442</v>
      </c>
      <c r="AJ85" s="1">
        <f>840-AI85</f>
        <v>398</v>
      </c>
      <c r="AK85" s="1">
        <f>1286-SUM(AI85:AJ85)</f>
        <v>446</v>
      </c>
      <c r="AL85" s="1">
        <f>1682-SUM(AI85:AK85)</f>
        <v>396</v>
      </c>
      <c r="AM85" s="1">
        <v>321</v>
      </c>
      <c r="AN85" s="1">
        <f>656-AM85</f>
        <v>335</v>
      </c>
      <c r="AO85" s="1">
        <f>1008-SUM(AM85:AN85)</f>
        <v>352</v>
      </c>
      <c r="AP85" s="1">
        <f>1442-SUM(AM85:AO85)</f>
        <v>434</v>
      </c>
      <c r="AQ85" s="1">
        <v>371</v>
      </c>
      <c r="AR85" s="1">
        <v>371</v>
      </c>
      <c r="AS85" s="1">
        <v>371</v>
      </c>
      <c r="BL85" s="1">
        <f>SUM(Model!C81:F81)</f>
        <v>0</v>
      </c>
      <c r="BM85" s="1">
        <f>SUM(Model!G81:J81)</f>
        <v>0</v>
      </c>
      <c r="BN85" s="1">
        <f>SUM(Model!K81:N81)</f>
        <v>0</v>
      </c>
      <c r="BO85" s="1">
        <f>SUM(Model!O81:R81)</f>
        <v>0</v>
      </c>
      <c r="BP85" s="1">
        <f>SUM(Model!S81:V81)</f>
        <v>0</v>
      </c>
    </row>
    <row r="86" spans="1:68" hidden="1">
      <c r="B86" s="1" t="s">
        <v>229</v>
      </c>
      <c r="W86" s="1">
        <v>293</v>
      </c>
      <c r="X86" s="1">
        <f>590-W86</f>
        <v>297</v>
      </c>
      <c r="Y86" s="1">
        <f>1184-SUM(W86:X86)</f>
        <v>594</v>
      </c>
      <c r="Z86" s="1">
        <f>1189-SUM(W86:Y86)</f>
        <v>5</v>
      </c>
      <c r="AA86" s="1">
        <v>300</v>
      </c>
      <c r="AB86" s="1">
        <f>616-AA86</f>
        <v>316</v>
      </c>
      <c r="AC86" s="1">
        <f>939-SUM(AA86:AB86)</f>
        <v>323</v>
      </c>
      <c r="AD86" s="1">
        <f>1317-SUM(AA86:AC86)</f>
        <v>378</v>
      </c>
      <c r="AE86" s="1">
        <v>328</v>
      </c>
      <c r="AF86" s="1">
        <f>661-AE86</f>
        <v>333</v>
      </c>
      <c r="AG86" s="1">
        <f>991-SUM(AE86:AF86)</f>
        <v>330</v>
      </c>
      <c r="AH86" s="1">
        <f>1317-SUM(AE86:AG86)</f>
        <v>326</v>
      </c>
      <c r="AI86" s="1">
        <v>270</v>
      </c>
      <c r="AJ86" s="1">
        <f>539-AI86</f>
        <v>269</v>
      </c>
      <c r="AK86" s="1">
        <f>809-SUM(AI86:AJ86)</f>
        <v>270</v>
      </c>
      <c r="AL86" s="1">
        <f>1072-SUM(AI86:AK86)</f>
        <v>263</v>
      </c>
      <c r="AM86" s="1">
        <v>265</v>
      </c>
      <c r="AN86" s="1">
        <f>528-AM86</f>
        <v>263</v>
      </c>
      <c r="AO86" s="1">
        <f>783-SUM(AM86:AN86)</f>
        <v>255</v>
      </c>
      <c r="AP86" s="1">
        <f>1032-SUM(AM86:AO86)</f>
        <v>249</v>
      </c>
      <c r="AQ86" s="1">
        <v>245</v>
      </c>
      <c r="AR86" s="1">
        <v>245</v>
      </c>
      <c r="AS86" s="1">
        <v>245</v>
      </c>
      <c r="BL86" s="1">
        <f>SUM(Model!C82:F82)</f>
        <v>0</v>
      </c>
      <c r="BM86" s="1">
        <f>SUM(Model!G82:J82)</f>
        <v>0</v>
      </c>
      <c r="BN86" s="1">
        <f>SUM(Model!K82:N82)</f>
        <v>0</v>
      </c>
      <c r="BO86" s="1">
        <f>SUM(Model!O82:R82)</f>
        <v>0</v>
      </c>
      <c r="BP86" s="1">
        <f>SUM(Model!S82:V82)</f>
        <v>0</v>
      </c>
    </row>
    <row r="87" spans="1:68" hidden="1">
      <c r="A87" s="43" t="s">
        <v>228</v>
      </c>
      <c r="B87" s="1" t="s">
        <v>227</v>
      </c>
      <c r="W87" s="1">
        <v>283</v>
      </c>
      <c r="X87" s="1">
        <f>635-W87</f>
        <v>352</v>
      </c>
      <c r="Y87" s="1">
        <f>1184-SUM(W87:X87)</f>
        <v>549</v>
      </c>
      <c r="Z87" s="1">
        <f>1376-SUM(W87:Y87)</f>
        <v>192</v>
      </c>
      <c r="AA87" s="1">
        <v>368</v>
      </c>
      <c r="AB87" s="1">
        <f>758-AA87</f>
        <v>390</v>
      </c>
      <c r="AC87" s="1">
        <f>1058-SUM(AA87:AB87)</f>
        <v>300</v>
      </c>
      <c r="AD87" s="1">
        <f>1261-SUM(AA87:AC87)</f>
        <v>203</v>
      </c>
      <c r="AE87" s="1">
        <v>429</v>
      </c>
      <c r="AF87" s="1">
        <f>741-AE87</f>
        <v>312</v>
      </c>
      <c r="AG87" s="1">
        <f>967-SUM(AE87:AF87)</f>
        <v>226</v>
      </c>
      <c r="AH87" s="1">
        <f>1261-SUM(AE87:AG87)</f>
        <v>294</v>
      </c>
      <c r="AI87" s="1">
        <v>345</v>
      </c>
      <c r="AJ87" s="1">
        <f>708-AI87</f>
        <v>363</v>
      </c>
      <c r="AK87" s="1">
        <f>1087-SUM(AI87:AJ87)</f>
        <v>379</v>
      </c>
      <c r="AL87" s="1">
        <f>1475-SUM(AI87:AK87)</f>
        <v>388</v>
      </c>
      <c r="AM87" s="1">
        <v>365</v>
      </c>
      <c r="AN87" s="1">
        <f>663-AM87</f>
        <v>298</v>
      </c>
      <c r="AO87" s="1">
        <f>947-SUM(AM87:AN87)</f>
        <v>284</v>
      </c>
      <c r="AP87" s="1">
        <f>1230-SUM(AM87:AO87)</f>
        <v>283</v>
      </c>
      <c r="AQ87" s="1">
        <v>249</v>
      </c>
      <c r="AR87" s="1">
        <v>249</v>
      </c>
      <c r="AS87" s="1">
        <v>249</v>
      </c>
      <c r="BL87" s="1">
        <f>SUM(Model!C83:F83)</f>
        <v>0</v>
      </c>
      <c r="BM87" s="1">
        <f>SUM(Model!G83:J83)</f>
        <v>0</v>
      </c>
      <c r="BN87" s="1">
        <f>SUM(Model!K83:N83)</f>
        <v>0</v>
      </c>
      <c r="BO87" s="1">
        <f>SUM(Model!O83:R83)</f>
        <v>0</v>
      </c>
      <c r="BP87" s="1">
        <f>SUM(Model!S83:V83)</f>
        <v>0</v>
      </c>
    </row>
    <row r="88" spans="1:68" hidden="1">
      <c r="B88" s="1" t="s">
        <v>226</v>
      </c>
      <c r="W88" s="1">
        <v>-79</v>
      </c>
      <c r="X88" s="1">
        <f>31-W88</f>
        <v>110</v>
      </c>
      <c r="Y88" s="1">
        <f>1184-SUM(W88:X88)</f>
        <v>1153</v>
      </c>
      <c r="Z88" s="1">
        <f>165-SUM(W88:Y88)</f>
        <v>-1019</v>
      </c>
      <c r="AA88" s="1">
        <v>0</v>
      </c>
      <c r="AB88" s="1">
        <f>--103-AA88</f>
        <v>103</v>
      </c>
      <c r="AC88" s="1">
        <f>-175-SUM(AA88:AB88)</f>
        <v>-278</v>
      </c>
      <c r="AD88" s="1">
        <f>-811-SUM(AA88:AC88)</f>
        <v>-636</v>
      </c>
      <c r="AE88" s="1">
        <v>-16</v>
      </c>
      <c r="AF88" s="1">
        <f>-457-AE88</f>
        <v>-441</v>
      </c>
      <c r="AG88" s="1">
        <f>-538-SUM(AE88:AF88)</f>
        <v>-81</v>
      </c>
      <c r="AH88" s="1">
        <f>-811-SUM(AE88:AG88)</f>
        <v>-273</v>
      </c>
      <c r="AI88" s="1">
        <v>-67</v>
      </c>
      <c r="AJ88" s="1">
        <f>-146-AI88</f>
        <v>-79</v>
      </c>
      <c r="AK88" s="1">
        <f>-439-SUM(AI88:AJ88)</f>
        <v>-293</v>
      </c>
      <c r="AL88" s="1">
        <f>-668-SUM(AI88:AK88)</f>
        <v>-229</v>
      </c>
      <c r="AM88" s="1">
        <v>52</v>
      </c>
      <c r="AN88" s="1">
        <f>29-AM88</f>
        <v>-23</v>
      </c>
      <c r="AO88" s="1">
        <f>8-SUM(AM88:AN88)</f>
        <v>-21</v>
      </c>
      <c r="AP88" s="1">
        <f>231-SUM(AM88:AO88)</f>
        <v>223</v>
      </c>
      <c r="AQ88" s="1">
        <v>-6</v>
      </c>
      <c r="AR88" s="1">
        <v>-6</v>
      </c>
      <c r="AS88" s="1">
        <v>-6</v>
      </c>
      <c r="BL88" s="1">
        <f>SUM(Model!C84:F84)</f>
        <v>0</v>
      </c>
      <c r="BM88" s="1">
        <f>SUM(Model!G84:J84)</f>
        <v>0</v>
      </c>
      <c r="BN88" s="1">
        <f>SUM(Model!K84:N84)</f>
        <v>0</v>
      </c>
      <c r="BO88" s="1">
        <f>SUM(Model!O84:R84)</f>
        <v>0</v>
      </c>
      <c r="BP88" s="1">
        <f>SUM(Model!S84:V84)</f>
        <v>0</v>
      </c>
    </row>
    <row r="89" spans="1:68" hidden="1">
      <c r="B89" s="1" t="s">
        <v>225</v>
      </c>
      <c r="W89" s="1">
        <v>124</v>
      </c>
      <c r="X89" s="1">
        <f>-764-W89</f>
        <v>-888</v>
      </c>
      <c r="Y89" s="1">
        <f>-973-SUM(W89:X89)</f>
        <v>-209</v>
      </c>
      <c r="Z89" s="1">
        <f>-1914-SUM(W89:Y89)</f>
        <v>-941</v>
      </c>
      <c r="AA89" s="1">
        <v>120</v>
      </c>
      <c r="AB89" s="1">
        <f>-163-AA89</f>
        <v>-283</v>
      </c>
      <c r="AC89" s="1">
        <f>-336-SUM(AA89:AB89)</f>
        <v>-173</v>
      </c>
      <c r="AD89" s="1">
        <f>304-SUM(AA89:AC89)</f>
        <v>640</v>
      </c>
      <c r="AE89" s="1">
        <v>-14</v>
      </c>
      <c r="AF89" s="1">
        <f>658-AE89</f>
        <v>672</v>
      </c>
      <c r="AG89" s="1">
        <f>163-SUM(AE89:AF89)</f>
        <v>-495</v>
      </c>
      <c r="AH89" s="1">
        <f>304-SUM(AE89:AG89)</f>
        <v>141</v>
      </c>
      <c r="AI89" s="1">
        <v>-48</v>
      </c>
      <c r="AJ89" s="1">
        <f>-181-AI89</f>
        <v>-133</v>
      </c>
      <c r="AK89" s="1">
        <f>-205-SUM(AI89:AJ89)</f>
        <v>-24</v>
      </c>
      <c r="AL89" s="1">
        <f>-201-SUM(AI89:AK89)</f>
        <v>4</v>
      </c>
      <c r="AM89" s="1">
        <v>49</v>
      </c>
      <c r="AN89" s="1">
        <f>55-AM89</f>
        <v>6</v>
      </c>
      <c r="AO89" s="1">
        <f>226-SUM(AM89:AN89)</f>
        <v>171</v>
      </c>
      <c r="AP89" s="1">
        <f>285-SUM(AM89:AO89)</f>
        <v>59</v>
      </c>
      <c r="AQ89" s="1">
        <v>-48</v>
      </c>
      <c r="AR89" s="1">
        <v>-48</v>
      </c>
      <c r="AS89" s="1">
        <v>-48</v>
      </c>
      <c r="BL89" s="1">
        <f>SUM(Model!C85:F85)</f>
        <v>0</v>
      </c>
      <c r="BM89" s="1">
        <f>SUM(Model!G85:J85)</f>
        <v>0</v>
      </c>
      <c r="BN89" s="1">
        <f>SUM(Model!K85:N85)</f>
        <v>0</v>
      </c>
      <c r="BO89" s="1">
        <f>SUM(Model!O85:R85)</f>
        <v>0</v>
      </c>
      <c r="BP89" s="1">
        <f>SUM(Model!S85:V85)</f>
        <v>0</v>
      </c>
    </row>
    <row r="90" spans="1:68" hidden="1">
      <c r="B90" s="1" t="s">
        <v>224</v>
      </c>
      <c r="W90" s="1">
        <v>0</v>
      </c>
      <c r="X90" s="1">
        <v>0</v>
      </c>
      <c r="Y90" s="1">
        <v>0</v>
      </c>
      <c r="Z90" s="1">
        <v>0</v>
      </c>
      <c r="AA90" s="1">
        <v>0</v>
      </c>
      <c r="AB90" s="1">
        <v>0</v>
      </c>
      <c r="AC90" s="1">
        <v>0</v>
      </c>
      <c r="AD90" s="1">
        <v>0</v>
      </c>
      <c r="AE90" s="1">
        <v>0</v>
      </c>
      <c r="AF90" s="1">
        <v>0</v>
      </c>
      <c r="AG90" s="1">
        <v>0</v>
      </c>
      <c r="AH90" s="1">
        <v>0</v>
      </c>
      <c r="AI90" s="1">
        <v>0</v>
      </c>
      <c r="AJ90" s="1">
        <v>0</v>
      </c>
      <c r="AK90" s="1">
        <v>0</v>
      </c>
      <c r="AL90" s="1">
        <v>-356</v>
      </c>
      <c r="AM90" s="1">
        <v>0</v>
      </c>
      <c r="AN90" s="1">
        <v>0</v>
      </c>
      <c r="AO90" s="1">
        <v>0</v>
      </c>
      <c r="AP90" s="1">
        <v>0</v>
      </c>
      <c r="AQ90" s="1">
        <v>0</v>
      </c>
      <c r="AR90" s="1">
        <v>0</v>
      </c>
      <c r="AS90" s="1">
        <v>0</v>
      </c>
      <c r="BL90" s="1">
        <f>SUM(Model!C86:F86)</f>
        <v>0</v>
      </c>
      <c r="BM90" s="1">
        <f>SUM(Model!G86:J86)</f>
        <v>0</v>
      </c>
      <c r="BN90" s="1">
        <f>SUM(Model!K86:N86)</f>
        <v>0</v>
      </c>
      <c r="BO90" s="1">
        <f>SUM(Model!O86:R86)</f>
        <v>0</v>
      </c>
      <c r="BP90" s="1">
        <f>SUM(Model!S86:V86)</f>
        <v>0</v>
      </c>
    </row>
    <row r="91" spans="1:68" hidden="1">
      <c r="B91" s="1" t="s">
        <v>223</v>
      </c>
      <c r="W91" s="1">
        <v>0</v>
      </c>
      <c r="X91" s="1">
        <v>0</v>
      </c>
      <c r="Y91" s="1">
        <v>0</v>
      </c>
      <c r="Z91" s="1">
        <v>0</v>
      </c>
      <c r="AA91" s="1">
        <v>0</v>
      </c>
      <c r="AB91" s="1">
        <v>0</v>
      </c>
      <c r="AC91" s="1">
        <v>0</v>
      </c>
      <c r="AD91" s="1">
        <v>0</v>
      </c>
      <c r="AE91" s="1">
        <v>0</v>
      </c>
      <c r="AF91" s="1">
        <v>0</v>
      </c>
      <c r="AG91" s="1">
        <v>0</v>
      </c>
      <c r="AH91" s="1">
        <f>-70-SUM(AE91:AG91)</f>
        <v>-70</v>
      </c>
      <c r="AI91" s="1">
        <v>-69</v>
      </c>
      <c r="AJ91" s="1">
        <f>-162-AI91</f>
        <v>-93</v>
      </c>
      <c r="AK91" s="1">
        <f>-265-SUM(AI91:AJ91)</f>
        <v>-103</v>
      </c>
      <c r="AL91" s="1">
        <f>-367-SUM(AI91:AK91)</f>
        <v>-102</v>
      </c>
      <c r="AM91" s="1">
        <v>-75</v>
      </c>
      <c r="AN91" s="1">
        <f>-197-AM91</f>
        <v>-122</v>
      </c>
      <c r="AO91" s="1">
        <f>-290-SUM(AM91:AN91)</f>
        <v>-93</v>
      </c>
      <c r="AP91" s="1">
        <f>-335-SUM(AM91:AO91)</f>
        <v>-45</v>
      </c>
      <c r="AQ91" s="1">
        <v>-30</v>
      </c>
      <c r="AR91" s="1">
        <v>-30</v>
      </c>
      <c r="AS91" s="1">
        <v>-30</v>
      </c>
      <c r="BL91" s="1">
        <f>SUM(Model!C87:F87)</f>
        <v>0</v>
      </c>
      <c r="BM91" s="1">
        <f>SUM(Model!G87:J87)</f>
        <v>0</v>
      </c>
      <c r="BN91" s="1">
        <f>SUM(Model!K87:N87)</f>
        <v>0</v>
      </c>
      <c r="BO91" s="1">
        <f>SUM(Model!O87:R87)</f>
        <v>0</v>
      </c>
      <c r="BP91" s="1">
        <f>SUM(Model!S87:V87)</f>
        <v>0</v>
      </c>
    </row>
    <row r="92" spans="1:68" hidden="1">
      <c r="B92" s="1" t="s">
        <v>222</v>
      </c>
      <c r="W92" s="1">
        <v>0</v>
      </c>
      <c r="X92" s="1">
        <v>0</v>
      </c>
      <c r="Y92" s="1">
        <v>0</v>
      </c>
      <c r="Z92" s="1">
        <v>0</v>
      </c>
      <c r="AA92" s="1">
        <v>0</v>
      </c>
      <c r="AB92" s="1">
        <v>0</v>
      </c>
      <c r="AC92" s="1">
        <v>0</v>
      </c>
      <c r="AD92" s="1">
        <v>0</v>
      </c>
      <c r="AE92" s="1">
        <v>0</v>
      </c>
      <c r="AF92" s="1">
        <v>0</v>
      </c>
      <c r="AG92" s="1">
        <v>0</v>
      </c>
      <c r="AH92" s="1">
        <v>0</v>
      </c>
      <c r="AI92" s="1">
        <v>0</v>
      </c>
      <c r="AJ92" s="1">
        <f>34-AI92</f>
        <v>34</v>
      </c>
      <c r="AK92" s="1">
        <f>49-SUM(AI92:AJ92)</f>
        <v>15</v>
      </c>
      <c r="AL92" s="1">
        <f>53-SUM(AI92:AK92)</f>
        <v>4</v>
      </c>
      <c r="AM92" s="1">
        <v>37</v>
      </c>
      <c r="AN92" s="1">
        <f>64-AM92</f>
        <v>27</v>
      </c>
      <c r="AO92" s="1">
        <f>92-SUM(AM92:AN92)</f>
        <v>28</v>
      </c>
      <c r="AP92" s="1">
        <f>125-SUM(AM92:AO92)</f>
        <v>33</v>
      </c>
      <c r="AQ92" s="1">
        <v>25</v>
      </c>
      <c r="AR92" s="1">
        <v>25</v>
      </c>
      <c r="AS92" s="1">
        <v>25</v>
      </c>
      <c r="BL92" s="1">
        <f>SUM(Model!C88:F88)</f>
        <v>0</v>
      </c>
      <c r="BM92" s="1">
        <f>SUM(Model!G88:J88)</f>
        <v>0</v>
      </c>
      <c r="BN92" s="1">
        <f>SUM(Model!K88:N88)</f>
        <v>0</v>
      </c>
      <c r="BO92" s="1">
        <f>SUM(Model!O88:R88)</f>
        <v>0</v>
      </c>
      <c r="BP92" s="1">
        <f>SUM(Model!S88:V88)</f>
        <v>0</v>
      </c>
    </row>
    <row r="93" spans="1:68" hidden="1">
      <c r="B93" s="1" t="s">
        <v>221</v>
      </c>
      <c r="W93" s="1">
        <v>-5</v>
      </c>
      <c r="X93" s="1">
        <f>-2-W93</f>
        <v>3</v>
      </c>
      <c r="Y93" s="1">
        <f>10-SUM(W93:X93)</f>
        <v>12</v>
      </c>
      <c r="Z93" s="1">
        <f>47-SUM(W93:Y93)</f>
        <v>37</v>
      </c>
      <c r="AA93" s="1">
        <v>51</v>
      </c>
      <c r="AB93" s="1">
        <f>-2-AA93</f>
        <v>-53</v>
      </c>
      <c r="AC93" s="1">
        <f>92-SUM(AA93:AB93)</f>
        <v>94</v>
      </c>
      <c r="AD93" s="1">
        <f>100-SUM(AA93:AC93)</f>
        <v>8</v>
      </c>
      <c r="AE93" s="1">
        <v>65</v>
      </c>
      <c r="AF93" s="1">
        <f>295-AE93</f>
        <v>230</v>
      </c>
      <c r="AG93" s="1">
        <f>514-SUM(AE93:AF93)</f>
        <v>219</v>
      </c>
      <c r="AH93" s="1">
        <f>275-SUM(AE93:AG93)</f>
        <v>-239</v>
      </c>
      <c r="AI93" s="1">
        <v>-23</v>
      </c>
      <c r="AJ93" s="1">
        <f>-114-AI93</f>
        <v>-91</v>
      </c>
      <c r="AK93" s="1">
        <f>-2-SUM(AI93:AJ93)</f>
        <v>112</v>
      </c>
      <c r="AL93" s="1">
        <f>-104-SUM(AI93:AK93)</f>
        <v>-102</v>
      </c>
      <c r="AM93" s="1">
        <v>13</v>
      </c>
      <c r="AN93" s="1">
        <f>-42-AM93</f>
        <v>-55</v>
      </c>
      <c r="AO93" s="1">
        <f>-138-SUM(AM93:AN93)</f>
        <v>-96</v>
      </c>
      <c r="AP93" s="1">
        <f>-3-SUM(AM93:AO93)</f>
        <v>135</v>
      </c>
      <c r="AQ93" s="1">
        <v>-73</v>
      </c>
      <c r="AR93" s="1">
        <v>-73</v>
      </c>
      <c r="AS93" s="1">
        <v>-73</v>
      </c>
      <c r="BL93" s="1">
        <f>SUM(Model!C89:F89)</f>
        <v>0</v>
      </c>
      <c r="BM93" s="1">
        <f>SUM(Model!G89:J89)</f>
        <v>0</v>
      </c>
      <c r="BN93" s="1">
        <f>SUM(Model!K89:N89)</f>
        <v>0</v>
      </c>
      <c r="BO93" s="1">
        <f>SUM(Model!O89:R89)</f>
        <v>0</v>
      </c>
      <c r="BP93" s="1">
        <f>SUM(Model!S89:V89)</f>
        <v>0</v>
      </c>
    </row>
    <row r="94" spans="1:68" hidden="1">
      <c r="B94" s="1" t="s">
        <v>220</v>
      </c>
      <c r="W94" s="1">
        <v>0</v>
      </c>
      <c r="X94" s="1">
        <v>0</v>
      </c>
      <c r="Y94" s="1">
        <v>0</v>
      </c>
      <c r="Z94" s="1">
        <v>0</v>
      </c>
      <c r="AA94" s="1">
        <v>0</v>
      </c>
      <c r="AB94" s="1">
        <v>0</v>
      </c>
      <c r="AC94" s="1">
        <v>0</v>
      </c>
      <c r="AD94" s="1">
        <v>0</v>
      </c>
      <c r="AE94" s="1">
        <v>0</v>
      </c>
      <c r="AF94" s="1">
        <v>0</v>
      </c>
      <c r="AG94" s="1">
        <v>0</v>
      </c>
      <c r="AH94" s="1">
        <v>0</v>
      </c>
      <c r="AI94" s="1">
        <v>0</v>
      </c>
      <c r="AJ94" s="1">
        <f>-1521-AI94</f>
        <v>-1521</v>
      </c>
      <c r="AK94" s="1">
        <f>-5705-SUM(AI94:AJ94)</f>
        <v>-4184</v>
      </c>
      <c r="AL94" s="1">
        <f>-11470-SUM(AI94:AK94)</f>
        <v>-5765</v>
      </c>
      <c r="AM94" s="1">
        <v>-5345</v>
      </c>
      <c r="AN94" s="1">
        <f>-11065-AM94</f>
        <v>-5720</v>
      </c>
      <c r="AO94" s="1">
        <f>-17173-SUM(AM94:AN94)</f>
        <v>-6108</v>
      </c>
      <c r="AP94" s="1">
        <f>-24498-SUM(AM94:AO94)</f>
        <v>-7325</v>
      </c>
      <c r="AQ94" s="1">
        <v>-6629</v>
      </c>
      <c r="AR94" s="1">
        <v>-6629</v>
      </c>
      <c r="AS94" s="1">
        <v>-6629</v>
      </c>
      <c r="BL94" s="1">
        <f>SUM(Model!C90:F90)</f>
        <v>0</v>
      </c>
      <c r="BM94" s="1">
        <f>SUM(Model!G90:J90)</f>
        <v>0</v>
      </c>
      <c r="BN94" s="1">
        <f>SUM(Model!K90:N90)</f>
        <v>0</v>
      </c>
      <c r="BO94" s="1">
        <f>SUM(Model!O90:R90)</f>
        <v>0</v>
      </c>
      <c r="BP94" s="1">
        <f>SUM(Model!S90:V90)</f>
        <v>0</v>
      </c>
    </row>
    <row r="95" spans="1:68" hidden="1">
      <c r="B95" s="1" t="s">
        <v>219</v>
      </c>
      <c r="W95" s="1">
        <v>0</v>
      </c>
      <c r="X95" s="1">
        <v>0</v>
      </c>
      <c r="Y95" s="1">
        <v>0</v>
      </c>
      <c r="Z95" s="1">
        <v>0</v>
      </c>
      <c r="AA95" s="1">
        <v>0</v>
      </c>
      <c r="AB95" s="1">
        <v>0</v>
      </c>
      <c r="AC95" s="1">
        <v>0</v>
      </c>
      <c r="AD95" s="1">
        <v>0</v>
      </c>
      <c r="AE95" s="1">
        <v>0</v>
      </c>
      <c r="AF95" s="1">
        <v>0</v>
      </c>
      <c r="AG95" s="1">
        <v>0</v>
      </c>
      <c r="AH95" s="1">
        <v>0</v>
      </c>
      <c r="AI95" s="1">
        <v>0</v>
      </c>
      <c r="AJ95" s="1">
        <f>302-AI95</f>
        <v>302</v>
      </c>
      <c r="AK95" s="1">
        <f>3676-SUM(AI95:AJ95)</f>
        <v>3374</v>
      </c>
      <c r="AL95" s="1">
        <f>10795-SUM(AI95:AK95)</f>
        <v>7119</v>
      </c>
      <c r="AM95" s="1">
        <v>5232</v>
      </c>
      <c r="AN95" s="1">
        <f>11175-AM95</f>
        <v>5943</v>
      </c>
      <c r="AO95" s="1">
        <f>17159-SUM(AM95:AN95)</f>
        <v>5984</v>
      </c>
      <c r="AP95" s="1">
        <f>24352-SUM(AM95:AO95)</f>
        <v>7193</v>
      </c>
      <c r="AQ95" s="1">
        <v>6445</v>
      </c>
      <c r="AR95" s="1">
        <v>6445</v>
      </c>
      <c r="AS95" s="1">
        <v>6445</v>
      </c>
      <c r="BL95" s="1">
        <f>SUM(Model!C91:F91)</f>
        <v>0</v>
      </c>
      <c r="BM95" s="1">
        <f>SUM(Model!G91:J91)</f>
        <v>0</v>
      </c>
      <c r="BN95" s="1">
        <f>SUM(Model!K91:N91)</f>
        <v>0</v>
      </c>
      <c r="BO95" s="1">
        <f>SUM(Model!O91:R91)</f>
        <v>0</v>
      </c>
      <c r="BP95" s="1">
        <f>SUM(Model!S91:V91)</f>
        <v>0</v>
      </c>
    </row>
    <row r="96" spans="1:68" hidden="1">
      <c r="B96" s="1" t="s">
        <v>218</v>
      </c>
      <c r="W96" s="1">
        <f>77-21+51+21</f>
        <v>128</v>
      </c>
      <c r="X96" s="1">
        <f>47-48+114-55-W96</f>
        <v>-70</v>
      </c>
      <c r="Y96" s="1">
        <f>1184-SUM(W96:X96)</f>
        <v>1126</v>
      </c>
      <c r="Z96" s="1">
        <f>-100-1120-171-4-230+1038-SUM(W96:Y96)</f>
        <v>-1771</v>
      </c>
      <c r="AA96" s="1">
        <f>-97-34-33-287</f>
        <v>-451</v>
      </c>
      <c r="AB96" s="1">
        <f>47-48+114-55-AA96</f>
        <v>509</v>
      </c>
      <c r="AC96" s="1">
        <f>-155-50+18-892-SUM(AA96:AB96)</f>
        <v>-1137</v>
      </c>
      <c r="AD96" s="1">
        <f>-222-1178+486-31+73+199-SUM(AA96:AC96)</f>
        <v>406</v>
      </c>
      <c r="AE96" s="1">
        <f>-50-29+17-391</f>
        <v>-453</v>
      </c>
      <c r="AF96" s="1">
        <f>-67-27+86-408-AE96</f>
        <v>37</v>
      </c>
      <c r="AG96" s="1">
        <f>-89-55+109-522-SUM(AE96:AF96)</f>
        <v>-141</v>
      </c>
      <c r="AH96" s="1">
        <f>-163-1230+118-35+856-SUM(AE96:AG96)</f>
        <v>103</v>
      </c>
      <c r="AI96" s="1">
        <f>-3+3-475</f>
        <v>-475</v>
      </c>
      <c r="AJ96" s="1">
        <f>36-12-1177-AI96</f>
        <v>-678</v>
      </c>
      <c r="AK96" s="1">
        <f>-35-6-865-SUM(AI96:AJ96)</f>
        <v>247</v>
      </c>
      <c r="AL96" s="1">
        <f>-114-1188+203+7-222-SUM(AI96:AK96)</f>
        <v>-408</v>
      </c>
      <c r="AM96" s="1">
        <f>-39-22+176</f>
        <v>115</v>
      </c>
      <c r="AN96" s="1">
        <f>82-11-511-AM96</f>
        <v>-555</v>
      </c>
      <c r="AO96" s="1">
        <f>31+24-647-SUM(AM96:AN96)</f>
        <v>-152</v>
      </c>
      <c r="AP96" s="1">
        <f>85-1131-8+83+413-SUM(AM96:AO96)</f>
        <v>34</v>
      </c>
      <c r="AQ96" s="1">
        <f>-98-52-526</f>
        <v>-676</v>
      </c>
      <c r="AR96" s="1">
        <f>-98-52-526</f>
        <v>-676</v>
      </c>
      <c r="AS96" s="1">
        <f>-98-52-526</f>
        <v>-676</v>
      </c>
      <c r="BL96" s="1">
        <f>SUM(Model!C92:F92)</f>
        <v>0</v>
      </c>
      <c r="BM96" s="1">
        <f>SUM(Model!G92:J92)</f>
        <v>0</v>
      </c>
      <c r="BN96" s="1">
        <f>SUM(Model!K92:N92)</f>
        <v>0</v>
      </c>
      <c r="BO96" s="1">
        <f>SUM(Model!O92:R92)</f>
        <v>0</v>
      </c>
      <c r="BP96" s="1">
        <f>SUM(Model!S92:V92)</f>
        <v>0</v>
      </c>
    </row>
    <row r="97" spans="2:130" s="2" customFormat="1" ht="15" hidden="1">
      <c r="B97" s="2" t="s">
        <v>112</v>
      </c>
      <c r="W97" s="2">
        <f t="shared" ref="W97:AQ97" si="121">W84+SUM(W85:W96)</f>
        <v>1419</v>
      </c>
      <c r="X97" s="2">
        <f t="shared" si="121"/>
        <v>1774</v>
      </c>
      <c r="Y97" s="2">
        <f t="shared" si="121"/>
        <v>4399</v>
      </c>
      <c r="Z97" s="2">
        <f t="shared" si="121"/>
        <v>-1373</v>
      </c>
      <c r="AA97" s="2">
        <f t="shared" si="121"/>
        <v>1758</v>
      </c>
      <c r="AB97" s="2">
        <f t="shared" si="121"/>
        <v>2335</v>
      </c>
      <c r="AC97" s="2">
        <f t="shared" si="121"/>
        <v>484</v>
      </c>
      <c r="AD97" s="2">
        <f t="shared" si="121"/>
        <v>2662</v>
      </c>
      <c r="AE97" s="2">
        <f t="shared" si="121"/>
        <v>1217</v>
      </c>
      <c r="AF97" s="2">
        <f t="shared" si="121"/>
        <v>1250</v>
      </c>
      <c r="AG97" s="2">
        <f t="shared" si="121"/>
        <v>1755</v>
      </c>
      <c r="AH97" s="2">
        <f t="shared" si="121"/>
        <v>1591</v>
      </c>
      <c r="AI97" s="2">
        <f t="shared" si="121"/>
        <v>1170</v>
      </c>
      <c r="AJ97" s="2">
        <f t="shared" si="121"/>
        <v>-200</v>
      </c>
      <c r="AK97" s="2">
        <f t="shared" si="121"/>
        <v>1259</v>
      </c>
      <c r="AL97" s="2">
        <f t="shared" si="121"/>
        <v>2614</v>
      </c>
      <c r="AM97" s="2">
        <f t="shared" si="121"/>
        <v>1917</v>
      </c>
      <c r="AN97" s="2">
        <f t="shared" si="121"/>
        <v>1525</v>
      </c>
      <c r="AO97" s="2">
        <f t="shared" si="121"/>
        <v>1614</v>
      </c>
      <c r="AP97" s="2">
        <f t="shared" si="121"/>
        <v>2394</v>
      </c>
      <c r="AQ97" s="2">
        <f t="shared" si="121"/>
        <v>1160</v>
      </c>
      <c r="AR97" s="2">
        <f t="shared" ref="AR97:AS97" si="122">AR84+SUM(AR85:AR96)</f>
        <v>1134</v>
      </c>
      <c r="AS97" s="2">
        <f t="shared" si="122"/>
        <v>1121</v>
      </c>
      <c r="AT97" s="33"/>
      <c r="AU97" s="33"/>
      <c r="AV97" s="33"/>
      <c r="AW97" s="33"/>
      <c r="AX97" s="33"/>
      <c r="BL97" s="1">
        <f>SUM(Model!C93:F93)</f>
        <v>0</v>
      </c>
      <c r="BM97" s="1">
        <f>SUM(AA97:AD97)</f>
        <v>7239</v>
      </c>
      <c r="BN97" s="1">
        <f>SUM(Model!K93:N93)</f>
        <v>0</v>
      </c>
      <c r="BO97" s="1">
        <f>SUM(Model!O93:R93)</f>
        <v>0</v>
      </c>
      <c r="BP97" s="1">
        <f>SUM(Model!S93:V93)</f>
        <v>0</v>
      </c>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row>
    <row r="98" spans="2:130" hidden="1"/>
    <row r="99" spans="2:130">
      <c r="B99" s="1" t="s">
        <v>111</v>
      </c>
      <c r="C99" s="1">
        <f t="shared" ref="C99:V99" si="123">C41</f>
        <v>255</v>
      </c>
      <c r="D99" s="1">
        <f t="shared" si="123"/>
        <v>305</v>
      </c>
      <c r="E99" s="1">
        <f t="shared" si="123"/>
        <v>301</v>
      </c>
      <c r="F99" s="1">
        <f t="shared" si="123"/>
        <v>367</v>
      </c>
      <c r="G99" s="1">
        <f t="shared" si="123"/>
        <v>365</v>
      </c>
      <c r="H99" s="1">
        <f t="shared" si="123"/>
        <v>323</v>
      </c>
      <c r="I99" s="1">
        <f t="shared" si="123"/>
        <v>323</v>
      </c>
      <c r="J99" s="1">
        <f t="shared" si="123"/>
        <v>390</v>
      </c>
      <c r="K99" s="1">
        <f t="shared" si="123"/>
        <v>384</v>
      </c>
      <c r="L99" s="1">
        <f t="shared" si="123"/>
        <v>411</v>
      </c>
      <c r="M99" s="1">
        <f t="shared" si="123"/>
        <v>380</v>
      </c>
      <c r="N99" s="1">
        <f t="shared" si="123"/>
        <v>620</v>
      </c>
      <c r="O99" s="1">
        <f t="shared" si="123"/>
        <v>511</v>
      </c>
      <c r="P99" s="1">
        <f t="shared" si="123"/>
        <v>526</v>
      </c>
      <c r="Q99" s="1">
        <f t="shared" si="123"/>
        <v>436</v>
      </c>
      <c r="R99" s="1">
        <f t="shared" si="123"/>
        <v>584</v>
      </c>
      <c r="S99" s="1">
        <f t="shared" si="123"/>
        <v>667</v>
      </c>
      <c r="T99" s="1">
        <f t="shared" si="123"/>
        <v>823</v>
      </c>
      <c r="U99" s="1">
        <f t="shared" si="123"/>
        <v>462</v>
      </c>
      <c r="V99" s="1">
        <f t="shared" si="123"/>
        <v>507</v>
      </c>
      <c r="W99" s="1">
        <f>W41</f>
        <v>84</v>
      </c>
      <c r="X99" s="1">
        <f t="shared" ref="X99:AQ99" si="124">X41</f>
        <v>1530</v>
      </c>
      <c r="Y99" s="1">
        <f t="shared" si="124"/>
        <v>1021</v>
      </c>
      <c r="Z99" s="1">
        <f t="shared" si="124"/>
        <v>1567</v>
      </c>
      <c r="AA99" s="1">
        <f t="shared" si="124"/>
        <v>1097</v>
      </c>
      <c r="AB99" s="1">
        <f t="shared" si="124"/>
        <v>1184</v>
      </c>
      <c r="AC99" s="1">
        <f t="shared" si="124"/>
        <v>1087</v>
      </c>
      <c r="AD99" s="1">
        <f t="shared" si="124"/>
        <v>801</v>
      </c>
      <c r="AE99" s="1">
        <f t="shared" si="124"/>
        <v>509</v>
      </c>
      <c r="AF99" s="1">
        <f t="shared" si="124"/>
        <v>-341</v>
      </c>
      <c r="AG99" s="1">
        <f t="shared" si="124"/>
        <v>1330</v>
      </c>
      <c r="AH99" s="1">
        <f t="shared" si="124"/>
        <v>921</v>
      </c>
      <c r="AI99" s="1">
        <f t="shared" si="124"/>
        <v>795</v>
      </c>
      <c r="AJ99" s="1">
        <f t="shared" si="124"/>
        <v>1029</v>
      </c>
      <c r="AK99" s="1">
        <f t="shared" si="124"/>
        <v>1020</v>
      </c>
      <c r="AL99" s="1">
        <f t="shared" si="124"/>
        <v>1402</v>
      </c>
      <c r="AM99" s="1">
        <f t="shared" si="124"/>
        <v>888</v>
      </c>
      <c r="AN99" s="1">
        <f t="shared" si="124"/>
        <v>1128</v>
      </c>
      <c r="AO99" s="1">
        <f t="shared" si="124"/>
        <v>1010</v>
      </c>
      <c r="AP99" s="1">
        <f t="shared" si="124"/>
        <v>1121</v>
      </c>
      <c r="AQ99" s="1">
        <f t="shared" si="124"/>
        <v>1287</v>
      </c>
      <c r="AR99" s="1">
        <f t="shared" ref="AR99:AS99" si="125">AR41</f>
        <v>1261</v>
      </c>
      <c r="AS99" s="1">
        <f t="shared" si="125"/>
        <v>1248</v>
      </c>
      <c r="AT99" s="34">
        <f>AT41</f>
        <v>1290</v>
      </c>
      <c r="AU99" s="34">
        <f t="shared" ref="AU99:BA99" si="126">AU41</f>
        <v>1150</v>
      </c>
      <c r="AV99" s="34">
        <f t="shared" si="126"/>
        <v>1200</v>
      </c>
      <c r="AW99" s="34">
        <f t="shared" si="126"/>
        <v>1250</v>
      </c>
      <c r="AX99" s="34">
        <f t="shared" si="126"/>
        <v>1380</v>
      </c>
      <c r="AY99" s="34">
        <f t="shared" si="126"/>
        <v>1280</v>
      </c>
      <c r="AZ99" s="34">
        <f t="shared" si="126"/>
        <v>1340</v>
      </c>
      <c r="BA99" s="34">
        <f t="shared" si="126"/>
        <v>1360</v>
      </c>
      <c r="BG99" s="42">
        <f t="shared" ref="BG99:BG101" si="127">SUM(C99:F99)</f>
        <v>1228</v>
      </c>
      <c r="BH99" s="42">
        <f t="shared" ref="BH99:BH101" si="128">SUM(G99:J99)</f>
        <v>1401</v>
      </c>
      <c r="BI99" s="42">
        <f t="shared" ref="BI99:BI101" si="129">SUM(K99:N99)</f>
        <v>1795</v>
      </c>
      <c r="BJ99" s="42">
        <f t="shared" ref="BJ99:BJ101" si="130">SUM(O99:R99)</f>
        <v>2057</v>
      </c>
      <c r="BK99" s="42">
        <f t="shared" ref="BK99:BK100" si="131">SUM(S99:V99)</f>
        <v>2459</v>
      </c>
      <c r="BL99" s="42">
        <f t="shared" ref="BL99:BL101" si="132">SUM(W99:Z99)</f>
        <v>4202</v>
      </c>
      <c r="BM99" s="42">
        <f t="shared" ref="BM99:BM100" si="133">SUM(AA99:AD99)</f>
        <v>4169</v>
      </c>
      <c r="BN99" s="42">
        <f t="shared" ref="BN99:BN100" si="134">SUM(AE99:AH99)</f>
        <v>2419</v>
      </c>
      <c r="BO99" s="42">
        <f t="shared" ref="BO99:BO100" si="135">SUM(AI99:AL99)</f>
        <v>4246</v>
      </c>
      <c r="BP99" s="42">
        <f t="shared" ref="BP99:BP100" si="136">SUM(AM99:AP99)</f>
        <v>4147</v>
      </c>
    </row>
    <row r="100" spans="2:130" s="2" customFormat="1" ht="15">
      <c r="B100" s="2" t="s">
        <v>112</v>
      </c>
      <c r="C100" s="2">
        <v>544</v>
      </c>
      <c r="D100" s="2">
        <v>622</v>
      </c>
      <c r="E100" s="2">
        <v>652</v>
      </c>
      <c r="F100" s="2">
        <v>728</v>
      </c>
      <c r="G100" s="2">
        <v>738</v>
      </c>
      <c r="H100" s="2">
        <v>696</v>
      </c>
      <c r="I100" s="2">
        <v>801</v>
      </c>
      <c r="J100" s="2">
        <v>923</v>
      </c>
      <c r="K100" s="2">
        <v>751</v>
      </c>
      <c r="L100" s="2">
        <v>921</v>
      </c>
      <c r="M100" s="2">
        <v>1006</v>
      </c>
      <c r="N100" s="2">
        <v>-147</v>
      </c>
      <c r="O100" s="2">
        <v>-349</v>
      </c>
      <c r="P100" s="2">
        <v>28</v>
      </c>
      <c r="Q100" s="2">
        <v>4670</v>
      </c>
      <c r="R100" s="2">
        <v>1131</v>
      </c>
      <c r="S100" s="2">
        <v>1027</v>
      </c>
      <c r="T100" s="2">
        <v>1174</v>
      </c>
      <c r="U100" s="2">
        <v>1096</v>
      </c>
      <c r="V100" s="2">
        <v>774</v>
      </c>
      <c r="W100" s="2">
        <v>1421</v>
      </c>
      <c r="X100" s="2">
        <v>1772</v>
      </c>
      <c r="Y100" s="2">
        <v>1314</v>
      </c>
      <c r="Z100" s="2">
        <v>1712</v>
      </c>
      <c r="AA100" s="2">
        <f>AA97</f>
        <v>1758</v>
      </c>
      <c r="AB100" s="2">
        <v>1306</v>
      </c>
      <c r="AC100" s="2">
        <v>1513</v>
      </c>
      <c r="AD100" s="2">
        <v>1220</v>
      </c>
      <c r="AE100" s="2">
        <f t="shared" ref="AE100:AQ100" si="137">AE97</f>
        <v>1217</v>
      </c>
      <c r="AF100" s="2">
        <f t="shared" si="137"/>
        <v>1250</v>
      </c>
      <c r="AG100" s="2">
        <f t="shared" si="137"/>
        <v>1755</v>
      </c>
      <c r="AH100" s="2">
        <f t="shared" si="137"/>
        <v>1591</v>
      </c>
      <c r="AI100" s="2">
        <f t="shared" si="137"/>
        <v>1170</v>
      </c>
      <c r="AJ100" s="2">
        <f t="shared" si="137"/>
        <v>-200</v>
      </c>
      <c r="AK100" s="2">
        <f t="shared" si="137"/>
        <v>1259</v>
      </c>
      <c r="AL100" s="2">
        <f t="shared" si="137"/>
        <v>2614</v>
      </c>
      <c r="AM100" s="2">
        <f t="shared" si="137"/>
        <v>1917</v>
      </c>
      <c r="AN100" s="2">
        <f t="shared" si="137"/>
        <v>1525</v>
      </c>
      <c r="AO100" s="2">
        <f t="shared" si="137"/>
        <v>1614</v>
      </c>
      <c r="AP100" s="2">
        <f t="shared" si="137"/>
        <v>2394</v>
      </c>
      <c r="AQ100" s="2">
        <f t="shared" si="137"/>
        <v>1160</v>
      </c>
      <c r="AR100" s="2">
        <f>2058-AQ100</f>
        <v>898</v>
      </c>
      <c r="AS100" s="2">
        <f>4032-SUM(AQ100:AR100)</f>
        <v>1974</v>
      </c>
      <c r="AT100" s="33">
        <v>2190</v>
      </c>
      <c r="AU100" s="33">
        <v>1760</v>
      </c>
      <c r="AV100" s="33">
        <v>1900</v>
      </c>
      <c r="AW100" s="33">
        <v>1990</v>
      </c>
      <c r="AX100" s="33">
        <v>1840</v>
      </c>
      <c r="AY100" s="33">
        <v>1920</v>
      </c>
      <c r="AZ100" s="33">
        <v>1940</v>
      </c>
      <c r="BA100" s="33">
        <v>1950</v>
      </c>
      <c r="BG100" s="48">
        <f t="shared" si="127"/>
        <v>2546</v>
      </c>
      <c r="BH100" s="48">
        <f t="shared" si="128"/>
        <v>3158</v>
      </c>
      <c r="BI100" s="48">
        <f t="shared" si="129"/>
        <v>2531</v>
      </c>
      <c r="BJ100" s="48">
        <f t="shared" si="130"/>
        <v>5480</v>
      </c>
      <c r="BK100" s="48">
        <f t="shared" si="131"/>
        <v>4071</v>
      </c>
      <c r="BL100" s="48">
        <f t="shared" si="132"/>
        <v>6219</v>
      </c>
      <c r="BM100" s="48">
        <f t="shared" si="133"/>
        <v>5797</v>
      </c>
      <c r="BN100" s="48">
        <f t="shared" si="134"/>
        <v>5813</v>
      </c>
      <c r="BO100" s="48">
        <f t="shared" si="135"/>
        <v>4843</v>
      </c>
      <c r="BP100" s="48">
        <f t="shared" si="136"/>
        <v>7450</v>
      </c>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row>
    <row r="101" spans="2:130" ht="15">
      <c r="B101" s="1" t="s">
        <v>217</v>
      </c>
      <c r="C101" s="1">
        <v>-194</v>
      </c>
      <c r="D101" s="1">
        <v>-220</v>
      </c>
      <c r="E101" s="1">
        <v>-118</v>
      </c>
      <c r="F101" s="1">
        <v>-164</v>
      </c>
      <c r="G101" s="1">
        <v>-133</v>
      </c>
      <c r="H101" s="1">
        <v>-201</v>
      </c>
      <c r="I101" s="1">
        <v>-183</v>
      </c>
      <c r="J101" s="1">
        <v>-152</v>
      </c>
      <c r="K101" s="1">
        <v>-148</v>
      </c>
      <c r="L101" s="1">
        <v>-174</v>
      </c>
      <c r="M101" s="1">
        <v>-165</v>
      </c>
      <c r="N101" s="1">
        <v>-180</v>
      </c>
      <c r="O101" s="1">
        <v>-178</v>
      </c>
      <c r="P101" s="1">
        <v>-198</v>
      </c>
      <c r="Q101" s="1">
        <v>-223</v>
      </c>
      <c r="R101" s="1">
        <v>-224</v>
      </c>
      <c r="S101" s="1">
        <v>-218</v>
      </c>
      <c r="T101" s="1">
        <v>-139</v>
      </c>
      <c r="U101" s="1">
        <v>-156</v>
      </c>
      <c r="V101" s="1">
        <v>-174</v>
      </c>
      <c r="W101" s="1">
        <f>-206+119</f>
        <v>-87</v>
      </c>
      <c r="X101" s="1">
        <f>-399+120-W101</f>
        <v>-192</v>
      </c>
      <c r="Y101" s="1">
        <f>-640+120-SUM(W101:X101)</f>
        <v>-241</v>
      </c>
      <c r="Z101" s="1">
        <f>-866+120-SUM(W101:Y101)</f>
        <v>-226</v>
      </c>
      <c r="AA101" s="1">
        <v>-221</v>
      </c>
      <c r="AB101" s="1">
        <f>-468+1-AA101</f>
        <v>-246</v>
      </c>
      <c r="AC101" s="1">
        <f>-695+3-SUM(AA101:AB101)</f>
        <v>-225</v>
      </c>
      <c r="AD101" s="1">
        <f>-908+5-SUM(AA101:AC101)</f>
        <v>-211</v>
      </c>
      <c r="AE101" s="1">
        <f>-191+3</f>
        <v>-188</v>
      </c>
      <c r="AF101" s="1">
        <f>-366+5-AE101</f>
        <v>-173</v>
      </c>
      <c r="AG101" s="1">
        <f>-548+5-SUM(AE101:AF101)</f>
        <v>-182</v>
      </c>
      <c r="AH101" s="1">
        <f>-706+5-SUM(AE101:AG101)</f>
        <v>-158</v>
      </c>
      <c r="AI101" s="1">
        <f>-170+1</f>
        <v>-169</v>
      </c>
      <c r="AJ101" s="1">
        <f>-320+40-AI101</f>
        <v>-111</v>
      </c>
      <c r="AK101" s="1">
        <f>-478+44-SUM(AI101:AJ101)</f>
        <v>-154</v>
      </c>
      <c r="AL101" s="1">
        <f>-623+45-SUM(AI101:AK101)</f>
        <v>-144</v>
      </c>
      <c r="AM101" s="1">
        <v>-154</v>
      </c>
      <c r="AN101" s="1">
        <f>-311-AM101</f>
        <v>-157</v>
      </c>
      <c r="AO101" s="1">
        <f>-480-SUM(AM101:AN101)</f>
        <v>-169</v>
      </c>
      <c r="AP101" s="1">
        <f>-683+1-SUM(AM101:AO101)</f>
        <v>-202</v>
      </c>
      <c r="AQ101" s="1">
        <f>-196+2</f>
        <v>-194</v>
      </c>
      <c r="AR101" s="1">
        <f>-402-AQ101</f>
        <v>-208</v>
      </c>
      <c r="AS101" s="1">
        <f>-658-AR101</f>
        <v>-450</v>
      </c>
      <c r="AT101" s="33">
        <v>-325</v>
      </c>
      <c r="AU101" s="33">
        <v>-285</v>
      </c>
      <c r="AV101" s="33">
        <v>-295</v>
      </c>
      <c r="AW101" s="33">
        <v>-305</v>
      </c>
      <c r="AX101" s="33">
        <v>-325</v>
      </c>
      <c r="AY101" s="33">
        <v>-335</v>
      </c>
      <c r="AZ101" s="33">
        <v>-340</v>
      </c>
      <c r="BA101" s="33">
        <v>-355</v>
      </c>
      <c r="BG101" s="42">
        <f t="shared" si="127"/>
        <v>-696</v>
      </c>
      <c r="BH101" s="42">
        <f t="shared" si="128"/>
        <v>-669</v>
      </c>
      <c r="BI101" s="42">
        <f t="shared" si="129"/>
        <v>-667</v>
      </c>
      <c r="BJ101" s="42">
        <f t="shared" si="130"/>
        <v>-823</v>
      </c>
      <c r="BK101" s="42">
        <v>-704</v>
      </c>
      <c r="BL101" s="42">
        <f t="shared" si="132"/>
        <v>-746</v>
      </c>
      <c r="BM101" s="42">
        <v>-908</v>
      </c>
      <c r="BN101" s="42">
        <v>-706</v>
      </c>
      <c r="BO101" s="42">
        <v>-623</v>
      </c>
      <c r="BP101" s="42">
        <v>-683</v>
      </c>
    </row>
    <row r="102" spans="2:130" s="2" customFormat="1" ht="15">
      <c r="B102" s="2" t="s">
        <v>113</v>
      </c>
      <c r="C102" s="2">
        <f t="shared" ref="C102:V102" si="138">C100+C101</f>
        <v>350</v>
      </c>
      <c r="D102" s="2">
        <f t="shared" si="138"/>
        <v>402</v>
      </c>
      <c r="E102" s="2">
        <f t="shared" si="138"/>
        <v>534</v>
      </c>
      <c r="F102" s="2">
        <f t="shared" si="138"/>
        <v>564</v>
      </c>
      <c r="G102" s="2">
        <f t="shared" si="138"/>
        <v>605</v>
      </c>
      <c r="H102" s="2">
        <f t="shared" si="138"/>
        <v>495</v>
      </c>
      <c r="I102" s="2">
        <f t="shared" si="138"/>
        <v>618</v>
      </c>
      <c r="J102" s="2">
        <f t="shared" si="138"/>
        <v>771</v>
      </c>
      <c r="K102" s="2">
        <f t="shared" si="138"/>
        <v>603</v>
      </c>
      <c r="L102" s="2">
        <f t="shared" si="138"/>
        <v>747</v>
      </c>
      <c r="M102" s="2">
        <f t="shared" si="138"/>
        <v>841</v>
      </c>
      <c r="N102" s="2">
        <f t="shared" si="138"/>
        <v>-327</v>
      </c>
      <c r="O102" s="2">
        <f t="shared" si="138"/>
        <v>-527</v>
      </c>
      <c r="P102" s="2">
        <f t="shared" si="138"/>
        <v>-170</v>
      </c>
      <c r="Q102" s="2">
        <f t="shared" si="138"/>
        <v>4447</v>
      </c>
      <c r="R102" s="2">
        <f t="shared" si="138"/>
        <v>907</v>
      </c>
      <c r="S102" s="2">
        <f t="shared" si="138"/>
        <v>809</v>
      </c>
      <c r="T102" s="2">
        <f t="shared" si="138"/>
        <v>1035</v>
      </c>
      <c r="U102" s="2">
        <f t="shared" si="138"/>
        <v>940</v>
      </c>
      <c r="V102" s="2">
        <f t="shared" si="138"/>
        <v>600</v>
      </c>
      <c r="W102" s="2">
        <f t="shared" ref="W102:AQ102" si="139">W100+W101</f>
        <v>1334</v>
      </c>
      <c r="X102" s="2">
        <f t="shared" si="139"/>
        <v>1580</v>
      </c>
      <c r="Y102" s="2">
        <f t="shared" si="139"/>
        <v>1073</v>
      </c>
      <c r="Z102" s="2">
        <f t="shared" si="139"/>
        <v>1486</v>
      </c>
      <c r="AA102" s="2">
        <f t="shared" si="139"/>
        <v>1537</v>
      </c>
      <c r="AB102" s="2">
        <f t="shared" si="139"/>
        <v>1060</v>
      </c>
      <c r="AC102" s="2">
        <f t="shared" si="139"/>
        <v>1288</v>
      </c>
      <c r="AD102" s="2">
        <f t="shared" si="139"/>
        <v>1009</v>
      </c>
      <c r="AE102" s="2">
        <f t="shared" si="139"/>
        <v>1029</v>
      </c>
      <c r="AF102" s="2">
        <f t="shared" si="139"/>
        <v>1077</v>
      </c>
      <c r="AG102" s="2">
        <f t="shared" si="139"/>
        <v>1573</v>
      </c>
      <c r="AH102" s="2">
        <f t="shared" si="139"/>
        <v>1433</v>
      </c>
      <c r="AI102" s="2">
        <f t="shared" si="139"/>
        <v>1001</v>
      </c>
      <c r="AJ102" s="2">
        <f t="shared" si="139"/>
        <v>-311</v>
      </c>
      <c r="AK102" s="2">
        <f t="shared" si="139"/>
        <v>1105</v>
      </c>
      <c r="AL102" s="2">
        <f t="shared" si="139"/>
        <v>2470</v>
      </c>
      <c r="AM102" s="2">
        <f t="shared" si="139"/>
        <v>1763</v>
      </c>
      <c r="AN102" s="2">
        <f t="shared" si="139"/>
        <v>1368</v>
      </c>
      <c r="AO102" s="2">
        <f t="shared" si="139"/>
        <v>1445</v>
      </c>
      <c r="AP102" s="2">
        <f t="shared" si="139"/>
        <v>2192</v>
      </c>
      <c r="AQ102" s="2">
        <f t="shared" si="139"/>
        <v>966</v>
      </c>
      <c r="AR102" s="2">
        <f t="shared" ref="AR102:AS102" si="140">AR100+AR101</f>
        <v>690</v>
      </c>
      <c r="AS102" s="2">
        <f t="shared" si="140"/>
        <v>1524</v>
      </c>
      <c r="AT102" s="33">
        <f>AT100+AT101</f>
        <v>1865</v>
      </c>
      <c r="AU102" s="33">
        <f t="shared" ref="AU102:BA102" si="141">AU100+AU101</f>
        <v>1475</v>
      </c>
      <c r="AV102" s="33">
        <f t="shared" si="141"/>
        <v>1605</v>
      </c>
      <c r="AW102" s="33">
        <f t="shared" si="141"/>
        <v>1685</v>
      </c>
      <c r="AX102" s="33">
        <f t="shared" si="141"/>
        <v>1515</v>
      </c>
      <c r="AY102" s="33">
        <f t="shared" si="141"/>
        <v>1585</v>
      </c>
      <c r="AZ102" s="33">
        <f t="shared" si="141"/>
        <v>1600</v>
      </c>
      <c r="BA102" s="33">
        <f t="shared" si="141"/>
        <v>1595</v>
      </c>
      <c r="BG102" s="48">
        <f t="shared" ref="BG102:BO102" si="142">BG100+BG101</f>
        <v>1850</v>
      </c>
      <c r="BH102" s="48">
        <f t="shared" si="142"/>
        <v>2489</v>
      </c>
      <c r="BI102" s="48">
        <f t="shared" si="142"/>
        <v>1864</v>
      </c>
      <c r="BJ102" s="48">
        <f t="shared" si="142"/>
        <v>4657</v>
      </c>
      <c r="BK102" s="48">
        <f t="shared" si="142"/>
        <v>3367</v>
      </c>
      <c r="BL102" s="48">
        <f t="shared" si="142"/>
        <v>5473</v>
      </c>
      <c r="BM102" s="48">
        <f t="shared" si="142"/>
        <v>4889</v>
      </c>
      <c r="BN102" s="48">
        <f t="shared" si="142"/>
        <v>5107</v>
      </c>
      <c r="BO102" s="48">
        <f t="shared" si="142"/>
        <v>4220</v>
      </c>
      <c r="BP102" s="48">
        <f>BP100+BP101</f>
        <v>6767</v>
      </c>
      <c r="BQ102" s="56"/>
      <c r="BR102" s="56"/>
      <c r="BS102" s="56"/>
      <c r="BT102" s="56"/>
      <c r="BU102" s="56"/>
      <c r="BV102" s="56"/>
      <c r="BW102" s="56"/>
      <c r="BX102" s="56"/>
      <c r="BY102" s="56"/>
      <c r="BZ102" s="56"/>
      <c r="CA102" s="56"/>
      <c r="CB102" s="56"/>
      <c r="CC102" s="56"/>
      <c r="CD102" s="56"/>
      <c r="CE102" s="56"/>
      <c r="CF102" s="56"/>
      <c r="CG102" s="56"/>
      <c r="CH102" s="56"/>
      <c r="CI102" s="56"/>
      <c r="CJ102" s="56"/>
      <c r="CK102" s="56"/>
      <c r="CL102" s="56"/>
      <c r="CM102" s="56"/>
      <c r="CN102" s="56"/>
      <c r="CO102" s="56"/>
      <c r="CP102" s="56"/>
      <c r="CQ102" s="56"/>
      <c r="CR102" s="56"/>
      <c r="CS102" s="56"/>
      <c r="CT102" s="56"/>
      <c r="CU102" s="56"/>
      <c r="CV102" s="56"/>
      <c r="CW102" s="56"/>
      <c r="CX102" s="56"/>
      <c r="CY102" s="56"/>
      <c r="CZ102" s="56"/>
      <c r="DA102" s="56"/>
      <c r="DB102" s="56"/>
      <c r="DC102" s="56"/>
      <c r="DD102" s="56"/>
      <c r="DE102" s="56"/>
      <c r="DF102" s="56"/>
      <c r="DG102" s="56"/>
      <c r="DH102" s="56"/>
      <c r="DI102" s="56"/>
      <c r="DJ102" s="56"/>
      <c r="DK102" s="56"/>
      <c r="DL102" s="56"/>
      <c r="DM102" s="56"/>
      <c r="DN102" s="56"/>
      <c r="DO102" s="56"/>
      <c r="DP102" s="56"/>
      <c r="DQ102" s="56"/>
      <c r="DR102" s="56"/>
      <c r="DS102" s="56"/>
      <c r="DT102" s="56"/>
      <c r="DU102" s="56"/>
      <c r="DV102" s="56"/>
      <c r="DW102" s="56"/>
      <c r="DX102" s="56"/>
      <c r="DY102" s="56"/>
      <c r="DZ102" s="56"/>
    </row>
    <row r="103" spans="2:130">
      <c r="B103" s="1" t="s">
        <v>216</v>
      </c>
      <c r="C103" s="1">
        <f t="shared" ref="C103:V103" si="143">C42</f>
        <v>1218</v>
      </c>
      <c r="D103" s="1">
        <f t="shared" si="143"/>
        <v>1218</v>
      </c>
      <c r="E103" s="1">
        <f t="shared" si="143"/>
        <v>1221</v>
      </c>
      <c r="F103" s="1">
        <f t="shared" si="143"/>
        <v>1222</v>
      </c>
      <c r="G103" s="1">
        <f t="shared" si="143"/>
        <v>1216</v>
      </c>
      <c r="H103" s="1">
        <f t="shared" si="143"/>
        <v>1210</v>
      </c>
      <c r="I103" s="1">
        <f t="shared" si="143"/>
        <v>1207</v>
      </c>
      <c r="J103" s="1">
        <f t="shared" si="143"/>
        <v>1210</v>
      </c>
      <c r="K103" s="1">
        <f t="shared" si="143"/>
        <v>1203</v>
      </c>
      <c r="L103" s="1">
        <f t="shared" si="143"/>
        <v>1202</v>
      </c>
      <c r="M103" s="1">
        <f t="shared" si="143"/>
        <v>1202</v>
      </c>
      <c r="N103" s="1">
        <f t="shared" si="143"/>
        <v>1203</v>
      </c>
      <c r="O103" s="1">
        <f t="shared" si="143"/>
        <v>1192</v>
      </c>
      <c r="P103" s="1">
        <f t="shared" si="143"/>
        <v>1187</v>
      </c>
      <c r="Q103" s="1">
        <f t="shared" si="143"/>
        <v>1181</v>
      </c>
      <c r="R103" s="1">
        <f t="shared" si="143"/>
        <v>1184</v>
      </c>
      <c r="S103" s="1">
        <f t="shared" si="143"/>
        <v>1171</v>
      </c>
      <c r="T103" s="1">
        <f t="shared" si="143"/>
        <v>1175</v>
      </c>
      <c r="U103" s="1">
        <f t="shared" si="143"/>
        <v>1175</v>
      </c>
      <c r="V103" s="1">
        <f t="shared" si="143"/>
        <v>1174</v>
      </c>
      <c r="W103" s="1">
        <f t="shared" ref="W103:AQ103" si="144">W42</f>
        <v>1185</v>
      </c>
      <c r="X103" s="1">
        <f t="shared" si="144"/>
        <v>1184</v>
      </c>
      <c r="Y103" s="1">
        <f t="shared" si="144"/>
        <v>1190</v>
      </c>
      <c r="Z103" s="1">
        <f t="shared" si="144"/>
        <v>1174</v>
      </c>
      <c r="AA103" s="1">
        <f t="shared" si="144"/>
        <v>1190</v>
      </c>
      <c r="AB103" s="1">
        <f t="shared" si="144"/>
        <v>1186</v>
      </c>
      <c r="AC103" s="1">
        <f t="shared" si="144"/>
        <v>1187</v>
      </c>
      <c r="AD103" s="1">
        <f t="shared" si="144"/>
        <v>1174</v>
      </c>
      <c r="AE103" s="1">
        <f t="shared" si="144"/>
        <v>1163</v>
      </c>
      <c r="AF103" s="1">
        <f t="shared" si="144"/>
        <v>1158</v>
      </c>
      <c r="AG103" s="1">
        <f t="shared" si="144"/>
        <v>1157</v>
      </c>
      <c r="AH103" s="1">
        <f t="shared" si="144"/>
        <v>1131</v>
      </c>
      <c r="AI103" s="1">
        <f t="shared" si="144"/>
        <v>1134</v>
      </c>
      <c r="AJ103" s="1">
        <f t="shared" si="144"/>
        <v>1114</v>
      </c>
      <c r="AK103" s="1">
        <f t="shared" si="144"/>
        <v>1098</v>
      </c>
      <c r="AL103" s="1">
        <f t="shared" si="144"/>
        <v>1071</v>
      </c>
      <c r="AM103" s="1">
        <f t="shared" si="144"/>
        <v>1072</v>
      </c>
      <c r="AN103" s="1">
        <f t="shared" si="144"/>
        <v>1047</v>
      </c>
      <c r="AO103" s="1">
        <f t="shared" si="144"/>
        <v>1024</v>
      </c>
      <c r="AP103" s="1">
        <f t="shared" si="144"/>
        <v>989</v>
      </c>
      <c r="AQ103" s="1">
        <f t="shared" si="144"/>
        <v>986</v>
      </c>
      <c r="AR103" s="1">
        <f t="shared" ref="AR103:AS103" si="145">AR42</f>
        <v>969</v>
      </c>
      <c r="AS103" s="1">
        <f t="shared" si="145"/>
        <v>950</v>
      </c>
      <c r="BG103" s="42">
        <f>AVERAGE(C103:F103)</f>
        <v>1219.75</v>
      </c>
      <c r="BH103" s="42">
        <f>AVERAGE(G103:J103)</f>
        <v>1210.75</v>
      </c>
      <c r="BI103" s="42">
        <f>AVERAGE(K103:N103)</f>
        <v>1202.5</v>
      </c>
      <c r="BJ103" s="42">
        <f>AVERAGE(O103:R103)</f>
        <v>1186</v>
      </c>
      <c r="BK103" s="42">
        <f>AVERAGE(S103:V103)</f>
        <v>1173.75</v>
      </c>
      <c r="BL103" s="42">
        <f>AVERAGE(W103:Z103)</f>
        <v>1183.25</v>
      </c>
      <c r="BM103" s="42">
        <f>AVERAGE(AA103:AD103)</f>
        <v>1184.25</v>
      </c>
      <c r="BN103" s="42">
        <f>AVERAGE(AE103:AH103)</f>
        <v>1152.25</v>
      </c>
      <c r="BO103" s="42">
        <f>AVERAGE(AI103:AL103)</f>
        <v>1104.25</v>
      </c>
      <c r="BP103" s="42">
        <f>AVERAGE(AM103:AP103)</f>
        <v>1033</v>
      </c>
    </row>
    <row r="104" spans="2:130">
      <c r="B104" s="1" t="s">
        <v>215</v>
      </c>
      <c r="C104" s="37">
        <f t="shared" ref="C104:V104" si="146">C102/C103</f>
        <v>0.28735632183908044</v>
      </c>
      <c r="D104" s="37">
        <f t="shared" si="146"/>
        <v>0.33004926108374383</v>
      </c>
      <c r="E104" s="37">
        <f t="shared" si="146"/>
        <v>0.43734643734643736</v>
      </c>
      <c r="F104" s="37">
        <f t="shared" si="146"/>
        <v>0.46153846153846156</v>
      </c>
      <c r="G104" s="37">
        <f t="shared" si="146"/>
        <v>0.49753289473684209</v>
      </c>
      <c r="H104" s="37">
        <f t="shared" si="146"/>
        <v>0.40909090909090912</v>
      </c>
      <c r="I104" s="37">
        <f t="shared" si="146"/>
        <v>0.51201325600662795</v>
      </c>
      <c r="J104" s="37">
        <f t="shared" si="146"/>
        <v>0.63719008264462806</v>
      </c>
      <c r="K104" s="37">
        <f t="shared" si="146"/>
        <v>0.50124688279301743</v>
      </c>
      <c r="L104" s="37">
        <f t="shared" si="146"/>
        <v>0.62146422628951747</v>
      </c>
      <c r="M104" s="37">
        <f t="shared" si="146"/>
        <v>0.69966722129783698</v>
      </c>
      <c r="N104" s="37">
        <f t="shared" si="146"/>
        <v>-0.27182044887780549</v>
      </c>
      <c r="O104" s="37">
        <f t="shared" si="146"/>
        <v>-0.44211409395973156</v>
      </c>
      <c r="P104" s="37">
        <f t="shared" si="146"/>
        <v>-0.14321819713563605</v>
      </c>
      <c r="Q104" s="37">
        <f t="shared" si="146"/>
        <v>3.7654530059271805</v>
      </c>
      <c r="R104" s="37">
        <f t="shared" si="146"/>
        <v>0.76604729729729726</v>
      </c>
      <c r="S104" s="37">
        <f t="shared" si="146"/>
        <v>0.69086251067463711</v>
      </c>
      <c r="T104" s="37">
        <f t="shared" si="146"/>
        <v>0.88085106382978728</v>
      </c>
      <c r="U104" s="37">
        <f t="shared" si="146"/>
        <v>0.8</v>
      </c>
      <c r="V104" s="37">
        <f t="shared" si="146"/>
        <v>0.51107325383304936</v>
      </c>
      <c r="W104" s="37">
        <f t="shared" ref="W104:AQ104" si="147">W102/W103</f>
        <v>1.1257383966244725</v>
      </c>
      <c r="X104" s="37">
        <f t="shared" si="147"/>
        <v>1.3344594594594594</v>
      </c>
      <c r="Y104" s="37">
        <f t="shared" si="147"/>
        <v>0.90168067226890758</v>
      </c>
      <c r="Z104" s="37">
        <f t="shared" si="147"/>
        <v>1.2657580919931857</v>
      </c>
      <c r="AA104" s="37">
        <f t="shared" si="147"/>
        <v>1.2915966386554623</v>
      </c>
      <c r="AB104" s="37">
        <f t="shared" si="147"/>
        <v>0.89376053962900504</v>
      </c>
      <c r="AC104" s="37">
        <f t="shared" si="147"/>
        <v>1.0850884582982308</v>
      </c>
      <c r="AD104" s="37">
        <f t="shared" si="147"/>
        <v>0.85945485519591136</v>
      </c>
      <c r="AE104" s="37">
        <f t="shared" si="147"/>
        <v>0.88478073946689595</v>
      </c>
      <c r="AF104" s="37">
        <f t="shared" si="147"/>
        <v>0.93005181347150256</v>
      </c>
      <c r="AG104" s="37">
        <f t="shared" si="147"/>
        <v>1.3595505617977528</v>
      </c>
      <c r="AH104" s="37">
        <f t="shared" si="147"/>
        <v>1.2670203359858532</v>
      </c>
      <c r="AI104" s="37">
        <f t="shared" si="147"/>
        <v>0.88271604938271608</v>
      </c>
      <c r="AJ104" s="37">
        <f t="shared" si="147"/>
        <v>-0.27917414721723521</v>
      </c>
      <c r="AK104" s="37">
        <f t="shared" si="147"/>
        <v>1.0063752276867031</v>
      </c>
      <c r="AL104" s="37">
        <f t="shared" si="147"/>
        <v>2.3062558356676002</v>
      </c>
      <c r="AM104" s="37">
        <f t="shared" si="147"/>
        <v>1.6445895522388059</v>
      </c>
      <c r="AN104" s="37">
        <f t="shared" si="147"/>
        <v>1.3065902578796562</v>
      </c>
      <c r="AO104" s="37">
        <f t="shared" si="147"/>
        <v>1.4111328125</v>
      </c>
      <c r="AP104" s="37">
        <f t="shared" si="147"/>
        <v>2.2163801820020224</v>
      </c>
      <c r="AQ104" s="37">
        <f t="shared" si="147"/>
        <v>0.97971602434077076</v>
      </c>
      <c r="AR104" s="37">
        <f t="shared" ref="AR104:AS104" si="148">AR102/AR103</f>
        <v>0.71207430340557276</v>
      </c>
      <c r="AS104" s="37">
        <f t="shared" si="148"/>
        <v>1.6042105263157895</v>
      </c>
      <c r="BG104" s="37">
        <f t="shared" ref="BG104" si="149">SUM(C104:F104)</f>
        <v>1.5162904818077232</v>
      </c>
      <c r="BH104" s="37">
        <f t="shared" ref="BH104" si="150">SUM(G104:J104)</f>
        <v>2.0558271424790071</v>
      </c>
      <c r="BI104" s="37">
        <f t="shared" ref="BI104" si="151">SUM(K104:N104)</f>
        <v>1.5505578815025662</v>
      </c>
      <c r="BJ104" s="37">
        <f t="shared" ref="BJ104" si="152">SUM(O104:R104)</f>
        <v>3.9461680121291103</v>
      </c>
      <c r="BK104" s="37">
        <f t="shared" ref="BK104" si="153">SUM(S104:V104)</f>
        <v>2.8827868283374736</v>
      </c>
      <c r="BL104" s="37">
        <f>BL102/BL103</f>
        <v>4.6253961546587785</v>
      </c>
      <c r="BM104" s="37">
        <f>BM102/BM103</f>
        <v>4.1283512771796493</v>
      </c>
      <c r="BN104" s="37">
        <f t="shared" ref="BN104:BO104" si="154">BN102/BN103</f>
        <v>4.43219787372532</v>
      </c>
      <c r="BO104" s="37">
        <f t="shared" si="154"/>
        <v>3.8215983699343448</v>
      </c>
      <c r="BP104" s="37">
        <f>BP102/BP103</f>
        <v>6.55082284607938</v>
      </c>
    </row>
    <row r="105" spans="2:130" ht="15">
      <c r="BL105" s="2"/>
      <c r="BM105" s="2"/>
      <c r="BN105" s="2"/>
      <c r="BO105" s="2"/>
      <c r="BP105" s="2"/>
    </row>
  </sheetData>
  <mergeCells count="2">
    <mergeCell ref="BA68:BB68"/>
    <mergeCell ref="BY68:BZ68"/>
  </mergeCells>
  <conditionalFormatting sqref="BA68">
    <cfRule type="colorScale" priority="13">
      <colorScale>
        <cfvo type="min"/>
        <cfvo type="percentile" val="50"/>
        <cfvo type="max"/>
        <color rgb="FFF8696B"/>
        <color rgb="FFFCFCFF"/>
        <color rgb="FF63BE7B"/>
      </colorScale>
    </cfRule>
    <cfRule type="containsText" dxfId="9" priority="14" operator="containsText" text="Strong Sell">
      <formula>NOT(ISERROR(SEARCH("Strong Sell",BA68)))</formula>
    </cfRule>
    <cfRule type="containsText" dxfId="8" priority="15" operator="containsText" text="Sell">
      <formula>NOT(ISERROR(SEARCH("Sell",BA68)))</formula>
    </cfRule>
    <cfRule type="containsText" dxfId="7" priority="16" operator="containsText" text="Hold">
      <formula>NOT(ISERROR(SEARCH("Hold",BA68)))</formula>
    </cfRule>
    <cfRule type="beginsWith" dxfId="6" priority="17" operator="beginsWith" text="Buy">
      <formula>LEFT(BA68,LEN("Buy"))="Buy"</formula>
    </cfRule>
    <cfRule type="beginsWith" dxfId="5" priority="18" operator="beginsWith" text="Strong">
      <formula>LEFT(BA68,LEN("Strong"))="Strong"</formula>
    </cfRule>
  </conditionalFormatting>
  <conditionalFormatting sqref="BY68:BZ68">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Sell",BY68)))</formula>
    </cfRule>
    <cfRule type="containsText" dxfId="3" priority="3" operator="containsText" text="Sell">
      <formula>NOT(ISERROR(SEARCH("Sell",BY68)))</formula>
    </cfRule>
    <cfRule type="containsText" dxfId="2" priority="4" operator="containsText" text="Hold">
      <formula>NOT(ISERROR(SEARCH("Hold",BY68)))</formula>
    </cfRule>
    <cfRule type="beginsWith" dxfId="1" priority="5" operator="beginsWith" text="Buy">
      <formula>LEFT(BY68,LEN("Buy"))="Buy"</formula>
    </cfRule>
    <cfRule type="beginsWith" dxfId="0" priority="6" operator="beginsWith" text="Strong">
      <formula>LEFT(BY68,LEN("Strong"))="Strong"</formula>
    </cfRule>
  </conditionalFormatting>
  <pageMargins left="0.7" right="0.7" top="0.75" bottom="0.75" header="0.3" footer="0.3"/>
  <ignoredErrors>
    <ignoredError sqref="AD77:AQ82 BM77:BP78 BG100:BP100 BG35:BP41 BG101:BL101 BN101:BP101 BG34:BP34 BG29:BP33 AR77:AR82 BN26:BP26 AS77:AS78" formulaRange="1"/>
    <ignoredError sqref="BG42:BP42" formula="1" formulaRange="1"/>
    <ignoredError sqref="BQ12:BZ13 BR10:BZ10"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2006"/>
  <sheetViews>
    <sheetView topLeftCell="H174" zoomScale="85" zoomScaleNormal="85" workbookViewId="0">
      <selection activeCell="Y132" sqref="Y132"/>
    </sheetView>
  </sheetViews>
  <sheetFormatPr defaultRowHeight="14.25"/>
  <cols>
    <col min="1" max="7" width="9.140625"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136</v>
      </c>
      <c r="AD2" s="2" t="s">
        <v>115</v>
      </c>
    </row>
    <row r="3" spans="8:79" ht="15">
      <c r="AD3" s="2"/>
    </row>
    <row r="4" spans="8:79">
      <c r="AD4" s="1" t="s">
        <v>2058</v>
      </c>
    </row>
    <row r="5" spans="8:79">
      <c r="AE5" s="1" t="s">
        <v>2057</v>
      </c>
    </row>
    <row r="6" spans="8:79">
      <c r="AE6" s="1" t="s">
        <v>2056</v>
      </c>
    </row>
    <row r="7" spans="8:79">
      <c r="AF7" s="1" t="s">
        <v>2055</v>
      </c>
    </row>
    <row r="9" spans="8:79">
      <c r="AD9" s="1" t="s">
        <v>2054</v>
      </c>
    </row>
    <row r="10" spans="8:79">
      <c r="AE10" s="1" t="s">
        <v>2053</v>
      </c>
    </row>
    <row r="12" spans="8:79">
      <c r="AD12" s="1" t="s">
        <v>2052</v>
      </c>
    </row>
    <row r="13" spans="8:79">
      <c r="AE13" s="1" t="s">
        <v>2051</v>
      </c>
    </row>
    <row r="14" spans="8:79">
      <c r="AE14" s="1" t="s">
        <v>2050</v>
      </c>
    </row>
    <row r="15" spans="8:79">
      <c r="AD15" s="1" t="s">
        <v>2049</v>
      </c>
    </row>
    <row r="16" spans="8:79">
      <c r="AE16" s="1" t="s">
        <v>2048</v>
      </c>
    </row>
    <row r="17" spans="9:31">
      <c r="AE17" s="1" t="s">
        <v>2047</v>
      </c>
    </row>
    <row r="19" spans="9:31">
      <c r="AD19" s="34" t="s">
        <v>2046</v>
      </c>
      <c r="AE19" s="34"/>
    </row>
    <row r="20" spans="9:31">
      <c r="AD20" s="34" t="s">
        <v>2045</v>
      </c>
      <c r="AE20" s="34"/>
    </row>
    <row r="21" spans="9:31">
      <c r="AD21" s="34" t="s">
        <v>2044</v>
      </c>
      <c r="AE21" s="34"/>
    </row>
    <row r="22" spans="9:31">
      <c r="AD22" s="34"/>
      <c r="AE22" s="34" t="s">
        <v>2043</v>
      </c>
    </row>
    <row r="23" spans="9:31">
      <c r="AD23" s="34"/>
      <c r="AE23" s="34" t="s">
        <v>2042</v>
      </c>
    </row>
    <row r="24" spans="9:31">
      <c r="AD24" s="34"/>
      <c r="AE24" s="34" t="s">
        <v>2041</v>
      </c>
    </row>
    <row r="25" spans="9:31">
      <c r="AD25" s="34"/>
      <c r="AE25" s="34" t="s">
        <v>2059</v>
      </c>
    </row>
    <row r="32" spans="9:31">
      <c r="I32" s="1" t="s">
        <v>17</v>
      </c>
      <c r="J32" s="1" t="s">
        <v>18</v>
      </c>
    </row>
    <row r="33" spans="8:30">
      <c r="J33" s="1" t="s">
        <v>19</v>
      </c>
    </row>
    <row r="34" spans="8:30">
      <c r="J34" s="1" t="s">
        <v>20</v>
      </c>
    </row>
    <row r="35" spans="8:30" ht="15">
      <c r="AD35" s="2" t="s">
        <v>116</v>
      </c>
    </row>
    <row r="36" spans="8:30" ht="15">
      <c r="H36" s="2" t="s">
        <v>16</v>
      </c>
      <c r="AD36" s="2" t="s">
        <v>117</v>
      </c>
    </row>
    <row r="64" spans="9:10">
      <c r="I64" s="1" t="s">
        <v>17</v>
      </c>
      <c r="J64" s="1" t="s">
        <v>18</v>
      </c>
    </row>
    <row r="65" spans="8:30">
      <c r="J65" s="1" t="s">
        <v>19</v>
      </c>
    </row>
    <row r="66" spans="8:30">
      <c r="J66" s="1" t="s">
        <v>20</v>
      </c>
    </row>
    <row r="68" spans="8:30" ht="15">
      <c r="H68" s="2" t="s">
        <v>2060</v>
      </c>
      <c r="AD68" s="2" t="s">
        <v>118</v>
      </c>
    </row>
    <row r="100" spans="8:30">
      <c r="I100" s="1" t="s">
        <v>17</v>
      </c>
      <c r="J100" s="1" t="s">
        <v>18</v>
      </c>
    </row>
    <row r="101" spans="8:30">
      <c r="J101" s="1" t="s">
        <v>19</v>
      </c>
    </row>
    <row r="102" spans="8:30">
      <c r="J102" s="1" t="s">
        <v>20</v>
      </c>
    </row>
    <row r="104" spans="8:30" ht="15">
      <c r="H104" s="2" t="s">
        <v>2039</v>
      </c>
      <c r="AD104" s="2" t="s">
        <v>119</v>
      </c>
    </row>
    <row r="133" spans="8:30">
      <c r="I133" s="1" t="s">
        <v>17</v>
      </c>
      <c r="J133" s="1" t="s">
        <v>18</v>
      </c>
    </row>
    <row r="134" spans="8:30">
      <c r="J134" s="1" t="s">
        <v>19</v>
      </c>
    </row>
    <row r="135" spans="8:30">
      <c r="J135" s="1" t="s">
        <v>20</v>
      </c>
    </row>
    <row r="137" spans="8:30" ht="15">
      <c r="H137" s="2" t="s">
        <v>2040</v>
      </c>
      <c r="AD137" s="2" t="s">
        <v>120</v>
      </c>
    </row>
    <row r="166" spans="8:10">
      <c r="I166" s="1" t="s">
        <v>17</v>
      </c>
      <c r="J166" s="1" t="s">
        <v>18</v>
      </c>
    </row>
    <row r="167" spans="8:10">
      <c r="J167" s="1" t="s">
        <v>19</v>
      </c>
    </row>
    <row r="168" spans="8:10">
      <c r="J168" s="1" t="s">
        <v>20</v>
      </c>
    </row>
    <row r="170" spans="8:10" ht="15">
      <c r="H170" s="2" t="s">
        <v>2061</v>
      </c>
    </row>
    <row r="199" spans="9:13">
      <c r="I199" s="1" t="s">
        <v>528</v>
      </c>
    </row>
    <row r="200" spans="9:13">
      <c r="I200" s="1" t="s">
        <v>529</v>
      </c>
    </row>
    <row r="201" spans="9:13">
      <c r="J201" s="1" t="s">
        <v>2069</v>
      </c>
    </row>
    <row r="203" spans="9:13">
      <c r="I203" s="25"/>
      <c r="J203" s="25" t="s">
        <v>28</v>
      </c>
      <c r="K203" s="26">
        <f>MIN(G249:G2006)</f>
        <v>-9.3684650773734779E-2</v>
      </c>
    </row>
    <row r="204" spans="9:13">
      <c r="I204" s="25"/>
      <c r="J204" s="25" t="s">
        <v>29</v>
      </c>
      <c r="K204" s="26">
        <f>MAX(G249:G2006)</f>
        <v>0.12846303158637729</v>
      </c>
    </row>
    <row r="205" spans="9:13">
      <c r="I205" s="25"/>
      <c r="J205" s="25" t="s">
        <v>30</v>
      </c>
      <c r="K205" s="26">
        <f>AVERAGE(G249:G2006)</f>
        <v>-3.394171843334212E-5</v>
      </c>
    </row>
    <row r="206" spans="9:13">
      <c r="I206" s="25"/>
      <c r="J206" s="25" t="s">
        <v>31</v>
      </c>
      <c r="K206" s="26">
        <f>MEDIAN(G249:G2006)</f>
        <v>5.5201648647940083E-4</v>
      </c>
    </row>
    <row r="207" spans="9:13" ht="15">
      <c r="I207" s="25"/>
      <c r="J207" s="25" t="s">
        <v>32</v>
      </c>
      <c r="K207" s="26">
        <f>_xlfn.STDEV.P(G249:G2006)</f>
        <v>2.0378288547889242E-2</v>
      </c>
      <c r="M207" s="2"/>
    </row>
    <row r="208" spans="9:13" ht="15">
      <c r="I208" s="25"/>
      <c r="J208" s="27" t="s">
        <v>33</v>
      </c>
      <c r="K208" s="26">
        <f>3*K207</f>
        <v>6.1134865643667727E-2</v>
      </c>
      <c r="L208" s="25"/>
      <c r="M208" s="2" t="s">
        <v>130</v>
      </c>
    </row>
    <row r="209" spans="9:17" ht="15">
      <c r="I209" s="25"/>
      <c r="J209" s="27" t="s">
        <v>34</v>
      </c>
      <c r="K209" s="25">
        <v>1.45</v>
      </c>
      <c r="L209" s="25"/>
      <c r="M209" s="2" t="s">
        <v>35</v>
      </c>
    </row>
    <row r="211" spans="9:17">
      <c r="I211" s="28" t="s">
        <v>36</v>
      </c>
      <c r="J211" s="29">
        <v>1758</v>
      </c>
    </row>
    <row r="212" spans="9:17" ht="15" customHeight="1" thickBot="1">
      <c r="I212" s="1" t="s">
        <v>37</v>
      </c>
      <c r="L212" s="1" t="s">
        <v>38</v>
      </c>
      <c r="P212" s="1" t="s">
        <v>39</v>
      </c>
    </row>
    <row r="213" spans="9:17" ht="15" customHeight="1">
      <c r="I213" s="53" t="s">
        <v>40</v>
      </c>
      <c r="J213" s="53" t="s">
        <v>41</v>
      </c>
      <c r="L213" s="30" t="s">
        <v>42</v>
      </c>
      <c r="M213" s="31" t="s">
        <v>43</v>
      </c>
      <c r="P213" s="30" t="s">
        <v>44</v>
      </c>
      <c r="Q213" s="31" t="s">
        <v>45</v>
      </c>
    </row>
    <row r="214" spans="9:17" ht="15" customHeight="1">
      <c r="I214" s="51">
        <v>-6.25E-2</v>
      </c>
      <c r="J214">
        <v>0</v>
      </c>
      <c r="L214" s="49">
        <v>-6.5000000000000002E-2</v>
      </c>
      <c r="M214" s="1">
        <f>_xlfn.NORM.DIST(L214,$K$205,$K$207,FALSE)</f>
        <v>0.12156126078930457</v>
      </c>
      <c r="O214" s="1" t="s">
        <v>121</v>
      </c>
      <c r="P214" s="49">
        <f>K205</f>
        <v>-3.394171843334212E-5</v>
      </c>
      <c r="Q214" s="1">
        <v>0</v>
      </c>
    </row>
    <row r="215" spans="9:17" ht="15">
      <c r="I215" s="51">
        <v>-0.06</v>
      </c>
      <c r="J215">
        <v>0</v>
      </c>
      <c r="L215" s="49">
        <v>-6.25E-2</v>
      </c>
      <c r="M215" s="1">
        <f t="shared" ref="M215:M266" si="0">_xlfn.NORM.DIST(L215,$K$205,$K$207,FALSE)</f>
        <v>0.17839428180525357</v>
      </c>
      <c r="P215" s="49">
        <f>K205</f>
        <v>-3.394171843334212E-5</v>
      </c>
      <c r="Q215" s="1">
        <v>20</v>
      </c>
    </row>
    <row r="216" spans="9:17" ht="15">
      <c r="I216" s="51">
        <v>-5.7500000000000002E-2</v>
      </c>
      <c r="J216">
        <v>5</v>
      </c>
      <c r="L216" s="49">
        <v>-0.06</v>
      </c>
      <c r="M216" s="1">
        <f t="shared" si="0"/>
        <v>0.25788756965457676</v>
      </c>
      <c r="O216" s="36" t="s">
        <v>122</v>
      </c>
      <c r="P216" s="49">
        <f>($K$207*-3)+$K$205</f>
        <v>-6.116880736210107E-2</v>
      </c>
      <c r="Q216" s="1">
        <v>0</v>
      </c>
    </row>
    <row r="217" spans="9:17" ht="15">
      <c r="I217" s="51">
        <v>-5.5E-2</v>
      </c>
      <c r="J217">
        <v>4</v>
      </c>
      <c r="L217" s="49">
        <v>-5.7500000000000002E-2</v>
      </c>
      <c r="M217" s="1">
        <f t="shared" si="0"/>
        <v>0.36723463605214407</v>
      </c>
      <c r="O217" s="37"/>
      <c r="P217" s="49">
        <f>($K$207*-3)+$K$205</f>
        <v>-6.116880736210107E-2</v>
      </c>
      <c r="Q217" s="1">
        <v>2</v>
      </c>
    </row>
    <row r="218" spans="9:17" ht="15">
      <c r="I218" s="51">
        <v>-5.2499999999999977E-2</v>
      </c>
      <c r="J218">
        <v>3</v>
      </c>
      <c r="L218" s="49">
        <v>-5.5E-2</v>
      </c>
      <c r="M218" s="1">
        <f t="shared" si="0"/>
        <v>0.51513446512562022</v>
      </c>
      <c r="O218" s="36" t="s">
        <v>123</v>
      </c>
      <c r="P218" s="49">
        <f>($K$207*-2)+$K$205</f>
        <v>-4.0790518814211828E-2</v>
      </c>
      <c r="Q218" s="1">
        <v>0</v>
      </c>
    </row>
    <row r="219" spans="9:17" ht="15">
      <c r="I219" s="51">
        <v>-4.9999999999999975E-2</v>
      </c>
      <c r="J219">
        <v>8</v>
      </c>
      <c r="L219" s="49">
        <v>-5.2499999999999977E-2</v>
      </c>
      <c r="M219" s="1">
        <f t="shared" si="0"/>
        <v>0.71180547725341714</v>
      </c>
      <c r="O219" s="37"/>
      <c r="P219" s="49">
        <f>($K$207*-2)+$K$205</f>
        <v>-4.0790518814211828E-2</v>
      </c>
      <c r="Q219" s="1">
        <v>4</v>
      </c>
    </row>
    <row r="220" spans="9:17" ht="15">
      <c r="I220" s="51">
        <v>-4.7499999999999973E-2</v>
      </c>
      <c r="J220">
        <v>2</v>
      </c>
      <c r="L220" s="49">
        <v>-4.9999999999999975E-2</v>
      </c>
      <c r="M220" s="1">
        <f t="shared" si="0"/>
        <v>0.96887062713868832</v>
      </c>
      <c r="O220" s="38" t="s">
        <v>124</v>
      </c>
      <c r="P220" s="49">
        <f>($K$207*-1)+$K$205</f>
        <v>-2.0412230266322585E-2</v>
      </c>
      <c r="Q220" s="1">
        <v>0</v>
      </c>
    </row>
    <row r="221" spans="9:17" ht="15">
      <c r="I221" s="51">
        <v>-4.4999999999999971E-2</v>
      </c>
      <c r="J221">
        <v>10</v>
      </c>
      <c r="L221" s="49">
        <v>-4.7499999999999973E-2</v>
      </c>
      <c r="M221" s="1">
        <f t="shared" si="0"/>
        <v>1.2990743270912819</v>
      </c>
      <c r="P221" s="49">
        <f>($K$207*-1)+$K$205</f>
        <v>-2.0412230266322585E-2</v>
      </c>
      <c r="Q221" s="1">
        <v>11</v>
      </c>
    </row>
    <row r="222" spans="9:17" ht="15">
      <c r="I222" s="51">
        <v>-4.2499999999999968E-2</v>
      </c>
      <c r="J222">
        <v>10</v>
      </c>
      <c r="L222" s="49">
        <v>-4.4999999999999971E-2</v>
      </c>
      <c r="M222" s="1">
        <f t="shared" si="0"/>
        <v>1.7157972071675667</v>
      </c>
      <c r="O222" s="1" t="s">
        <v>125</v>
      </c>
      <c r="P222" s="49">
        <f>($K$207*1)+$K$205</f>
        <v>2.0344346829455899E-2</v>
      </c>
      <c r="Q222" s="1">
        <v>0</v>
      </c>
    </row>
    <row r="223" spans="9:17" ht="15">
      <c r="I223" s="51">
        <v>-3.9999999999999966E-2</v>
      </c>
      <c r="J223">
        <v>9</v>
      </c>
      <c r="L223" s="49">
        <v>-4.2499999999999968E-2</v>
      </c>
      <c r="M223" s="1">
        <f t="shared" si="0"/>
        <v>2.232346774428922</v>
      </c>
      <c r="P223" s="49">
        <f>($K$207*1)+$K$205</f>
        <v>2.0344346829455899E-2</v>
      </c>
      <c r="Q223" s="1">
        <v>11</v>
      </c>
    </row>
    <row r="224" spans="9:17" ht="15">
      <c r="I224" s="51">
        <v>-3.7499999999999964E-2</v>
      </c>
      <c r="J224">
        <v>12</v>
      </c>
      <c r="L224" s="49">
        <v>-3.9999999999999966E-2</v>
      </c>
      <c r="M224" s="1">
        <f t="shared" si="0"/>
        <v>2.8610214100209967</v>
      </c>
      <c r="O224" s="39" t="s">
        <v>126</v>
      </c>
      <c r="P224" s="49">
        <f>($K$207*2)+$K$205</f>
        <v>4.0722635377345141E-2</v>
      </c>
      <c r="Q224" s="1">
        <v>0</v>
      </c>
    </row>
    <row r="225" spans="9:17" ht="15">
      <c r="I225" s="51">
        <v>-3.4999999999999962E-2</v>
      </c>
      <c r="J225">
        <v>16</v>
      </c>
      <c r="L225" s="49">
        <v>-3.7499999999999964E-2</v>
      </c>
      <c r="M225" s="1">
        <f t="shared" si="0"/>
        <v>3.6119713974231842</v>
      </c>
      <c r="P225" s="49">
        <f>($K$207*2)+$K$205</f>
        <v>4.0722635377345141E-2</v>
      </c>
      <c r="Q225" s="1">
        <v>4</v>
      </c>
    </row>
    <row r="226" spans="9:17" ht="15">
      <c r="I226" s="51">
        <v>-3.2499999999999959E-2</v>
      </c>
      <c r="J226">
        <v>16</v>
      </c>
      <c r="L226" s="49">
        <v>-3.4999999999999962E-2</v>
      </c>
      <c r="M226" s="1">
        <f t="shared" si="0"/>
        <v>4.4919120403384687</v>
      </c>
      <c r="O226" s="39" t="s">
        <v>127</v>
      </c>
      <c r="P226" s="49">
        <f>($K$207*3)+$K$205</f>
        <v>6.1100923925234384E-2</v>
      </c>
      <c r="Q226" s="1">
        <v>0</v>
      </c>
    </row>
    <row r="227" spans="9:17" ht="15">
      <c r="I227" s="51">
        <v>-2.9999999999999961E-2</v>
      </c>
      <c r="J227">
        <v>26</v>
      </c>
      <c r="L227" s="49">
        <v>-3.2499999999999959E-2</v>
      </c>
      <c r="M227" s="1">
        <f t="shared" si="0"/>
        <v>5.5027772151966117</v>
      </c>
      <c r="O227" s="39"/>
      <c r="P227" s="49">
        <f>($K$207*3)+$K$205</f>
        <v>6.1100923925234384E-2</v>
      </c>
      <c r="Q227" s="1">
        <v>2</v>
      </c>
    </row>
    <row r="228" spans="9:17" ht="15">
      <c r="I228" s="51">
        <v>-2.7499999999999962E-2</v>
      </c>
      <c r="J228">
        <v>21</v>
      </c>
      <c r="L228" s="49">
        <v>-2.9999999999999961E-2</v>
      </c>
      <c r="M228" s="1">
        <f t="shared" si="0"/>
        <v>6.6404324537987902</v>
      </c>
    </row>
    <row r="229" spans="9:17" ht="15">
      <c r="I229" s="51">
        <v>-2.4999999999999963E-2</v>
      </c>
      <c r="J229">
        <v>30</v>
      </c>
      <c r="L229" s="49">
        <v>-2.7499999999999962E-2</v>
      </c>
      <c r="M229" s="1">
        <f t="shared" si="0"/>
        <v>7.8935895925982047</v>
      </c>
    </row>
    <row r="230" spans="9:17" ht="15">
      <c r="I230" s="51">
        <v>-2.2499999999999964E-2</v>
      </c>
      <c r="J230">
        <v>30</v>
      </c>
      <c r="L230" s="49">
        <v>-2.4999999999999963E-2</v>
      </c>
      <c r="M230" s="1">
        <f t="shared" si="0"/>
        <v>9.2430748054944782</v>
      </c>
    </row>
    <row r="231" spans="9:17" ht="15">
      <c r="I231" s="51">
        <v>-1.9999999999999966E-2</v>
      </c>
      <c r="J231">
        <v>57</v>
      </c>
      <c r="L231" s="49">
        <v>-2.2499999999999964E-2</v>
      </c>
      <c r="M231" s="1">
        <f t="shared" si="0"/>
        <v>10.661593973379171</v>
      </c>
    </row>
    <row r="232" spans="9:17" ht="15">
      <c r="I232" s="51">
        <v>-1.7499999999999967E-2</v>
      </c>
      <c r="J232">
        <v>36</v>
      </c>
      <c r="L232" s="49">
        <v>-1.9999999999999966E-2</v>
      </c>
      <c r="M232" s="1">
        <f t="shared" si="0"/>
        <v>12.11411122196237</v>
      </c>
    </row>
    <row r="233" spans="9:17" ht="15">
      <c r="I233" s="51">
        <v>-1.4999999999999966E-2</v>
      </c>
      <c r="J233">
        <v>52</v>
      </c>
      <c r="L233" s="49">
        <v>-1.7499999999999967E-2</v>
      </c>
      <c r="M233" s="1">
        <f t="shared" si="0"/>
        <v>13.558908196278635</v>
      </c>
    </row>
    <row r="234" spans="9:17" ht="15">
      <c r="I234" s="51">
        <v>-1.2499999999999966E-2</v>
      </c>
      <c r="J234">
        <v>62</v>
      </c>
      <c r="L234" s="49">
        <v>-1.4999999999999966E-2</v>
      </c>
      <c r="M234" s="1">
        <f t="shared" si="0"/>
        <v>14.949326594274027</v>
      </c>
    </row>
    <row r="235" spans="9:17" ht="15">
      <c r="I235" s="51">
        <v>-9.9999999999999655E-3</v>
      </c>
      <c r="J235">
        <v>75</v>
      </c>
      <c r="L235" s="49">
        <v>-1.2499999999999966E-2</v>
      </c>
      <c r="M235" s="1">
        <f t="shared" si="0"/>
        <v>16.236121240858456</v>
      </c>
    </row>
    <row r="236" spans="9:17" ht="15">
      <c r="I236" s="51">
        <v>-7.499999999999965E-3</v>
      </c>
      <c r="J236">
        <v>73</v>
      </c>
      <c r="L236" s="49">
        <v>-9.9999999999999655E-3</v>
      </c>
      <c r="M236" s="1">
        <f t="shared" si="0"/>
        <v>17.370274738436311</v>
      </c>
    </row>
    <row r="237" spans="9:17" ht="15">
      <c r="I237" s="51">
        <v>-4.9999999999999645E-3</v>
      </c>
      <c r="J237">
        <v>101</v>
      </c>
      <c r="L237" s="49">
        <v>-7.499999999999965E-3</v>
      </c>
      <c r="M237" s="1">
        <f t="shared" si="0"/>
        <v>18.306058063334685</v>
      </c>
    </row>
    <row r="238" spans="9:17" ht="15">
      <c r="I238" s="51">
        <v>-2.4999999999999645E-3</v>
      </c>
      <c r="J238">
        <v>95</v>
      </c>
      <c r="L238" s="49">
        <v>-4.9999999999999645E-3</v>
      </c>
      <c r="M238" s="1">
        <f t="shared" si="0"/>
        <v>19.0040747328989</v>
      </c>
    </row>
    <row r="239" spans="9:17" ht="15">
      <c r="I239" s="51">
        <v>3.5561831257524545E-17</v>
      </c>
      <c r="J239">
        <v>96</v>
      </c>
      <c r="L239" s="49">
        <v>-2.4999999999999645E-3</v>
      </c>
      <c r="M239" s="1">
        <f t="shared" si="0"/>
        <v>19.434007668903707</v>
      </c>
    </row>
    <row r="240" spans="9:17" ht="15">
      <c r="I240" s="51">
        <v>2.5000000000000356E-3</v>
      </c>
      <c r="J240">
        <v>100</v>
      </c>
      <c r="L240" s="49">
        <v>3.5561831257524545E-17</v>
      </c>
      <c r="M240" s="1">
        <f t="shared" si="0"/>
        <v>19.57680234522671</v>
      </c>
    </row>
    <row r="241" spans="1:13" ht="15">
      <c r="I241" s="51">
        <v>5.0000000000000357E-3</v>
      </c>
      <c r="J241">
        <v>102</v>
      </c>
      <c r="L241" s="49">
        <v>2.5000000000000356E-3</v>
      </c>
      <c r="M241" s="1">
        <f t="shared" si="0"/>
        <v>19.426067274984298</v>
      </c>
    </row>
    <row r="242" spans="1:13" ht="15">
      <c r="I242" s="51">
        <v>7.5000000000000362E-3</v>
      </c>
      <c r="J242">
        <v>108</v>
      </c>
      <c r="L242" s="49">
        <v>5.0000000000000357E-3</v>
      </c>
      <c r="M242" s="1">
        <f t="shared" si="0"/>
        <v>18.988548443673075</v>
      </c>
    </row>
    <row r="243" spans="1:13" ht="15">
      <c r="I243" s="51">
        <v>1.0000000000000037E-2</v>
      </c>
      <c r="J243">
        <v>100</v>
      </c>
      <c r="L243" s="49">
        <v>7.5000000000000362E-3</v>
      </c>
      <c r="M243" s="1">
        <f t="shared" si="0"/>
        <v>18.283628629490281</v>
      </c>
    </row>
    <row r="244" spans="1:13" ht="15">
      <c r="I244" s="51">
        <v>1.2500000000000037E-2</v>
      </c>
      <c r="J244">
        <v>89</v>
      </c>
      <c r="L244" s="49">
        <v>1.0000000000000037E-2</v>
      </c>
      <c r="M244" s="1">
        <f t="shared" si="0"/>
        <v>17.341903376734823</v>
      </c>
    </row>
    <row r="245" spans="1:13" ht="15">
      <c r="I245" s="51">
        <v>1.5000000000000038E-2</v>
      </c>
      <c r="J245">
        <v>79</v>
      </c>
      <c r="L245" s="49">
        <v>1.2500000000000037E-2</v>
      </c>
      <c r="M245" s="1">
        <f t="shared" si="0"/>
        <v>16.202979365612055</v>
      </c>
    </row>
    <row r="246" spans="1:13" ht="15" customHeight="1">
      <c r="I246" s="51">
        <v>1.7500000000000036E-2</v>
      </c>
      <c r="J246">
        <v>57</v>
      </c>
      <c r="L246" s="49">
        <v>1.5000000000000038E-2</v>
      </c>
      <c r="M246" s="1">
        <f t="shared" si="0"/>
        <v>14.912715816016281</v>
      </c>
    </row>
    <row r="247" spans="1:13" ht="15">
      <c r="A247" s="1" t="s">
        <v>2038</v>
      </c>
      <c r="I247" s="51">
        <v>2.0000000000000035E-2</v>
      </c>
      <c r="J247">
        <v>55</v>
      </c>
      <c r="L247" s="49">
        <v>1.7500000000000036E-2</v>
      </c>
      <c r="M247" s="1">
        <f t="shared" si="0"/>
        <v>13.520176176975948</v>
      </c>
    </row>
    <row r="248" spans="1:13" ht="15">
      <c r="A248" s="24" t="s">
        <v>21</v>
      </c>
      <c r="B248" s="24" t="s">
        <v>22</v>
      </c>
      <c r="C248" s="24" t="s">
        <v>23</v>
      </c>
      <c r="D248" s="24" t="s">
        <v>24</v>
      </c>
      <c r="E248" s="24" t="s">
        <v>25</v>
      </c>
      <c r="F248" s="24" t="s">
        <v>26</v>
      </c>
      <c r="G248" s="24" t="s">
        <v>27</v>
      </c>
      <c r="I248" s="51">
        <v>2.2500000000000034E-2</v>
      </c>
      <c r="J248">
        <v>35</v>
      </c>
      <c r="L248" s="49">
        <v>2.0000000000000035E-2</v>
      </c>
      <c r="M248" s="1">
        <f t="shared" si="0"/>
        <v>12.074570897597075</v>
      </c>
    </row>
    <row r="249" spans="1:13" ht="15">
      <c r="A249" s="47">
        <v>69.849999999999994</v>
      </c>
      <c r="B249" s="47">
        <v>70.14</v>
      </c>
      <c r="C249" s="47">
        <v>69.41</v>
      </c>
      <c r="D249" s="47">
        <v>69.459999999999994</v>
      </c>
      <c r="E249" s="47">
        <v>7683598</v>
      </c>
      <c r="F249" s="47" t="s">
        <v>2037</v>
      </c>
      <c r="G249" s="46">
        <f>A249/D249-1</f>
        <v>5.6147422977252948E-3</v>
      </c>
      <c r="I249" s="51">
        <v>2.5000000000000033E-2</v>
      </c>
      <c r="J249">
        <v>31</v>
      </c>
      <c r="L249" s="49">
        <v>2.2500000000000034E-2</v>
      </c>
      <c r="M249" s="1">
        <f t="shared" si="0"/>
        <v>10.622452727672599</v>
      </c>
    </row>
    <row r="250" spans="1:13" ht="15">
      <c r="A250" s="47">
        <v>71.45</v>
      </c>
      <c r="B250" s="47">
        <v>71.984999999999999</v>
      </c>
      <c r="C250" s="47">
        <v>71.280100000000004</v>
      </c>
      <c r="D250" s="47">
        <v>71.474999999999994</v>
      </c>
      <c r="E250" s="47">
        <v>6451026</v>
      </c>
      <c r="F250" s="47" t="s">
        <v>2036</v>
      </c>
      <c r="G250" s="46">
        <f t="shared" ref="G250:G313" si="1">A250/D250-1</f>
        <v>-3.4977264777880102E-4</v>
      </c>
      <c r="I250" s="51">
        <v>2.7500000000000031E-2</v>
      </c>
      <c r="J250">
        <v>25</v>
      </c>
      <c r="L250" s="49">
        <v>2.5000000000000033E-2</v>
      </c>
      <c r="M250" s="1">
        <f t="shared" si="0"/>
        <v>9.2053785875835619</v>
      </c>
    </row>
    <row r="251" spans="1:13" ht="15">
      <c r="A251" s="47">
        <v>71.650000000000006</v>
      </c>
      <c r="B251" s="47">
        <v>73.2042</v>
      </c>
      <c r="C251" s="47">
        <v>71.504999999999995</v>
      </c>
      <c r="D251" s="47">
        <v>72.2</v>
      </c>
      <c r="E251" s="47">
        <v>8094345</v>
      </c>
      <c r="F251" s="47" t="s">
        <v>2035</v>
      </c>
      <c r="G251" s="46">
        <f t="shared" si="1"/>
        <v>-7.6177285318559385E-3</v>
      </c>
      <c r="I251" s="51">
        <v>3.000000000000003E-2</v>
      </c>
      <c r="J251">
        <v>19</v>
      </c>
      <c r="L251" s="49">
        <v>2.7500000000000031E-2</v>
      </c>
      <c r="M251" s="1">
        <f t="shared" si="0"/>
        <v>7.8581849787486746</v>
      </c>
    </row>
    <row r="252" spans="1:13" ht="15">
      <c r="A252" s="47">
        <v>72.61</v>
      </c>
      <c r="B252" s="47">
        <v>72.78</v>
      </c>
      <c r="C252" s="47">
        <v>71.739999999999995</v>
      </c>
      <c r="D252" s="47">
        <v>71.89</v>
      </c>
      <c r="E252" s="47">
        <v>8403163</v>
      </c>
      <c r="F252" s="47" t="s">
        <v>2034</v>
      </c>
      <c r="G252" s="46">
        <f t="shared" si="1"/>
        <v>1.0015301154541634E-2</v>
      </c>
      <c r="I252" s="51">
        <v>3.2500000000000029E-2</v>
      </c>
      <c r="J252">
        <v>17</v>
      </c>
      <c r="L252" s="49">
        <v>3.000000000000003E-2</v>
      </c>
      <c r="M252" s="1">
        <f t="shared" si="0"/>
        <v>6.6079475509294134</v>
      </c>
    </row>
    <row r="253" spans="1:13" ht="15">
      <c r="A253" s="47">
        <v>72.319999999999993</v>
      </c>
      <c r="B253" s="47">
        <v>72.540000000000006</v>
      </c>
      <c r="C253" s="47">
        <v>71.11</v>
      </c>
      <c r="D253" s="47">
        <v>71.16</v>
      </c>
      <c r="E253" s="47">
        <v>7434931</v>
      </c>
      <c r="F253" s="47" t="s">
        <v>2033</v>
      </c>
      <c r="G253" s="46">
        <f t="shared" si="1"/>
        <v>1.630129286115789E-2</v>
      </c>
      <c r="I253" s="51">
        <v>3.5000000000000031E-2</v>
      </c>
      <c r="J253">
        <v>12</v>
      </c>
      <c r="L253" s="49">
        <v>3.2500000000000029E-2</v>
      </c>
      <c r="M253" s="1">
        <f t="shared" si="0"/>
        <v>5.4736203666706915</v>
      </c>
    </row>
    <row r="254" spans="1:13" ht="15">
      <c r="A254" s="47">
        <v>72.180000000000007</v>
      </c>
      <c r="B254" s="47">
        <v>72.22</v>
      </c>
      <c r="C254" s="47">
        <v>71.08</v>
      </c>
      <c r="D254" s="47">
        <v>71.47</v>
      </c>
      <c r="E254" s="47">
        <v>8717851</v>
      </c>
      <c r="F254" s="47" t="s">
        <v>2032</v>
      </c>
      <c r="G254" s="46">
        <f t="shared" si="1"/>
        <v>9.9342381418778825E-3</v>
      </c>
      <c r="I254" s="51">
        <v>3.7500000000000033E-2</v>
      </c>
      <c r="J254">
        <v>20</v>
      </c>
      <c r="L254" s="49">
        <v>3.5000000000000031E-2</v>
      </c>
      <c r="M254" s="1">
        <f t="shared" si="0"/>
        <v>4.4662857396330473</v>
      </c>
    </row>
    <row r="255" spans="1:13" ht="15">
      <c r="A255" s="47">
        <v>71.569999999999993</v>
      </c>
      <c r="B255" s="47">
        <v>72.67</v>
      </c>
      <c r="C255" s="47">
        <v>71.44</v>
      </c>
      <c r="D255" s="47">
        <v>72.34</v>
      </c>
      <c r="E255" s="47">
        <v>8116475</v>
      </c>
      <c r="F255" s="47" t="s">
        <v>2031</v>
      </c>
      <c r="G255" s="46">
        <f t="shared" si="1"/>
        <v>-1.0644180259884006E-2</v>
      </c>
      <c r="I255" s="51">
        <v>4.0000000000000036E-2</v>
      </c>
      <c r="J255">
        <v>9</v>
      </c>
      <c r="L255" s="49">
        <v>3.7500000000000033E-2</v>
      </c>
      <c r="M255" s="1">
        <f t="shared" si="0"/>
        <v>3.5898977781552577</v>
      </c>
    </row>
    <row r="256" spans="1:13" ht="15">
      <c r="A256" s="47">
        <v>72.680000000000007</v>
      </c>
      <c r="B256" s="47">
        <v>73.34</v>
      </c>
      <c r="C256" s="47">
        <v>72.240300000000005</v>
      </c>
      <c r="D256" s="47">
        <v>72.66</v>
      </c>
      <c r="E256" s="47">
        <v>7724048</v>
      </c>
      <c r="F256" s="47" t="s">
        <v>2030</v>
      </c>
      <c r="G256" s="46">
        <f t="shared" si="1"/>
        <v>2.7525461051491895E-4</v>
      </c>
      <c r="I256" s="51">
        <v>4.2500000000000038E-2</v>
      </c>
      <c r="J256">
        <v>9</v>
      </c>
      <c r="L256" s="49">
        <v>4.0000000000000036E-2</v>
      </c>
      <c r="M256" s="1">
        <f t="shared" si="0"/>
        <v>2.8423752061086356</v>
      </c>
    </row>
    <row r="257" spans="1:13" ht="15">
      <c r="A257" s="47">
        <v>72.290000000000006</v>
      </c>
      <c r="B257" s="47">
        <v>72.650000000000006</v>
      </c>
      <c r="C257" s="47">
        <v>71.89</v>
      </c>
      <c r="D257" s="47">
        <v>72.41</v>
      </c>
      <c r="E257" s="47">
        <v>8076183</v>
      </c>
      <c r="F257" s="47" t="s">
        <v>2029</v>
      </c>
      <c r="G257" s="46">
        <f t="shared" si="1"/>
        <v>-1.657229664410842E-3</v>
      </c>
      <c r="I257" s="51">
        <v>4.500000000000004E-2</v>
      </c>
      <c r="J257">
        <v>8</v>
      </c>
      <c r="L257" s="49">
        <v>4.2500000000000038E-2</v>
      </c>
      <c r="M257" s="1">
        <f t="shared" si="0"/>
        <v>2.2168916936824616</v>
      </c>
    </row>
    <row r="258" spans="1:13" ht="15">
      <c r="A258" s="47">
        <v>72.31</v>
      </c>
      <c r="B258" s="47">
        <v>74.150000000000006</v>
      </c>
      <c r="C258" s="47">
        <v>71.849999999999994</v>
      </c>
      <c r="D258" s="47">
        <v>72.97</v>
      </c>
      <c r="E258" s="47">
        <v>12513047</v>
      </c>
      <c r="F258" s="47" t="s">
        <v>2028</v>
      </c>
      <c r="G258" s="46">
        <f t="shared" si="1"/>
        <v>-9.0448129368233543E-3</v>
      </c>
      <c r="I258" s="51">
        <v>4.7500000000000042E-2</v>
      </c>
      <c r="J258">
        <v>6</v>
      </c>
      <c r="L258" s="49">
        <v>4.500000000000004E-2</v>
      </c>
      <c r="M258" s="1">
        <f t="shared" si="0"/>
        <v>1.7032221338835254</v>
      </c>
    </row>
    <row r="259" spans="1:13" ht="15">
      <c r="A259" s="47">
        <v>70.260000000000005</v>
      </c>
      <c r="B259" s="47">
        <v>71.319999999999993</v>
      </c>
      <c r="C259" s="47">
        <v>70.010000000000005</v>
      </c>
      <c r="D259" s="47">
        <v>70.87</v>
      </c>
      <c r="E259" s="47">
        <v>7470489</v>
      </c>
      <c r="F259" s="47" t="s">
        <v>2027</v>
      </c>
      <c r="G259" s="46">
        <f t="shared" si="1"/>
        <v>-8.6073091576125416E-3</v>
      </c>
      <c r="I259" s="51">
        <v>5.0000000000000044E-2</v>
      </c>
      <c r="J259">
        <v>5</v>
      </c>
      <c r="L259" s="49">
        <v>4.7500000000000042E-2</v>
      </c>
      <c r="M259" s="1">
        <f t="shared" si="0"/>
        <v>1.2890265258579112</v>
      </c>
    </row>
    <row r="260" spans="1:13" ht="15">
      <c r="A260" s="47">
        <v>70.48</v>
      </c>
      <c r="B260" s="47">
        <v>70.945999999999998</v>
      </c>
      <c r="C260" s="47">
        <v>69.3</v>
      </c>
      <c r="D260" s="47">
        <v>69.3</v>
      </c>
      <c r="E260" s="47">
        <v>11791492</v>
      </c>
      <c r="F260" s="47" t="s">
        <v>2026</v>
      </c>
      <c r="G260" s="46">
        <f t="shared" si="1"/>
        <v>1.7027417027417169E-2</v>
      </c>
      <c r="I260" s="51">
        <v>5.2500000000000047E-2</v>
      </c>
      <c r="J260">
        <v>3</v>
      </c>
      <c r="L260" s="49">
        <v>5.0000000000000044E-2</v>
      </c>
      <c r="M260" s="1">
        <f t="shared" si="0"/>
        <v>0.96098401293179403</v>
      </c>
    </row>
    <row r="261" spans="1:13" ht="15">
      <c r="A261" s="47">
        <v>68.69</v>
      </c>
      <c r="B261" s="47">
        <v>68.94</v>
      </c>
      <c r="C261" s="47">
        <v>67.72</v>
      </c>
      <c r="D261" s="47">
        <v>68.334999999999994</v>
      </c>
      <c r="E261" s="47">
        <v>8106537</v>
      </c>
      <c r="F261" s="47" t="s">
        <v>2025</v>
      </c>
      <c r="G261" s="46">
        <f t="shared" si="1"/>
        <v>5.1949952440184521E-3</v>
      </c>
      <c r="I261" s="51">
        <v>5.5E-2</v>
      </c>
      <c r="J261">
        <v>3</v>
      </c>
      <c r="L261" s="49">
        <v>5.2500000000000047E-2</v>
      </c>
      <c r="M261" s="1">
        <f t="shared" si="0"/>
        <v>0.70572291146641664</v>
      </c>
    </row>
    <row r="262" spans="1:13" ht="15">
      <c r="A262" s="47">
        <v>68.05</v>
      </c>
      <c r="B262" s="47">
        <v>68.930000000000007</v>
      </c>
      <c r="C262" s="47">
        <v>67.8</v>
      </c>
      <c r="D262" s="47">
        <v>67.95</v>
      </c>
      <c r="E262" s="47">
        <v>7659394</v>
      </c>
      <c r="F262" s="47" t="s">
        <v>2024</v>
      </c>
      <c r="G262" s="46">
        <f t="shared" si="1"/>
        <v>1.4716703458423908E-3</v>
      </c>
      <c r="I262" s="51">
        <v>5.7500000000000002E-2</v>
      </c>
      <c r="J262">
        <v>0</v>
      </c>
      <c r="L262" s="49">
        <v>5.5E-2</v>
      </c>
      <c r="M262" s="1">
        <f t="shared" si="0"/>
        <v>0.51052382875314051</v>
      </c>
    </row>
    <row r="263" spans="1:13" ht="15">
      <c r="A263" s="47">
        <v>68.540000000000006</v>
      </c>
      <c r="B263" s="47">
        <v>69.36</v>
      </c>
      <c r="C263" s="47">
        <v>66.91</v>
      </c>
      <c r="D263" s="47">
        <v>66.959999999999994</v>
      </c>
      <c r="E263" s="47">
        <v>12000307</v>
      </c>
      <c r="F263" s="47" t="s">
        <v>2023</v>
      </c>
      <c r="G263" s="46">
        <f t="shared" si="1"/>
        <v>2.359617682198345E-2</v>
      </c>
      <c r="I263" s="51">
        <v>0.06</v>
      </c>
      <c r="J263">
        <v>3</v>
      </c>
      <c r="L263" s="49">
        <v>5.7500000000000002E-2</v>
      </c>
      <c r="M263" s="1">
        <f t="shared" si="0"/>
        <v>0.36379905300946513</v>
      </c>
    </row>
    <row r="264" spans="1:13" ht="15">
      <c r="A264" s="47">
        <v>67.239999999999995</v>
      </c>
      <c r="B264" s="47">
        <v>67.760000000000005</v>
      </c>
      <c r="C264" s="47">
        <v>65.98</v>
      </c>
      <c r="D264" s="47">
        <v>66.135000000000005</v>
      </c>
      <c r="E264" s="47">
        <v>10081506</v>
      </c>
      <c r="F264" s="47" t="s">
        <v>2022</v>
      </c>
      <c r="G264" s="46">
        <f t="shared" si="1"/>
        <v>1.6708248280033144E-2</v>
      </c>
      <c r="I264" s="51">
        <v>6.25E-2</v>
      </c>
      <c r="J264" s="1">
        <v>1</v>
      </c>
      <c r="L264" s="49">
        <v>0.06</v>
      </c>
      <c r="M264" s="1">
        <f t="shared" si="0"/>
        <v>0.25537057651629269</v>
      </c>
    </row>
    <row r="265" spans="1:13" ht="15.75" thickBot="1">
      <c r="A265" s="47">
        <v>65.41</v>
      </c>
      <c r="B265" s="47">
        <v>66.12</v>
      </c>
      <c r="C265" s="47">
        <v>64.849999999999994</v>
      </c>
      <c r="D265" s="47">
        <v>65.62</v>
      </c>
      <c r="E265" s="47">
        <v>10072972</v>
      </c>
      <c r="F265" s="47" t="s">
        <v>2021</v>
      </c>
      <c r="G265" s="46">
        <f t="shared" si="1"/>
        <v>-3.2002438281013568E-3</v>
      </c>
      <c r="I265" s="52" t="s">
        <v>2075</v>
      </c>
      <c r="J265" s="52">
        <v>10</v>
      </c>
      <c r="L265" s="49">
        <v>6.25E-2</v>
      </c>
      <c r="M265" s="1">
        <f t="shared" si="0"/>
        <v>0.17658096900980194</v>
      </c>
    </row>
    <row r="266" spans="1:13">
      <c r="A266" s="47">
        <v>65.84</v>
      </c>
      <c r="B266" s="47">
        <v>65.989999999999995</v>
      </c>
      <c r="C266" s="47">
        <v>63.54</v>
      </c>
      <c r="D266" s="47">
        <v>65.155000000000001</v>
      </c>
      <c r="E266" s="47">
        <v>10293798</v>
      </c>
      <c r="F266" s="47" t="s">
        <v>2020</v>
      </c>
      <c r="G266" s="46">
        <f t="shared" si="1"/>
        <v>1.0513391144194584E-2</v>
      </c>
      <c r="L266" s="49">
        <v>6.5000000000000002E-2</v>
      </c>
      <c r="M266" s="1">
        <f t="shared" si="0"/>
        <v>0.12027647198019387</v>
      </c>
    </row>
    <row r="267" spans="1:13">
      <c r="A267" s="47">
        <v>66.319999999999993</v>
      </c>
      <c r="B267" s="47">
        <v>67.430000000000007</v>
      </c>
      <c r="C267" s="47">
        <v>64.36</v>
      </c>
      <c r="D267" s="47">
        <v>66.37</v>
      </c>
      <c r="E267" s="47">
        <v>19706804</v>
      </c>
      <c r="F267" s="47" t="s">
        <v>2019</v>
      </c>
      <c r="G267" s="46">
        <f t="shared" si="1"/>
        <v>-7.5335241826146593E-4</v>
      </c>
    </row>
    <row r="268" spans="1:13">
      <c r="A268" s="47">
        <v>64.930000000000007</v>
      </c>
      <c r="B268" s="47">
        <v>65.819999999999993</v>
      </c>
      <c r="C268" s="47">
        <v>64.13</v>
      </c>
      <c r="D268" s="47">
        <v>65.305000000000007</v>
      </c>
      <c r="E268" s="47">
        <v>14251515</v>
      </c>
      <c r="F268" s="47" t="s">
        <v>2018</v>
      </c>
      <c r="G268" s="46">
        <f t="shared" si="1"/>
        <v>-5.7422861955439553E-3</v>
      </c>
    </row>
    <row r="269" spans="1:13">
      <c r="A269" s="47">
        <v>65.34</v>
      </c>
      <c r="B269" s="47">
        <v>65.42</v>
      </c>
      <c r="C269" s="47">
        <v>64.484999999999999</v>
      </c>
      <c r="D269" s="47">
        <v>64.484999999999999</v>
      </c>
      <c r="E269" s="47">
        <v>8693362</v>
      </c>
      <c r="F269" s="47" t="s">
        <v>2017</v>
      </c>
      <c r="G269" s="46">
        <f t="shared" si="1"/>
        <v>1.3258897418004345E-2</v>
      </c>
    </row>
    <row r="270" spans="1:13">
      <c r="A270" s="47">
        <v>64.77</v>
      </c>
      <c r="B270" s="47">
        <v>64.83</v>
      </c>
      <c r="C270" s="47">
        <v>62.76</v>
      </c>
      <c r="D270" s="47">
        <v>62.9</v>
      </c>
      <c r="E270" s="47">
        <v>10876971</v>
      </c>
      <c r="F270" s="47" t="s">
        <v>2016</v>
      </c>
      <c r="G270" s="46">
        <f t="shared" si="1"/>
        <v>2.9729729729729648E-2</v>
      </c>
    </row>
    <row r="271" spans="1:13">
      <c r="A271" s="47">
        <v>62.46</v>
      </c>
      <c r="B271" s="47">
        <v>64.569999999999993</v>
      </c>
      <c r="C271" s="47">
        <v>62.17</v>
      </c>
      <c r="D271" s="47">
        <v>62.715000000000003</v>
      </c>
      <c r="E271" s="47">
        <v>9838865</v>
      </c>
      <c r="F271" s="47" t="s">
        <v>2015</v>
      </c>
      <c r="G271" s="46">
        <f t="shared" si="1"/>
        <v>-4.066012915570516E-3</v>
      </c>
    </row>
    <row r="272" spans="1:13">
      <c r="A272" s="47">
        <v>61.42</v>
      </c>
      <c r="B272" s="47">
        <v>61.91</v>
      </c>
      <c r="C272" s="47">
        <v>59.95</v>
      </c>
      <c r="D272" s="47">
        <v>60.73</v>
      </c>
      <c r="E272" s="47">
        <v>9390144</v>
      </c>
      <c r="F272" s="47" t="s">
        <v>2014</v>
      </c>
      <c r="G272" s="46">
        <f t="shared" si="1"/>
        <v>1.1361765190186057E-2</v>
      </c>
    </row>
    <row r="273" spans="1:7">
      <c r="A273" s="47">
        <v>60.284999999999997</v>
      </c>
      <c r="B273" s="47">
        <v>60.96</v>
      </c>
      <c r="C273" s="47">
        <v>59.454999999999998</v>
      </c>
      <c r="D273" s="47">
        <v>60.24</v>
      </c>
      <c r="E273" s="47">
        <v>7354085</v>
      </c>
      <c r="F273" s="47" t="s">
        <v>2013</v>
      </c>
      <c r="G273" s="46">
        <f t="shared" si="1"/>
        <v>7.4701195219106786E-4</v>
      </c>
    </row>
    <row r="274" spans="1:7">
      <c r="A274" s="47">
        <v>61</v>
      </c>
      <c r="B274" s="47">
        <v>61.47</v>
      </c>
      <c r="C274" s="47">
        <v>60.132199999999997</v>
      </c>
      <c r="D274" s="47">
        <v>60.35</v>
      </c>
      <c r="E274" s="47">
        <v>9023742</v>
      </c>
      <c r="F274" s="47" t="s">
        <v>2012</v>
      </c>
      <c r="G274" s="46">
        <f t="shared" si="1"/>
        <v>1.0770505385252704E-2</v>
      </c>
    </row>
    <row r="275" spans="1:7">
      <c r="A275" s="47">
        <v>60.24</v>
      </c>
      <c r="B275" s="47">
        <v>61.46</v>
      </c>
      <c r="C275" s="47">
        <v>59.72</v>
      </c>
      <c r="D275" s="47">
        <v>61.375</v>
      </c>
      <c r="E275" s="47">
        <v>9833606</v>
      </c>
      <c r="F275" s="47" t="s">
        <v>2011</v>
      </c>
      <c r="G275" s="46">
        <f t="shared" si="1"/>
        <v>-1.8492871690427681E-2</v>
      </c>
    </row>
    <row r="276" spans="1:7">
      <c r="A276" s="47">
        <v>62</v>
      </c>
      <c r="B276" s="47">
        <v>62.79</v>
      </c>
      <c r="C276" s="47">
        <v>61.645000000000003</v>
      </c>
      <c r="D276" s="47">
        <v>62.36</v>
      </c>
      <c r="E276" s="47">
        <v>9140768</v>
      </c>
      <c r="F276" s="47" t="s">
        <v>2010</v>
      </c>
      <c r="G276" s="46">
        <f t="shared" si="1"/>
        <v>-5.7729313662604476E-3</v>
      </c>
    </row>
    <row r="277" spans="1:7">
      <c r="A277" s="47">
        <v>62.27</v>
      </c>
      <c r="B277" s="47">
        <v>63.9</v>
      </c>
      <c r="C277" s="47">
        <v>61.69</v>
      </c>
      <c r="D277" s="47">
        <v>63.7</v>
      </c>
      <c r="E277" s="47">
        <v>8997462</v>
      </c>
      <c r="F277" s="47" t="s">
        <v>2009</v>
      </c>
      <c r="G277" s="46">
        <f t="shared" si="1"/>
        <v>-2.2448979591836782E-2</v>
      </c>
    </row>
    <row r="278" spans="1:7">
      <c r="A278" s="47">
        <v>62.59</v>
      </c>
      <c r="B278" s="47">
        <v>62.81</v>
      </c>
      <c r="C278" s="47">
        <v>60.445599999999999</v>
      </c>
      <c r="D278" s="47">
        <v>60.53</v>
      </c>
      <c r="E278" s="47">
        <v>12919356</v>
      </c>
      <c r="F278" s="47" t="s">
        <v>2008</v>
      </c>
      <c r="G278" s="46">
        <f t="shared" si="1"/>
        <v>3.4032711052370823E-2</v>
      </c>
    </row>
    <row r="279" spans="1:7">
      <c r="A279" s="47">
        <v>60.56</v>
      </c>
      <c r="B279" s="47">
        <v>62.45</v>
      </c>
      <c r="C279" s="47">
        <v>58.94</v>
      </c>
      <c r="D279" s="47">
        <v>62.3</v>
      </c>
      <c r="E279" s="47">
        <v>14398120</v>
      </c>
      <c r="F279" s="47" t="s">
        <v>2007</v>
      </c>
      <c r="G279" s="46">
        <f t="shared" si="1"/>
        <v>-2.792937399678963E-2</v>
      </c>
    </row>
    <row r="280" spans="1:7">
      <c r="A280" s="47">
        <v>63.95</v>
      </c>
      <c r="B280" s="47">
        <v>64.17</v>
      </c>
      <c r="C280" s="47">
        <v>56.51</v>
      </c>
      <c r="D280" s="47">
        <v>56.67</v>
      </c>
      <c r="E280" s="47">
        <v>22501953</v>
      </c>
      <c r="F280" s="47" t="s">
        <v>2006</v>
      </c>
      <c r="G280" s="46">
        <f t="shared" si="1"/>
        <v>0.12846303158637729</v>
      </c>
    </row>
    <row r="281" spans="1:7">
      <c r="A281" s="47">
        <v>57.41</v>
      </c>
      <c r="B281" s="47">
        <v>61.26</v>
      </c>
      <c r="C281" s="47">
        <v>56.46</v>
      </c>
      <c r="D281" s="47">
        <v>59.76</v>
      </c>
      <c r="E281" s="47">
        <v>16533623</v>
      </c>
      <c r="F281" s="47" t="s">
        <v>2005</v>
      </c>
      <c r="G281" s="46">
        <f t="shared" si="1"/>
        <v>-3.9323962516733646E-2</v>
      </c>
    </row>
    <row r="282" spans="1:7">
      <c r="A282" s="47">
        <v>58.53</v>
      </c>
      <c r="B282" s="47">
        <v>61.48</v>
      </c>
      <c r="C282" s="47">
        <v>55.85</v>
      </c>
      <c r="D282" s="47">
        <v>56.74</v>
      </c>
      <c r="E282" s="47">
        <v>20263197</v>
      </c>
      <c r="F282" s="47" t="s">
        <v>2004</v>
      </c>
      <c r="G282" s="46">
        <f t="shared" si="1"/>
        <v>3.1547409235107571E-2</v>
      </c>
    </row>
    <row r="283" spans="1:7">
      <c r="A283" s="47">
        <v>58.37</v>
      </c>
      <c r="B283" s="47">
        <v>60.19</v>
      </c>
      <c r="C283" s="47">
        <v>57.32</v>
      </c>
      <c r="D283" s="47">
        <v>60</v>
      </c>
      <c r="E283" s="47">
        <v>22124996</v>
      </c>
      <c r="F283" s="47" t="s">
        <v>2003</v>
      </c>
      <c r="G283" s="46">
        <f t="shared" si="1"/>
        <v>-2.7166666666666672E-2</v>
      </c>
    </row>
    <row r="284" spans="1:7">
      <c r="A284" s="47">
        <v>61.71</v>
      </c>
      <c r="B284" s="47">
        <v>63.94</v>
      </c>
      <c r="C284" s="47">
        <v>60.95</v>
      </c>
      <c r="D284" s="47">
        <v>63.1</v>
      </c>
      <c r="E284" s="47">
        <v>18479921</v>
      </c>
      <c r="F284" s="47" t="s">
        <v>2002</v>
      </c>
      <c r="G284" s="46">
        <f t="shared" si="1"/>
        <v>-2.2028526148969885E-2</v>
      </c>
    </row>
    <row r="285" spans="1:7">
      <c r="A285" s="47">
        <v>67.150000000000006</v>
      </c>
      <c r="B285" s="47">
        <v>67.569999999999993</v>
      </c>
      <c r="C285" s="47">
        <v>65.099999999999994</v>
      </c>
      <c r="D285" s="47">
        <v>65.25</v>
      </c>
      <c r="E285" s="47">
        <v>8122978</v>
      </c>
      <c r="F285" s="47" t="s">
        <v>2001</v>
      </c>
      <c r="G285" s="46">
        <f t="shared" si="1"/>
        <v>2.911877394636031E-2</v>
      </c>
    </row>
    <row r="286" spans="1:7">
      <c r="A286" s="47">
        <v>66.099999999999994</v>
      </c>
      <c r="B286" s="47">
        <v>66.36</v>
      </c>
      <c r="C286" s="47">
        <v>64.599999999999994</v>
      </c>
      <c r="D286" s="47">
        <v>64.62</v>
      </c>
      <c r="E286" s="47">
        <v>8000576</v>
      </c>
      <c r="F286" s="47" t="s">
        <v>2000</v>
      </c>
      <c r="G286" s="46">
        <f t="shared" si="1"/>
        <v>2.2903125967192572E-2</v>
      </c>
    </row>
    <row r="287" spans="1:7">
      <c r="A287" s="47">
        <v>65.25</v>
      </c>
      <c r="B287" s="47">
        <v>65.430000000000007</v>
      </c>
      <c r="C287" s="47">
        <v>63.4</v>
      </c>
      <c r="D287" s="47">
        <v>64.28</v>
      </c>
      <c r="E287" s="47">
        <v>11562033</v>
      </c>
      <c r="F287" s="47" t="s">
        <v>1999</v>
      </c>
      <c r="G287" s="46">
        <f t="shared" si="1"/>
        <v>1.5090230242688296E-2</v>
      </c>
    </row>
    <row r="288" spans="1:7">
      <c r="A288" s="47">
        <v>65.150000000000006</v>
      </c>
      <c r="B288" s="47">
        <v>68.239999999999995</v>
      </c>
      <c r="C288" s="47">
        <v>64.95</v>
      </c>
      <c r="D288" s="47">
        <v>68.06</v>
      </c>
      <c r="E288" s="47">
        <v>16536285</v>
      </c>
      <c r="F288" s="47" t="s">
        <v>1998</v>
      </c>
      <c r="G288" s="46">
        <f t="shared" si="1"/>
        <v>-4.2756391419335849E-2</v>
      </c>
    </row>
    <row r="289" spans="1:7">
      <c r="A289" s="47">
        <v>68.86</v>
      </c>
      <c r="B289" s="47">
        <v>69.954999999999998</v>
      </c>
      <c r="C289" s="47">
        <v>68.7</v>
      </c>
      <c r="D289" s="47">
        <v>69.06</v>
      </c>
      <c r="E289" s="47">
        <v>7883088</v>
      </c>
      <c r="F289" s="47" t="s">
        <v>1997</v>
      </c>
      <c r="G289" s="46">
        <f t="shared" si="1"/>
        <v>-2.896032435563356E-3</v>
      </c>
    </row>
    <row r="290" spans="1:7">
      <c r="A290" s="47">
        <v>69.97</v>
      </c>
      <c r="B290" s="47">
        <v>71.62</v>
      </c>
      <c r="C290" s="47">
        <v>69.545000000000002</v>
      </c>
      <c r="D290" s="47">
        <v>70.930000000000007</v>
      </c>
      <c r="E290" s="47">
        <v>7453991</v>
      </c>
      <c r="F290" s="47" t="s">
        <v>1996</v>
      </c>
      <c r="G290" s="46">
        <f t="shared" si="1"/>
        <v>-1.3534470604821713E-2</v>
      </c>
    </row>
    <row r="291" spans="1:7">
      <c r="A291" s="47">
        <v>70.86</v>
      </c>
      <c r="B291" s="47">
        <v>71.709999999999994</v>
      </c>
      <c r="C291" s="47">
        <v>70.547600000000003</v>
      </c>
      <c r="D291" s="47">
        <v>71</v>
      </c>
      <c r="E291" s="47">
        <v>6690576</v>
      </c>
      <c r="F291" s="47" t="s">
        <v>527</v>
      </c>
      <c r="G291" s="46">
        <f t="shared" si="1"/>
        <v>-1.9718309859154681E-3</v>
      </c>
    </row>
    <row r="292" spans="1:7">
      <c r="A292" s="47">
        <v>70.97</v>
      </c>
      <c r="B292" s="47">
        <v>71.66</v>
      </c>
      <c r="C292" s="47">
        <v>70.504999999999995</v>
      </c>
      <c r="D292" s="47">
        <v>71.55</v>
      </c>
      <c r="E292" s="47">
        <v>9911035</v>
      </c>
      <c r="F292" s="47" t="s">
        <v>526</v>
      </c>
      <c r="G292" s="46">
        <f t="shared" si="1"/>
        <v>-8.1062194269740928E-3</v>
      </c>
    </row>
    <row r="293" spans="1:7">
      <c r="A293" s="47">
        <v>70.19</v>
      </c>
      <c r="B293" s="47">
        <v>70.41</v>
      </c>
      <c r="C293" s="47">
        <v>68.55</v>
      </c>
      <c r="D293" s="47">
        <v>68.62</v>
      </c>
      <c r="E293" s="47">
        <v>14603808</v>
      </c>
      <c r="F293" s="47" t="s">
        <v>525</v>
      </c>
      <c r="G293" s="46">
        <f t="shared" si="1"/>
        <v>2.2879626930923935E-2</v>
      </c>
    </row>
    <row r="294" spans="1:7">
      <c r="A294" s="47">
        <v>69.67</v>
      </c>
      <c r="B294" s="47">
        <v>70.81</v>
      </c>
      <c r="C294" s="47">
        <v>69.25</v>
      </c>
      <c r="D294" s="47">
        <v>69.435000000000002</v>
      </c>
      <c r="E294" s="47">
        <v>7453575</v>
      </c>
      <c r="F294" s="47" t="s">
        <v>524</v>
      </c>
      <c r="G294" s="46">
        <f t="shared" si="1"/>
        <v>3.3844602865988893E-3</v>
      </c>
    </row>
    <row r="295" spans="1:7">
      <c r="A295" s="47">
        <v>70</v>
      </c>
      <c r="B295" s="47">
        <v>70.48</v>
      </c>
      <c r="C295" s="47">
        <v>68.819999999999993</v>
      </c>
      <c r="D295" s="47">
        <v>69.099999999999994</v>
      </c>
      <c r="E295" s="47">
        <v>6876430</v>
      </c>
      <c r="F295" s="47" t="s">
        <v>523</v>
      </c>
      <c r="G295" s="46">
        <f t="shared" si="1"/>
        <v>1.3024602026049381E-2</v>
      </c>
    </row>
    <row r="296" spans="1:7">
      <c r="A296" s="47">
        <v>68.88</v>
      </c>
      <c r="B296" s="47">
        <v>69.459999999999994</v>
      </c>
      <c r="C296" s="47">
        <v>68.290000000000006</v>
      </c>
      <c r="D296" s="47">
        <v>69.069999999999993</v>
      </c>
      <c r="E296" s="47">
        <v>7520849</v>
      </c>
      <c r="F296" s="47" t="s">
        <v>522</v>
      </c>
      <c r="G296" s="46">
        <f t="shared" si="1"/>
        <v>-2.7508324887794977E-3</v>
      </c>
    </row>
    <row r="297" spans="1:7">
      <c r="A297" s="47">
        <v>69.650000000000006</v>
      </c>
      <c r="B297" s="47">
        <v>70.22</v>
      </c>
      <c r="C297" s="47">
        <v>67.98</v>
      </c>
      <c r="D297" s="47">
        <v>68.67</v>
      </c>
      <c r="E297" s="47">
        <v>7971219</v>
      </c>
      <c r="F297" s="47" t="s">
        <v>521</v>
      </c>
      <c r="G297" s="46">
        <f t="shared" si="1"/>
        <v>1.4271151885830946E-2</v>
      </c>
    </row>
    <row r="298" spans="1:7">
      <c r="A298" s="47">
        <v>68.95</v>
      </c>
      <c r="B298" s="47">
        <v>69.14</v>
      </c>
      <c r="C298" s="47">
        <v>67.52</v>
      </c>
      <c r="D298" s="47">
        <v>67.81</v>
      </c>
      <c r="E298" s="47">
        <v>9828715</v>
      </c>
      <c r="F298" s="47" t="s">
        <v>520</v>
      </c>
      <c r="G298" s="46">
        <f t="shared" si="1"/>
        <v>1.6811679693260695E-2</v>
      </c>
    </row>
    <row r="299" spans="1:7">
      <c r="A299" s="47">
        <v>66.91</v>
      </c>
      <c r="B299" s="47">
        <v>68.91</v>
      </c>
      <c r="C299" s="47">
        <v>66.7</v>
      </c>
      <c r="D299" s="47">
        <v>68.33</v>
      </c>
      <c r="E299" s="47">
        <v>9778264</v>
      </c>
      <c r="F299" s="47" t="s">
        <v>519</v>
      </c>
      <c r="G299" s="46">
        <f t="shared" si="1"/>
        <v>-2.0781501536660363E-2</v>
      </c>
    </row>
    <row r="300" spans="1:7">
      <c r="A300" s="47">
        <v>68.62</v>
      </c>
      <c r="B300" s="47">
        <v>69.38</v>
      </c>
      <c r="C300" s="47">
        <v>67.905000000000001</v>
      </c>
      <c r="D300" s="47">
        <v>68.87</v>
      </c>
      <c r="E300" s="47">
        <v>11545839</v>
      </c>
      <c r="F300" s="47" t="s">
        <v>518</v>
      </c>
      <c r="G300" s="46">
        <f t="shared" si="1"/>
        <v>-3.6300275882096278E-3</v>
      </c>
    </row>
    <row r="301" spans="1:7">
      <c r="A301" s="47">
        <v>67.98</v>
      </c>
      <c r="B301" s="47">
        <v>68.95</v>
      </c>
      <c r="C301" s="47">
        <v>67.165000000000006</v>
      </c>
      <c r="D301" s="47">
        <v>68.41</v>
      </c>
      <c r="E301" s="47">
        <v>12133067</v>
      </c>
      <c r="F301" s="47" t="s">
        <v>517</v>
      </c>
      <c r="G301" s="46">
        <f t="shared" si="1"/>
        <v>-6.2856307557374036E-3</v>
      </c>
    </row>
    <row r="302" spans="1:7">
      <c r="A302" s="47">
        <v>68.16</v>
      </c>
      <c r="B302" s="47">
        <v>69.97</v>
      </c>
      <c r="C302" s="47">
        <v>66.989999999999995</v>
      </c>
      <c r="D302" s="47">
        <v>69.02</v>
      </c>
      <c r="E302" s="47">
        <v>15035191</v>
      </c>
      <c r="F302" s="47" t="s">
        <v>516</v>
      </c>
      <c r="G302" s="46">
        <f t="shared" si="1"/>
        <v>-1.2460156476383655E-2</v>
      </c>
    </row>
    <row r="303" spans="1:7">
      <c r="A303" s="47">
        <v>70.48</v>
      </c>
      <c r="B303" s="47">
        <v>70.98</v>
      </c>
      <c r="C303" s="47">
        <v>67.825000000000003</v>
      </c>
      <c r="D303" s="47">
        <v>67.97</v>
      </c>
      <c r="E303" s="47">
        <v>16388274</v>
      </c>
      <c r="F303" s="47" t="s">
        <v>515</v>
      </c>
      <c r="G303" s="46">
        <f t="shared" si="1"/>
        <v>3.6928056495512784E-2</v>
      </c>
    </row>
    <row r="304" spans="1:7">
      <c r="A304" s="47">
        <v>68.08</v>
      </c>
      <c r="B304" s="47">
        <v>69.86</v>
      </c>
      <c r="C304" s="47">
        <v>67.659000000000006</v>
      </c>
      <c r="D304" s="47">
        <v>68.819999999999993</v>
      </c>
      <c r="E304" s="47">
        <v>11226928</v>
      </c>
      <c r="F304" s="47" t="s">
        <v>514</v>
      </c>
      <c r="G304" s="46">
        <f t="shared" si="1"/>
        <v>-1.075268817204289E-2</v>
      </c>
    </row>
    <row r="305" spans="1:7">
      <c r="A305" s="47">
        <v>69.5</v>
      </c>
      <c r="B305" s="47">
        <v>69.69</v>
      </c>
      <c r="C305" s="47">
        <v>67.7</v>
      </c>
      <c r="D305" s="47">
        <v>67.98</v>
      </c>
      <c r="E305" s="47">
        <v>14464271</v>
      </c>
      <c r="F305" s="47" t="s">
        <v>513</v>
      </c>
      <c r="G305" s="46">
        <f t="shared" si="1"/>
        <v>2.235951750514853E-2</v>
      </c>
    </row>
    <row r="306" spans="1:7">
      <c r="A306" s="47">
        <v>67.48</v>
      </c>
      <c r="B306" s="47">
        <v>69.08</v>
      </c>
      <c r="C306" s="47">
        <v>66.34</v>
      </c>
      <c r="D306" s="47">
        <v>69</v>
      </c>
      <c r="E306" s="47">
        <v>20179966</v>
      </c>
      <c r="F306" s="47" t="s">
        <v>512</v>
      </c>
      <c r="G306" s="46">
        <f t="shared" si="1"/>
        <v>-2.2028985507246301E-2</v>
      </c>
    </row>
    <row r="307" spans="1:7">
      <c r="A307" s="47">
        <v>69.75</v>
      </c>
      <c r="B307" s="47">
        <v>71.569999999999993</v>
      </c>
      <c r="C307" s="47">
        <v>69.5</v>
      </c>
      <c r="D307" s="47">
        <v>71.099999999999994</v>
      </c>
      <c r="E307" s="47">
        <v>15753699</v>
      </c>
      <c r="F307" s="47" t="s">
        <v>511</v>
      </c>
      <c r="G307" s="46">
        <f t="shared" si="1"/>
        <v>-1.8987341772151778E-2</v>
      </c>
    </row>
    <row r="308" spans="1:7">
      <c r="A308" s="47">
        <v>71.05</v>
      </c>
      <c r="B308" s="47">
        <v>71.12</v>
      </c>
      <c r="C308" s="47">
        <v>69.682000000000002</v>
      </c>
      <c r="D308" s="47">
        <v>70.5</v>
      </c>
      <c r="E308" s="47">
        <v>13601324</v>
      </c>
      <c r="F308" s="47" t="s">
        <v>510</v>
      </c>
      <c r="G308" s="46">
        <f t="shared" si="1"/>
        <v>7.8014184397163788E-3</v>
      </c>
    </row>
    <row r="309" spans="1:7">
      <c r="A309" s="47">
        <v>70.73</v>
      </c>
      <c r="B309" s="47">
        <v>72.55</v>
      </c>
      <c r="C309" s="47">
        <v>70.58</v>
      </c>
      <c r="D309" s="47">
        <v>72.150000000000006</v>
      </c>
      <c r="E309" s="47">
        <v>11661160</v>
      </c>
      <c r="F309" s="47" t="s">
        <v>509</v>
      </c>
      <c r="G309" s="46">
        <f t="shared" si="1"/>
        <v>-1.9681219681219719E-2</v>
      </c>
    </row>
    <row r="310" spans="1:7">
      <c r="A310" s="47">
        <v>72.05</v>
      </c>
      <c r="B310" s="47">
        <v>74.48</v>
      </c>
      <c r="C310" s="47">
        <v>71.77</v>
      </c>
      <c r="D310" s="47">
        <v>74.33</v>
      </c>
      <c r="E310" s="47">
        <v>15296804</v>
      </c>
      <c r="F310" s="47" t="s">
        <v>508</v>
      </c>
      <c r="G310" s="46">
        <f t="shared" si="1"/>
        <v>-3.0674021256558603E-2</v>
      </c>
    </row>
    <row r="311" spans="1:7">
      <c r="A311" s="47">
        <v>74.069999999999993</v>
      </c>
      <c r="B311" s="47">
        <v>77.568299999999994</v>
      </c>
      <c r="C311" s="47">
        <v>72.7</v>
      </c>
      <c r="D311" s="47">
        <v>77.135000000000005</v>
      </c>
      <c r="E311" s="47">
        <v>20647167</v>
      </c>
      <c r="F311" s="47" t="s">
        <v>507</v>
      </c>
      <c r="G311" s="46">
        <f t="shared" si="1"/>
        <v>-3.9735528618655702E-2</v>
      </c>
    </row>
    <row r="312" spans="1:7">
      <c r="A312" s="47">
        <v>75.25</v>
      </c>
      <c r="B312" s="47">
        <v>75.88</v>
      </c>
      <c r="C312" s="47">
        <v>73.97</v>
      </c>
      <c r="D312" s="47">
        <v>75.245000000000005</v>
      </c>
      <c r="E312" s="47">
        <v>12873277</v>
      </c>
      <c r="F312" s="47" t="s">
        <v>506</v>
      </c>
      <c r="G312" s="46">
        <f t="shared" si="1"/>
        <v>6.6449597979856279E-5</v>
      </c>
    </row>
    <row r="313" spans="1:7">
      <c r="A313" s="47">
        <v>74.95</v>
      </c>
      <c r="B313" s="47">
        <v>77.48</v>
      </c>
      <c r="C313" s="47">
        <v>74.75</v>
      </c>
      <c r="D313" s="47">
        <v>77.44</v>
      </c>
      <c r="E313" s="47">
        <v>15171686</v>
      </c>
      <c r="F313" s="47" t="s">
        <v>505</v>
      </c>
      <c r="G313" s="46">
        <f t="shared" si="1"/>
        <v>-3.2153925619834656E-2</v>
      </c>
    </row>
    <row r="314" spans="1:7">
      <c r="A314" s="47">
        <v>77.63</v>
      </c>
      <c r="B314" s="47">
        <v>78.17</v>
      </c>
      <c r="C314" s="47">
        <v>76.849999999999994</v>
      </c>
      <c r="D314" s="47">
        <v>78.12</v>
      </c>
      <c r="E314" s="47">
        <v>9319311</v>
      </c>
      <c r="F314" s="47" t="s">
        <v>504</v>
      </c>
      <c r="G314" s="46">
        <f t="shared" ref="G314:G377" si="2">A314/D314-1</f>
        <v>-6.2724014336918987E-3</v>
      </c>
    </row>
    <row r="315" spans="1:7">
      <c r="A315" s="47">
        <v>78.36</v>
      </c>
      <c r="B315" s="47">
        <v>79</v>
      </c>
      <c r="C315" s="47">
        <v>77.534999999999997</v>
      </c>
      <c r="D315" s="47">
        <v>78.5</v>
      </c>
      <c r="E315" s="47">
        <v>9082256</v>
      </c>
      <c r="F315" s="47" t="s">
        <v>503</v>
      </c>
      <c r="G315" s="46">
        <f t="shared" si="2"/>
        <v>-1.7834394904459039E-3</v>
      </c>
    </row>
    <row r="316" spans="1:7">
      <c r="A316" s="47">
        <v>78.62</v>
      </c>
      <c r="B316" s="47">
        <v>78.760000000000005</v>
      </c>
      <c r="C316" s="47">
        <v>77.500600000000006</v>
      </c>
      <c r="D316" s="47">
        <v>78.2</v>
      </c>
      <c r="E316" s="47">
        <v>11281243</v>
      </c>
      <c r="F316" s="47" t="s">
        <v>502</v>
      </c>
      <c r="G316" s="46">
        <f t="shared" si="2"/>
        <v>5.3708439897699467E-3</v>
      </c>
    </row>
    <row r="317" spans="1:7">
      <c r="A317" s="47">
        <v>77.97</v>
      </c>
      <c r="B317" s="47">
        <v>78.33</v>
      </c>
      <c r="C317" s="47">
        <v>76.63</v>
      </c>
      <c r="D317" s="47">
        <v>76.900000000000006</v>
      </c>
      <c r="E317" s="47">
        <v>10504560</v>
      </c>
      <c r="F317" s="47" t="s">
        <v>501</v>
      </c>
      <c r="G317" s="46">
        <f t="shared" si="2"/>
        <v>1.3914174252275702E-2</v>
      </c>
    </row>
    <row r="318" spans="1:7">
      <c r="A318" s="47">
        <v>76.59</v>
      </c>
      <c r="B318" s="47">
        <v>76.924999999999997</v>
      </c>
      <c r="C318" s="47">
        <v>75.73</v>
      </c>
      <c r="D318" s="47">
        <v>76.37</v>
      </c>
      <c r="E318" s="47">
        <v>9958597</v>
      </c>
      <c r="F318" s="47" t="s">
        <v>500</v>
      </c>
      <c r="G318" s="46">
        <f t="shared" si="2"/>
        <v>2.8807123215921493E-3</v>
      </c>
    </row>
    <row r="319" spans="1:7">
      <c r="A319" s="47">
        <v>76.27</v>
      </c>
      <c r="B319" s="47">
        <v>76.849999999999994</v>
      </c>
      <c r="C319" s="47">
        <v>75.3</v>
      </c>
      <c r="D319" s="47">
        <v>75.42</v>
      </c>
      <c r="E319" s="47">
        <v>11782529</v>
      </c>
      <c r="F319" s="47" t="s">
        <v>499</v>
      </c>
      <c r="G319" s="46">
        <f t="shared" si="2"/>
        <v>1.1270220100769057E-2</v>
      </c>
    </row>
    <row r="320" spans="1:7">
      <c r="A320" s="47">
        <v>76.209999999999994</v>
      </c>
      <c r="B320" s="47">
        <v>77.849999999999994</v>
      </c>
      <c r="C320" s="47">
        <v>76.040000000000006</v>
      </c>
      <c r="D320" s="47">
        <v>77.814999999999998</v>
      </c>
      <c r="E320" s="47">
        <v>15769395</v>
      </c>
      <c r="F320" s="47" t="s">
        <v>498</v>
      </c>
      <c r="G320" s="46">
        <f t="shared" si="2"/>
        <v>-2.0625843346398609E-2</v>
      </c>
    </row>
    <row r="321" spans="1:7">
      <c r="A321" s="47">
        <v>78.239999999999995</v>
      </c>
      <c r="B321" s="47">
        <v>78.92</v>
      </c>
      <c r="C321" s="47">
        <v>77.61</v>
      </c>
      <c r="D321" s="47">
        <v>78.16</v>
      </c>
      <c r="E321" s="47">
        <v>11815591</v>
      </c>
      <c r="F321" s="47" t="s">
        <v>497</v>
      </c>
      <c r="G321" s="46">
        <f t="shared" si="2"/>
        <v>1.0235414534287557E-3</v>
      </c>
    </row>
    <row r="322" spans="1:7">
      <c r="A322" s="47">
        <v>77.31</v>
      </c>
      <c r="B322" s="47">
        <v>79.489999999999995</v>
      </c>
      <c r="C322" s="47">
        <v>77.23</v>
      </c>
      <c r="D322" s="47">
        <v>79</v>
      </c>
      <c r="E322" s="47">
        <v>13597269</v>
      </c>
      <c r="F322" s="47" t="s">
        <v>496</v>
      </c>
      <c r="G322" s="46">
        <f t="shared" si="2"/>
        <v>-2.1392405063291098E-2</v>
      </c>
    </row>
    <row r="323" spans="1:7">
      <c r="A323" s="47">
        <v>78.569999999999993</v>
      </c>
      <c r="B323" s="47">
        <v>79.739999999999995</v>
      </c>
      <c r="C323" s="47">
        <v>78.11</v>
      </c>
      <c r="D323" s="47">
        <v>79.680000000000007</v>
      </c>
      <c r="E323" s="47">
        <v>14440462</v>
      </c>
      <c r="F323" s="47" t="s">
        <v>495</v>
      </c>
      <c r="G323" s="46">
        <f t="shared" si="2"/>
        <v>-1.3930722891566383E-2</v>
      </c>
    </row>
    <row r="324" spans="1:7">
      <c r="A324" s="47">
        <v>79.2</v>
      </c>
      <c r="B324" s="47">
        <v>79.5</v>
      </c>
      <c r="C324" s="47">
        <v>77.67</v>
      </c>
      <c r="D324" s="47">
        <v>78.209999999999994</v>
      </c>
      <c r="E324" s="47">
        <v>23646046</v>
      </c>
      <c r="F324" s="47" t="s">
        <v>494</v>
      </c>
      <c r="G324" s="46">
        <f t="shared" si="2"/>
        <v>1.2658227848101333E-2</v>
      </c>
    </row>
    <row r="325" spans="1:7">
      <c r="A325" s="47">
        <v>77.724999999999994</v>
      </c>
      <c r="B325" s="47">
        <v>82.69</v>
      </c>
      <c r="C325" s="47">
        <v>77.38</v>
      </c>
      <c r="D325" s="47">
        <v>82.26</v>
      </c>
      <c r="E325" s="47">
        <v>58801889</v>
      </c>
      <c r="F325" s="47" t="s">
        <v>493</v>
      </c>
      <c r="G325" s="46">
        <f t="shared" si="2"/>
        <v>-5.5130075370775744E-2</v>
      </c>
    </row>
    <row r="326" spans="1:7">
      <c r="A326" s="47">
        <v>89.51</v>
      </c>
      <c r="B326" s="47">
        <v>89.71</v>
      </c>
      <c r="C326" s="47">
        <v>86</v>
      </c>
      <c r="D326" s="47">
        <v>86.5</v>
      </c>
      <c r="E326" s="47">
        <v>11215041</v>
      </c>
      <c r="F326" s="47" t="s">
        <v>492</v>
      </c>
      <c r="G326" s="46">
        <f t="shared" si="2"/>
        <v>3.4797687861271687E-2</v>
      </c>
    </row>
    <row r="327" spans="1:7">
      <c r="A327" s="47">
        <v>88.58</v>
      </c>
      <c r="B327" s="47">
        <v>90.4</v>
      </c>
      <c r="C327" s="47">
        <v>88.54</v>
      </c>
      <c r="D327" s="47">
        <v>89.57</v>
      </c>
      <c r="E327" s="47">
        <v>8338934</v>
      </c>
      <c r="F327" s="47" t="s">
        <v>491</v>
      </c>
      <c r="G327" s="46">
        <f t="shared" si="2"/>
        <v>-1.1052807859774472E-2</v>
      </c>
    </row>
    <row r="328" spans="1:7">
      <c r="A328" s="47">
        <v>89.57</v>
      </c>
      <c r="B328" s="47">
        <v>90.924999999999997</v>
      </c>
      <c r="C328" s="47">
        <v>88.84</v>
      </c>
      <c r="D328" s="47">
        <v>89.51</v>
      </c>
      <c r="E328" s="47">
        <v>7708468</v>
      </c>
      <c r="F328" s="47" t="s">
        <v>490</v>
      </c>
      <c r="G328" s="46">
        <f t="shared" si="2"/>
        <v>6.7031616579149578E-4</v>
      </c>
    </row>
    <row r="329" spans="1:7">
      <c r="A329" s="47">
        <v>88.76</v>
      </c>
      <c r="B329" s="47">
        <v>89.415000000000006</v>
      </c>
      <c r="C329" s="47">
        <v>88.17</v>
      </c>
      <c r="D329" s="47">
        <v>88.17</v>
      </c>
      <c r="E329" s="47">
        <v>5234468</v>
      </c>
      <c r="F329" s="47" t="s">
        <v>489</v>
      </c>
      <c r="G329" s="46">
        <f t="shared" si="2"/>
        <v>6.6916184643304177E-3</v>
      </c>
    </row>
    <row r="330" spans="1:7">
      <c r="A330" s="47">
        <v>88.19</v>
      </c>
      <c r="B330" s="47">
        <v>89.83</v>
      </c>
      <c r="C330" s="47">
        <v>86.88</v>
      </c>
      <c r="D330" s="47">
        <v>89.76</v>
      </c>
      <c r="E330" s="47">
        <v>8665994</v>
      </c>
      <c r="F330" s="47" t="s">
        <v>488</v>
      </c>
      <c r="G330" s="46">
        <f t="shared" si="2"/>
        <v>-1.74910873440286E-2</v>
      </c>
    </row>
    <row r="331" spans="1:7">
      <c r="A331" s="47">
        <v>90.24</v>
      </c>
      <c r="B331" s="47">
        <v>90.29</v>
      </c>
      <c r="C331" s="47">
        <v>87.39</v>
      </c>
      <c r="D331" s="47">
        <v>87.545000000000002</v>
      </c>
      <c r="E331" s="47">
        <v>6923826</v>
      </c>
      <c r="F331" s="47" t="s">
        <v>487</v>
      </c>
      <c r="G331" s="46">
        <f t="shared" si="2"/>
        <v>3.0784168142098167E-2</v>
      </c>
    </row>
    <row r="332" spans="1:7">
      <c r="A332" s="47">
        <v>89.11</v>
      </c>
      <c r="B332" s="47">
        <v>90.024000000000001</v>
      </c>
      <c r="C332" s="47">
        <v>88.84</v>
      </c>
      <c r="D332" s="47">
        <v>89.59</v>
      </c>
      <c r="E332" s="47">
        <v>6004674</v>
      </c>
      <c r="F332" s="47" t="s">
        <v>486</v>
      </c>
      <c r="G332" s="46">
        <f t="shared" si="2"/>
        <v>-5.3577408192878595E-3</v>
      </c>
    </row>
    <row r="333" spans="1:7">
      <c r="A333" s="47">
        <v>89.73</v>
      </c>
      <c r="B333" s="47">
        <v>89.78</v>
      </c>
      <c r="C333" s="47">
        <v>88.24</v>
      </c>
      <c r="D333" s="47">
        <v>89.76</v>
      </c>
      <c r="E333" s="47">
        <v>7540610</v>
      </c>
      <c r="F333" s="47" t="s">
        <v>485</v>
      </c>
      <c r="G333" s="46">
        <f t="shared" si="2"/>
        <v>-3.3422459893051037E-4</v>
      </c>
    </row>
    <row r="334" spans="1:7">
      <c r="A334" s="47">
        <v>89.85</v>
      </c>
      <c r="B334" s="47">
        <v>90.37</v>
      </c>
      <c r="C334" s="47">
        <v>89.139799999999994</v>
      </c>
      <c r="D334" s="47">
        <v>90</v>
      </c>
      <c r="E334" s="47">
        <v>7345739</v>
      </c>
      <c r="F334" s="47" t="s">
        <v>484</v>
      </c>
      <c r="G334" s="46">
        <f t="shared" si="2"/>
        <v>-1.6666666666667052E-3</v>
      </c>
    </row>
    <row r="335" spans="1:7">
      <c r="A335" s="47">
        <v>89.77</v>
      </c>
      <c r="B335" s="47">
        <v>92.21</v>
      </c>
      <c r="C335" s="47">
        <v>89.39</v>
      </c>
      <c r="D335" s="47">
        <v>92.21</v>
      </c>
      <c r="E335" s="47">
        <v>12629343</v>
      </c>
      <c r="F335" s="47" t="s">
        <v>483</v>
      </c>
      <c r="G335" s="46">
        <f t="shared" si="2"/>
        <v>-2.646133824964747E-2</v>
      </c>
    </row>
    <row r="336" spans="1:7">
      <c r="A336" s="47">
        <v>91.81</v>
      </c>
      <c r="B336" s="47">
        <v>93.245000000000005</v>
      </c>
      <c r="C336" s="47">
        <v>90.004999999999995</v>
      </c>
      <c r="D336" s="47">
        <v>90.76</v>
      </c>
      <c r="E336" s="47">
        <v>16499703</v>
      </c>
      <c r="F336" s="47" t="s">
        <v>482</v>
      </c>
      <c r="G336" s="46">
        <f t="shared" si="2"/>
        <v>1.1568973115910097E-2</v>
      </c>
    </row>
    <row r="337" spans="1:7">
      <c r="A337" s="47">
        <v>88.92</v>
      </c>
      <c r="B337" s="47">
        <v>90.373000000000005</v>
      </c>
      <c r="C337" s="47">
        <v>88.85</v>
      </c>
      <c r="D337" s="47">
        <v>89.96</v>
      </c>
      <c r="E337" s="47">
        <v>5816351</v>
      </c>
      <c r="F337" s="47" t="s">
        <v>481</v>
      </c>
      <c r="G337" s="46">
        <f t="shared" si="2"/>
        <v>-1.156069364161838E-2</v>
      </c>
    </row>
    <row r="338" spans="1:7">
      <c r="A338" s="47">
        <v>89.64</v>
      </c>
      <c r="B338" s="47">
        <v>90.19</v>
      </c>
      <c r="C338" s="47">
        <v>88.47</v>
      </c>
      <c r="D338" s="47">
        <v>88.72</v>
      </c>
      <c r="E338" s="47">
        <v>10024081</v>
      </c>
      <c r="F338" s="47" t="s">
        <v>480</v>
      </c>
      <c r="G338" s="46">
        <f t="shared" si="2"/>
        <v>1.0369702434625871E-2</v>
      </c>
    </row>
    <row r="339" spans="1:7">
      <c r="A339" s="47">
        <v>87.18</v>
      </c>
      <c r="B339" s="47">
        <v>87.4</v>
      </c>
      <c r="C339" s="47">
        <v>84.75</v>
      </c>
      <c r="D339" s="47">
        <v>85.29</v>
      </c>
      <c r="E339" s="47">
        <v>8958442</v>
      </c>
      <c r="F339" s="47" t="s">
        <v>479</v>
      </c>
      <c r="G339" s="46">
        <f t="shared" si="2"/>
        <v>2.2159690467815629E-2</v>
      </c>
    </row>
    <row r="340" spans="1:7">
      <c r="A340" s="47">
        <v>83.99</v>
      </c>
      <c r="B340" s="47">
        <v>84.12</v>
      </c>
      <c r="C340" s="47">
        <v>81.790000000000006</v>
      </c>
      <c r="D340" s="47">
        <v>82.19</v>
      </c>
      <c r="E340" s="47">
        <v>7402380</v>
      </c>
      <c r="F340" s="47" t="s">
        <v>478</v>
      </c>
      <c r="G340" s="46">
        <f t="shared" si="2"/>
        <v>2.1900474510281098E-2</v>
      </c>
    </row>
    <row r="341" spans="1:7">
      <c r="A341" s="47">
        <v>83.36</v>
      </c>
      <c r="B341" s="47">
        <v>87.09</v>
      </c>
      <c r="C341" s="47">
        <v>82.24</v>
      </c>
      <c r="D341" s="47">
        <v>86.79</v>
      </c>
      <c r="E341" s="47">
        <v>11341216</v>
      </c>
      <c r="F341" s="47" t="s">
        <v>477</v>
      </c>
      <c r="G341" s="46">
        <f t="shared" si="2"/>
        <v>-3.9520682106233496E-2</v>
      </c>
    </row>
    <row r="342" spans="1:7">
      <c r="A342" s="47">
        <v>87.94</v>
      </c>
      <c r="B342" s="47">
        <v>88.23</v>
      </c>
      <c r="C342" s="47">
        <v>86.79</v>
      </c>
      <c r="D342" s="47">
        <v>88.06</v>
      </c>
      <c r="E342" s="47">
        <v>7400030</v>
      </c>
      <c r="F342" s="47" t="s">
        <v>476</v>
      </c>
      <c r="G342" s="46">
        <f t="shared" si="2"/>
        <v>-1.3627072450602684E-3</v>
      </c>
    </row>
    <row r="343" spans="1:7">
      <c r="A343" s="47">
        <v>87.97</v>
      </c>
      <c r="B343" s="47">
        <v>89.97</v>
      </c>
      <c r="C343" s="47">
        <v>87.6</v>
      </c>
      <c r="D343" s="47">
        <v>89.53</v>
      </c>
      <c r="E343" s="47">
        <v>6080796</v>
      </c>
      <c r="F343" s="47" t="s">
        <v>475</v>
      </c>
      <c r="G343" s="46">
        <f t="shared" si="2"/>
        <v>-1.7424327041215215E-2</v>
      </c>
    </row>
    <row r="344" spans="1:7">
      <c r="A344" s="47">
        <v>89.53</v>
      </c>
      <c r="B344" s="47">
        <v>90.09</v>
      </c>
      <c r="C344" s="47">
        <v>87.72</v>
      </c>
      <c r="D344" s="47">
        <v>88.02</v>
      </c>
      <c r="E344" s="47">
        <v>7869184</v>
      </c>
      <c r="F344" s="47" t="s">
        <v>474</v>
      </c>
      <c r="G344" s="46">
        <f t="shared" si="2"/>
        <v>1.7155192001817809E-2</v>
      </c>
    </row>
    <row r="345" spans="1:7">
      <c r="A345" s="47">
        <v>87.6</v>
      </c>
      <c r="B345" s="47">
        <v>87.7</v>
      </c>
      <c r="C345" s="47">
        <v>86.31</v>
      </c>
      <c r="D345" s="47">
        <v>86.73</v>
      </c>
      <c r="E345" s="47">
        <v>6136427</v>
      </c>
      <c r="F345" s="47" t="s">
        <v>473</v>
      </c>
      <c r="G345" s="46">
        <f t="shared" si="2"/>
        <v>1.0031131096506218E-2</v>
      </c>
    </row>
    <row r="346" spans="1:7">
      <c r="A346" s="47">
        <v>86.18</v>
      </c>
      <c r="B346" s="47">
        <v>86.94</v>
      </c>
      <c r="C346" s="47">
        <v>84.82</v>
      </c>
      <c r="D346" s="47">
        <v>85.834999999999994</v>
      </c>
      <c r="E346" s="47">
        <v>6227776</v>
      </c>
      <c r="F346" s="47" t="s">
        <v>472</v>
      </c>
      <c r="G346" s="46">
        <f t="shared" si="2"/>
        <v>4.0193394303025265E-3</v>
      </c>
    </row>
    <row r="347" spans="1:7">
      <c r="A347" s="47">
        <v>85.35</v>
      </c>
      <c r="B347" s="47">
        <v>85.9</v>
      </c>
      <c r="C347" s="47">
        <v>85.05</v>
      </c>
      <c r="D347" s="47">
        <v>85.734999999999999</v>
      </c>
      <c r="E347" s="47">
        <v>4533202</v>
      </c>
      <c r="F347" s="47" t="s">
        <v>471</v>
      </c>
      <c r="G347" s="46">
        <f t="shared" si="2"/>
        <v>-4.490581442817998E-3</v>
      </c>
    </row>
    <row r="348" spans="1:7">
      <c r="A348" s="47">
        <v>85.43</v>
      </c>
      <c r="B348" s="47">
        <v>86.067499999999995</v>
      </c>
      <c r="C348" s="47">
        <v>84.66</v>
      </c>
      <c r="D348" s="47">
        <v>85.69</v>
      </c>
      <c r="E348" s="47">
        <v>5855039</v>
      </c>
      <c r="F348" s="47" t="s">
        <v>470</v>
      </c>
      <c r="G348" s="46">
        <f t="shared" si="2"/>
        <v>-3.0341930213559909E-3</v>
      </c>
    </row>
    <row r="349" spans="1:7">
      <c r="A349" s="47">
        <v>86.86</v>
      </c>
      <c r="B349" s="47">
        <v>87.655000000000001</v>
      </c>
      <c r="C349" s="47">
        <v>86.202699999999993</v>
      </c>
      <c r="D349" s="47">
        <v>87.36</v>
      </c>
      <c r="E349" s="47">
        <v>5124993</v>
      </c>
      <c r="F349" s="47" t="s">
        <v>469</v>
      </c>
      <c r="G349" s="46">
        <f t="shared" si="2"/>
        <v>-5.7234432234432031E-3</v>
      </c>
    </row>
    <row r="350" spans="1:7">
      <c r="A350" s="47">
        <v>88.14</v>
      </c>
      <c r="B350" s="47">
        <v>88.73</v>
      </c>
      <c r="C350" s="47">
        <v>87.26</v>
      </c>
      <c r="D350" s="47">
        <v>87.6</v>
      </c>
      <c r="E350" s="47">
        <v>4802170</v>
      </c>
      <c r="F350" s="47" t="s">
        <v>468</v>
      </c>
      <c r="G350" s="46">
        <f t="shared" si="2"/>
        <v>6.164383561643838E-3</v>
      </c>
    </row>
    <row r="351" spans="1:7">
      <c r="A351" s="47">
        <v>88.25</v>
      </c>
      <c r="B351" s="47">
        <v>88.33</v>
      </c>
      <c r="C351" s="47">
        <v>86.59</v>
      </c>
      <c r="D351" s="47">
        <v>86.9</v>
      </c>
      <c r="E351" s="47">
        <v>3276344</v>
      </c>
      <c r="F351" s="47" t="s">
        <v>467</v>
      </c>
      <c r="G351" s="46">
        <f t="shared" si="2"/>
        <v>1.5535097813578869E-2</v>
      </c>
    </row>
    <row r="352" spans="1:7">
      <c r="A352" s="47">
        <v>86.9</v>
      </c>
      <c r="B352" s="47">
        <v>87.24</v>
      </c>
      <c r="C352" s="47">
        <v>85.97</v>
      </c>
      <c r="D352" s="47">
        <v>86.47</v>
      </c>
      <c r="E352" s="47">
        <v>5633131</v>
      </c>
      <c r="F352" s="47" t="s">
        <v>466</v>
      </c>
      <c r="G352" s="46">
        <f t="shared" si="2"/>
        <v>4.9728229443739558E-3</v>
      </c>
    </row>
    <row r="353" spans="1:7">
      <c r="A353" s="47">
        <v>87.13</v>
      </c>
      <c r="B353" s="47">
        <v>88.23</v>
      </c>
      <c r="C353" s="47">
        <v>84.5</v>
      </c>
      <c r="D353" s="47">
        <v>84.91</v>
      </c>
      <c r="E353" s="47">
        <v>22052710</v>
      </c>
      <c r="F353" s="47" t="s">
        <v>465</v>
      </c>
      <c r="G353" s="46">
        <f t="shared" si="2"/>
        <v>2.6145330349782059E-2</v>
      </c>
    </row>
    <row r="354" spans="1:7">
      <c r="A354" s="47">
        <v>86.78</v>
      </c>
      <c r="B354" s="47">
        <v>88.42</v>
      </c>
      <c r="C354" s="47">
        <v>86.16</v>
      </c>
      <c r="D354" s="47">
        <v>86.28</v>
      </c>
      <c r="E354" s="47">
        <v>9522428</v>
      </c>
      <c r="F354" s="47" t="s">
        <v>464</v>
      </c>
      <c r="G354" s="46">
        <f t="shared" si="2"/>
        <v>5.7950857672692813E-3</v>
      </c>
    </row>
    <row r="355" spans="1:7">
      <c r="A355" s="47">
        <v>85.45</v>
      </c>
      <c r="B355" s="47">
        <v>91.09</v>
      </c>
      <c r="C355" s="47">
        <v>85.176400000000001</v>
      </c>
      <c r="D355" s="47">
        <v>90.694999999999993</v>
      </c>
      <c r="E355" s="47">
        <v>12583697</v>
      </c>
      <c r="F355" s="47" t="s">
        <v>463</v>
      </c>
      <c r="G355" s="46">
        <f t="shared" si="2"/>
        <v>-5.7831192458239089E-2</v>
      </c>
    </row>
    <row r="356" spans="1:7">
      <c r="A356" s="47">
        <v>90.86</v>
      </c>
      <c r="B356" s="47">
        <v>92</v>
      </c>
      <c r="C356" s="47">
        <v>90.23</v>
      </c>
      <c r="D356" s="47">
        <v>90.9</v>
      </c>
      <c r="E356" s="47">
        <v>8395584</v>
      </c>
      <c r="F356" s="47" t="s">
        <v>462</v>
      </c>
      <c r="G356" s="46">
        <f t="shared" si="2"/>
        <v>-4.4004400440056379E-4</v>
      </c>
    </row>
    <row r="357" spans="1:7">
      <c r="A357" s="47">
        <v>91.3</v>
      </c>
      <c r="B357" s="47">
        <v>91.46</v>
      </c>
      <c r="C357" s="47">
        <v>89.52</v>
      </c>
      <c r="D357" s="47">
        <v>90.79</v>
      </c>
      <c r="E357" s="47">
        <v>7402470</v>
      </c>
      <c r="F357" s="47" t="s">
        <v>461</v>
      </c>
      <c r="G357" s="46">
        <f t="shared" si="2"/>
        <v>5.6173587399492853E-3</v>
      </c>
    </row>
    <row r="358" spans="1:7">
      <c r="A358" s="47">
        <v>91.02</v>
      </c>
      <c r="B358" s="47">
        <v>91.185000000000002</v>
      </c>
      <c r="C358" s="47">
        <v>89.82</v>
      </c>
      <c r="D358" s="47">
        <v>90.42</v>
      </c>
      <c r="E358" s="47">
        <v>8358050</v>
      </c>
      <c r="F358" s="47" t="s">
        <v>460</v>
      </c>
      <c r="G358" s="46">
        <f t="shared" si="2"/>
        <v>6.6357000663568311E-3</v>
      </c>
    </row>
    <row r="359" spans="1:7">
      <c r="A359" s="47">
        <v>89.4</v>
      </c>
      <c r="B359" s="47">
        <v>91.17</v>
      </c>
      <c r="C359" s="47">
        <v>89.334999999999994</v>
      </c>
      <c r="D359" s="47">
        <v>90.43</v>
      </c>
      <c r="E359" s="47">
        <v>4711138</v>
      </c>
      <c r="F359" s="47" t="s">
        <v>459</v>
      </c>
      <c r="G359" s="46">
        <f t="shared" si="2"/>
        <v>-1.1390025434037443E-2</v>
      </c>
    </row>
    <row r="360" spans="1:7">
      <c r="A360" s="47">
        <v>90.75</v>
      </c>
      <c r="B360" s="47">
        <v>91.03</v>
      </c>
      <c r="C360" s="47">
        <v>87.84</v>
      </c>
      <c r="D360" s="47">
        <v>88.62</v>
      </c>
      <c r="E360" s="47">
        <v>6657199</v>
      </c>
      <c r="F360" s="47" t="s">
        <v>458</v>
      </c>
      <c r="G360" s="46">
        <f t="shared" si="2"/>
        <v>2.4035206499661399E-2</v>
      </c>
    </row>
    <row r="361" spans="1:7">
      <c r="A361" s="47">
        <v>88.76</v>
      </c>
      <c r="B361" s="47">
        <v>90</v>
      </c>
      <c r="C361" s="47">
        <v>88.375</v>
      </c>
      <c r="D361" s="47">
        <v>89.94</v>
      </c>
      <c r="E361" s="47">
        <v>6697466</v>
      </c>
      <c r="F361" s="47" t="s">
        <v>457</v>
      </c>
      <c r="G361" s="46">
        <f t="shared" si="2"/>
        <v>-1.3119857682899583E-2</v>
      </c>
    </row>
    <row r="362" spans="1:7">
      <c r="A362" s="47">
        <v>90</v>
      </c>
      <c r="B362" s="47">
        <v>93.66</v>
      </c>
      <c r="C362" s="47">
        <v>89.73</v>
      </c>
      <c r="D362" s="47">
        <v>92.25</v>
      </c>
      <c r="E362" s="47">
        <v>10714196</v>
      </c>
      <c r="F362" s="47" t="s">
        <v>456</v>
      </c>
      <c r="G362" s="46">
        <f t="shared" si="2"/>
        <v>-2.4390243902439046E-2</v>
      </c>
    </row>
    <row r="363" spans="1:7">
      <c r="A363" s="47">
        <v>89.88</v>
      </c>
      <c r="B363" s="47">
        <v>90.04</v>
      </c>
      <c r="C363" s="47">
        <v>88.545000000000002</v>
      </c>
      <c r="D363" s="47">
        <v>89.49</v>
      </c>
      <c r="E363" s="47">
        <v>6955544</v>
      </c>
      <c r="F363" s="47" t="s">
        <v>455</v>
      </c>
      <c r="G363" s="46">
        <f t="shared" si="2"/>
        <v>4.3580288300368863E-3</v>
      </c>
    </row>
    <row r="364" spans="1:7">
      <c r="A364" s="47">
        <v>89.045000000000002</v>
      </c>
      <c r="B364" s="47">
        <v>90.27</v>
      </c>
      <c r="C364" s="47">
        <v>88.27</v>
      </c>
      <c r="D364" s="47">
        <v>89.59</v>
      </c>
      <c r="E364" s="47">
        <v>9025551</v>
      </c>
      <c r="F364" s="47" t="s">
        <v>454</v>
      </c>
      <c r="G364" s="46">
        <f t="shared" si="2"/>
        <v>-6.0832682218997514E-3</v>
      </c>
    </row>
    <row r="365" spans="1:7">
      <c r="A365" s="47">
        <v>89.33</v>
      </c>
      <c r="B365" s="47">
        <v>90.14</v>
      </c>
      <c r="C365" s="47">
        <v>85.24</v>
      </c>
      <c r="D365" s="47">
        <v>85.68</v>
      </c>
      <c r="E365" s="47">
        <v>15535961</v>
      </c>
      <c r="F365" s="47" t="s">
        <v>453</v>
      </c>
      <c r="G365" s="46">
        <f t="shared" si="2"/>
        <v>4.2600373482726273E-2</v>
      </c>
    </row>
    <row r="366" spans="1:7">
      <c r="A366" s="47">
        <v>85.14</v>
      </c>
      <c r="B366" s="47">
        <v>86.4</v>
      </c>
      <c r="C366" s="47">
        <v>84.614999999999995</v>
      </c>
      <c r="D366" s="47">
        <v>86.4</v>
      </c>
      <c r="E366" s="47">
        <v>8189778</v>
      </c>
      <c r="F366" s="47" t="s">
        <v>452</v>
      </c>
      <c r="G366" s="46">
        <f t="shared" si="2"/>
        <v>-1.4583333333333393E-2</v>
      </c>
    </row>
    <row r="367" spans="1:7">
      <c r="A367" s="47">
        <v>86.53</v>
      </c>
      <c r="B367" s="47">
        <v>87.47</v>
      </c>
      <c r="C367" s="47">
        <v>85.84</v>
      </c>
      <c r="D367" s="47">
        <v>86.55</v>
      </c>
      <c r="E367" s="47">
        <v>7273536</v>
      </c>
      <c r="F367" s="47" t="s">
        <v>451</v>
      </c>
      <c r="G367" s="46">
        <f t="shared" si="2"/>
        <v>-2.3108030040430716E-4</v>
      </c>
    </row>
    <row r="368" spans="1:7">
      <c r="A368" s="47">
        <v>86.77</v>
      </c>
      <c r="B368" s="47">
        <v>87.08</v>
      </c>
      <c r="C368" s="47">
        <v>85.82</v>
      </c>
      <c r="D368" s="47">
        <v>86.39</v>
      </c>
      <c r="E368" s="47">
        <v>4469740</v>
      </c>
      <c r="F368" s="47" t="s">
        <v>450</v>
      </c>
      <c r="G368" s="46">
        <f t="shared" si="2"/>
        <v>4.3986572519967293E-3</v>
      </c>
    </row>
    <row r="369" spans="1:7">
      <c r="A369" s="47">
        <v>86.57</v>
      </c>
      <c r="B369" s="47">
        <v>87.66</v>
      </c>
      <c r="C369" s="47">
        <v>86.27</v>
      </c>
      <c r="D369" s="47">
        <v>87.55</v>
      </c>
      <c r="E369" s="47">
        <v>5477894</v>
      </c>
      <c r="F369" s="47" t="s">
        <v>449</v>
      </c>
      <c r="G369" s="46">
        <f t="shared" si="2"/>
        <v>-1.1193603655054285E-2</v>
      </c>
    </row>
    <row r="370" spans="1:7">
      <c r="A370" s="47">
        <v>86.94</v>
      </c>
      <c r="B370" s="47">
        <v>88.18</v>
      </c>
      <c r="C370" s="47">
        <v>86.9</v>
      </c>
      <c r="D370" s="47">
        <v>87.4</v>
      </c>
      <c r="E370" s="47">
        <v>5610415</v>
      </c>
      <c r="F370" s="47" t="s">
        <v>448</v>
      </c>
      <c r="G370" s="46">
        <f t="shared" si="2"/>
        <v>-5.2631578947369695E-3</v>
      </c>
    </row>
    <row r="371" spans="1:7">
      <c r="A371" s="47">
        <v>87.77</v>
      </c>
      <c r="B371" s="47">
        <v>88.74</v>
      </c>
      <c r="C371" s="47">
        <v>86.97</v>
      </c>
      <c r="D371" s="47">
        <v>87.99</v>
      </c>
      <c r="E371" s="47">
        <v>12998272</v>
      </c>
      <c r="F371" s="47" t="s">
        <v>447</v>
      </c>
      <c r="G371" s="46">
        <f t="shared" si="2"/>
        <v>-2.5002841231958062E-3</v>
      </c>
    </row>
    <row r="372" spans="1:7">
      <c r="A372" s="47">
        <v>86.77</v>
      </c>
      <c r="B372" s="47">
        <v>86.8</v>
      </c>
      <c r="C372" s="47">
        <v>84.57</v>
      </c>
      <c r="D372" s="47">
        <v>84.68</v>
      </c>
      <c r="E372" s="47">
        <v>6785992</v>
      </c>
      <c r="F372" s="47" t="s">
        <v>446</v>
      </c>
      <c r="G372" s="46">
        <f t="shared" si="2"/>
        <v>2.4681152574397514E-2</v>
      </c>
    </row>
    <row r="373" spans="1:7">
      <c r="A373" s="47">
        <v>84.82</v>
      </c>
      <c r="B373" s="47">
        <v>85.49</v>
      </c>
      <c r="C373" s="47">
        <v>84.21</v>
      </c>
      <c r="D373" s="47">
        <v>85.16</v>
      </c>
      <c r="E373" s="47">
        <v>7250051</v>
      </c>
      <c r="F373" s="47" t="s">
        <v>445</v>
      </c>
      <c r="G373" s="46">
        <f t="shared" si="2"/>
        <v>-3.9924847346172188E-3</v>
      </c>
    </row>
    <row r="374" spans="1:7">
      <c r="A374" s="47">
        <v>84.74</v>
      </c>
      <c r="B374" s="47">
        <v>85.6</v>
      </c>
      <c r="C374" s="47">
        <v>84.24</v>
      </c>
      <c r="D374" s="47">
        <v>84.51</v>
      </c>
      <c r="E374" s="47">
        <v>6076348</v>
      </c>
      <c r="F374" s="47" t="s">
        <v>444</v>
      </c>
      <c r="G374" s="46">
        <f t="shared" si="2"/>
        <v>2.7215714116670675E-3</v>
      </c>
    </row>
    <row r="375" spans="1:7">
      <c r="A375" s="47">
        <v>84.09</v>
      </c>
      <c r="B375" s="47">
        <v>84.234999999999999</v>
      </c>
      <c r="C375" s="47">
        <v>82.5</v>
      </c>
      <c r="D375" s="47">
        <v>82.99</v>
      </c>
      <c r="E375" s="47">
        <v>12442731</v>
      </c>
      <c r="F375" s="47" t="s">
        <v>443</v>
      </c>
      <c r="G375" s="46">
        <f t="shared" si="2"/>
        <v>1.3254608989034855E-2</v>
      </c>
    </row>
    <row r="376" spans="1:7">
      <c r="A376" s="47">
        <v>84.67</v>
      </c>
      <c r="B376" s="47">
        <v>86.84</v>
      </c>
      <c r="C376" s="47">
        <v>84.575000000000003</v>
      </c>
      <c r="D376" s="47">
        <v>86.055000000000007</v>
      </c>
      <c r="E376" s="47">
        <v>10152571</v>
      </c>
      <c r="F376" s="47" t="s">
        <v>442</v>
      </c>
      <c r="G376" s="46">
        <f t="shared" si="2"/>
        <v>-1.6094358259252872E-2</v>
      </c>
    </row>
    <row r="377" spans="1:7">
      <c r="A377" s="47">
        <v>85.83</v>
      </c>
      <c r="B377" s="47">
        <v>86.2</v>
      </c>
      <c r="C377" s="47">
        <v>85.101399999999998</v>
      </c>
      <c r="D377" s="47">
        <v>85.35</v>
      </c>
      <c r="E377" s="47">
        <v>8083167</v>
      </c>
      <c r="F377" s="47" t="s">
        <v>441</v>
      </c>
      <c r="G377" s="46">
        <f t="shared" si="2"/>
        <v>5.6239015817223237E-3</v>
      </c>
    </row>
    <row r="378" spans="1:7">
      <c r="A378" s="47">
        <v>85.79</v>
      </c>
      <c r="B378" s="47">
        <v>87.472499999999997</v>
      </c>
      <c r="C378" s="47">
        <v>85.474999999999994</v>
      </c>
      <c r="D378" s="47">
        <v>87.06</v>
      </c>
      <c r="E378" s="47">
        <v>8468252</v>
      </c>
      <c r="F378" s="47" t="s">
        <v>440</v>
      </c>
      <c r="G378" s="46">
        <f t="shared" ref="G378:G441" si="3">A378/D378-1</f>
        <v>-1.4587640707557914E-2</v>
      </c>
    </row>
    <row r="379" spans="1:7">
      <c r="A379" s="47">
        <v>87.31</v>
      </c>
      <c r="B379" s="47">
        <v>87.9</v>
      </c>
      <c r="C379" s="47">
        <v>86.08</v>
      </c>
      <c r="D379" s="47">
        <v>86.8</v>
      </c>
      <c r="E379" s="47">
        <v>9256571</v>
      </c>
      <c r="F379" s="47" t="s">
        <v>439</v>
      </c>
      <c r="G379" s="46">
        <f t="shared" si="3"/>
        <v>5.8755760368665033E-3</v>
      </c>
    </row>
    <row r="380" spans="1:7">
      <c r="A380" s="47">
        <v>86.4</v>
      </c>
      <c r="B380" s="47">
        <v>87.92</v>
      </c>
      <c r="C380" s="47">
        <v>85.674599999999998</v>
      </c>
      <c r="D380" s="47">
        <v>86.88</v>
      </c>
      <c r="E380" s="47">
        <v>10036908</v>
      </c>
      <c r="F380" s="47" t="s">
        <v>438</v>
      </c>
      <c r="G380" s="46">
        <f t="shared" si="3"/>
        <v>-5.5248618784529135E-3</v>
      </c>
    </row>
    <row r="381" spans="1:7">
      <c r="A381" s="47">
        <v>86.94</v>
      </c>
      <c r="B381" s="47">
        <v>87.47</v>
      </c>
      <c r="C381" s="47">
        <v>83.38</v>
      </c>
      <c r="D381" s="47">
        <v>84.07</v>
      </c>
      <c r="E381" s="47">
        <v>15459383</v>
      </c>
      <c r="F381" s="47" t="s">
        <v>437</v>
      </c>
      <c r="G381" s="46">
        <f t="shared" si="3"/>
        <v>3.4138218151540389E-2</v>
      </c>
    </row>
    <row r="382" spans="1:7">
      <c r="A382" s="47">
        <v>83.01</v>
      </c>
      <c r="B382" s="47">
        <v>83.07</v>
      </c>
      <c r="C382" s="47">
        <v>81.349999999999994</v>
      </c>
      <c r="D382" s="47">
        <v>81.459999999999994</v>
      </c>
      <c r="E382" s="47">
        <v>8144180</v>
      </c>
      <c r="F382" s="47" t="s">
        <v>436</v>
      </c>
      <c r="G382" s="46">
        <f t="shared" si="3"/>
        <v>1.9027743677878961E-2</v>
      </c>
    </row>
    <row r="383" spans="1:7">
      <c r="A383" s="47">
        <v>81.349999999999994</v>
      </c>
      <c r="B383" s="47">
        <v>82.74</v>
      </c>
      <c r="C383" s="47">
        <v>81.13</v>
      </c>
      <c r="D383" s="47">
        <v>81.694999999999993</v>
      </c>
      <c r="E383" s="47">
        <v>7994293</v>
      </c>
      <c r="F383" s="47" t="s">
        <v>435</v>
      </c>
      <c r="G383" s="46">
        <f t="shared" si="3"/>
        <v>-4.2230246649122005E-3</v>
      </c>
    </row>
    <row r="384" spans="1:7">
      <c r="A384" s="47">
        <v>81.41</v>
      </c>
      <c r="B384" s="47">
        <v>81.69</v>
      </c>
      <c r="C384" s="47">
        <v>79.995000000000005</v>
      </c>
      <c r="D384" s="47">
        <v>81.344999999999999</v>
      </c>
      <c r="E384" s="47">
        <v>11546541</v>
      </c>
      <c r="F384" s="47" t="s">
        <v>434</v>
      </c>
      <c r="G384" s="46">
        <f t="shared" si="3"/>
        <v>7.9906570778787156E-4</v>
      </c>
    </row>
    <row r="385" spans="1:7">
      <c r="A385" s="47">
        <v>79.25</v>
      </c>
      <c r="B385" s="47">
        <v>79.41</v>
      </c>
      <c r="C385" s="47">
        <v>77.738</v>
      </c>
      <c r="D385" s="47">
        <v>77.738</v>
      </c>
      <c r="E385" s="47">
        <v>6573919</v>
      </c>
      <c r="F385" s="47" t="s">
        <v>433</v>
      </c>
      <c r="G385" s="46">
        <f t="shared" si="3"/>
        <v>1.944994725874083E-2</v>
      </c>
    </row>
    <row r="386" spans="1:7">
      <c r="A386" s="47">
        <v>78.13</v>
      </c>
      <c r="B386" s="47">
        <v>78.44</v>
      </c>
      <c r="C386" s="47">
        <v>77</v>
      </c>
      <c r="D386" s="47">
        <v>77.260000000000005</v>
      </c>
      <c r="E386" s="47">
        <v>10257036</v>
      </c>
      <c r="F386" s="47" t="s">
        <v>432</v>
      </c>
      <c r="G386" s="46">
        <f t="shared" si="3"/>
        <v>1.1260678229355392E-2</v>
      </c>
    </row>
    <row r="387" spans="1:7">
      <c r="A387" s="47">
        <v>77.25</v>
      </c>
      <c r="B387" s="47">
        <v>78.308899999999994</v>
      </c>
      <c r="C387" s="47">
        <v>76.459999999999994</v>
      </c>
      <c r="D387" s="47">
        <v>77.864999999999995</v>
      </c>
      <c r="E387" s="47">
        <v>16473606</v>
      </c>
      <c r="F387" s="47" t="s">
        <v>431</v>
      </c>
      <c r="G387" s="46">
        <f t="shared" si="3"/>
        <v>-7.8982854941244129E-3</v>
      </c>
    </row>
    <row r="388" spans="1:7">
      <c r="A388" s="47">
        <v>79.3</v>
      </c>
      <c r="B388" s="47">
        <v>79.819999999999993</v>
      </c>
      <c r="C388" s="47">
        <v>78.3</v>
      </c>
      <c r="D388" s="47">
        <v>78.489999999999995</v>
      </c>
      <c r="E388" s="47">
        <v>13919255</v>
      </c>
      <c r="F388" s="47" t="s">
        <v>430</v>
      </c>
      <c r="G388" s="46">
        <f t="shared" si="3"/>
        <v>1.0319785959994832E-2</v>
      </c>
    </row>
    <row r="389" spans="1:7">
      <c r="A389" s="47">
        <v>78.22</v>
      </c>
      <c r="B389" s="47">
        <v>79.709999999999994</v>
      </c>
      <c r="C389" s="47">
        <v>77.989999999999995</v>
      </c>
      <c r="D389" s="47">
        <v>79.03</v>
      </c>
      <c r="E389" s="47">
        <v>14910497</v>
      </c>
      <c r="F389" s="47" t="s">
        <v>429</v>
      </c>
      <c r="G389" s="46">
        <f t="shared" si="3"/>
        <v>-1.0249272428191847E-2</v>
      </c>
    </row>
    <row r="390" spans="1:7">
      <c r="A390" s="47">
        <v>80.28</v>
      </c>
      <c r="B390" s="47">
        <v>81.25</v>
      </c>
      <c r="C390" s="47">
        <v>76.81</v>
      </c>
      <c r="D390" s="47">
        <v>78.040000000000006</v>
      </c>
      <c r="E390" s="47">
        <v>35206386</v>
      </c>
      <c r="F390" s="47" t="s">
        <v>428</v>
      </c>
      <c r="G390" s="46">
        <f t="shared" si="3"/>
        <v>2.8703229113275164E-2</v>
      </c>
    </row>
    <row r="391" spans="1:7">
      <c r="A391" s="47">
        <v>83.59</v>
      </c>
      <c r="B391" s="47">
        <v>83.7</v>
      </c>
      <c r="C391" s="47">
        <v>81.88</v>
      </c>
      <c r="D391" s="47">
        <v>82.03</v>
      </c>
      <c r="E391" s="47">
        <v>15243510</v>
      </c>
      <c r="F391" s="47" t="s">
        <v>427</v>
      </c>
      <c r="G391" s="46">
        <f t="shared" si="3"/>
        <v>1.9017432646592836E-2</v>
      </c>
    </row>
    <row r="392" spans="1:7">
      <c r="A392" s="47">
        <v>81.7</v>
      </c>
      <c r="B392" s="47">
        <v>82.8</v>
      </c>
      <c r="C392" s="47">
        <v>81.400000000000006</v>
      </c>
      <c r="D392" s="47">
        <v>82.01</v>
      </c>
      <c r="E392" s="47">
        <v>7201013</v>
      </c>
      <c r="F392" s="47" t="s">
        <v>426</v>
      </c>
      <c r="G392" s="46">
        <f t="shared" si="3"/>
        <v>-3.7800268259968739E-3</v>
      </c>
    </row>
    <row r="393" spans="1:7">
      <c r="A393" s="47">
        <v>81.39</v>
      </c>
      <c r="B393" s="47">
        <v>82.48</v>
      </c>
      <c r="C393" s="47">
        <v>80.92</v>
      </c>
      <c r="D393" s="47">
        <v>81.234999999999999</v>
      </c>
      <c r="E393" s="47">
        <v>7398779</v>
      </c>
      <c r="F393" s="47" t="s">
        <v>425</v>
      </c>
      <c r="G393" s="46">
        <f t="shared" si="3"/>
        <v>1.9080445620729414E-3</v>
      </c>
    </row>
    <row r="394" spans="1:7">
      <c r="A394" s="47">
        <v>80.83</v>
      </c>
      <c r="B394" s="47">
        <v>82.24</v>
      </c>
      <c r="C394" s="47">
        <v>80.09</v>
      </c>
      <c r="D394" s="47">
        <v>81.239999999999995</v>
      </c>
      <c r="E394" s="47">
        <v>7632139</v>
      </c>
      <c r="F394" s="47" t="s">
        <v>424</v>
      </c>
      <c r="G394" s="46">
        <f t="shared" si="3"/>
        <v>-5.0467749876907941E-3</v>
      </c>
    </row>
    <row r="395" spans="1:7">
      <c r="A395" s="47">
        <v>80.91</v>
      </c>
      <c r="B395" s="47">
        <v>81.42</v>
      </c>
      <c r="C395" s="47">
        <v>80.040000000000006</v>
      </c>
      <c r="D395" s="47">
        <v>80.05</v>
      </c>
      <c r="E395" s="47">
        <v>7571253</v>
      </c>
      <c r="F395" s="47" t="s">
        <v>423</v>
      </c>
      <c r="G395" s="46">
        <f t="shared" si="3"/>
        <v>1.0743285446595863E-2</v>
      </c>
    </row>
    <row r="396" spans="1:7">
      <c r="A396" s="47">
        <v>80.56</v>
      </c>
      <c r="B396" s="47">
        <v>81.36</v>
      </c>
      <c r="C396" s="47">
        <v>80.040000000000006</v>
      </c>
      <c r="D396" s="47">
        <v>80.314999999999998</v>
      </c>
      <c r="E396" s="47">
        <v>7450264</v>
      </c>
      <c r="F396" s="47" t="s">
        <v>422</v>
      </c>
      <c r="G396" s="46">
        <f t="shared" si="3"/>
        <v>3.0504887007409831E-3</v>
      </c>
    </row>
    <row r="397" spans="1:7">
      <c r="A397" s="47">
        <v>80.94</v>
      </c>
      <c r="B397" s="47">
        <v>80.97</v>
      </c>
      <c r="C397" s="47">
        <v>78.94</v>
      </c>
      <c r="D397" s="47">
        <v>79.5</v>
      </c>
      <c r="E397" s="47">
        <v>8844338</v>
      </c>
      <c r="F397" s="47" t="s">
        <v>421</v>
      </c>
      <c r="G397" s="46">
        <f t="shared" si="3"/>
        <v>1.8113207547169718E-2</v>
      </c>
    </row>
    <row r="398" spans="1:7">
      <c r="A398" s="47">
        <v>79.819999999999993</v>
      </c>
      <c r="B398" s="47">
        <v>80.900000000000006</v>
      </c>
      <c r="C398" s="47">
        <v>79.224999999999994</v>
      </c>
      <c r="D398" s="47">
        <v>80.75</v>
      </c>
      <c r="E398" s="47">
        <v>8653971</v>
      </c>
      <c r="F398" s="47" t="s">
        <v>420</v>
      </c>
      <c r="G398" s="46">
        <f t="shared" si="3"/>
        <v>-1.1517027863777174E-2</v>
      </c>
    </row>
    <row r="399" spans="1:7">
      <c r="A399" s="47">
        <v>80.819999999999993</v>
      </c>
      <c r="B399" s="47">
        <v>80.849999999999994</v>
      </c>
      <c r="C399" s="47">
        <v>79.45</v>
      </c>
      <c r="D399" s="47">
        <v>79.81</v>
      </c>
      <c r="E399" s="47">
        <v>5434792</v>
      </c>
      <c r="F399" s="47" t="s">
        <v>419</v>
      </c>
      <c r="G399" s="46">
        <f t="shared" si="3"/>
        <v>1.2655055757423872E-2</v>
      </c>
    </row>
    <row r="400" spans="1:7">
      <c r="A400" s="47">
        <v>79.55</v>
      </c>
      <c r="B400" s="47">
        <v>81.06</v>
      </c>
      <c r="C400" s="47">
        <v>78.650000000000006</v>
      </c>
      <c r="D400" s="47">
        <v>80.150000000000006</v>
      </c>
      <c r="E400" s="47">
        <v>7291606</v>
      </c>
      <c r="F400" s="47" t="s">
        <v>418</v>
      </c>
      <c r="G400" s="46">
        <f t="shared" si="3"/>
        <v>-7.4859638178416121E-3</v>
      </c>
    </row>
    <row r="401" spans="1:7">
      <c r="A401" s="47">
        <v>80.67</v>
      </c>
      <c r="B401" s="47">
        <v>80.98</v>
      </c>
      <c r="C401" s="47">
        <v>79.819999999999993</v>
      </c>
      <c r="D401" s="47">
        <v>80.34</v>
      </c>
      <c r="E401" s="47">
        <v>5865449</v>
      </c>
      <c r="F401" s="47" t="s">
        <v>417</v>
      </c>
      <c r="G401" s="46">
        <f t="shared" si="3"/>
        <v>4.1075429424943799E-3</v>
      </c>
    </row>
    <row r="402" spans="1:7">
      <c r="A402" s="47">
        <v>80.510000000000005</v>
      </c>
      <c r="B402" s="47">
        <v>80.726299999999995</v>
      </c>
      <c r="C402" s="47">
        <v>79.16</v>
      </c>
      <c r="D402" s="47">
        <v>79.540000000000006</v>
      </c>
      <c r="E402" s="47">
        <v>7744777</v>
      </c>
      <c r="F402" s="47" t="s">
        <v>416</v>
      </c>
      <c r="G402" s="46">
        <f t="shared" si="3"/>
        <v>1.2195121951219523E-2</v>
      </c>
    </row>
    <row r="403" spans="1:7">
      <c r="A403" s="47">
        <v>78.98</v>
      </c>
      <c r="B403" s="47">
        <v>80.075000000000003</v>
      </c>
      <c r="C403" s="47">
        <v>78.53</v>
      </c>
      <c r="D403" s="47">
        <v>79.94</v>
      </c>
      <c r="E403" s="47">
        <v>11326106</v>
      </c>
      <c r="F403" s="47" t="s">
        <v>415</v>
      </c>
      <c r="G403" s="46">
        <f t="shared" si="3"/>
        <v>-1.2009006755066221E-2</v>
      </c>
    </row>
    <row r="404" spans="1:7">
      <c r="A404" s="47">
        <v>81.650000000000006</v>
      </c>
      <c r="B404" s="47">
        <v>82</v>
      </c>
      <c r="C404" s="47">
        <v>80.849999999999994</v>
      </c>
      <c r="D404" s="47">
        <v>80.88</v>
      </c>
      <c r="E404" s="47">
        <v>6925969</v>
      </c>
      <c r="F404" s="47" t="s">
        <v>414</v>
      </c>
      <c r="G404" s="46">
        <f t="shared" si="3"/>
        <v>9.5202769535114307E-3</v>
      </c>
    </row>
    <row r="405" spans="1:7">
      <c r="A405" s="47">
        <v>81.16</v>
      </c>
      <c r="B405" s="47">
        <v>81.399900000000002</v>
      </c>
      <c r="C405" s="47">
        <v>79.575000000000003</v>
      </c>
      <c r="D405" s="47">
        <v>79.989999999999995</v>
      </c>
      <c r="E405" s="47">
        <v>8618496</v>
      </c>
      <c r="F405" s="47" t="s">
        <v>413</v>
      </c>
      <c r="G405" s="46">
        <f t="shared" si="3"/>
        <v>1.462682835354423E-2</v>
      </c>
    </row>
    <row r="406" spans="1:7">
      <c r="A406" s="47">
        <v>80.260000000000005</v>
      </c>
      <c r="B406" s="47">
        <v>80.489999999999995</v>
      </c>
      <c r="C406" s="47">
        <v>78.614999999999995</v>
      </c>
      <c r="D406" s="47">
        <v>79.290000000000006</v>
      </c>
      <c r="E406" s="47">
        <v>9206569</v>
      </c>
      <c r="F406" s="47" t="s">
        <v>412</v>
      </c>
      <c r="G406" s="46">
        <f t="shared" si="3"/>
        <v>1.2233572960020256E-2</v>
      </c>
    </row>
    <row r="407" spans="1:7">
      <c r="A407" s="47">
        <v>79.36</v>
      </c>
      <c r="B407" s="47">
        <v>79.53</v>
      </c>
      <c r="C407" s="47">
        <v>77.984999999999999</v>
      </c>
      <c r="D407" s="47">
        <v>78.16</v>
      </c>
      <c r="E407" s="47">
        <v>10083594</v>
      </c>
      <c r="F407" s="47" t="s">
        <v>411</v>
      </c>
      <c r="G407" s="46">
        <f t="shared" si="3"/>
        <v>1.535312180143289E-2</v>
      </c>
    </row>
    <row r="408" spans="1:7">
      <c r="A408" s="47">
        <v>77.31</v>
      </c>
      <c r="B408" s="47">
        <v>77.400000000000006</v>
      </c>
      <c r="C408" s="47">
        <v>76.040000000000006</v>
      </c>
      <c r="D408" s="47">
        <v>76.53</v>
      </c>
      <c r="E408" s="47">
        <v>9121261</v>
      </c>
      <c r="F408" s="47" t="s">
        <v>410</v>
      </c>
      <c r="G408" s="46">
        <f t="shared" si="3"/>
        <v>1.0192081536652298E-2</v>
      </c>
    </row>
    <row r="409" spans="1:7">
      <c r="A409" s="47">
        <v>77.44</v>
      </c>
      <c r="B409" s="47">
        <v>77.77</v>
      </c>
      <c r="C409" s="47">
        <v>76.180000000000007</v>
      </c>
      <c r="D409" s="47">
        <v>77.47</v>
      </c>
      <c r="E409" s="47">
        <v>8073322</v>
      </c>
      <c r="F409" s="47" t="s">
        <v>409</v>
      </c>
      <c r="G409" s="46">
        <f t="shared" si="3"/>
        <v>-3.8724667613265762E-4</v>
      </c>
    </row>
    <row r="410" spans="1:7">
      <c r="A410" s="47">
        <v>77.47</v>
      </c>
      <c r="B410" s="47">
        <v>79.010000000000005</v>
      </c>
      <c r="C410" s="47">
        <v>76.39</v>
      </c>
      <c r="D410" s="47">
        <v>78.209999999999994</v>
      </c>
      <c r="E410" s="47">
        <v>10608717</v>
      </c>
      <c r="F410" s="47" t="s">
        <v>408</v>
      </c>
      <c r="G410" s="46">
        <f t="shared" si="3"/>
        <v>-9.4617056642372077E-3</v>
      </c>
    </row>
    <row r="411" spans="1:7">
      <c r="A411" s="47">
        <v>78.03</v>
      </c>
      <c r="B411" s="47">
        <v>78.595200000000006</v>
      </c>
      <c r="C411" s="47">
        <v>77.239999999999995</v>
      </c>
      <c r="D411" s="47">
        <v>77.87</v>
      </c>
      <c r="E411" s="47">
        <v>6853835</v>
      </c>
      <c r="F411" s="47" t="s">
        <v>407</v>
      </c>
      <c r="G411" s="46">
        <f t="shared" si="3"/>
        <v>2.0547065622189553E-3</v>
      </c>
    </row>
    <row r="412" spans="1:7">
      <c r="A412" s="47">
        <v>77.88</v>
      </c>
      <c r="B412" s="47">
        <v>80.629900000000006</v>
      </c>
      <c r="C412" s="47">
        <v>77.73</v>
      </c>
      <c r="D412" s="47">
        <v>80.400000000000006</v>
      </c>
      <c r="E412" s="47">
        <v>11575282</v>
      </c>
      <c r="F412" s="47" t="s">
        <v>406</v>
      </c>
      <c r="G412" s="46">
        <f t="shared" si="3"/>
        <v>-3.1343283582089709E-2</v>
      </c>
    </row>
    <row r="413" spans="1:7">
      <c r="A413" s="47">
        <v>80.08</v>
      </c>
      <c r="B413" s="47">
        <v>80.430000000000007</v>
      </c>
      <c r="C413" s="47">
        <v>78.47</v>
      </c>
      <c r="D413" s="47">
        <v>78.944999999999993</v>
      </c>
      <c r="E413" s="47">
        <v>13316657</v>
      </c>
      <c r="F413" s="47" t="s">
        <v>405</v>
      </c>
      <c r="G413" s="46">
        <f t="shared" si="3"/>
        <v>1.4377097979606068E-2</v>
      </c>
    </row>
    <row r="414" spans="1:7">
      <c r="A414" s="47">
        <v>77.36</v>
      </c>
      <c r="B414" s="47">
        <v>79.260000000000005</v>
      </c>
      <c r="C414" s="47">
        <v>77.34</v>
      </c>
      <c r="D414" s="47">
        <v>78.23</v>
      </c>
      <c r="E414" s="47">
        <v>13822395</v>
      </c>
      <c r="F414" s="47" t="s">
        <v>404</v>
      </c>
      <c r="G414" s="46">
        <f t="shared" si="3"/>
        <v>-1.1121053304358974E-2</v>
      </c>
    </row>
    <row r="415" spans="1:7">
      <c r="A415" s="47">
        <v>78.34</v>
      </c>
      <c r="B415" s="47">
        <v>78.83</v>
      </c>
      <c r="C415" s="47">
        <v>77.67</v>
      </c>
      <c r="D415" s="47">
        <v>77.88</v>
      </c>
      <c r="E415" s="47">
        <v>14724836</v>
      </c>
      <c r="F415" s="47" t="s">
        <v>403</v>
      </c>
      <c r="G415" s="46">
        <f t="shared" si="3"/>
        <v>5.9065228556756111E-3</v>
      </c>
    </row>
    <row r="416" spans="1:7">
      <c r="A416" s="47">
        <v>77.67</v>
      </c>
      <c r="B416" s="47">
        <v>78.8</v>
      </c>
      <c r="C416" s="47">
        <v>77.349999999999994</v>
      </c>
      <c r="D416" s="47">
        <v>77.53</v>
      </c>
      <c r="E416" s="47">
        <v>12839810</v>
      </c>
      <c r="F416" s="47" t="s">
        <v>402</v>
      </c>
      <c r="G416" s="46">
        <f t="shared" si="3"/>
        <v>1.8057526118921974E-3</v>
      </c>
    </row>
    <row r="417" spans="1:7">
      <c r="A417" s="47">
        <v>76.760000000000005</v>
      </c>
      <c r="B417" s="47">
        <v>77.569999999999993</v>
      </c>
      <c r="C417" s="47">
        <v>75.462000000000003</v>
      </c>
      <c r="D417" s="47">
        <v>77.31</v>
      </c>
      <c r="E417" s="47">
        <v>27274648</v>
      </c>
      <c r="F417" s="47" t="s">
        <v>401</v>
      </c>
      <c r="G417" s="46">
        <f t="shared" si="3"/>
        <v>-7.1142154960548432E-3</v>
      </c>
    </row>
    <row r="418" spans="1:7">
      <c r="A418" s="47">
        <v>77.569999999999993</v>
      </c>
      <c r="B418" s="47">
        <v>78.245000000000005</v>
      </c>
      <c r="C418" s="47">
        <v>74.81</v>
      </c>
      <c r="D418" s="47">
        <v>75</v>
      </c>
      <c r="E418" s="47">
        <v>21662377</v>
      </c>
      <c r="F418" s="47" t="s">
        <v>400</v>
      </c>
      <c r="G418" s="46">
        <f t="shared" si="3"/>
        <v>3.4266666666666667E-2</v>
      </c>
    </row>
    <row r="419" spans="1:7">
      <c r="A419" s="47">
        <v>73.12</v>
      </c>
      <c r="B419" s="47">
        <v>73.87</v>
      </c>
      <c r="C419" s="47">
        <v>71.36</v>
      </c>
      <c r="D419" s="47">
        <v>71.45</v>
      </c>
      <c r="E419" s="47">
        <v>13498163</v>
      </c>
      <c r="F419" s="47" t="s">
        <v>399</v>
      </c>
      <c r="G419" s="46">
        <f t="shared" si="3"/>
        <v>2.3372988103568915E-2</v>
      </c>
    </row>
    <row r="420" spans="1:7">
      <c r="A420" s="47">
        <v>71.77</v>
      </c>
      <c r="B420" s="47">
        <v>72.17</v>
      </c>
      <c r="C420" s="47">
        <v>71.12</v>
      </c>
      <c r="D420" s="47">
        <v>71.930000000000007</v>
      </c>
      <c r="E420" s="47">
        <v>6187212</v>
      </c>
      <c r="F420" s="47" t="s">
        <v>398</v>
      </c>
      <c r="G420" s="46">
        <f t="shared" si="3"/>
        <v>-2.224384818573788E-3</v>
      </c>
    </row>
    <row r="421" spans="1:7">
      <c r="A421" s="47">
        <v>71.069999999999993</v>
      </c>
      <c r="B421" s="47">
        <v>71.239999999999995</v>
      </c>
      <c r="C421" s="47">
        <v>70.069900000000004</v>
      </c>
      <c r="D421" s="47">
        <v>70.459999999999994</v>
      </c>
      <c r="E421" s="47">
        <v>6494997</v>
      </c>
      <c r="F421" s="47" t="s">
        <v>397</v>
      </c>
      <c r="G421" s="46">
        <f t="shared" si="3"/>
        <v>8.6573942662504511E-3</v>
      </c>
    </row>
    <row r="422" spans="1:7">
      <c r="A422" s="47">
        <v>70.099999999999994</v>
      </c>
      <c r="B422" s="47">
        <v>70.620199999999997</v>
      </c>
      <c r="C422" s="47">
        <v>69.860100000000003</v>
      </c>
      <c r="D422" s="47">
        <v>70.040000000000006</v>
      </c>
      <c r="E422" s="47">
        <v>7572594</v>
      </c>
      <c r="F422" s="47" t="s">
        <v>396</v>
      </c>
      <c r="G422" s="46">
        <f t="shared" si="3"/>
        <v>8.5665334094775503E-4</v>
      </c>
    </row>
    <row r="423" spans="1:7">
      <c r="A423" s="47">
        <v>70.36</v>
      </c>
      <c r="B423" s="47">
        <v>70.38</v>
      </c>
      <c r="C423" s="47">
        <v>69.040000000000006</v>
      </c>
      <c r="D423" s="47">
        <v>69.14</v>
      </c>
      <c r="E423" s="47">
        <v>8376713</v>
      </c>
      <c r="F423" s="47" t="s">
        <v>395</v>
      </c>
      <c r="G423" s="46">
        <f t="shared" si="3"/>
        <v>1.7645357246167226E-2</v>
      </c>
    </row>
    <row r="424" spans="1:7">
      <c r="A424" s="47">
        <v>69.349999999999994</v>
      </c>
      <c r="B424" s="47">
        <v>69.7</v>
      </c>
      <c r="C424" s="47">
        <v>67.760000000000005</v>
      </c>
      <c r="D424" s="47">
        <v>69.16</v>
      </c>
      <c r="E424" s="47">
        <v>12344870</v>
      </c>
      <c r="F424" s="47" t="s">
        <v>394</v>
      </c>
      <c r="G424" s="46">
        <f t="shared" si="3"/>
        <v>2.7472527472527375E-3</v>
      </c>
    </row>
    <row r="425" spans="1:7">
      <c r="A425" s="47">
        <v>68.849999999999994</v>
      </c>
      <c r="B425" s="47">
        <v>69.739999999999995</v>
      </c>
      <c r="C425" s="47">
        <v>67.150000000000006</v>
      </c>
      <c r="D425" s="47">
        <v>69.34</v>
      </c>
      <c r="E425" s="47">
        <v>12317452</v>
      </c>
      <c r="F425" s="47" t="s">
        <v>393</v>
      </c>
      <c r="G425" s="46">
        <f t="shared" si="3"/>
        <v>-7.0666282088261978E-3</v>
      </c>
    </row>
    <row r="426" spans="1:7">
      <c r="A426" s="47">
        <v>69.349999999999994</v>
      </c>
      <c r="B426" s="47">
        <v>70.650000000000006</v>
      </c>
      <c r="C426" s="47">
        <v>68.25</v>
      </c>
      <c r="D426" s="47">
        <v>70.391999999999996</v>
      </c>
      <c r="E426" s="47">
        <v>11869340</v>
      </c>
      <c r="F426" s="47" t="s">
        <v>392</v>
      </c>
      <c r="G426" s="46">
        <f t="shared" si="3"/>
        <v>-1.4802818502102522E-2</v>
      </c>
    </row>
    <row r="427" spans="1:7">
      <c r="A427" s="47">
        <v>68.89</v>
      </c>
      <c r="B427" s="47">
        <v>72.05</v>
      </c>
      <c r="C427" s="47">
        <v>68.55</v>
      </c>
      <c r="D427" s="47">
        <v>71.94</v>
      </c>
      <c r="E427" s="47">
        <v>12315821</v>
      </c>
      <c r="F427" s="47" t="s">
        <v>391</v>
      </c>
      <c r="G427" s="46">
        <f t="shared" si="3"/>
        <v>-4.2396441479010227E-2</v>
      </c>
    </row>
    <row r="428" spans="1:7">
      <c r="A428" s="47">
        <v>72.03</v>
      </c>
      <c r="B428" s="47">
        <v>74.400000000000006</v>
      </c>
      <c r="C428" s="47">
        <v>71.015000000000001</v>
      </c>
      <c r="D428" s="47">
        <v>73.66</v>
      </c>
      <c r="E428" s="47">
        <v>11473844</v>
      </c>
      <c r="F428" s="47" t="s">
        <v>390</v>
      </c>
      <c r="G428" s="46">
        <f t="shared" si="3"/>
        <v>-2.2128699429812548E-2</v>
      </c>
    </row>
    <row r="429" spans="1:7">
      <c r="A429" s="47">
        <v>72.61</v>
      </c>
      <c r="B429" s="47">
        <v>73.239999999999995</v>
      </c>
      <c r="C429" s="47">
        <v>71.59</v>
      </c>
      <c r="D429" s="47">
        <v>71.605000000000004</v>
      </c>
      <c r="E429" s="47">
        <v>8368990</v>
      </c>
      <c r="F429" s="47" t="s">
        <v>389</v>
      </c>
      <c r="G429" s="46">
        <f t="shared" si="3"/>
        <v>1.4035332728161487E-2</v>
      </c>
    </row>
    <row r="430" spans="1:7">
      <c r="A430" s="47">
        <v>72</v>
      </c>
      <c r="B430" s="47">
        <v>72.948400000000007</v>
      </c>
      <c r="C430" s="47">
        <v>71.400000000000006</v>
      </c>
      <c r="D430" s="47">
        <v>71.754999999999995</v>
      </c>
      <c r="E430" s="47">
        <v>8571345</v>
      </c>
      <c r="F430" s="47" t="s">
        <v>388</v>
      </c>
      <c r="G430" s="46">
        <f t="shared" si="3"/>
        <v>3.4143962093233782E-3</v>
      </c>
    </row>
    <row r="431" spans="1:7">
      <c r="A431" s="47">
        <v>72.430000000000007</v>
      </c>
      <c r="B431" s="47">
        <v>73.69</v>
      </c>
      <c r="C431" s="47">
        <v>71.760000000000005</v>
      </c>
      <c r="D431" s="47">
        <v>73.510000000000005</v>
      </c>
      <c r="E431" s="47">
        <v>9634963</v>
      </c>
      <c r="F431" s="47" t="s">
        <v>387</v>
      </c>
      <c r="G431" s="46">
        <f t="shared" si="3"/>
        <v>-1.4691878655965107E-2</v>
      </c>
    </row>
    <row r="432" spans="1:7">
      <c r="A432" s="47">
        <v>73.16</v>
      </c>
      <c r="B432" s="47">
        <v>73.930000000000007</v>
      </c>
      <c r="C432" s="47">
        <v>71.25</v>
      </c>
      <c r="D432" s="47">
        <v>71.400000000000006</v>
      </c>
      <c r="E432" s="47">
        <v>13181591</v>
      </c>
      <c r="F432" s="47" t="s">
        <v>386</v>
      </c>
      <c r="G432" s="46">
        <f t="shared" si="3"/>
        <v>2.4649859943977503E-2</v>
      </c>
    </row>
    <row r="433" spans="1:7">
      <c r="A433" s="47">
        <v>70.430000000000007</v>
      </c>
      <c r="B433" s="47">
        <v>71.5899</v>
      </c>
      <c r="C433" s="47">
        <v>70.025000000000006</v>
      </c>
      <c r="D433" s="47">
        <v>71.27</v>
      </c>
      <c r="E433" s="47">
        <v>9277660</v>
      </c>
      <c r="F433" s="47" t="s">
        <v>385</v>
      </c>
      <c r="G433" s="46">
        <f t="shared" si="3"/>
        <v>-1.1786165286936878E-2</v>
      </c>
    </row>
    <row r="434" spans="1:7">
      <c r="A434" s="47">
        <v>71.59</v>
      </c>
      <c r="B434" s="47">
        <v>72.349999999999994</v>
      </c>
      <c r="C434" s="47">
        <v>71.3</v>
      </c>
      <c r="D434" s="47">
        <v>71.75</v>
      </c>
      <c r="E434" s="47">
        <v>9396932</v>
      </c>
      <c r="F434" s="47" t="s">
        <v>384</v>
      </c>
      <c r="G434" s="46">
        <f t="shared" si="3"/>
        <v>-2.2299651567944112E-3</v>
      </c>
    </row>
    <row r="435" spans="1:7">
      <c r="A435" s="47">
        <v>72.040000000000006</v>
      </c>
      <c r="B435" s="47">
        <v>73.03</v>
      </c>
      <c r="C435" s="47">
        <v>71.67</v>
      </c>
      <c r="D435" s="47">
        <v>72.069999999999993</v>
      </c>
      <c r="E435" s="47">
        <v>9062957</v>
      </c>
      <c r="F435" s="47" t="s">
        <v>383</v>
      </c>
      <c r="G435" s="46">
        <f t="shared" si="3"/>
        <v>-4.162619675314172E-4</v>
      </c>
    </row>
    <row r="436" spans="1:7">
      <c r="A436" s="47">
        <v>71.7</v>
      </c>
      <c r="B436" s="47">
        <v>72.069900000000004</v>
      </c>
      <c r="C436" s="47">
        <v>70.84</v>
      </c>
      <c r="D436" s="47">
        <v>72</v>
      </c>
      <c r="E436" s="47">
        <v>8222231</v>
      </c>
      <c r="F436" s="47" t="s">
        <v>382</v>
      </c>
      <c r="G436" s="46">
        <f t="shared" si="3"/>
        <v>-4.1666666666666519E-3</v>
      </c>
    </row>
    <row r="437" spans="1:7">
      <c r="A437" s="47">
        <v>71.52</v>
      </c>
      <c r="B437" s="47">
        <v>73.25</v>
      </c>
      <c r="C437" s="47">
        <v>70.92</v>
      </c>
      <c r="D437" s="47">
        <v>71.739999999999995</v>
      </c>
      <c r="E437" s="47">
        <v>11811123</v>
      </c>
      <c r="F437" s="47" t="s">
        <v>381</v>
      </c>
      <c r="G437" s="46">
        <f t="shared" si="3"/>
        <v>-3.0666294954000417E-3</v>
      </c>
    </row>
    <row r="438" spans="1:7">
      <c r="A438" s="47">
        <v>71.459999999999994</v>
      </c>
      <c r="B438" s="47">
        <v>72.77</v>
      </c>
      <c r="C438" s="47">
        <v>70.87</v>
      </c>
      <c r="D438" s="47">
        <v>72.064999999999998</v>
      </c>
      <c r="E438" s="47">
        <v>10455485</v>
      </c>
      <c r="F438" s="47" t="s">
        <v>380</v>
      </c>
      <c r="G438" s="46">
        <f t="shared" si="3"/>
        <v>-8.3951987788802862E-3</v>
      </c>
    </row>
    <row r="439" spans="1:7">
      <c r="A439" s="47">
        <v>71.89</v>
      </c>
      <c r="B439" s="47">
        <v>72.56</v>
      </c>
      <c r="C439" s="47">
        <v>69.430000000000007</v>
      </c>
      <c r="D439" s="47">
        <v>70</v>
      </c>
      <c r="E439" s="47">
        <v>23545969</v>
      </c>
      <c r="F439" s="47" t="s">
        <v>379</v>
      </c>
      <c r="G439" s="46">
        <f t="shared" si="3"/>
        <v>2.6999999999999913E-2</v>
      </c>
    </row>
    <row r="440" spans="1:7">
      <c r="A440" s="47">
        <v>69.430000000000007</v>
      </c>
      <c r="B440" s="47">
        <v>69.459999999999994</v>
      </c>
      <c r="C440" s="47">
        <v>68.17</v>
      </c>
      <c r="D440" s="47">
        <v>68.22</v>
      </c>
      <c r="E440" s="47">
        <v>9578068</v>
      </c>
      <c r="F440" s="47" t="s">
        <v>378</v>
      </c>
      <c r="G440" s="46">
        <f t="shared" si="3"/>
        <v>1.7736734095573192E-2</v>
      </c>
    </row>
    <row r="441" spans="1:7">
      <c r="A441" s="47">
        <v>67.959999999999994</v>
      </c>
      <c r="B441" s="47">
        <v>68.55</v>
      </c>
      <c r="C441" s="47">
        <v>67.37</v>
      </c>
      <c r="D441" s="47">
        <v>67.37</v>
      </c>
      <c r="E441" s="47">
        <v>9526778</v>
      </c>
      <c r="F441" s="47" t="s">
        <v>377</v>
      </c>
      <c r="G441" s="46">
        <f t="shared" si="3"/>
        <v>8.7576072435799901E-3</v>
      </c>
    </row>
    <row r="442" spans="1:7">
      <c r="A442" s="47">
        <v>67.94</v>
      </c>
      <c r="B442" s="47">
        <v>68.12</v>
      </c>
      <c r="C442" s="47">
        <v>67.05</v>
      </c>
      <c r="D442" s="47">
        <v>67.16</v>
      </c>
      <c r="E442" s="47">
        <v>12968279</v>
      </c>
      <c r="F442" s="47" t="s">
        <v>376</v>
      </c>
      <c r="G442" s="46">
        <f t="shared" ref="G442:G505" si="4">A442/D442-1</f>
        <v>1.1614055985705862E-2</v>
      </c>
    </row>
    <row r="443" spans="1:7">
      <c r="A443" s="47">
        <v>66.14</v>
      </c>
      <c r="B443" s="47">
        <v>66.39</v>
      </c>
      <c r="C443" s="47">
        <v>64.66</v>
      </c>
      <c r="D443" s="47">
        <v>65.06</v>
      </c>
      <c r="E443" s="47">
        <v>8944776</v>
      </c>
      <c r="F443" s="47" t="s">
        <v>375</v>
      </c>
      <c r="G443" s="46">
        <f t="shared" si="4"/>
        <v>1.6600061481709227E-2</v>
      </c>
    </row>
    <row r="444" spans="1:7">
      <c r="A444" s="47">
        <v>65.11</v>
      </c>
      <c r="B444" s="47">
        <v>65.64</v>
      </c>
      <c r="C444" s="47">
        <v>63.72</v>
      </c>
      <c r="D444" s="47">
        <v>64</v>
      </c>
      <c r="E444" s="47">
        <v>8638603</v>
      </c>
      <c r="F444" s="47" t="s">
        <v>374</v>
      </c>
      <c r="G444" s="46">
        <f t="shared" si="4"/>
        <v>1.7343749999999991E-2</v>
      </c>
    </row>
    <row r="445" spans="1:7">
      <c r="A445" s="47">
        <v>63.46</v>
      </c>
      <c r="B445" s="47">
        <v>65.13</v>
      </c>
      <c r="C445" s="47">
        <v>63.284999999999997</v>
      </c>
      <c r="D445" s="47">
        <v>64.95</v>
      </c>
      <c r="E445" s="47">
        <v>7519467</v>
      </c>
      <c r="F445" s="47" t="s">
        <v>373</v>
      </c>
      <c r="G445" s="46">
        <f t="shared" si="4"/>
        <v>-2.2940723633564364E-2</v>
      </c>
    </row>
    <row r="446" spans="1:7">
      <c r="A446" s="47">
        <v>64.72</v>
      </c>
      <c r="B446" s="47">
        <v>65.5</v>
      </c>
      <c r="C446" s="47">
        <v>64.47</v>
      </c>
      <c r="D446" s="47">
        <v>64.8</v>
      </c>
      <c r="E446" s="47">
        <v>8605324</v>
      </c>
      <c r="F446" s="47" t="s">
        <v>372</v>
      </c>
      <c r="G446" s="46">
        <f t="shared" si="4"/>
        <v>-1.2345679012345512E-3</v>
      </c>
    </row>
    <row r="447" spans="1:7">
      <c r="A447" s="47">
        <v>64.28</v>
      </c>
      <c r="B447" s="47">
        <v>64.674999999999997</v>
      </c>
      <c r="C447" s="47">
        <v>63.1</v>
      </c>
      <c r="D447" s="47">
        <v>63.55</v>
      </c>
      <c r="E447" s="47">
        <v>9761208</v>
      </c>
      <c r="F447" s="47" t="s">
        <v>371</v>
      </c>
      <c r="G447" s="46">
        <f t="shared" si="4"/>
        <v>1.14870180959874E-2</v>
      </c>
    </row>
    <row r="448" spans="1:7">
      <c r="A448" s="47">
        <v>62.74</v>
      </c>
      <c r="B448" s="47">
        <v>65.010000000000005</v>
      </c>
      <c r="C448" s="47">
        <v>62.64</v>
      </c>
      <c r="D448" s="47">
        <v>63.344999999999999</v>
      </c>
      <c r="E448" s="47">
        <v>13464354</v>
      </c>
      <c r="F448" s="47" t="s">
        <v>370</v>
      </c>
      <c r="G448" s="46">
        <f t="shared" si="4"/>
        <v>-9.5508722077511932E-3</v>
      </c>
    </row>
    <row r="449" spans="1:7">
      <c r="A449" s="47">
        <v>62.75</v>
      </c>
      <c r="B449" s="47">
        <v>63.58</v>
      </c>
      <c r="C449" s="47">
        <v>60.3</v>
      </c>
      <c r="D449" s="47">
        <v>60.6</v>
      </c>
      <c r="E449" s="47">
        <v>14358874</v>
      </c>
      <c r="F449" s="47" t="s">
        <v>369</v>
      </c>
      <c r="G449" s="46">
        <f t="shared" si="4"/>
        <v>3.5478547854785436E-2</v>
      </c>
    </row>
    <row r="450" spans="1:7">
      <c r="A450" s="47">
        <v>60.46</v>
      </c>
      <c r="B450" s="47">
        <v>61.055</v>
      </c>
      <c r="C450" s="47">
        <v>58.65</v>
      </c>
      <c r="D450" s="47">
        <v>60.7</v>
      </c>
      <c r="E450" s="47">
        <v>17445401</v>
      </c>
      <c r="F450" s="47" t="s">
        <v>368</v>
      </c>
      <c r="G450" s="46">
        <f t="shared" si="4"/>
        <v>-3.9538714991763646E-3</v>
      </c>
    </row>
    <row r="451" spans="1:7">
      <c r="A451" s="47">
        <v>61.98</v>
      </c>
      <c r="B451" s="47">
        <v>64.040000000000006</v>
      </c>
      <c r="C451" s="47">
        <v>60.89</v>
      </c>
      <c r="D451" s="47">
        <v>64</v>
      </c>
      <c r="E451" s="47">
        <v>23117055</v>
      </c>
      <c r="F451" s="47" t="s">
        <v>367</v>
      </c>
      <c r="G451" s="46">
        <f t="shared" si="4"/>
        <v>-3.1562500000000049E-2</v>
      </c>
    </row>
    <row r="452" spans="1:7">
      <c r="A452" s="47">
        <v>65.31</v>
      </c>
      <c r="B452" s="47">
        <v>67.3</v>
      </c>
      <c r="C452" s="47">
        <v>65.02</v>
      </c>
      <c r="D452" s="47">
        <v>65.78</v>
      </c>
      <c r="E452" s="47">
        <v>19086364</v>
      </c>
      <c r="F452" s="47" t="s">
        <v>366</v>
      </c>
      <c r="G452" s="46">
        <f t="shared" si="4"/>
        <v>-7.1450288841593546E-3</v>
      </c>
    </row>
    <row r="453" spans="1:7">
      <c r="A453" s="47">
        <v>65.78</v>
      </c>
      <c r="B453" s="47">
        <v>66.989999999999995</v>
      </c>
      <c r="C453" s="47">
        <v>64.17</v>
      </c>
      <c r="D453" s="47">
        <v>65</v>
      </c>
      <c r="E453" s="47">
        <v>25825919</v>
      </c>
      <c r="F453" s="47" t="s">
        <v>365</v>
      </c>
      <c r="G453" s="46">
        <f t="shared" si="4"/>
        <v>1.2000000000000011E-2</v>
      </c>
    </row>
    <row r="454" spans="1:7">
      <c r="A454" s="47">
        <v>64</v>
      </c>
      <c r="B454" s="47">
        <v>65.06</v>
      </c>
      <c r="C454" s="47">
        <v>62.43</v>
      </c>
      <c r="D454" s="47">
        <v>62.774999999999999</v>
      </c>
      <c r="E454" s="47">
        <v>44232794</v>
      </c>
      <c r="F454" s="47" t="s">
        <v>364</v>
      </c>
      <c r="G454" s="46">
        <f t="shared" si="4"/>
        <v>1.9514137793707809E-2</v>
      </c>
    </row>
    <row r="455" spans="1:7">
      <c r="A455" s="47">
        <v>58.94</v>
      </c>
      <c r="B455" s="47">
        <v>59.1</v>
      </c>
      <c r="C455" s="47">
        <v>58.07</v>
      </c>
      <c r="D455" s="47">
        <v>58.5</v>
      </c>
      <c r="E455" s="47">
        <v>12346842</v>
      </c>
      <c r="F455" s="47" t="s">
        <v>363</v>
      </c>
      <c r="G455" s="46">
        <f t="shared" si="4"/>
        <v>7.5213675213674502E-3</v>
      </c>
    </row>
    <row r="456" spans="1:7">
      <c r="A456" s="47">
        <v>58.29</v>
      </c>
      <c r="B456" s="47">
        <v>58.31</v>
      </c>
      <c r="C456" s="47">
        <v>56.97</v>
      </c>
      <c r="D456" s="47">
        <v>57.6</v>
      </c>
      <c r="E456" s="47">
        <v>11323434</v>
      </c>
      <c r="F456" s="47" t="s">
        <v>362</v>
      </c>
      <c r="G456" s="46">
        <f t="shared" si="4"/>
        <v>1.1979166666666652E-2</v>
      </c>
    </row>
    <row r="457" spans="1:7">
      <c r="A457" s="47">
        <v>57.22</v>
      </c>
      <c r="B457" s="47">
        <v>58.65</v>
      </c>
      <c r="C457" s="47">
        <v>57.2</v>
      </c>
      <c r="D457" s="47">
        <v>58.16</v>
      </c>
      <c r="E457" s="47">
        <v>12515747</v>
      </c>
      <c r="F457" s="47" t="s">
        <v>361</v>
      </c>
      <c r="G457" s="46">
        <f t="shared" si="4"/>
        <v>-1.6162310866574936E-2</v>
      </c>
    </row>
    <row r="458" spans="1:7">
      <c r="A458" s="47">
        <v>58.07</v>
      </c>
      <c r="B458" s="47">
        <v>59.66</v>
      </c>
      <c r="C458" s="47">
        <v>57.98</v>
      </c>
      <c r="D458" s="47">
        <v>59.55</v>
      </c>
      <c r="E458" s="47">
        <v>11801729</v>
      </c>
      <c r="F458" s="47" t="s">
        <v>360</v>
      </c>
      <c r="G458" s="46">
        <f t="shared" si="4"/>
        <v>-2.4853064651553236E-2</v>
      </c>
    </row>
    <row r="459" spans="1:7">
      <c r="A459" s="47">
        <v>59.71</v>
      </c>
      <c r="B459" s="47">
        <v>60.95</v>
      </c>
      <c r="C459" s="47">
        <v>59.69</v>
      </c>
      <c r="D459" s="47">
        <v>60.72</v>
      </c>
      <c r="E459" s="47">
        <v>7572010</v>
      </c>
      <c r="F459" s="47" t="s">
        <v>359</v>
      </c>
      <c r="G459" s="46">
        <f t="shared" si="4"/>
        <v>-1.6633728590250252E-2</v>
      </c>
    </row>
    <row r="460" spans="1:7">
      <c r="A460" s="47">
        <v>60.77</v>
      </c>
      <c r="B460" s="47">
        <v>60.79</v>
      </c>
      <c r="C460" s="47">
        <v>59.52</v>
      </c>
      <c r="D460" s="47">
        <v>59.9</v>
      </c>
      <c r="E460" s="47">
        <v>7489501</v>
      </c>
      <c r="F460" s="47" t="s">
        <v>358</v>
      </c>
      <c r="G460" s="46">
        <f t="shared" si="4"/>
        <v>1.4524207011686219E-2</v>
      </c>
    </row>
    <row r="461" spans="1:7">
      <c r="A461" s="47">
        <v>59.33</v>
      </c>
      <c r="B461" s="47">
        <v>59.83</v>
      </c>
      <c r="C461" s="47">
        <v>58.75</v>
      </c>
      <c r="D461" s="47">
        <v>59.81</v>
      </c>
      <c r="E461" s="47">
        <v>9352934</v>
      </c>
      <c r="F461" s="47" t="s">
        <v>357</v>
      </c>
      <c r="G461" s="46">
        <f t="shared" si="4"/>
        <v>-8.0254138103996731E-3</v>
      </c>
    </row>
    <row r="462" spans="1:7">
      <c r="A462" s="47">
        <v>60</v>
      </c>
      <c r="B462" s="47">
        <v>61.33</v>
      </c>
      <c r="C462" s="47">
        <v>59.94</v>
      </c>
      <c r="D462" s="47">
        <v>60.55</v>
      </c>
      <c r="E462" s="47">
        <v>9102024</v>
      </c>
      <c r="F462" s="47" t="s">
        <v>356</v>
      </c>
      <c r="G462" s="46">
        <f t="shared" si="4"/>
        <v>-9.0834021469858861E-3</v>
      </c>
    </row>
    <row r="463" spans="1:7">
      <c r="A463" s="47">
        <v>61.24</v>
      </c>
      <c r="B463" s="47">
        <v>61.84</v>
      </c>
      <c r="C463" s="47">
        <v>60.655000000000001</v>
      </c>
      <c r="D463" s="47">
        <v>61.11</v>
      </c>
      <c r="E463" s="47">
        <v>8322110</v>
      </c>
      <c r="F463" s="47" t="s">
        <v>355</v>
      </c>
      <c r="G463" s="46">
        <f t="shared" si="4"/>
        <v>2.1273114056619136E-3</v>
      </c>
    </row>
    <row r="464" spans="1:7">
      <c r="A464" s="47">
        <v>61.81</v>
      </c>
      <c r="B464" s="47">
        <v>62.02</v>
      </c>
      <c r="C464" s="47">
        <v>60.68</v>
      </c>
      <c r="D464" s="47">
        <v>60.8</v>
      </c>
      <c r="E464" s="47">
        <v>9198845</v>
      </c>
      <c r="F464" s="47" t="s">
        <v>354</v>
      </c>
      <c r="G464" s="46">
        <f t="shared" si="4"/>
        <v>1.661184210526323E-2</v>
      </c>
    </row>
    <row r="465" spans="1:7">
      <c r="A465" s="47">
        <v>60.47</v>
      </c>
      <c r="B465" s="47">
        <v>61.02</v>
      </c>
      <c r="C465" s="47">
        <v>59.82</v>
      </c>
      <c r="D465" s="47">
        <v>60.25</v>
      </c>
      <c r="E465" s="47">
        <v>9442989</v>
      </c>
      <c r="F465" s="47" t="s">
        <v>353</v>
      </c>
      <c r="G465" s="46">
        <f t="shared" si="4"/>
        <v>3.6514522821575746E-3</v>
      </c>
    </row>
    <row r="466" spans="1:7">
      <c r="A466" s="47">
        <v>60.27</v>
      </c>
      <c r="B466" s="47">
        <v>60.52</v>
      </c>
      <c r="C466" s="47">
        <v>59.78</v>
      </c>
      <c r="D466" s="47">
        <v>60.39</v>
      </c>
      <c r="E466" s="47">
        <v>8166185</v>
      </c>
      <c r="F466" s="47" t="s">
        <v>352</v>
      </c>
      <c r="G466" s="46">
        <f t="shared" si="4"/>
        <v>-1.9870839542970309E-3</v>
      </c>
    </row>
    <row r="467" spans="1:7">
      <c r="A467" s="47">
        <v>59.99</v>
      </c>
      <c r="B467" s="47">
        <v>60.93</v>
      </c>
      <c r="C467" s="47">
        <v>59.43</v>
      </c>
      <c r="D467" s="47">
        <v>59.55</v>
      </c>
      <c r="E467" s="47">
        <v>13081969</v>
      </c>
      <c r="F467" s="47" t="s">
        <v>351</v>
      </c>
      <c r="G467" s="46">
        <f t="shared" si="4"/>
        <v>7.3887489504618209E-3</v>
      </c>
    </row>
    <row r="468" spans="1:7">
      <c r="A468" s="47">
        <v>58.9</v>
      </c>
      <c r="B468" s="47">
        <v>59.31</v>
      </c>
      <c r="C468" s="47">
        <v>58.2</v>
      </c>
      <c r="D468" s="47">
        <v>59.09</v>
      </c>
      <c r="E468" s="47">
        <v>7697110</v>
      </c>
      <c r="F468" s="47" t="s">
        <v>350</v>
      </c>
      <c r="G468" s="46">
        <f t="shared" si="4"/>
        <v>-3.2154340836013651E-3</v>
      </c>
    </row>
    <row r="469" spans="1:7">
      <c r="A469" s="47">
        <v>59</v>
      </c>
      <c r="B469" s="47">
        <v>59.7</v>
      </c>
      <c r="C469" s="47">
        <v>58.42</v>
      </c>
      <c r="D469" s="47">
        <v>58.9</v>
      </c>
      <c r="E469" s="47">
        <v>8477370</v>
      </c>
      <c r="F469" s="47" t="s">
        <v>349</v>
      </c>
      <c r="G469" s="46">
        <f t="shared" si="4"/>
        <v>1.6977928692700761E-3</v>
      </c>
    </row>
    <row r="470" spans="1:7">
      <c r="A470" s="47">
        <v>59.09</v>
      </c>
      <c r="B470" s="47">
        <v>60.029899999999998</v>
      </c>
      <c r="C470" s="47">
        <v>58.63</v>
      </c>
      <c r="D470" s="47">
        <v>59.72</v>
      </c>
      <c r="E470" s="47">
        <v>10320364</v>
      </c>
      <c r="F470" s="47" t="s">
        <v>348</v>
      </c>
      <c r="G470" s="46">
        <f t="shared" si="4"/>
        <v>-1.0549229738780919E-2</v>
      </c>
    </row>
    <row r="471" spans="1:7">
      <c r="A471" s="47">
        <v>59.76</v>
      </c>
      <c r="B471" s="47">
        <v>60.16</v>
      </c>
      <c r="C471" s="47">
        <v>58.83</v>
      </c>
      <c r="D471" s="47">
        <v>59.38</v>
      </c>
      <c r="E471" s="47">
        <v>12243845</v>
      </c>
      <c r="F471" s="47" t="s">
        <v>347</v>
      </c>
      <c r="G471" s="46">
        <f t="shared" si="4"/>
        <v>6.3994610980127042E-3</v>
      </c>
    </row>
    <row r="472" spans="1:7">
      <c r="A472" s="47">
        <v>59.64</v>
      </c>
      <c r="B472" s="47">
        <v>60.01</v>
      </c>
      <c r="C472" s="47">
        <v>58.895000000000003</v>
      </c>
      <c r="D472" s="47">
        <v>59.03</v>
      </c>
      <c r="E472" s="47">
        <v>6908317</v>
      </c>
      <c r="F472" s="47" t="s">
        <v>346</v>
      </c>
      <c r="G472" s="46">
        <f t="shared" si="4"/>
        <v>1.0333728612569759E-2</v>
      </c>
    </row>
    <row r="473" spans="1:7">
      <c r="A473" s="47">
        <v>58.97</v>
      </c>
      <c r="B473" s="47">
        <v>59.27</v>
      </c>
      <c r="C473" s="47">
        <v>58.32</v>
      </c>
      <c r="D473" s="47">
        <v>58.78</v>
      </c>
      <c r="E473" s="47">
        <v>13231566</v>
      </c>
      <c r="F473" s="47" t="s">
        <v>345</v>
      </c>
      <c r="G473" s="46">
        <f t="shared" si="4"/>
        <v>3.2323919700578685E-3</v>
      </c>
    </row>
    <row r="474" spans="1:7">
      <c r="A474" s="47">
        <v>57.81</v>
      </c>
      <c r="B474" s="47">
        <v>58.365000000000002</v>
      </c>
      <c r="C474" s="47">
        <v>57.03</v>
      </c>
      <c r="D474" s="47">
        <v>58.36</v>
      </c>
      <c r="E474" s="47">
        <v>12237467</v>
      </c>
      <c r="F474" s="47" t="s">
        <v>344</v>
      </c>
      <c r="G474" s="46">
        <f t="shared" si="4"/>
        <v>-9.4242631939683852E-3</v>
      </c>
    </row>
    <row r="475" spans="1:7">
      <c r="A475" s="47">
        <v>58.03</v>
      </c>
      <c r="B475" s="47">
        <v>58.76</v>
      </c>
      <c r="C475" s="47">
        <v>57.9</v>
      </c>
      <c r="D475" s="47">
        <v>58.32</v>
      </c>
      <c r="E475" s="47">
        <v>28102011</v>
      </c>
      <c r="F475" s="47" t="s">
        <v>343</v>
      </c>
      <c r="G475" s="46">
        <f t="shared" si="4"/>
        <v>-4.9725651577503527E-3</v>
      </c>
    </row>
    <row r="476" spans="1:7">
      <c r="A476" s="47">
        <v>58.37</v>
      </c>
      <c r="B476" s="47">
        <v>58.49</v>
      </c>
      <c r="C476" s="47">
        <v>57.21</v>
      </c>
      <c r="D476" s="47">
        <v>58.48</v>
      </c>
      <c r="E476" s="47">
        <v>11648923</v>
      </c>
      <c r="F476" s="47" t="s">
        <v>342</v>
      </c>
      <c r="G476" s="46">
        <f t="shared" si="4"/>
        <v>-1.8809849521204125E-3</v>
      </c>
    </row>
    <row r="477" spans="1:7">
      <c r="A477" s="47">
        <v>58.26</v>
      </c>
      <c r="B477" s="47">
        <v>59.75</v>
      </c>
      <c r="C477" s="47">
        <v>58.03</v>
      </c>
      <c r="D477" s="47">
        <v>59.74</v>
      </c>
      <c r="E477" s="47">
        <v>12599367</v>
      </c>
      <c r="F477" s="47" t="s">
        <v>341</v>
      </c>
      <c r="G477" s="46">
        <f t="shared" si="4"/>
        <v>-2.4774020756612058E-2</v>
      </c>
    </row>
    <row r="478" spans="1:7">
      <c r="A478" s="47">
        <v>59.33</v>
      </c>
      <c r="B478" s="47">
        <v>59.57</v>
      </c>
      <c r="C478" s="47">
        <v>58.97</v>
      </c>
      <c r="D478" s="47">
        <v>59.57</v>
      </c>
      <c r="E478" s="47">
        <v>9359170</v>
      </c>
      <c r="F478" s="47" t="s">
        <v>340</v>
      </c>
      <c r="G478" s="46">
        <f t="shared" si="4"/>
        <v>-4.028873594090987E-3</v>
      </c>
    </row>
    <row r="479" spans="1:7">
      <c r="A479" s="47">
        <v>59.49</v>
      </c>
      <c r="B479" s="47">
        <v>60.56</v>
      </c>
      <c r="C479" s="47">
        <v>59.46</v>
      </c>
      <c r="D479" s="47">
        <v>60</v>
      </c>
      <c r="E479" s="47">
        <v>10464729</v>
      </c>
      <c r="F479" s="47" t="s">
        <v>339</v>
      </c>
      <c r="G479" s="46">
        <f t="shared" si="4"/>
        <v>-8.499999999999952E-3</v>
      </c>
    </row>
    <row r="480" spans="1:7">
      <c r="A480" s="47">
        <v>60.61</v>
      </c>
      <c r="B480" s="47">
        <v>60.76</v>
      </c>
      <c r="C480" s="47">
        <v>59.67</v>
      </c>
      <c r="D480" s="47">
        <v>59.92</v>
      </c>
      <c r="E480" s="47">
        <v>18888289</v>
      </c>
      <c r="F480" s="47" t="s">
        <v>338</v>
      </c>
      <c r="G480" s="46">
        <f t="shared" si="4"/>
        <v>1.1515353805073403E-2</v>
      </c>
    </row>
    <row r="481" spans="1:7">
      <c r="A481" s="47">
        <v>59.8</v>
      </c>
      <c r="B481" s="47">
        <v>60</v>
      </c>
      <c r="C481" s="47">
        <v>58.79</v>
      </c>
      <c r="D481" s="47">
        <v>59.25</v>
      </c>
      <c r="E481" s="47">
        <v>12928493</v>
      </c>
      <c r="F481" s="47" t="s">
        <v>337</v>
      </c>
      <c r="G481" s="46">
        <f t="shared" si="4"/>
        <v>9.2827004219409037E-3</v>
      </c>
    </row>
    <row r="482" spans="1:7">
      <c r="A482" s="47">
        <v>59.12</v>
      </c>
      <c r="B482" s="47">
        <v>60.11</v>
      </c>
      <c r="C482" s="47">
        <v>59.03</v>
      </c>
      <c r="D482" s="47">
        <v>59.92</v>
      </c>
      <c r="E482" s="47">
        <v>13500311</v>
      </c>
      <c r="F482" s="47" t="s">
        <v>336</v>
      </c>
      <c r="G482" s="46">
        <f t="shared" si="4"/>
        <v>-1.3351134846461998E-2</v>
      </c>
    </row>
    <row r="483" spans="1:7">
      <c r="A483" s="47">
        <v>60.13</v>
      </c>
      <c r="B483" s="47">
        <v>60.64</v>
      </c>
      <c r="C483" s="47">
        <v>59.480499999999999</v>
      </c>
      <c r="D483" s="47">
        <v>60.37</v>
      </c>
      <c r="E483" s="47">
        <v>13558487</v>
      </c>
      <c r="F483" s="47" t="s">
        <v>335</v>
      </c>
      <c r="G483" s="46">
        <f t="shared" si="4"/>
        <v>-3.9754845121748872E-3</v>
      </c>
    </row>
    <row r="484" spans="1:7">
      <c r="A484" s="47">
        <v>60.634999999999998</v>
      </c>
      <c r="B484" s="47">
        <v>61.64</v>
      </c>
      <c r="C484" s="47">
        <v>60.31</v>
      </c>
      <c r="D484" s="47">
        <v>61.29</v>
      </c>
      <c r="E484" s="47">
        <v>10366037</v>
      </c>
      <c r="F484" s="47" t="s">
        <v>334</v>
      </c>
      <c r="G484" s="46">
        <f t="shared" si="4"/>
        <v>-1.0686898352096574E-2</v>
      </c>
    </row>
    <row r="485" spans="1:7">
      <c r="A485" s="47">
        <v>61.54</v>
      </c>
      <c r="B485" s="47">
        <v>63.625</v>
      </c>
      <c r="C485" s="47">
        <v>61.52</v>
      </c>
      <c r="D485" s="47">
        <v>63.12</v>
      </c>
      <c r="E485" s="47">
        <v>11985383</v>
      </c>
      <c r="F485" s="47" t="s">
        <v>333</v>
      </c>
      <c r="G485" s="46">
        <f t="shared" si="4"/>
        <v>-2.5031685678073456E-2</v>
      </c>
    </row>
    <row r="486" spans="1:7">
      <c r="A486" s="47">
        <v>63.43</v>
      </c>
      <c r="B486" s="47">
        <v>65.86</v>
      </c>
      <c r="C486" s="47">
        <v>62.9</v>
      </c>
      <c r="D486" s="47">
        <v>65.459999999999994</v>
      </c>
      <c r="E486" s="47">
        <v>14137513</v>
      </c>
      <c r="F486" s="47" t="s">
        <v>332</v>
      </c>
      <c r="G486" s="46">
        <f t="shared" si="4"/>
        <v>-3.101130461350432E-2</v>
      </c>
    </row>
    <row r="487" spans="1:7">
      <c r="A487" s="47">
        <v>64.77</v>
      </c>
      <c r="B487" s="47">
        <v>67.150000000000006</v>
      </c>
      <c r="C487" s="47">
        <v>64.405000000000001</v>
      </c>
      <c r="D487" s="47">
        <v>67.13</v>
      </c>
      <c r="E487" s="47">
        <v>15108667</v>
      </c>
      <c r="F487" s="47" t="s">
        <v>331</v>
      </c>
      <c r="G487" s="46">
        <f t="shared" si="4"/>
        <v>-3.5155668106658711E-2</v>
      </c>
    </row>
    <row r="488" spans="1:7">
      <c r="A488" s="47">
        <v>67.09</v>
      </c>
      <c r="B488" s="47">
        <v>67.489999999999995</v>
      </c>
      <c r="C488" s="47">
        <v>65.8</v>
      </c>
      <c r="D488" s="47">
        <v>66.97</v>
      </c>
      <c r="E488" s="47">
        <v>11978817</v>
      </c>
      <c r="F488" s="47" t="s">
        <v>330</v>
      </c>
      <c r="G488" s="46">
        <f t="shared" si="4"/>
        <v>1.7918470957145605E-3</v>
      </c>
    </row>
    <row r="489" spans="1:7">
      <c r="A489" s="47">
        <v>67.3</v>
      </c>
      <c r="B489" s="47">
        <v>68.298500000000004</v>
      </c>
      <c r="C489" s="47">
        <v>66.2</v>
      </c>
      <c r="D489" s="47">
        <v>66.5</v>
      </c>
      <c r="E489" s="47">
        <v>13194960</v>
      </c>
      <c r="F489" s="47" t="s">
        <v>329</v>
      </c>
      <c r="G489" s="46">
        <f t="shared" si="4"/>
        <v>1.2030075187969835E-2</v>
      </c>
    </row>
    <row r="490" spans="1:7">
      <c r="A490" s="47">
        <v>67.02</v>
      </c>
      <c r="B490" s="47">
        <v>67.819999999999993</v>
      </c>
      <c r="C490" s="47">
        <v>64.17</v>
      </c>
      <c r="D490" s="47">
        <v>64.284999999999997</v>
      </c>
      <c r="E490" s="47">
        <v>22068792</v>
      </c>
      <c r="F490" s="47" t="s">
        <v>328</v>
      </c>
      <c r="G490" s="46">
        <f t="shared" si="4"/>
        <v>4.2544917165746376E-2</v>
      </c>
    </row>
    <row r="491" spans="1:7">
      <c r="A491" s="47">
        <v>63.53</v>
      </c>
      <c r="B491" s="47">
        <v>63.81</v>
      </c>
      <c r="C491" s="47">
        <v>62.85</v>
      </c>
      <c r="D491" s="47">
        <v>63.76</v>
      </c>
      <c r="E491" s="47">
        <v>8846106</v>
      </c>
      <c r="F491" s="47" t="s">
        <v>327</v>
      </c>
      <c r="G491" s="46">
        <f t="shared" si="4"/>
        <v>-3.6072772898367855E-3</v>
      </c>
    </row>
    <row r="492" spans="1:7">
      <c r="A492" s="47">
        <v>63.33</v>
      </c>
      <c r="B492" s="47">
        <v>64.13</v>
      </c>
      <c r="C492" s="47">
        <v>63.03</v>
      </c>
      <c r="D492" s="47">
        <v>63.14</v>
      </c>
      <c r="E492" s="47">
        <v>9046058</v>
      </c>
      <c r="F492" s="47" t="s">
        <v>326</v>
      </c>
      <c r="G492" s="46">
        <f t="shared" si="4"/>
        <v>3.0091859360150686E-3</v>
      </c>
    </row>
    <row r="493" spans="1:7">
      <c r="A493" s="47">
        <v>63.46</v>
      </c>
      <c r="B493" s="47">
        <v>63.52</v>
      </c>
      <c r="C493" s="47">
        <v>62.58</v>
      </c>
      <c r="D493" s="47">
        <v>63.04</v>
      </c>
      <c r="E493" s="47">
        <v>9039816</v>
      </c>
      <c r="F493" s="47" t="s">
        <v>325</v>
      </c>
      <c r="G493" s="46">
        <f t="shared" si="4"/>
        <v>6.6624365482232939E-3</v>
      </c>
    </row>
    <row r="494" spans="1:7">
      <c r="A494" s="47">
        <v>62.99</v>
      </c>
      <c r="B494" s="47">
        <v>63.56</v>
      </c>
      <c r="C494" s="47">
        <v>61.77</v>
      </c>
      <c r="D494" s="47">
        <v>62.73</v>
      </c>
      <c r="E494" s="47">
        <v>14269038</v>
      </c>
      <c r="F494" s="47" t="s">
        <v>324</v>
      </c>
      <c r="G494" s="46">
        <f t="shared" si="4"/>
        <v>4.1447473298263926E-3</v>
      </c>
    </row>
    <row r="495" spans="1:7">
      <c r="A495" s="47">
        <v>62.51</v>
      </c>
      <c r="B495" s="47">
        <v>63.34</v>
      </c>
      <c r="C495" s="47">
        <v>62.13</v>
      </c>
      <c r="D495" s="47">
        <v>62.77</v>
      </c>
      <c r="E495" s="47">
        <v>11874710</v>
      </c>
      <c r="F495" s="47" t="s">
        <v>323</v>
      </c>
      <c r="G495" s="46">
        <f t="shared" si="4"/>
        <v>-4.1421061016410077E-3</v>
      </c>
    </row>
    <row r="496" spans="1:7">
      <c r="A496" s="47">
        <v>61.05</v>
      </c>
      <c r="B496" s="47">
        <v>61.59</v>
      </c>
      <c r="C496" s="47">
        <v>60.85</v>
      </c>
      <c r="D496" s="47">
        <v>61.23</v>
      </c>
      <c r="E496" s="47">
        <v>8142812</v>
      </c>
      <c r="F496" s="47" t="s">
        <v>322</v>
      </c>
      <c r="G496" s="46">
        <f t="shared" si="4"/>
        <v>-2.9397354238118734E-3</v>
      </c>
    </row>
    <row r="497" spans="1:7">
      <c r="A497" s="47">
        <v>62.17</v>
      </c>
      <c r="B497" s="47">
        <v>62.87</v>
      </c>
      <c r="C497" s="47">
        <v>61.75</v>
      </c>
      <c r="D497" s="47">
        <v>62.3</v>
      </c>
      <c r="E497" s="47">
        <v>11159562</v>
      </c>
      <c r="F497" s="47" t="s">
        <v>321</v>
      </c>
      <c r="G497" s="46">
        <f t="shared" si="4"/>
        <v>-2.0866773675761729E-3</v>
      </c>
    </row>
    <row r="498" spans="1:7">
      <c r="A498" s="47">
        <v>61.64</v>
      </c>
      <c r="B498" s="47">
        <v>62.06</v>
      </c>
      <c r="C498" s="47">
        <v>61.27</v>
      </c>
      <c r="D498" s="47">
        <v>61.95</v>
      </c>
      <c r="E498" s="47">
        <v>8176776</v>
      </c>
      <c r="F498" s="47" t="s">
        <v>320</v>
      </c>
      <c r="G498" s="46">
        <f t="shared" si="4"/>
        <v>-5.0040355125101632E-3</v>
      </c>
    </row>
    <row r="499" spans="1:7">
      <c r="A499" s="47">
        <v>61.58</v>
      </c>
      <c r="B499" s="47">
        <v>62.685000000000002</v>
      </c>
      <c r="C499" s="47">
        <v>61.220100000000002</v>
      </c>
      <c r="D499" s="47">
        <v>62.54</v>
      </c>
      <c r="E499" s="47">
        <v>10533414</v>
      </c>
      <c r="F499" s="47" t="s">
        <v>319</v>
      </c>
      <c r="G499" s="46">
        <f t="shared" si="4"/>
        <v>-1.5350175887432038E-2</v>
      </c>
    </row>
    <row r="500" spans="1:7">
      <c r="A500" s="47">
        <v>62.19</v>
      </c>
      <c r="B500" s="47">
        <v>63.91</v>
      </c>
      <c r="C500" s="47">
        <v>61.844999999999999</v>
      </c>
      <c r="D500" s="47">
        <v>63.79</v>
      </c>
      <c r="E500" s="47">
        <v>14532237</v>
      </c>
      <c r="F500" s="47" t="s">
        <v>318</v>
      </c>
      <c r="G500" s="46">
        <f t="shared" si="4"/>
        <v>-2.5082301301144416E-2</v>
      </c>
    </row>
    <row r="501" spans="1:7">
      <c r="A501" s="47">
        <v>64.099999999999994</v>
      </c>
      <c r="B501" s="47">
        <v>64.69</v>
      </c>
      <c r="C501" s="47">
        <v>63.7</v>
      </c>
      <c r="D501" s="47">
        <v>64.39</v>
      </c>
      <c r="E501" s="47">
        <v>6576018</v>
      </c>
      <c r="F501" s="47" t="s">
        <v>317</v>
      </c>
      <c r="G501" s="46">
        <f t="shared" si="4"/>
        <v>-4.5038049386552093E-3</v>
      </c>
    </row>
    <row r="502" spans="1:7">
      <c r="A502" s="47">
        <v>64.77</v>
      </c>
      <c r="B502" s="47">
        <v>65.034999999999997</v>
      </c>
      <c r="C502" s="47">
        <v>63.77</v>
      </c>
      <c r="D502" s="47">
        <v>64.528000000000006</v>
      </c>
      <c r="E502" s="47">
        <v>6429049</v>
      </c>
      <c r="F502" s="47" t="s">
        <v>316</v>
      </c>
      <c r="G502" s="46">
        <f t="shared" si="4"/>
        <v>3.7503099429703202E-3</v>
      </c>
    </row>
    <row r="503" spans="1:7">
      <c r="A503" s="47">
        <v>64.48</v>
      </c>
      <c r="B503" s="47">
        <v>64.709999999999994</v>
      </c>
      <c r="C503" s="47">
        <v>63.844999999999999</v>
      </c>
      <c r="D503" s="47">
        <v>64.08</v>
      </c>
      <c r="E503" s="47">
        <v>8204812</v>
      </c>
      <c r="F503" s="47" t="s">
        <v>315</v>
      </c>
      <c r="G503" s="46">
        <f t="shared" si="4"/>
        <v>6.2421972534332237E-3</v>
      </c>
    </row>
    <row r="504" spans="1:7">
      <c r="A504" s="47">
        <v>64.099999999999994</v>
      </c>
      <c r="B504" s="47">
        <v>64.430000000000007</v>
      </c>
      <c r="C504" s="47">
        <v>63.420099999999998</v>
      </c>
      <c r="D504" s="47">
        <v>63.59</v>
      </c>
      <c r="E504" s="47">
        <v>8113565</v>
      </c>
      <c r="F504" s="47" t="s">
        <v>314</v>
      </c>
      <c r="G504" s="46">
        <f t="shared" si="4"/>
        <v>8.0201289510928309E-3</v>
      </c>
    </row>
    <row r="505" spans="1:7">
      <c r="A505" s="47">
        <v>63.9</v>
      </c>
      <c r="B505" s="47">
        <v>65.53</v>
      </c>
      <c r="C505" s="47">
        <v>63.48</v>
      </c>
      <c r="D505" s="47">
        <v>65.11</v>
      </c>
      <c r="E505" s="47">
        <v>10972601</v>
      </c>
      <c r="F505" s="47" t="s">
        <v>313</v>
      </c>
      <c r="G505" s="46">
        <f t="shared" si="4"/>
        <v>-1.8583934879434771E-2</v>
      </c>
    </row>
    <row r="506" spans="1:7">
      <c r="A506" s="47">
        <v>64.58</v>
      </c>
      <c r="B506" s="47">
        <v>64.86</v>
      </c>
      <c r="C506" s="47">
        <v>64.27</v>
      </c>
      <c r="D506" s="47">
        <v>64.39</v>
      </c>
      <c r="E506" s="47">
        <v>7556453</v>
      </c>
      <c r="F506" s="47" t="s">
        <v>312</v>
      </c>
      <c r="G506" s="46">
        <f t="shared" ref="G506:G569" si="5">A506/D506-1</f>
        <v>2.950768752912003E-3</v>
      </c>
    </row>
    <row r="507" spans="1:7">
      <c r="A507" s="47">
        <v>63.95</v>
      </c>
      <c r="B507" s="47">
        <v>64.430000000000007</v>
      </c>
      <c r="C507" s="47">
        <v>63.19</v>
      </c>
      <c r="D507" s="47">
        <v>63.435000000000002</v>
      </c>
      <c r="E507" s="47">
        <v>7311644</v>
      </c>
      <c r="F507" s="47" t="s">
        <v>311</v>
      </c>
      <c r="G507" s="46">
        <f t="shared" si="5"/>
        <v>8.1185465437061399E-3</v>
      </c>
    </row>
    <row r="508" spans="1:7">
      <c r="A508" s="47">
        <v>62.93</v>
      </c>
      <c r="B508" s="47">
        <v>64.94</v>
      </c>
      <c r="C508" s="47">
        <v>62.88</v>
      </c>
      <c r="D508" s="47">
        <v>64.59</v>
      </c>
      <c r="E508" s="47">
        <v>8745768</v>
      </c>
      <c r="F508" s="47" t="s">
        <v>310</v>
      </c>
      <c r="G508" s="46">
        <f t="shared" si="5"/>
        <v>-2.570057284409355E-2</v>
      </c>
    </row>
    <row r="509" spans="1:7">
      <c r="A509" s="47">
        <v>64.45</v>
      </c>
      <c r="B509" s="47">
        <v>64.47</v>
      </c>
      <c r="C509" s="47">
        <v>63.41</v>
      </c>
      <c r="D509" s="47">
        <v>63.87</v>
      </c>
      <c r="E509" s="47">
        <v>8368668</v>
      </c>
      <c r="F509" s="47" t="s">
        <v>309</v>
      </c>
      <c r="G509" s="46">
        <f t="shared" si="5"/>
        <v>9.0809456708940139E-3</v>
      </c>
    </row>
    <row r="510" spans="1:7">
      <c r="A510" s="47">
        <v>63.81</v>
      </c>
      <c r="B510" s="47">
        <v>65.7</v>
      </c>
      <c r="C510" s="47">
        <v>63.77</v>
      </c>
      <c r="D510" s="47">
        <v>65.459999999999994</v>
      </c>
      <c r="E510" s="47">
        <v>11183819</v>
      </c>
      <c r="F510" s="47" t="s">
        <v>308</v>
      </c>
      <c r="G510" s="46">
        <f t="shared" si="5"/>
        <v>-2.5206232813932083E-2</v>
      </c>
    </row>
    <row r="511" spans="1:7">
      <c r="A511" s="47">
        <v>65.92</v>
      </c>
      <c r="B511" s="47">
        <v>66.77</v>
      </c>
      <c r="C511" s="47">
        <v>65.77</v>
      </c>
      <c r="D511" s="47">
        <v>66.08</v>
      </c>
      <c r="E511" s="47">
        <v>9232204</v>
      </c>
      <c r="F511" s="47" t="s">
        <v>307</v>
      </c>
      <c r="G511" s="46">
        <f t="shared" si="5"/>
        <v>-2.421307506053183E-3</v>
      </c>
    </row>
    <row r="512" spans="1:7">
      <c r="A512" s="47">
        <v>65.61</v>
      </c>
      <c r="B512" s="47">
        <v>66.099999999999994</v>
      </c>
      <c r="C512" s="47">
        <v>64.95</v>
      </c>
      <c r="D512" s="47">
        <v>66</v>
      </c>
      <c r="E512" s="47">
        <v>11257563</v>
      </c>
      <c r="F512" s="47" t="s">
        <v>306</v>
      </c>
      <c r="G512" s="46">
        <f t="shared" si="5"/>
        <v>-5.9090909090908639E-3</v>
      </c>
    </row>
    <row r="513" spans="1:7">
      <c r="A513" s="47">
        <v>65.7</v>
      </c>
      <c r="B513" s="47">
        <v>67.89</v>
      </c>
      <c r="C513" s="47">
        <v>64.72</v>
      </c>
      <c r="D513" s="47">
        <v>67.64</v>
      </c>
      <c r="E513" s="47">
        <v>15435157</v>
      </c>
      <c r="F513" s="47" t="s">
        <v>305</v>
      </c>
      <c r="G513" s="46">
        <f t="shared" si="5"/>
        <v>-2.8681253696037801E-2</v>
      </c>
    </row>
    <row r="514" spans="1:7">
      <c r="A514" s="47">
        <v>66.98</v>
      </c>
      <c r="B514" s="47">
        <v>67.44</v>
      </c>
      <c r="C514" s="47">
        <v>65.83</v>
      </c>
      <c r="D514" s="47">
        <v>66.7</v>
      </c>
      <c r="E514" s="47">
        <v>14480564</v>
      </c>
      <c r="F514" s="47" t="s">
        <v>304</v>
      </c>
      <c r="G514" s="46">
        <f t="shared" si="5"/>
        <v>4.1979010494752611E-3</v>
      </c>
    </row>
    <row r="515" spans="1:7">
      <c r="A515" s="47">
        <v>66.14</v>
      </c>
      <c r="B515" s="47">
        <v>67.8</v>
      </c>
      <c r="C515" s="47">
        <v>65.489999999999995</v>
      </c>
      <c r="D515" s="47">
        <v>67</v>
      </c>
      <c r="E515" s="47">
        <v>17966526</v>
      </c>
      <c r="F515" s="47" t="s">
        <v>303</v>
      </c>
      <c r="G515" s="46">
        <f t="shared" si="5"/>
        <v>-1.2835820895522376E-2</v>
      </c>
    </row>
    <row r="516" spans="1:7">
      <c r="A516" s="47">
        <v>67.92</v>
      </c>
      <c r="B516" s="47">
        <v>70.661799999999999</v>
      </c>
      <c r="C516" s="47">
        <v>67.22</v>
      </c>
      <c r="D516" s="47">
        <v>70</v>
      </c>
      <c r="E516" s="47">
        <v>43903402</v>
      </c>
      <c r="F516" s="47" t="s">
        <v>302</v>
      </c>
      <c r="G516" s="46">
        <f t="shared" si="5"/>
        <v>-2.9714285714285693E-2</v>
      </c>
    </row>
    <row r="517" spans="1:7">
      <c r="A517" s="47">
        <v>66.989999999999995</v>
      </c>
      <c r="B517" s="47">
        <v>67.55</v>
      </c>
      <c r="C517" s="47">
        <v>66</v>
      </c>
      <c r="D517" s="47">
        <v>66</v>
      </c>
      <c r="E517" s="47">
        <v>19142390</v>
      </c>
      <c r="F517" s="47" t="s">
        <v>301</v>
      </c>
      <c r="G517" s="46">
        <f t="shared" si="5"/>
        <v>1.4999999999999902E-2</v>
      </c>
    </row>
    <row r="518" spans="1:7">
      <c r="A518" s="47">
        <v>65.959999999999994</v>
      </c>
      <c r="B518" s="47">
        <v>66.3</v>
      </c>
      <c r="C518" s="47">
        <v>63.75</v>
      </c>
      <c r="D518" s="47">
        <v>64.13</v>
      </c>
      <c r="E518" s="47">
        <v>14200886</v>
      </c>
      <c r="F518" s="47" t="s">
        <v>300</v>
      </c>
      <c r="G518" s="46">
        <f t="shared" si="5"/>
        <v>2.8535786683299591E-2</v>
      </c>
    </row>
    <row r="519" spans="1:7">
      <c r="A519" s="47">
        <v>64.099999999999994</v>
      </c>
      <c r="B519" s="47">
        <v>64.400499999999994</v>
      </c>
      <c r="C519" s="47">
        <v>62.95</v>
      </c>
      <c r="D519" s="47">
        <v>63.47</v>
      </c>
      <c r="E519" s="47">
        <v>11711244</v>
      </c>
      <c r="F519" s="47" t="s">
        <v>299</v>
      </c>
      <c r="G519" s="46">
        <f t="shared" si="5"/>
        <v>9.9259492673704486E-3</v>
      </c>
    </row>
    <row r="520" spans="1:7">
      <c r="A520" s="47">
        <v>64.84</v>
      </c>
      <c r="B520" s="47">
        <v>65.09</v>
      </c>
      <c r="C520" s="47">
        <v>64.02</v>
      </c>
      <c r="D520" s="47">
        <v>64.11</v>
      </c>
      <c r="E520" s="47">
        <v>8189112</v>
      </c>
      <c r="F520" s="47" t="s">
        <v>298</v>
      </c>
      <c r="G520" s="46">
        <f t="shared" si="5"/>
        <v>1.1386679145219292E-2</v>
      </c>
    </row>
    <row r="521" spans="1:7">
      <c r="A521" s="47">
        <v>64.430000000000007</v>
      </c>
      <c r="B521" s="47">
        <v>64.7</v>
      </c>
      <c r="C521" s="47">
        <v>63.2</v>
      </c>
      <c r="D521" s="47">
        <v>63.38</v>
      </c>
      <c r="E521" s="47">
        <v>9912958</v>
      </c>
      <c r="F521" s="47" t="s">
        <v>297</v>
      </c>
      <c r="G521" s="46">
        <f t="shared" si="5"/>
        <v>1.6566740296623639E-2</v>
      </c>
    </row>
    <row r="522" spans="1:7">
      <c r="A522" s="47">
        <v>63.19</v>
      </c>
      <c r="B522" s="47">
        <v>63.634999999999998</v>
      </c>
      <c r="C522" s="47">
        <v>62.48</v>
      </c>
      <c r="D522" s="47">
        <v>63.04</v>
      </c>
      <c r="E522" s="47">
        <v>9958232</v>
      </c>
      <c r="F522" s="47" t="s">
        <v>296</v>
      </c>
      <c r="G522" s="46">
        <f t="shared" si="5"/>
        <v>2.3794416243654304E-3</v>
      </c>
    </row>
    <row r="523" spans="1:7">
      <c r="A523" s="47">
        <v>62.31</v>
      </c>
      <c r="B523" s="47">
        <v>62.460099999999997</v>
      </c>
      <c r="C523" s="47">
        <v>61.725000000000001</v>
      </c>
      <c r="D523" s="47">
        <v>62</v>
      </c>
      <c r="E523" s="47">
        <v>13177880</v>
      </c>
      <c r="F523" s="47" t="s">
        <v>295</v>
      </c>
      <c r="G523" s="46">
        <f t="shared" si="5"/>
        <v>5.0000000000001155E-3</v>
      </c>
    </row>
    <row r="524" spans="1:7">
      <c r="A524" s="47">
        <v>62.1</v>
      </c>
      <c r="B524" s="47">
        <v>64.03</v>
      </c>
      <c r="C524" s="47">
        <v>61.95</v>
      </c>
      <c r="D524" s="47">
        <v>63.85</v>
      </c>
      <c r="E524" s="47">
        <v>9240022</v>
      </c>
      <c r="F524" s="47" t="s">
        <v>294</v>
      </c>
      <c r="G524" s="46">
        <f t="shared" si="5"/>
        <v>-2.7407987470634332E-2</v>
      </c>
    </row>
    <row r="525" spans="1:7">
      <c r="A525" s="47">
        <v>63.26</v>
      </c>
      <c r="B525" s="47">
        <v>63.97</v>
      </c>
      <c r="C525" s="47">
        <v>62.58</v>
      </c>
      <c r="D525" s="47">
        <v>63.78</v>
      </c>
      <c r="E525" s="47">
        <v>8000869</v>
      </c>
      <c r="F525" s="47" t="s">
        <v>293</v>
      </c>
      <c r="G525" s="46">
        <f t="shared" si="5"/>
        <v>-8.153026026967769E-3</v>
      </c>
    </row>
    <row r="526" spans="1:7">
      <c r="A526" s="47">
        <v>63.43</v>
      </c>
      <c r="B526" s="47">
        <v>64.209999999999994</v>
      </c>
      <c r="C526" s="47">
        <v>62.92</v>
      </c>
      <c r="D526" s="47">
        <v>62.99</v>
      </c>
      <c r="E526" s="47">
        <v>9912670</v>
      </c>
      <c r="F526" s="47" t="s">
        <v>292</v>
      </c>
      <c r="G526" s="46">
        <f t="shared" si="5"/>
        <v>6.9852357517066199E-3</v>
      </c>
    </row>
    <row r="527" spans="1:7">
      <c r="A527" s="47">
        <v>63.51</v>
      </c>
      <c r="B527" s="47">
        <v>65.47</v>
      </c>
      <c r="C527" s="47">
        <v>63.25</v>
      </c>
      <c r="D527" s="47">
        <v>65.06</v>
      </c>
      <c r="E527" s="47">
        <v>11008660</v>
      </c>
      <c r="F527" s="47" t="s">
        <v>291</v>
      </c>
      <c r="G527" s="46">
        <f t="shared" si="5"/>
        <v>-2.382416231171236E-2</v>
      </c>
    </row>
    <row r="528" spans="1:7">
      <c r="A528" s="47">
        <v>64.59</v>
      </c>
      <c r="B528" s="47">
        <v>65.97</v>
      </c>
      <c r="C528" s="47">
        <v>64.16</v>
      </c>
      <c r="D528" s="47">
        <v>65.38</v>
      </c>
      <c r="E528" s="47">
        <v>9933991</v>
      </c>
      <c r="F528" s="47" t="s">
        <v>290</v>
      </c>
      <c r="G528" s="46">
        <f t="shared" si="5"/>
        <v>-1.2083205873355651E-2</v>
      </c>
    </row>
    <row r="529" spans="1:7">
      <c r="A529" s="47">
        <v>65.8</v>
      </c>
      <c r="B529" s="47">
        <v>66.377499999999998</v>
      </c>
      <c r="C529" s="47">
        <v>64.680000000000007</v>
      </c>
      <c r="D529" s="47">
        <v>65.844999999999999</v>
      </c>
      <c r="E529" s="47">
        <v>8785482</v>
      </c>
      <c r="F529" s="47" t="s">
        <v>289</v>
      </c>
      <c r="G529" s="46">
        <f t="shared" si="5"/>
        <v>-6.8342319082692615E-4</v>
      </c>
    </row>
    <row r="530" spans="1:7">
      <c r="A530" s="47">
        <v>65.88</v>
      </c>
      <c r="B530" s="47">
        <v>66.19</v>
      </c>
      <c r="C530" s="47">
        <v>65.05</v>
      </c>
      <c r="D530" s="47">
        <v>65.12</v>
      </c>
      <c r="E530" s="47">
        <v>8566270</v>
      </c>
      <c r="F530" s="47" t="s">
        <v>288</v>
      </c>
      <c r="G530" s="46">
        <f t="shared" si="5"/>
        <v>1.167076167076142E-2</v>
      </c>
    </row>
    <row r="531" spans="1:7">
      <c r="A531" s="47">
        <v>67</v>
      </c>
      <c r="B531" s="47">
        <v>67.260000000000005</v>
      </c>
      <c r="C531" s="47">
        <v>66.385000000000005</v>
      </c>
      <c r="D531" s="47">
        <v>66.95</v>
      </c>
      <c r="E531" s="47">
        <v>8459879</v>
      </c>
      <c r="F531" s="47" t="s">
        <v>287</v>
      </c>
      <c r="G531" s="46">
        <f t="shared" si="5"/>
        <v>7.468259895444529E-4</v>
      </c>
    </row>
    <row r="532" spans="1:7">
      <c r="A532" s="47">
        <v>66.34</v>
      </c>
      <c r="B532" s="47">
        <v>66.7</v>
      </c>
      <c r="C532" s="47">
        <v>65.33</v>
      </c>
      <c r="D532" s="47">
        <v>65.53</v>
      </c>
      <c r="E532" s="47">
        <v>8421432</v>
      </c>
      <c r="F532" s="47" t="s">
        <v>286</v>
      </c>
      <c r="G532" s="46">
        <f t="shared" si="5"/>
        <v>1.2360750801159837E-2</v>
      </c>
    </row>
    <row r="533" spans="1:7">
      <c r="A533" s="47">
        <v>65.150000000000006</v>
      </c>
      <c r="B533" s="47">
        <v>65.47</v>
      </c>
      <c r="C533" s="47">
        <v>64.06</v>
      </c>
      <c r="D533" s="47">
        <v>64.7</v>
      </c>
      <c r="E533" s="47">
        <v>8062301</v>
      </c>
      <c r="F533" s="47" t="s">
        <v>285</v>
      </c>
      <c r="G533" s="46">
        <f t="shared" si="5"/>
        <v>6.9551777434313511E-3</v>
      </c>
    </row>
    <row r="534" spans="1:7">
      <c r="A534" s="47">
        <v>64.540000000000006</v>
      </c>
      <c r="B534" s="47">
        <v>66.36</v>
      </c>
      <c r="C534" s="47">
        <v>64.34</v>
      </c>
      <c r="D534" s="47">
        <v>65.989999999999995</v>
      </c>
      <c r="E534" s="47">
        <v>9933370</v>
      </c>
      <c r="F534" s="47" t="s">
        <v>284</v>
      </c>
      <c r="G534" s="46">
        <f t="shared" si="5"/>
        <v>-2.1973026216093205E-2</v>
      </c>
    </row>
    <row r="535" spans="1:7">
      <c r="A535" s="47">
        <v>65.34</v>
      </c>
      <c r="B535" s="47">
        <v>65.454999999999998</v>
      </c>
      <c r="C535" s="47">
        <v>64.41</v>
      </c>
      <c r="D535" s="47">
        <v>64.48</v>
      </c>
      <c r="E535" s="47">
        <v>7176112</v>
      </c>
      <c r="F535" s="47" t="s">
        <v>283</v>
      </c>
      <c r="G535" s="46">
        <f t="shared" si="5"/>
        <v>1.3337468982630218E-2</v>
      </c>
    </row>
    <row r="536" spans="1:7">
      <c r="A536" s="47">
        <v>64.66</v>
      </c>
      <c r="B536" s="47">
        <v>64.84</v>
      </c>
      <c r="C536" s="47">
        <v>63.55</v>
      </c>
      <c r="D536" s="47">
        <v>63.95</v>
      </c>
      <c r="E536" s="47">
        <v>10329272</v>
      </c>
      <c r="F536" s="47" t="s">
        <v>282</v>
      </c>
      <c r="G536" s="46">
        <f t="shared" si="5"/>
        <v>1.110242376856907E-2</v>
      </c>
    </row>
    <row r="537" spans="1:7">
      <c r="A537" s="47">
        <v>65.03</v>
      </c>
      <c r="B537" s="47">
        <v>67.361000000000004</v>
      </c>
      <c r="C537" s="47">
        <v>65</v>
      </c>
      <c r="D537" s="47">
        <v>67</v>
      </c>
      <c r="E537" s="47">
        <v>9840525</v>
      </c>
      <c r="F537" s="47" t="s">
        <v>281</v>
      </c>
      <c r="G537" s="46">
        <f t="shared" si="5"/>
        <v>-2.9402985074626797E-2</v>
      </c>
    </row>
    <row r="538" spans="1:7">
      <c r="A538" s="47">
        <v>66.989999999999995</v>
      </c>
      <c r="B538" s="47">
        <v>67.72</v>
      </c>
      <c r="C538" s="47">
        <v>66.430000000000007</v>
      </c>
      <c r="D538" s="47">
        <v>66.87</v>
      </c>
      <c r="E538" s="47">
        <v>10775822</v>
      </c>
      <c r="F538" s="47" t="s">
        <v>280</v>
      </c>
      <c r="G538" s="46">
        <f t="shared" si="5"/>
        <v>1.7945266935843751E-3</v>
      </c>
    </row>
    <row r="539" spans="1:7">
      <c r="A539" s="47">
        <v>66.569999999999993</v>
      </c>
      <c r="B539" s="47">
        <v>68.209999999999994</v>
      </c>
      <c r="C539" s="47">
        <v>66.14</v>
      </c>
      <c r="D539" s="47">
        <v>67.72</v>
      </c>
      <c r="E539" s="47">
        <v>10591212</v>
      </c>
      <c r="F539" s="47" t="s">
        <v>279</v>
      </c>
      <c r="G539" s="46">
        <f t="shared" si="5"/>
        <v>-1.698168930891919E-2</v>
      </c>
    </row>
    <row r="540" spans="1:7">
      <c r="A540" s="47">
        <v>66.67</v>
      </c>
      <c r="B540" s="47">
        <v>67.97</v>
      </c>
      <c r="C540" s="47">
        <v>66.5</v>
      </c>
      <c r="D540" s="47">
        <v>66.739999999999995</v>
      </c>
      <c r="E540" s="47">
        <v>14826401</v>
      </c>
      <c r="F540" s="47" t="s">
        <v>278</v>
      </c>
      <c r="G540" s="46">
        <f t="shared" si="5"/>
        <v>-1.0488462691038425E-3</v>
      </c>
    </row>
    <row r="541" spans="1:7">
      <c r="A541" s="47">
        <v>66</v>
      </c>
      <c r="B541" s="47">
        <v>66.385000000000005</v>
      </c>
      <c r="C541" s="47">
        <v>64.8</v>
      </c>
      <c r="D541" s="47">
        <v>64.8</v>
      </c>
      <c r="E541" s="47">
        <v>10224312</v>
      </c>
      <c r="F541" s="47" t="s">
        <v>1995</v>
      </c>
      <c r="G541" s="46">
        <f t="shared" si="5"/>
        <v>1.8518518518518601E-2</v>
      </c>
    </row>
    <row r="542" spans="1:7">
      <c r="A542" s="47">
        <v>64.77</v>
      </c>
      <c r="B542" s="47">
        <v>67.25</v>
      </c>
      <c r="C542" s="47">
        <v>64.75</v>
      </c>
      <c r="D542" s="47">
        <v>66.44</v>
      </c>
      <c r="E542" s="47">
        <v>10208057</v>
      </c>
      <c r="F542" s="47" t="s">
        <v>1994</v>
      </c>
      <c r="G542" s="46">
        <f t="shared" si="5"/>
        <v>-2.5135460565924195E-2</v>
      </c>
    </row>
    <row r="543" spans="1:7">
      <c r="A543" s="47">
        <v>66.14</v>
      </c>
      <c r="B543" s="47">
        <v>66.989999999999995</v>
      </c>
      <c r="C543" s="47">
        <v>65.05</v>
      </c>
      <c r="D543" s="47">
        <v>65.3</v>
      </c>
      <c r="E543" s="47">
        <v>14022134</v>
      </c>
      <c r="F543" s="47" t="s">
        <v>1993</v>
      </c>
      <c r="G543" s="46">
        <f t="shared" si="5"/>
        <v>1.2863705972435024E-2</v>
      </c>
    </row>
    <row r="544" spans="1:7">
      <c r="A544" s="47">
        <v>65.05</v>
      </c>
      <c r="B544" s="47">
        <v>65.36</v>
      </c>
      <c r="C544" s="47">
        <v>63.115000000000002</v>
      </c>
      <c r="D544" s="47">
        <v>63.58</v>
      </c>
      <c r="E544" s="47">
        <v>12641434</v>
      </c>
      <c r="F544" s="47" t="s">
        <v>1992</v>
      </c>
      <c r="G544" s="46">
        <f t="shared" si="5"/>
        <v>2.3120478137779177E-2</v>
      </c>
    </row>
    <row r="545" spans="1:7">
      <c r="A545" s="47">
        <v>63.01</v>
      </c>
      <c r="B545" s="47">
        <v>64.05</v>
      </c>
      <c r="C545" s="47">
        <v>62.8</v>
      </c>
      <c r="D545" s="47">
        <v>63.77</v>
      </c>
      <c r="E545" s="47">
        <v>9089319</v>
      </c>
      <c r="F545" s="47" t="s">
        <v>1991</v>
      </c>
      <c r="G545" s="46">
        <f t="shared" si="5"/>
        <v>-1.191782970048616E-2</v>
      </c>
    </row>
    <row r="546" spans="1:7">
      <c r="A546" s="47">
        <v>64.23</v>
      </c>
      <c r="B546" s="47">
        <v>64.760000000000005</v>
      </c>
      <c r="C546" s="47">
        <v>63.1</v>
      </c>
      <c r="D546" s="47">
        <v>63.12</v>
      </c>
      <c r="E546" s="47">
        <v>14219880</v>
      </c>
      <c r="F546" s="47" t="s">
        <v>1990</v>
      </c>
      <c r="G546" s="46">
        <f t="shared" si="5"/>
        <v>1.7585551330798532E-2</v>
      </c>
    </row>
    <row r="547" spans="1:7">
      <c r="A547" s="47">
        <v>62.85</v>
      </c>
      <c r="B547" s="47">
        <v>63.83</v>
      </c>
      <c r="C547" s="47">
        <v>62.43</v>
      </c>
      <c r="D547" s="47">
        <v>62.6</v>
      </c>
      <c r="E547" s="47">
        <v>20039972</v>
      </c>
      <c r="F547" s="47" t="s">
        <v>1989</v>
      </c>
      <c r="G547" s="46">
        <f t="shared" si="5"/>
        <v>3.9936102236421966E-3</v>
      </c>
    </row>
    <row r="548" spans="1:7">
      <c r="A548" s="47">
        <v>63</v>
      </c>
      <c r="B548" s="47">
        <v>64.2</v>
      </c>
      <c r="C548" s="47">
        <v>62.21</v>
      </c>
      <c r="D548" s="47">
        <v>62.51</v>
      </c>
      <c r="E548" s="47">
        <v>19342011</v>
      </c>
      <c r="F548" s="47" t="s">
        <v>1988</v>
      </c>
      <c r="G548" s="46">
        <f t="shared" si="5"/>
        <v>7.838745800671898E-3</v>
      </c>
    </row>
    <row r="549" spans="1:7">
      <c r="A549" s="47">
        <v>62.45</v>
      </c>
      <c r="B549" s="47">
        <v>63.3</v>
      </c>
      <c r="C549" s="47">
        <v>59.81</v>
      </c>
      <c r="D549" s="47">
        <v>59.98</v>
      </c>
      <c r="E549" s="47">
        <v>19983379</v>
      </c>
      <c r="F549" s="47" t="s">
        <v>1987</v>
      </c>
      <c r="G549" s="46">
        <f t="shared" si="5"/>
        <v>4.1180393464488319E-2</v>
      </c>
    </row>
    <row r="550" spans="1:7">
      <c r="A550" s="47">
        <v>60.03</v>
      </c>
      <c r="B550" s="47">
        <v>60.475000000000001</v>
      </c>
      <c r="C550" s="47">
        <v>59.295999999999999</v>
      </c>
      <c r="D550" s="47">
        <v>59.8</v>
      </c>
      <c r="E550" s="47">
        <v>13485068</v>
      </c>
      <c r="F550" s="47" t="s">
        <v>1986</v>
      </c>
      <c r="G550" s="46">
        <f t="shared" si="5"/>
        <v>3.8461538461538325E-3</v>
      </c>
    </row>
    <row r="551" spans="1:7">
      <c r="A551" s="47">
        <v>60.08</v>
      </c>
      <c r="B551" s="47">
        <v>60.219700000000003</v>
      </c>
      <c r="C551" s="47">
        <v>58.945</v>
      </c>
      <c r="D551" s="47">
        <v>59</v>
      </c>
      <c r="E551" s="47">
        <v>11172680</v>
      </c>
      <c r="F551" s="47" t="s">
        <v>1985</v>
      </c>
      <c r="G551" s="46">
        <f t="shared" si="5"/>
        <v>1.8305084745762645E-2</v>
      </c>
    </row>
    <row r="552" spans="1:7">
      <c r="A552" s="47">
        <v>59.01</v>
      </c>
      <c r="B552" s="47">
        <v>59.560299999999998</v>
      </c>
      <c r="C552" s="47">
        <v>58.241999999999997</v>
      </c>
      <c r="D552" s="47">
        <v>58.72</v>
      </c>
      <c r="E552" s="47">
        <v>18283481</v>
      </c>
      <c r="F552" s="47" t="s">
        <v>1984</v>
      </c>
      <c r="G552" s="46">
        <f t="shared" si="5"/>
        <v>4.9386920980927229E-3</v>
      </c>
    </row>
    <row r="553" spans="1:7">
      <c r="A553" s="47">
        <v>58.5</v>
      </c>
      <c r="B553" s="47">
        <v>59.055</v>
      </c>
      <c r="C553" s="47">
        <v>57.95</v>
      </c>
      <c r="D553" s="47">
        <v>58.46</v>
      </c>
      <c r="E553" s="47">
        <v>19447863</v>
      </c>
      <c r="F553" s="47" t="s">
        <v>1983</v>
      </c>
      <c r="G553" s="46">
        <f t="shared" si="5"/>
        <v>6.8422853232985581E-4</v>
      </c>
    </row>
    <row r="554" spans="1:7">
      <c r="A554" s="47">
        <v>58.12</v>
      </c>
      <c r="B554" s="47">
        <v>58.92</v>
      </c>
      <c r="C554" s="47">
        <v>57.91</v>
      </c>
      <c r="D554" s="47">
        <v>58.75</v>
      </c>
      <c r="E554" s="47">
        <v>17187416</v>
      </c>
      <c r="F554" s="47" t="s">
        <v>1982</v>
      </c>
      <c r="G554" s="46">
        <f t="shared" si="5"/>
        <v>-1.0723404255319147E-2</v>
      </c>
    </row>
    <row r="555" spans="1:7">
      <c r="A555" s="47">
        <v>58.27</v>
      </c>
      <c r="B555" s="47">
        <v>60.83</v>
      </c>
      <c r="C555" s="47">
        <v>57.87</v>
      </c>
      <c r="D555" s="47">
        <v>59.51</v>
      </c>
      <c r="E555" s="47">
        <v>18056682</v>
      </c>
      <c r="F555" s="47" t="s">
        <v>1981</v>
      </c>
      <c r="G555" s="46">
        <f t="shared" si="5"/>
        <v>-2.0836834145521621E-2</v>
      </c>
    </row>
    <row r="556" spans="1:7">
      <c r="A556" s="47">
        <v>59.98</v>
      </c>
      <c r="B556" s="47">
        <v>60.6</v>
      </c>
      <c r="C556" s="47">
        <v>58.86</v>
      </c>
      <c r="D556" s="47">
        <v>60.41</v>
      </c>
      <c r="E556" s="47">
        <v>17125211</v>
      </c>
      <c r="F556" s="47" t="s">
        <v>1980</v>
      </c>
      <c r="G556" s="46">
        <f t="shared" si="5"/>
        <v>-7.1180268167522209E-3</v>
      </c>
    </row>
    <row r="557" spans="1:7">
      <c r="A557" s="47">
        <v>60.54</v>
      </c>
      <c r="B557" s="47">
        <v>61.64</v>
      </c>
      <c r="C557" s="47">
        <v>60.21</v>
      </c>
      <c r="D557" s="47">
        <v>60.53</v>
      </c>
      <c r="E557" s="47">
        <v>17590442</v>
      </c>
      <c r="F557" s="47" t="s">
        <v>1979</v>
      </c>
      <c r="G557" s="46">
        <f t="shared" si="5"/>
        <v>1.6520733520564157E-4</v>
      </c>
    </row>
    <row r="558" spans="1:7">
      <c r="A558" s="47">
        <v>60.34</v>
      </c>
      <c r="B558" s="47">
        <v>61.865699999999997</v>
      </c>
      <c r="C558" s="47">
        <v>60.015000000000001</v>
      </c>
      <c r="D558" s="47">
        <v>60.6</v>
      </c>
      <c r="E558" s="47">
        <v>17117343</v>
      </c>
      <c r="F558" s="47" t="s">
        <v>1978</v>
      </c>
      <c r="G558" s="46">
        <f t="shared" si="5"/>
        <v>-4.2904290429042202E-3</v>
      </c>
    </row>
    <row r="559" spans="1:7">
      <c r="A559" s="47">
        <v>60.25</v>
      </c>
      <c r="B559" s="47">
        <v>60.9</v>
      </c>
      <c r="C559" s="47">
        <v>59.44</v>
      </c>
      <c r="D559" s="47">
        <v>59.7</v>
      </c>
      <c r="E559" s="47">
        <v>9851606</v>
      </c>
      <c r="F559" s="47" t="s">
        <v>1977</v>
      </c>
      <c r="G559" s="46">
        <f t="shared" si="5"/>
        <v>9.2127303182578668E-3</v>
      </c>
    </row>
    <row r="560" spans="1:7">
      <c r="A560" s="47">
        <v>60.16</v>
      </c>
      <c r="B560" s="47">
        <v>60.24</v>
      </c>
      <c r="C560" s="47">
        <v>59.44</v>
      </c>
      <c r="D560" s="47">
        <v>59.57</v>
      </c>
      <c r="E560" s="47">
        <v>11467606</v>
      </c>
      <c r="F560" s="47" t="s">
        <v>1976</v>
      </c>
      <c r="G560" s="46">
        <f t="shared" si="5"/>
        <v>9.9043142521402228E-3</v>
      </c>
    </row>
    <row r="561" spans="1:7">
      <c r="A561" s="47">
        <v>59.33</v>
      </c>
      <c r="B561" s="47">
        <v>60.174999999999997</v>
      </c>
      <c r="C561" s="47">
        <v>58.71</v>
      </c>
      <c r="D561" s="47">
        <v>58.93</v>
      </c>
      <c r="E561" s="47">
        <v>11065551</v>
      </c>
      <c r="F561" s="47" t="s">
        <v>1975</v>
      </c>
      <c r="G561" s="46">
        <f t="shared" si="5"/>
        <v>6.7877142372305688E-3</v>
      </c>
    </row>
    <row r="562" spans="1:7">
      <c r="A562" s="47">
        <v>59.16</v>
      </c>
      <c r="B562" s="47">
        <v>59.430100000000003</v>
      </c>
      <c r="C562" s="47">
        <v>58.2301</v>
      </c>
      <c r="D562" s="47">
        <v>58.85</v>
      </c>
      <c r="E562" s="47">
        <v>13356992</v>
      </c>
      <c r="F562" s="47" t="s">
        <v>1974</v>
      </c>
      <c r="G562" s="46">
        <f t="shared" si="5"/>
        <v>5.2676295666949091E-3</v>
      </c>
    </row>
    <row r="563" spans="1:7">
      <c r="A563" s="47">
        <v>58.35</v>
      </c>
      <c r="B563" s="47">
        <v>58.64</v>
      </c>
      <c r="C563" s="47">
        <v>57.37</v>
      </c>
      <c r="D563" s="47">
        <v>57.77</v>
      </c>
      <c r="E563" s="47">
        <v>17292990</v>
      </c>
      <c r="F563" s="47" t="s">
        <v>1973</v>
      </c>
      <c r="G563" s="46">
        <f t="shared" si="5"/>
        <v>1.0039813051756941E-2</v>
      </c>
    </row>
    <row r="564" spans="1:7">
      <c r="A564" s="47">
        <v>57.48</v>
      </c>
      <c r="B564" s="47">
        <v>58.45</v>
      </c>
      <c r="C564" s="47">
        <v>57.145000000000003</v>
      </c>
      <c r="D564" s="47">
        <v>58.08</v>
      </c>
      <c r="E564" s="47">
        <v>13424268</v>
      </c>
      <c r="F564" s="47" t="s">
        <v>1972</v>
      </c>
      <c r="G564" s="46">
        <f t="shared" si="5"/>
        <v>-1.0330578512396715E-2</v>
      </c>
    </row>
    <row r="565" spans="1:7">
      <c r="A565" s="47">
        <v>58.63</v>
      </c>
      <c r="B565" s="47">
        <v>59.029899999999998</v>
      </c>
      <c r="C565" s="47">
        <v>58.19</v>
      </c>
      <c r="D565" s="47">
        <v>58.23</v>
      </c>
      <c r="E565" s="47">
        <v>12399526</v>
      </c>
      <c r="F565" s="47" t="s">
        <v>1971</v>
      </c>
      <c r="G565" s="46">
        <f t="shared" si="5"/>
        <v>6.8693113515370108E-3</v>
      </c>
    </row>
    <row r="566" spans="1:7">
      <c r="A566" s="47">
        <v>59.14</v>
      </c>
      <c r="B566" s="47">
        <v>59.75</v>
      </c>
      <c r="C566" s="47">
        <v>58.450099999999999</v>
      </c>
      <c r="D566" s="47">
        <v>58.86</v>
      </c>
      <c r="E566" s="47">
        <v>12195813</v>
      </c>
      <c r="F566" s="47" t="s">
        <v>1970</v>
      </c>
      <c r="G566" s="46">
        <f t="shared" si="5"/>
        <v>4.7570506286103154E-3</v>
      </c>
    </row>
    <row r="567" spans="1:7">
      <c r="A567" s="47">
        <v>59.7</v>
      </c>
      <c r="B567" s="47">
        <v>60.244999999999997</v>
      </c>
      <c r="C567" s="47">
        <v>58.06</v>
      </c>
      <c r="D567" s="47">
        <v>58.86</v>
      </c>
      <c r="E567" s="47">
        <v>13321039</v>
      </c>
      <c r="F567" s="47" t="s">
        <v>1969</v>
      </c>
      <c r="G567" s="46">
        <f t="shared" si="5"/>
        <v>1.4271151885830946E-2</v>
      </c>
    </row>
    <row r="568" spans="1:7">
      <c r="A568" s="47">
        <v>58.87</v>
      </c>
      <c r="B568" s="47">
        <v>59.015000000000001</v>
      </c>
      <c r="C568" s="47">
        <v>57.63</v>
      </c>
      <c r="D568" s="47">
        <v>58.594999999999999</v>
      </c>
      <c r="E568" s="47">
        <v>16520620</v>
      </c>
      <c r="F568" s="47" t="s">
        <v>1968</v>
      </c>
      <c r="G568" s="46">
        <f t="shared" si="5"/>
        <v>4.6932332110247721E-3</v>
      </c>
    </row>
    <row r="569" spans="1:7">
      <c r="A569" s="47">
        <v>58.26</v>
      </c>
      <c r="B569" s="47">
        <v>58.7301</v>
      </c>
      <c r="C569" s="47">
        <v>57.86</v>
      </c>
      <c r="D569" s="47">
        <v>57.88</v>
      </c>
      <c r="E569" s="47">
        <v>19540231</v>
      </c>
      <c r="F569" s="47" t="s">
        <v>1967</v>
      </c>
      <c r="G569" s="46">
        <f t="shared" si="5"/>
        <v>6.5653075328264698E-3</v>
      </c>
    </row>
    <row r="570" spans="1:7">
      <c r="A570" s="47">
        <v>60.09</v>
      </c>
      <c r="B570" s="47">
        <v>60.615000000000002</v>
      </c>
      <c r="C570" s="47">
        <v>58.42</v>
      </c>
      <c r="D570" s="47">
        <v>58.61</v>
      </c>
      <c r="E570" s="47">
        <v>21768226</v>
      </c>
      <c r="F570" s="47" t="s">
        <v>1966</v>
      </c>
      <c r="G570" s="46">
        <f t="shared" ref="G570:G633" si="6">A570/D570-1</f>
        <v>2.5251663538645275E-2</v>
      </c>
    </row>
    <row r="571" spans="1:7">
      <c r="A571" s="47">
        <v>58.91</v>
      </c>
      <c r="B571" s="47">
        <v>59.22</v>
      </c>
      <c r="C571" s="47">
        <v>56.1601</v>
      </c>
      <c r="D571" s="47">
        <v>56.204999999999998</v>
      </c>
      <c r="E571" s="47">
        <v>31421423</v>
      </c>
      <c r="F571" s="47" t="s">
        <v>1965</v>
      </c>
      <c r="G571" s="46">
        <f t="shared" si="6"/>
        <v>4.8127390801530057E-2</v>
      </c>
    </row>
    <row r="572" spans="1:7">
      <c r="A572" s="47">
        <v>56.13</v>
      </c>
      <c r="B572" s="47">
        <v>58.59</v>
      </c>
      <c r="C572" s="47">
        <v>55.77</v>
      </c>
      <c r="D572" s="47">
        <v>57.98</v>
      </c>
      <c r="E572" s="47">
        <v>68272674</v>
      </c>
      <c r="F572" s="47" t="s">
        <v>1964</v>
      </c>
      <c r="G572" s="46">
        <f t="shared" si="6"/>
        <v>-3.190755432907888E-2</v>
      </c>
    </row>
    <row r="573" spans="1:7">
      <c r="A573" s="47">
        <v>63.24</v>
      </c>
      <c r="B573" s="47">
        <v>64.900000000000006</v>
      </c>
      <c r="C573" s="47">
        <v>62.85</v>
      </c>
      <c r="D573" s="47">
        <v>64.540000000000006</v>
      </c>
      <c r="E573" s="47">
        <v>33211334</v>
      </c>
      <c r="F573" s="47" t="s">
        <v>1963</v>
      </c>
      <c r="G573" s="46">
        <f t="shared" si="6"/>
        <v>-2.0142547257514742E-2</v>
      </c>
    </row>
    <row r="574" spans="1:7">
      <c r="A574" s="47">
        <v>63.71</v>
      </c>
      <c r="B574" s="47">
        <v>63.73</v>
      </c>
      <c r="C574" s="47">
        <v>61.62</v>
      </c>
      <c r="D574" s="47">
        <v>62.03</v>
      </c>
      <c r="E574" s="47">
        <v>17564318</v>
      </c>
      <c r="F574" s="47" t="s">
        <v>1962</v>
      </c>
      <c r="G574" s="46">
        <f t="shared" si="6"/>
        <v>2.7083669192326187E-2</v>
      </c>
    </row>
    <row r="575" spans="1:7">
      <c r="A575" s="47">
        <v>61.54</v>
      </c>
      <c r="B575" s="47">
        <v>62.0779</v>
      </c>
      <c r="C575" s="47">
        <v>61.3</v>
      </c>
      <c r="D575" s="47">
        <v>62</v>
      </c>
      <c r="E575" s="47">
        <v>10223339</v>
      </c>
      <c r="F575" s="47" t="s">
        <v>1961</v>
      </c>
      <c r="G575" s="46">
        <f t="shared" si="6"/>
        <v>-7.4193548387097019E-3</v>
      </c>
    </row>
    <row r="576" spans="1:7">
      <c r="A576" s="47">
        <v>62.42</v>
      </c>
      <c r="B576" s="47">
        <v>62.72</v>
      </c>
      <c r="C576" s="47">
        <v>61</v>
      </c>
      <c r="D576" s="47">
        <v>61.79</v>
      </c>
      <c r="E576" s="47">
        <v>14618910</v>
      </c>
      <c r="F576" s="47" t="s">
        <v>1960</v>
      </c>
      <c r="G576" s="46">
        <f t="shared" si="6"/>
        <v>1.0195824567082123E-2</v>
      </c>
    </row>
    <row r="577" spans="1:7">
      <c r="A577" s="47">
        <v>62.02</v>
      </c>
      <c r="B577" s="47">
        <v>62.06</v>
      </c>
      <c r="C577" s="47">
        <v>60.642299999999999</v>
      </c>
      <c r="D577" s="47">
        <v>61.51</v>
      </c>
      <c r="E577" s="47">
        <v>13449401</v>
      </c>
      <c r="F577" s="47" t="s">
        <v>1959</v>
      </c>
      <c r="G577" s="46">
        <f t="shared" si="6"/>
        <v>8.291334742318357E-3</v>
      </c>
    </row>
    <row r="578" spans="1:7">
      <c r="A578" s="47">
        <v>61.35</v>
      </c>
      <c r="B578" s="47">
        <v>63.4</v>
      </c>
      <c r="C578" s="47">
        <v>61.19</v>
      </c>
      <c r="D578" s="47">
        <v>63</v>
      </c>
      <c r="E578" s="47">
        <v>15623057</v>
      </c>
      <c r="F578" s="47" t="s">
        <v>1958</v>
      </c>
      <c r="G578" s="46">
        <f t="shared" si="6"/>
        <v>-2.6190476190476208E-2</v>
      </c>
    </row>
    <row r="579" spans="1:7">
      <c r="A579" s="47">
        <v>63.68</v>
      </c>
      <c r="B579" s="47">
        <v>64.5</v>
      </c>
      <c r="C579" s="47">
        <v>62.07</v>
      </c>
      <c r="D579" s="47">
        <v>62.9</v>
      </c>
      <c r="E579" s="47">
        <v>18786106</v>
      </c>
      <c r="F579" s="47" t="s">
        <v>1957</v>
      </c>
      <c r="G579" s="46">
        <f t="shared" si="6"/>
        <v>1.2400635930047699E-2</v>
      </c>
    </row>
    <row r="580" spans="1:7">
      <c r="A580" s="47">
        <v>63.76</v>
      </c>
      <c r="B580" s="47">
        <v>63.79</v>
      </c>
      <c r="C580" s="47">
        <v>60.9</v>
      </c>
      <c r="D580" s="47">
        <v>61.2</v>
      </c>
      <c r="E580" s="47">
        <v>15913851</v>
      </c>
      <c r="F580" s="47" t="s">
        <v>1956</v>
      </c>
      <c r="G580" s="46">
        <f t="shared" si="6"/>
        <v>4.1830065359476976E-2</v>
      </c>
    </row>
    <row r="581" spans="1:7">
      <c r="A581" s="47">
        <v>61.78</v>
      </c>
      <c r="B581" s="47">
        <v>62.266199999999998</v>
      </c>
      <c r="C581" s="47">
        <v>60.01</v>
      </c>
      <c r="D581" s="47">
        <v>60.32</v>
      </c>
      <c r="E581" s="47">
        <v>18430732</v>
      </c>
      <c r="F581" s="47" t="s">
        <v>1955</v>
      </c>
      <c r="G581" s="46">
        <f t="shared" si="6"/>
        <v>2.4204244031830191E-2</v>
      </c>
    </row>
    <row r="582" spans="1:7">
      <c r="A582" s="47">
        <v>60.71</v>
      </c>
      <c r="B582" s="47">
        <v>64.33</v>
      </c>
      <c r="C582" s="47">
        <v>58.9</v>
      </c>
      <c r="D582" s="47">
        <v>63.46</v>
      </c>
      <c r="E582" s="47">
        <v>43452620</v>
      </c>
      <c r="F582" s="47" t="s">
        <v>1954</v>
      </c>
      <c r="G582" s="46">
        <f t="shared" si="6"/>
        <v>-4.3334383863851245E-2</v>
      </c>
    </row>
    <row r="583" spans="1:7">
      <c r="A583" s="47">
        <v>63.02</v>
      </c>
      <c r="B583" s="47">
        <v>66</v>
      </c>
      <c r="C583" s="47">
        <v>62.96</v>
      </c>
      <c r="D583" s="47">
        <v>65.989999999999995</v>
      </c>
      <c r="E583" s="47">
        <v>21694060</v>
      </c>
      <c r="F583" s="47" t="s">
        <v>1953</v>
      </c>
      <c r="G583" s="46">
        <f t="shared" si="6"/>
        <v>-4.5006819215032468E-2</v>
      </c>
    </row>
    <row r="584" spans="1:7">
      <c r="A584" s="47">
        <v>64.78</v>
      </c>
      <c r="B584" s="47">
        <v>65.73</v>
      </c>
      <c r="C584" s="47">
        <v>64.180000000000007</v>
      </c>
      <c r="D584" s="47">
        <v>64.525000000000006</v>
      </c>
      <c r="E584" s="47">
        <v>19883746</v>
      </c>
      <c r="F584" s="47" t="s">
        <v>1952</v>
      </c>
      <c r="G584" s="46">
        <f t="shared" si="6"/>
        <v>3.9519566059667E-3</v>
      </c>
    </row>
    <row r="585" spans="1:7">
      <c r="A585" s="47">
        <v>63.74</v>
      </c>
      <c r="B585" s="47">
        <v>68.209999999999994</v>
      </c>
      <c r="C585" s="47">
        <v>63.22</v>
      </c>
      <c r="D585" s="47">
        <v>68.022000000000006</v>
      </c>
      <c r="E585" s="47">
        <v>44006892</v>
      </c>
      <c r="F585" s="47" t="s">
        <v>1951</v>
      </c>
      <c r="G585" s="46">
        <f t="shared" si="6"/>
        <v>-6.2950221987004285E-2</v>
      </c>
    </row>
    <row r="586" spans="1:7">
      <c r="A586" s="47">
        <v>65.819999999999993</v>
      </c>
      <c r="B586" s="47">
        <v>66.209999999999994</v>
      </c>
      <c r="C586" s="47">
        <v>62.26</v>
      </c>
      <c r="D586" s="47">
        <v>63</v>
      </c>
      <c r="E586" s="47">
        <v>38264634</v>
      </c>
      <c r="F586" s="47" t="s">
        <v>1950</v>
      </c>
      <c r="G586" s="46">
        <f t="shared" si="6"/>
        <v>4.4761904761904558E-2</v>
      </c>
    </row>
    <row r="587" spans="1:7">
      <c r="A587" s="47">
        <v>62.09</v>
      </c>
      <c r="B587" s="47">
        <v>62.47</v>
      </c>
      <c r="C587" s="47">
        <v>60.12</v>
      </c>
      <c r="D587" s="47">
        <v>60.49</v>
      </c>
      <c r="E587" s="47">
        <v>25339454</v>
      </c>
      <c r="F587" s="47" t="s">
        <v>1949</v>
      </c>
      <c r="G587" s="46">
        <f t="shared" si="6"/>
        <v>2.6450653000495983E-2</v>
      </c>
    </row>
    <row r="588" spans="1:7">
      <c r="A588" s="47">
        <v>59.89</v>
      </c>
      <c r="B588" s="47">
        <v>59.98</v>
      </c>
      <c r="C588" s="47">
        <v>56.470999999999997</v>
      </c>
      <c r="D588" s="47">
        <v>57.42</v>
      </c>
      <c r="E588" s="47">
        <v>29527412</v>
      </c>
      <c r="F588" s="47" t="s">
        <v>1948</v>
      </c>
      <c r="G588" s="46">
        <f t="shared" si="6"/>
        <v>4.3016370602577458E-2</v>
      </c>
    </row>
    <row r="589" spans="1:7">
      <c r="A589" s="47">
        <v>58.45</v>
      </c>
      <c r="B589" s="47">
        <v>60.24</v>
      </c>
      <c r="C589" s="47">
        <v>58.094999999999999</v>
      </c>
      <c r="D589" s="47">
        <v>60.05</v>
      </c>
      <c r="E589" s="47">
        <v>20907071</v>
      </c>
      <c r="F589" s="47" t="s">
        <v>1947</v>
      </c>
      <c r="G589" s="46">
        <f t="shared" si="6"/>
        <v>-2.6644462947543635E-2</v>
      </c>
    </row>
    <row r="590" spans="1:7">
      <c r="A590" s="47">
        <v>61</v>
      </c>
      <c r="B590" s="47">
        <v>61.908000000000001</v>
      </c>
      <c r="C590" s="47">
        <v>60.74</v>
      </c>
      <c r="D590" s="47">
        <v>61.8</v>
      </c>
      <c r="E590" s="47">
        <v>9282572</v>
      </c>
      <c r="F590" s="47" t="s">
        <v>1946</v>
      </c>
      <c r="G590" s="46">
        <f t="shared" si="6"/>
        <v>-1.2944983818770184E-2</v>
      </c>
    </row>
    <row r="591" spans="1:7">
      <c r="A591" s="47">
        <v>61.35</v>
      </c>
      <c r="B591" s="47">
        <v>61.494999999999997</v>
      </c>
      <c r="C591" s="47">
        <v>60.08</v>
      </c>
      <c r="D591" s="47">
        <v>60.65</v>
      </c>
      <c r="E591" s="47">
        <v>11900696</v>
      </c>
      <c r="F591" s="47" t="s">
        <v>1945</v>
      </c>
      <c r="G591" s="46">
        <f t="shared" si="6"/>
        <v>1.154163231657046E-2</v>
      </c>
    </row>
    <row r="592" spans="1:7">
      <c r="A592" s="47">
        <v>60.96</v>
      </c>
      <c r="B592" s="47">
        <v>61.43</v>
      </c>
      <c r="C592" s="47">
        <v>60.29</v>
      </c>
      <c r="D592" s="47">
        <v>60.95</v>
      </c>
      <c r="E592" s="47">
        <v>10137889</v>
      </c>
      <c r="F592" s="47" t="s">
        <v>1944</v>
      </c>
      <c r="G592" s="46">
        <f t="shared" si="6"/>
        <v>1.6406890894171688E-4</v>
      </c>
    </row>
    <row r="593" spans="1:7">
      <c r="A593" s="47">
        <v>61.05</v>
      </c>
      <c r="B593" s="47">
        <v>62.02</v>
      </c>
      <c r="C593" s="47">
        <v>60.12</v>
      </c>
      <c r="D593" s="47">
        <v>60.28</v>
      </c>
      <c r="E593" s="47">
        <v>14877312</v>
      </c>
      <c r="F593" s="47" t="s">
        <v>1943</v>
      </c>
      <c r="G593" s="46">
        <f t="shared" si="6"/>
        <v>1.2773722627737127E-2</v>
      </c>
    </row>
    <row r="594" spans="1:7">
      <c r="A594" s="47">
        <v>61.74</v>
      </c>
      <c r="B594" s="47">
        <v>61.92</v>
      </c>
      <c r="C594" s="47">
        <v>60.06</v>
      </c>
      <c r="D594" s="47">
        <v>60.4</v>
      </c>
      <c r="E594" s="47">
        <v>14264436</v>
      </c>
      <c r="F594" s="47" t="s">
        <v>1942</v>
      </c>
      <c r="G594" s="46">
        <f t="shared" si="6"/>
        <v>2.2185430463576239E-2</v>
      </c>
    </row>
    <row r="595" spans="1:7">
      <c r="A595" s="47">
        <v>60.12</v>
      </c>
      <c r="B595" s="47">
        <v>60.37</v>
      </c>
      <c r="C595" s="47">
        <v>57.64</v>
      </c>
      <c r="D595" s="47">
        <v>57.74</v>
      </c>
      <c r="E595" s="47">
        <v>17420162</v>
      </c>
      <c r="F595" s="47" t="s">
        <v>1941</v>
      </c>
      <c r="G595" s="46">
        <f t="shared" si="6"/>
        <v>4.1219258746103105E-2</v>
      </c>
    </row>
    <row r="596" spans="1:7">
      <c r="A596" s="47">
        <v>58.45</v>
      </c>
      <c r="B596" s="47">
        <v>59.064999999999998</v>
      </c>
      <c r="C596" s="47">
        <v>57.44</v>
      </c>
      <c r="D596" s="47">
        <v>58.02</v>
      </c>
      <c r="E596" s="47">
        <v>16680401</v>
      </c>
      <c r="F596" s="47" t="s">
        <v>1940</v>
      </c>
      <c r="G596" s="46">
        <f t="shared" si="6"/>
        <v>7.4112375043089429E-3</v>
      </c>
    </row>
    <row r="597" spans="1:7">
      <c r="A597" s="47">
        <v>58.63</v>
      </c>
      <c r="B597" s="47">
        <v>60.75</v>
      </c>
      <c r="C597" s="47">
        <v>58.35</v>
      </c>
      <c r="D597" s="47">
        <v>60.7</v>
      </c>
      <c r="E597" s="47">
        <v>21245801</v>
      </c>
      <c r="F597" s="47" t="s">
        <v>1939</v>
      </c>
      <c r="G597" s="46">
        <f t="shared" si="6"/>
        <v>-3.4102141680395381E-2</v>
      </c>
    </row>
    <row r="598" spans="1:7">
      <c r="A598" s="47">
        <v>61.46</v>
      </c>
      <c r="B598" s="47">
        <v>62.1599</v>
      </c>
      <c r="C598" s="47">
        <v>60.43</v>
      </c>
      <c r="D598" s="47">
        <v>61.22</v>
      </c>
      <c r="E598" s="47">
        <v>15248446</v>
      </c>
      <c r="F598" s="47" t="s">
        <v>1938</v>
      </c>
      <c r="G598" s="46">
        <f t="shared" si="6"/>
        <v>3.9202874877490856E-3</v>
      </c>
    </row>
    <row r="599" spans="1:7">
      <c r="A599" s="47">
        <v>61.41</v>
      </c>
      <c r="B599" s="47">
        <v>63.16</v>
      </c>
      <c r="C599" s="47">
        <v>61.15</v>
      </c>
      <c r="D599" s="47">
        <v>63</v>
      </c>
      <c r="E599" s="47">
        <v>16807370</v>
      </c>
      <c r="F599" s="47" t="s">
        <v>1937</v>
      </c>
      <c r="G599" s="46">
        <f t="shared" si="6"/>
        <v>-2.5238095238095282E-2</v>
      </c>
    </row>
    <row r="600" spans="1:7">
      <c r="A600" s="47">
        <v>63.08</v>
      </c>
      <c r="B600" s="47">
        <v>63.5</v>
      </c>
      <c r="C600" s="47">
        <v>62.45</v>
      </c>
      <c r="D600" s="47">
        <v>62.62</v>
      </c>
      <c r="E600" s="47">
        <v>11233445</v>
      </c>
      <c r="F600" s="47" t="s">
        <v>1936</v>
      </c>
      <c r="G600" s="46">
        <f t="shared" si="6"/>
        <v>7.3458958799106355E-3</v>
      </c>
    </row>
    <row r="601" spans="1:7">
      <c r="A601" s="47">
        <v>62.68</v>
      </c>
      <c r="B601" s="47">
        <v>62.834600000000002</v>
      </c>
      <c r="C601" s="47">
        <v>62.11</v>
      </c>
      <c r="D601" s="47">
        <v>62.67</v>
      </c>
      <c r="E601" s="47">
        <v>11112297</v>
      </c>
      <c r="F601" s="47" t="s">
        <v>1935</v>
      </c>
      <c r="G601" s="46">
        <f t="shared" si="6"/>
        <v>1.5956598053290527E-4</v>
      </c>
    </row>
    <row r="602" spans="1:7">
      <c r="A602" s="47">
        <v>62.56</v>
      </c>
      <c r="B602" s="47">
        <v>62.685000000000002</v>
      </c>
      <c r="C602" s="47">
        <v>61.86</v>
      </c>
      <c r="D602" s="47">
        <v>61.95</v>
      </c>
      <c r="E602" s="47">
        <v>9940638</v>
      </c>
      <c r="F602" s="47" t="s">
        <v>1934</v>
      </c>
      <c r="G602" s="46">
        <f t="shared" si="6"/>
        <v>9.8466505246166403E-3</v>
      </c>
    </row>
    <row r="603" spans="1:7">
      <c r="A603" s="47">
        <v>61.84</v>
      </c>
      <c r="B603" s="47">
        <v>62.73</v>
      </c>
      <c r="C603" s="47">
        <v>61.58</v>
      </c>
      <c r="D603" s="47">
        <v>62.17</v>
      </c>
      <c r="E603" s="47">
        <v>13175443</v>
      </c>
      <c r="F603" s="47" t="s">
        <v>1933</v>
      </c>
      <c r="G603" s="46">
        <f t="shared" si="6"/>
        <v>-5.3080263792826266E-3</v>
      </c>
    </row>
    <row r="604" spans="1:7">
      <c r="A604" s="47">
        <v>62.06</v>
      </c>
      <c r="B604" s="47">
        <v>62.45</v>
      </c>
      <c r="C604" s="47">
        <v>61.59</v>
      </c>
      <c r="D604" s="47">
        <v>62.204999999999998</v>
      </c>
      <c r="E604" s="47">
        <v>12195063</v>
      </c>
      <c r="F604" s="47" t="s">
        <v>1932</v>
      </c>
      <c r="G604" s="46">
        <f t="shared" si="6"/>
        <v>-2.3310023310022521E-3</v>
      </c>
    </row>
    <row r="605" spans="1:7">
      <c r="A605" s="47">
        <v>61.74</v>
      </c>
      <c r="B605" s="47">
        <v>63.965000000000003</v>
      </c>
      <c r="C605" s="47">
        <v>61.67</v>
      </c>
      <c r="D605" s="47">
        <v>62.95</v>
      </c>
      <c r="E605" s="47">
        <v>17421040</v>
      </c>
      <c r="F605" s="47" t="s">
        <v>1931</v>
      </c>
      <c r="G605" s="46">
        <f t="shared" si="6"/>
        <v>-1.9221604447974605E-2</v>
      </c>
    </row>
    <row r="606" spans="1:7">
      <c r="A606" s="47">
        <v>63.01</v>
      </c>
      <c r="B606" s="47">
        <v>63.28</v>
      </c>
      <c r="C606" s="47">
        <v>61.72</v>
      </c>
      <c r="D606" s="47">
        <v>61.79</v>
      </c>
      <c r="E606" s="47">
        <v>19929044</v>
      </c>
      <c r="F606" s="47" t="s">
        <v>1930</v>
      </c>
      <c r="G606" s="46">
        <f t="shared" si="6"/>
        <v>1.9744295193397043E-2</v>
      </c>
    </row>
    <row r="607" spans="1:7">
      <c r="A607" s="47">
        <v>61.47</v>
      </c>
      <c r="B607" s="47">
        <v>61.73</v>
      </c>
      <c r="C607" s="47">
        <v>60.854999999999997</v>
      </c>
      <c r="D607" s="47">
        <v>61.42</v>
      </c>
      <c r="E607" s="47">
        <v>13800146</v>
      </c>
      <c r="F607" s="47" t="s">
        <v>1929</v>
      </c>
      <c r="G607" s="46">
        <f t="shared" si="6"/>
        <v>8.1406707912723419E-4</v>
      </c>
    </row>
    <row r="608" spans="1:7">
      <c r="A608" s="47">
        <v>61.26</v>
      </c>
      <c r="B608" s="47">
        <v>62.37</v>
      </c>
      <c r="C608" s="47">
        <v>60.82</v>
      </c>
      <c r="D608" s="47">
        <v>62.37</v>
      </c>
      <c r="E608" s="47">
        <v>24010962</v>
      </c>
      <c r="F608" s="47" t="s">
        <v>1928</v>
      </c>
      <c r="G608" s="46">
        <f t="shared" si="6"/>
        <v>-1.7797017797017811E-2</v>
      </c>
    </row>
    <row r="609" spans="1:7">
      <c r="A609" s="47">
        <v>61.87</v>
      </c>
      <c r="B609" s="47">
        <v>64.13</v>
      </c>
      <c r="C609" s="47">
        <v>61.210099999999997</v>
      </c>
      <c r="D609" s="47">
        <v>62.94</v>
      </c>
      <c r="E609" s="47">
        <v>27947294</v>
      </c>
      <c r="F609" s="47" t="s">
        <v>1927</v>
      </c>
      <c r="G609" s="46">
        <f t="shared" si="6"/>
        <v>-1.7000317762948858E-2</v>
      </c>
    </row>
    <row r="610" spans="1:7">
      <c r="A610" s="47">
        <v>61.73</v>
      </c>
      <c r="B610" s="47">
        <v>61.89</v>
      </c>
      <c r="C610" s="47">
        <v>58.54</v>
      </c>
      <c r="D610" s="47">
        <v>58.73</v>
      </c>
      <c r="E610" s="47">
        <v>19128147</v>
      </c>
      <c r="F610" s="47" t="s">
        <v>1926</v>
      </c>
      <c r="G610" s="46">
        <f t="shared" si="6"/>
        <v>5.1081219138430001E-2</v>
      </c>
    </row>
    <row r="611" spans="1:7">
      <c r="A611" s="47">
        <v>58.89</v>
      </c>
      <c r="B611" s="47">
        <v>59.39</v>
      </c>
      <c r="C611" s="47">
        <v>58.134999999999998</v>
      </c>
      <c r="D611" s="47">
        <v>59.39</v>
      </c>
      <c r="E611" s="47">
        <v>13845514</v>
      </c>
      <c r="F611" s="47" t="s">
        <v>1925</v>
      </c>
      <c r="G611" s="46">
        <f t="shared" si="6"/>
        <v>-8.4189257450749677E-3</v>
      </c>
    </row>
    <row r="612" spans="1:7">
      <c r="A612" s="47">
        <v>59.04</v>
      </c>
      <c r="B612" s="47">
        <v>59.8</v>
      </c>
      <c r="C612" s="47">
        <v>58.96</v>
      </c>
      <c r="D612" s="47">
        <v>59.1</v>
      </c>
      <c r="E612" s="47">
        <v>12082679</v>
      </c>
      <c r="F612" s="47" t="s">
        <v>1924</v>
      </c>
      <c r="G612" s="46">
        <f t="shared" si="6"/>
        <v>-1.0152284263960087E-3</v>
      </c>
    </row>
    <row r="613" spans="1:7">
      <c r="A613" s="47">
        <v>58.94</v>
      </c>
      <c r="B613" s="47">
        <v>59.74</v>
      </c>
      <c r="C613" s="47">
        <v>57.4</v>
      </c>
      <c r="D613" s="47">
        <v>58.26</v>
      </c>
      <c r="E613" s="47">
        <v>15467509</v>
      </c>
      <c r="F613" s="47" t="s">
        <v>1923</v>
      </c>
      <c r="G613" s="46">
        <f t="shared" si="6"/>
        <v>1.1671815997253754E-2</v>
      </c>
    </row>
    <row r="614" spans="1:7">
      <c r="A614" s="47">
        <v>58.48</v>
      </c>
      <c r="B614" s="47">
        <v>59.15</v>
      </c>
      <c r="C614" s="47">
        <v>58.12</v>
      </c>
      <c r="D614" s="47">
        <v>59.09</v>
      </c>
      <c r="E614" s="47">
        <v>17422362</v>
      </c>
      <c r="F614" s="47" t="s">
        <v>1922</v>
      </c>
      <c r="G614" s="46">
        <f t="shared" si="6"/>
        <v>-1.0323235742088488E-2</v>
      </c>
    </row>
    <row r="615" spans="1:7">
      <c r="A615" s="47">
        <v>59.53</v>
      </c>
      <c r="B615" s="47">
        <v>60.46</v>
      </c>
      <c r="C615" s="47">
        <v>57.75</v>
      </c>
      <c r="D615" s="47">
        <v>57.83</v>
      </c>
      <c r="E615" s="47">
        <v>25245569</v>
      </c>
      <c r="F615" s="47" t="s">
        <v>1921</v>
      </c>
      <c r="G615" s="46">
        <f t="shared" si="6"/>
        <v>2.9396507003285555E-2</v>
      </c>
    </row>
    <row r="616" spans="1:7">
      <c r="A616" s="47">
        <v>57.92</v>
      </c>
      <c r="B616" s="47">
        <v>59.465000000000003</v>
      </c>
      <c r="C616" s="47">
        <v>57.32</v>
      </c>
      <c r="D616" s="47">
        <v>59.31</v>
      </c>
      <c r="E616" s="47">
        <v>21506494</v>
      </c>
      <c r="F616" s="47" t="s">
        <v>1920</v>
      </c>
      <c r="G616" s="46">
        <f t="shared" si="6"/>
        <v>-2.3436182768504454E-2</v>
      </c>
    </row>
    <row r="617" spans="1:7">
      <c r="A617" s="47">
        <v>59.85</v>
      </c>
      <c r="B617" s="47">
        <v>60.38</v>
      </c>
      <c r="C617" s="47">
        <v>59.24</v>
      </c>
      <c r="D617" s="47">
        <v>59.43</v>
      </c>
      <c r="E617" s="47">
        <v>14107889</v>
      </c>
      <c r="F617" s="47" t="s">
        <v>1919</v>
      </c>
      <c r="G617" s="46">
        <f t="shared" si="6"/>
        <v>7.0671378091873294E-3</v>
      </c>
    </row>
    <row r="618" spans="1:7">
      <c r="A618" s="47">
        <v>59.65</v>
      </c>
      <c r="B618" s="47">
        <v>59.81</v>
      </c>
      <c r="C618" s="47">
        <v>57.45</v>
      </c>
      <c r="D618" s="47">
        <v>57.63</v>
      </c>
      <c r="E618" s="47">
        <v>18435700</v>
      </c>
      <c r="F618" s="47" t="s">
        <v>1918</v>
      </c>
      <c r="G618" s="46">
        <f t="shared" si="6"/>
        <v>3.5051188617039708E-2</v>
      </c>
    </row>
    <row r="619" spans="1:7">
      <c r="A619" s="47">
        <v>57.61</v>
      </c>
      <c r="B619" s="47">
        <v>58.104100000000003</v>
      </c>
      <c r="C619" s="47">
        <v>57.05</v>
      </c>
      <c r="D619" s="47">
        <v>58.05</v>
      </c>
      <c r="E619" s="47">
        <v>19039357</v>
      </c>
      <c r="F619" s="47" t="s">
        <v>1917</v>
      </c>
      <c r="G619" s="46">
        <f t="shared" si="6"/>
        <v>-7.5796726959517224E-3</v>
      </c>
    </row>
    <row r="620" spans="1:7">
      <c r="A620" s="47">
        <v>57.97</v>
      </c>
      <c r="B620" s="47">
        <v>60.2</v>
      </c>
      <c r="C620" s="47">
        <v>57.91</v>
      </c>
      <c r="D620" s="47">
        <v>59.23</v>
      </c>
      <c r="E620" s="47">
        <v>19258344</v>
      </c>
      <c r="F620" s="47" t="s">
        <v>1916</v>
      </c>
      <c r="G620" s="46">
        <f t="shared" si="6"/>
        <v>-2.1273003545500546E-2</v>
      </c>
    </row>
    <row r="621" spans="1:7">
      <c r="A621" s="47">
        <v>58.47</v>
      </c>
      <c r="B621" s="47">
        <v>58.7</v>
      </c>
      <c r="C621" s="47">
        <v>56.13</v>
      </c>
      <c r="D621" s="47">
        <v>56.47</v>
      </c>
      <c r="E621" s="47">
        <v>23957897</v>
      </c>
      <c r="F621" s="47" t="s">
        <v>1915</v>
      </c>
      <c r="G621" s="46">
        <f t="shared" si="6"/>
        <v>3.5417035594120794E-2</v>
      </c>
    </row>
    <row r="622" spans="1:7">
      <c r="A622" s="47">
        <v>56.39</v>
      </c>
      <c r="B622" s="47">
        <v>56.97</v>
      </c>
      <c r="C622" s="47">
        <v>55.71</v>
      </c>
      <c r="D622" s="47">
        <v>56</v>
      </c>
      <c r="E622" s="47">
        <v>15183844</v>
      </c>
      <c r="F622" s="47" t="s">
        <v>1914</v>
      </c>
      <c r="G622" s="46">
        <f t="shared" si="6"/>
        <v>6.9642857142857562E-3</v>
      </c>
    </row>
    <row r="623" spans="1:7">
      <c r="A623" s="47">
        <v>55.76</v>
      </c>
      <c r="B623" s="47">
        <v>56.13</v>
      </c>
      <c r="C623" s="47">
        <v>55.5501</v>
      </c>
      <c r="D623" s="47">
        <v>56</v>
      </c>
      <c r="E623" s="47">
        <v>6846559</v>
      </c>
      <c r="F623" s="47" t="s">
        <v>1913</v>
      </c>
      <c r="G623" s="46">
        <f t="shared" si="6"/>
        <v>-4.2857142857143371E-3</v>
      </c>
    </row>
    <row r="624" spans="1:7">
      <c r="A624" s="47">
        <v>56.34</v>
      </c>
      <c r="B624" s="47">
        <v>56.738599999999998</v>
      </c>
      <c r="C624" s="47">
        <v>55.62</v>
      </c>
      <c r="D624" s="47">
        <v>55.79</v>
      </c>
      <c r="E624" s="47">
        <v>11456893</v>
      </c>
      <c r="F624" s="47" t="s">
        <v>1912</v>
      </c>
      <c r="G624" s="46">
        <f t="shared" si="6"/>
        <v>9.8583975622872355E-3</v>
      </c>
    </row>
    <row r="625" spans="1:7">
      <c r="A625" s="47">
        <v>55.4</v>
      </c>
      <c r="B625" s="47">
        <v>56.63</v>
      </c>
      <c r="C625" s="47">
        <v>55.274999999999999</v>
      </c>
      <c r="D625" s="47">
        <v>56.55</v>
      </c>
      <c r="E625" s="47">
        <v>13728993</v>
      </c>
      <c r="F625" s="47" t="s">
        <v>1911</v>
      </c>
      <c r="G625" s="46">
        <f t="shared" si="6"/>
        <v>-2.0335985853227156E-2</v>
      </c>
    </row>
    <row r="626" spans="1:7">
      <c r="A626" s="47">
        <v>56.99</v>
      </c>
      <c r="B626" s="47">
        <v>57.234999999999999</v>
      </c>
      <c r="C626" s="47">
        <v>56.26</v>
      </c>
      <c r="D626" s="47">
        <v>56.54</v>
      </c>
      <c r="E626" s="47">
        <v>11416276</v>
      </c>
      <c r="F626" s="47" t="s">
        <v>1910</v>
      </c>
      <c r="G626" s="46">
        <f t="shared" si="6"/>
        <v>7.9589671029360876E-3</v>
      </c>
    </row>
    <row r="627" spans="1:7">
      <c r="A627" s="47">
        <v>56.54</v>
      </c>
      <c r="B627" s="47">
        <v>56.954999999999998</v>
      </c>
      <c r="C627" s="47">
        <v>56.351199999999999</v>
      </c>
      <c r="D627" s="47">
        <v>56.869100000000003</v>
      </c>
      <c r="E627" s="47">
        <v>12145870</v>
      </c>
      <c r="F627" s="47" t="s">
        <v>1909</v>
      </c>
      <c r="G627" s="46">
        <f t="shared" si="6"/>
        <v>-5.7869739454291524E-3</v>
      </c>
    </row>
    <row r="628" spans="1:7">
      <c r="A628" s="47">
        <v>56.82</v>
      </c>
      <c r="B628" s="47">
        <v>58.27</v>
      </c>
      <c r="C628" s="47">
        <v>56.55</v>
      </c>
      <c r="D628" s="47">
        <v>57.96</v>
      </c>
      <c r="E628" s="47">
        <v>12748590</v>
      </c>
      <c r="F628" s="47" t="s">
        <v>1908</v>
      </c>
      <c r="G628" s="46">
        <f t="shared" si="6"/>
        <v>-1.9668737060041463E-2</v>
      </c>
    </row>
    <row r="629" spans="1:7">
      <c r="A629" s="47">
        <v>58.25</v>
      </c>
      <c r="B629" s="47">
        <v>58.555</v>
      </c>
      <c r="C629" s="47">
        <v>56.99</v>
      </c>
      <c r="D629" s="47">
        <v>57.002299999999998</v>
      </c>
      <c r="E629" s="47">
        <v>15222135</v>
      </c>
      <c r="F629" s="47" t="s">
        <v>1907</v>
      </c>
      <c r="G629" s="46">
        <f t="shared" si="6"/>
        <v>2.1888590460384938E-2</v>
      </c>
    </row>
    <row r="630" spans="1:7">
      <c r="A630" s="47">
        <v>56.68</v>
      </c>
      <c r="B630" s="47">
        <v>57.185000000000002</v>
      </c>
      <c r="C630" s="47">
        <v>55.42</v>
      </c>
      <c r="D630" s="47">
        <v>55.49</v>
      </c>
      <c r="E630" s="47">
        <v>16775387</v>
      </c>
      <c r="F630" s="47" t="s">
        <v>1906</v>
      </c>
      <c r="G630" s="46">
        <f t="shared" si="6"/>
        <v>2.144530546044332E-2</v>
      </c>
    </row>
    <row r="631" spans="1:7">
      <c r="A631" s="47">
        <v>54.39</v>
      </c>
      <c r="B631" s="47">
        <v>54.72</v>
      </c>
      <c r="C631" s="47">
        <v>53.98</v>
      </c>
      <c r="D631" s="47">
        <v>54.44</v>
      </c>
      <c r="E631" s="47">
        <v>11861095</v>
      </c>
      <c r="F631" s="47" t="s">
        <v>1905</v>
      </c>
      <c r="G631" s="46">
        <f t="shared" si="6"/>
        <v>-9.184423218221438E-4</v>
      </c>
    </row>
    <row r="632" spans="1:7">
      <c r="A632" s="47">
        <v>54.77</v>
      </c>
      <c r="B632" s="47">
        <v>54.825000000000003</v>
      </c>
      <c r="C632" s="47">
        <v>53.869100000000003</v>
      </c>
      <c r="D632" s="47">
        <v>54.34</v>
      </c>
      <c r="E632" s="47">
        <v>9685048</v>
      </c>
      <c r="F632" s="47" t="s">
        <v>1904</v>
      </c>
      <c r="G632" s="46">
        <f t="shared" si="6"/>
        <v>7.9131394920868292E-3</v>
      </c>
    </row>
    <row r="633" spans="1:7">
      <c r="A633" s="47">
        <v>54.28</v>
      </c>
      <c r="B633" s="47">
        <v>56.03</v>
      </c>
      <c r="C633" s="47">
        <v>54.15</v>
      </c>
      <c r="D633" s="47">
        <v>55.8</v>
      </c>
      <c r="E633" s="47">
        <v>12568732</v>
      </c>
      <c r="F633" s="47" t="s">
        <v>1903</v>
      </c>
      <c r="G633" s="46">
        <f t="shared" si="6"/>
        <v>-2.7240143369175573E-2</v>
      </c>
    </row>
    <row r="634" spans="1:7">
      <c r="A634" s="47">
        <v>55.08</v>
      </c>
      <c r="B634" s="47">
        <v>55.83</v>
      </c>
      <c r="C634" s="47">
        <v>53.55</v>
      </c>
      <c r="D634" s="47">
        <v>54.33</v>
      </c>
      <c r="E634" s="47">
        <v>20518512</v>
      </c>
      <c r="F634" s="47" t="s">
        <v>1902</v>
      </c>
      <c r="G634" s="46">
        <f t="shared" ref="G634:G697" si="7">A634/D634-1</f>
        <v>1.3804527885146411E-2</v>
      </c>
    </row>
    <row r="635" spans="1:7">
      <c r="A635" s="47">
        <v>54.63</v>
      </c>
      <c r="B635" s="47">
        <v>55.04</v>
      </c>
      <c r="C635" s="47">
        <v>54.05</v>
      </c>
      <c r="D635" s="47">
        <v>54.44</v>
      </c>
      <c r="E635" s="47">
        <v>13038537</v>
      </c>
      <c r="F635" s="47" t="s">
        <v>1901</v>
      </c>
      <c r="G635" s="46">
        <f t="shared" si="7"/>
        <v>3.4900808229243463E-3</v>
      </c>
    </row>
    <row r="636" spans="1:7">
      <c r="A636" s="47">
        <v>54.62</v>
      </c>
      <c r="B636" s="47">
        <v>56.72</v>
      </c>
      <c r="C636" s="47">
        <v>54.185000000000002</v>
      </c>
      <c r="D636" s="47">
        <v>56.65</v>
      </c>
      <c r="E636" s="47">
        <v>17246772</v>
      </c>
      <c r="F636" s="47" t="s">
        <v>1900</v>
      </c>
      <c r="G636" s="46">
        <f t="shared" si="7"/>
        <v>-3.58340688437776E-2</v>
      </c>
    </row>
    <row r="637" spans="1:7">
      <c r="A637" s="47">
        <v>56.1</v>
      </c>
      <c r="B637" s="47">
        <v>56.27</v>
      </c>
      <c r="C637" s="47">
        <v>55.378399999999999</v>
      </c>
      <c r="D637" s="47">
        <v>55.42</v>
      </c>
      <c r="E637" s="47">
        <v>18742123</v>
      </c>
      <c r="F637" s="47" t="s">
        <v>1899</v>
      </c>
      <c r="G637" s="46">
        <f t="shared" si="7"/>
        <v>1.2269938650306678E-2</v>
      </c>
    </row>
    <row r="638" spans="1:7">
      <c r="A638" s="47">
        <v>55.06</v>
      </c>
      <c r="B638" s="47">
        <v>55.429699999999997</v>
      </c>
      <c r="C638" s="47">
        <v>52.55</v>
      </c>
      <c r="D638" s="47">
        <v>55.05</v>
      </c>
      <c r="E638" s="47">
        <v>35347996</v>
      </c>
      <c r="F638" s="47" t="s">
        <v>1898</v>
      </c>
      <c r="G638" s="46">
        <f t="shared" si="7"/>
        <v>1.8165304268857874E-4</v>
      </c>
    </row>
    <row r="639" spans="1:7">
      <c r="A639" s="47">
        <v>51.66</v>
      </c>
      <c r="B639" s="47">
        <v>52.198500000000003</v>
      </c>
      <c r="C639" s="47">
        <v>51.094999999999999</v>
      </c>
      <c r="D639" s="47">
        <v>51.91</v>
      </c>
      <c r="E639" s="47">
        <v>25259740</v>
      </c>
      <c r="F639" s="47" t="s">
        <v>1897</v>
      </c>
      <c r="G639" s="46">
        <f t="shared" si="7"/>
        <v>-4.8160277403197504E-3</v>
      </c>
    </row>
    <row r="640" spans="1:7">
      <c r="A640" s="47">
        <v>51.8</v>
      </c>
      <c r="B640" s="47">
        <v>51.89</v>
      </c>
      <c r="C640" s="47">
        <v>50.8</v>
      </c>
      <c r="D640" s="47">
        <v>51.09</v>
      </c>
      <c r="E640" s="47">
        <v>12942524</v>
      </c>
      <c r="F640" s="47" t="s">
        <v>1896</v>
      </c>
      <c r="G640" s="46">
        <f t="shared" si="7"/>
        <v>1.38970444313955E-2</v>
      </c>
    </row>
    <row r="641" spans="1:7">
      <c r="A641" s="47">
        <v>51.05</v>
      </c>
      <c r="B641" s="47">
        <v>51.445</v>
      </c>
      <c r="C641" s="47">
        <v>50.575000000000003</v>
      </c>
      <c r="D641" s="47">
        <v>50.95</v>
      </c>
      <c r="E641" s="47">
        <v>13168905</v>
      </c>
      <c r="F641" s="47" t="s">
        <v>1895</v>
      </c>
      <c r="G641" s="46">
        <f t="shared" si="7"/>
        <v>1.9627085377820208E-3</v>
      </c>
    </row>
    <row r="642" spans="1:7">
      <c r="A642" s="47">
        <v>50.39</v>
      </c>
      <c r="B642" s="47">
        <v>51.67</v>
      </c>
      <c r="C642" s="47">
        <v>50.25</v>
      </c>
      <c r="D642" s="47">
        <v>51.51</v>
      </c>
      <c r="E642" s="47">
        <v>18382714</v>
      </c>
      <c r="F642" s="47" t="s">
        <v>1894</v>
      </c>
      <c r="G642" s="46">
        <f t="shared" si="7"/>
        <v>-2.1743350805668804E-2</v>
      </c>
    </row>
    <row r="643" spans="1:7">
      <c r="A643" s="47">
        <v>51.75</v>
      </c>
      <c r="B643" s="47">
        <v>52.25</v>
      </c>
      <c r="C643" s="47">
        <v>51.06</v>
      </c>
      <c r="D643" s="47">
        <v>51.5</v>
      </c>
      <c r="E643" s="47">
        <v>17045584</v>
      </c>
      <c r="F643" s="47" t="s">
        <v>1893</v>
      </c>
      <c r="G643" s="46">
        <f t="shared" si="7"/>
        <v>4.8543689320388328E-3</v>
      </c>
    </row>
    <row r="644" spans="1:7">
      <c r="A644" s="47">
        <v>51.49</v>
      </c>
      <c r="B644" s="47">
        <v>52.78</v>
      </c>
      <c r="C644" s="47">
        <v>51.23</v>
      </c>
      <c r="D644" s="47">
        <v>52.55</v>
      </c>
      <c r="E644" s="47">
        <v>22784062</v>
      </c>
      <c r="F644" s="47" t="s">
        <v>1892</v>
      </c>
      <c r="G644" s="46">
        <f t="shared" si="7"/>
        <v>-2.0171265461465193E-2</v>
      </c>
    </row>
    <row r="645" spans="1:7">
      <c r="A645" s="47">
        <v>54.24</v>
      </c>
      <c r="B645" s="47">
        <v>54.61</v>
      </c>
      <c r="C645" s="47">
        <v>53.59</v>
      </c>
      <c r="D645" s="47">
        <v>53.88</v>
      </c>
      <c r="E645" s="47">
        <v>9733911</v>
      </c>
      <c r="F645" s="47" t="s">
        <v>1891</v>
      </c>
      <c r="G645" s="46">
        <f t="shared" si="7"/>
        <v>6.6815144766145806E-3</v>
      </c>
    </row>
    <row r="646" spans="1:7">
      <c r="A646" s="47">
        <v>53.45</v>
      </c>
      <c r="B646" s="47">
        <v>54.125</v>
      </c>
      <c r="C646" s="47">
        <v>52.65</v>
      </c>
      <c r="D646" s="47">
        <v>52.92</v>
      </c>
      <c r="E646" s="47">
        <v>13629381</v>
      </c>
      <c r="F646" s="47" t="s">
        <v>1890</v>
      </c>
      <c r="G646" s="46">
        <f t="shared" si="7"/>
        <v>1.0015117157974318E-2</v>
      </c>
    </row>
    <row r="647" spans="1:7">
      <c r="A647" s="47">
        <v>53.39</v>
      </c>
      <c r="B647" s="47">
        <v>54.47</v>
      </c>
      <c r="C647" s="47">
        <v>53.34</v>
      </c>
      <c r="D647" s="47">
        <v>53.99</v>
      </c>
      <c r="E647" s="47">
        <v>20982457</v>
      </c>
      <c r="F647" s="47" t="s">
        <v>1889</v>
      </c>
      <c r="G647" s="46">
        <f t="shared" si="7"/>
        <v>-1.1113169105389953E-2</v>
      </c>
    </row>
    <row r="648" spans="1:7">
      <c r="A648" s="47">
        <v>54.81</v>
      </c>
      <c r="B648" s="47">
        <v>56.4</v>
      </c>
      <c r="C648" s="47">
        <v>54.7</v>
      </c>
      <c r="D648" s="47">
        <v>55.66</v>
      </c>
      <c r="E648" s="47">
        <v>16298546</v>
      </c>
      <c r="F648" s="47" t="s">
        <v>1888</v>
      </c>
      <c r="G648" s="46">
        <f t="shared" si="7"/>
        <v>-1.5271289974847169E-2</v>
      </c>
    </row>
    <row r="649" spans="1:7">
      <c r="A649" s="47">
        <v>55.8</v>
      </c>
      <c r="B649" s="47">
        <v>57.097200000000001</v>
      </c>
      <c r="C649" s="47">
        <v>55.704999999999998</v>
      </c>
      <c r="D649" s="47">
        <v>56.53</v>
      </c>
      <c r="E649" s="47">
        <v>10514531</v>
      </c>
      <c r="F649" s="47" t="s">
        <v>1887</v>
      </c>
      <c r="G649" s="46">
        <f t="shared" si="7"/>
        <v>-1.2913497258093098E-2</v>
      </c>
    </row>
    <row r="650" spans="1:7">
      <c r="A650" s="47">
        <v>57.16</v>
      </c>
      <c r="B650" s="47">
        <v>57.59</v>
      </c>
      <c r="C650" s="47">
        <v>56.49</v>
      </c>
      <c r="D650" s="47">
        <v>56.51</v>
      </c>
      <c r="E650" s="47">
        <v>10325232</v>
      </c>
      <c r="F650" s="47" t="s">
        <v>1886</v>
      </c>
      <c r="G650" s="46">
        <f t="shared" si="7"/>
        <v>1.1502388957706611E-2</v>
      </c>
    </row>
    <row r="651" spans="1:7">
      <c r="A651" s="47">
        <v>57</v>
      </c>
      <c r="B651" s="47">
        <v>57.08</v>
      </c>
      <c r="C651" s="47">
        <v>55.81</v>
      </c>
      <c r="D651" s="47">
        <v>56.11</v>
      </c>
      <c r="E651" s="47">
        <v>14267715</v>
      </c>
      <c r="F651" s="47" t="s">
        <v>1885</v>
      </c>
      <c r="G651" s="46">
        <f t="shared" si="7"/>
        <v>1.586170023168787E-2</v>
      </c>
    </row>
    <row r="652" spans="1:7">
      <c r="A652" s="47">
        <v>55.75</v>
      </c>
      <c r="B652" s="47">
        <v>56.88</v>
      </c>
      <c r="C652" s="47">
        <v>55.53</v>
      </c>
      <c r="D652" s="47">
        <v>56.5</v>
      </c>
      <c r="E652" s="47">
        <v>12064800</v>
      </c>
      <c r="F652" s="47" t="s">
        <v>1884</v>
      </c>
      <c r="G652" s="46">
        <f t="shared" si="7"/>
        <v>-1.3274336283185861E-2</v>
      </c>
    </row>
    <row r="653" spans="1:7">
      <c r="A653" s="47">
        <v>56.354999999999997</v>
      </c>
      <c r="B653" s="47">
        <v>58.104999999999997</v>
      </c>
      <c r="C653" s="47">
        <v>56.24</v>
      </c>
      <c r="D653" s="47">
        <v>58.09</v>
      </c>
      <c r="E653" s="47">
        <v>13497056</v>
      </c>
      <c r="F653" s="47" t="s">
        <v>1883</v>
      </c>
      <c r="G653" s="46">
        <f t="shared" si="7"/>
        <v>-2.9867447064899411E-2</v>
      </c>
    </row>
    <row r="654" spans="1:7">
      <c r="A654" s="47">
        <v>58.07</v>
      </c>
      <c r="B654" s="47">
        <v>58.89</v>
      </c>
      <c r="C654" s="47">
        <v>57.58</v>
      </c>
      <c r="D654" s="47">
        <v>58.11</v>
      </c>
      <c r="E654" s="47">
        <v>10866196</v>
      </c>
      <c r="F654" s="47" t="s">
        <v>1882</v>
      </c>
      <c r="G654" s="46">
        <f t="shared" si="7"/>
        <v>-6.8834968163822285E-4</v>
      </c>
    </row>
    <row r="655" spans="1:7">
      <c r="A655" s="47">
        <v>57.72</v>
      </c>
      <c r="B655" s="47">
        <v>58.5</v>
      </c>
      <c r="C655" s="47">
        <v>57.41</v>
      </c>
      <c r="D655" s="47">
        <v>57.96</v>
      </c>
      <c r="E655" s="47">
        <v>17455196</v>
      </c>
      <c r="F655" s="47" t="s">
        <v>1881</v>
      </c>
      <c r="G655" s="46">
        <f t="shared" si="7"/>
        <v>-4.1407867494824835E-3</v>
      </c>
    </row>
    <row r="656" spans="1:7">
      <c r="A656" s="47">
        <v>57.96</v>
      </c>
      <c r="B656" s="47">
        <v>58.09</v>
      </c>
      <c r="C656" s="47">
        <v>56.317500000000003</v>
      </c>
      <c r="D656" s="47">
        <v>56.994999999999997</v>
      </c>
      <c r="E656" s="47">
        <v>10376590</v>
      </c>
      <c r="F656" s="47" t="s">
        <v>1880</v>
      </c>
      <c r="G656" s="46">
        <f t="shared" si="7"/>
        <v>1.6931309764014468E-2</v>
      </c>
    </row>
    <row r="657" spans="1:7">
      <c r="A657" s="47">
        <v>57.77</v>
      </c>
      <c r="B657" s="47">
        <v>58.248199999999997</v>
      </c>
      <c r="C657" s="47">
        <v>55.86</v>
      </c>
      <c r="D657" s="47">
        <v>56.83</v>
      </c>
      <c r="E657" s="47">
        <v>18348602</v>
      </c>
      <c r="F657" s="47" t="s">
        <v>1879</v>
      </c>
      <c r="G657" s="46">
        <f t="shared" si="7"/>
        <v>1.6540559563610779E-2</v>
      </c>
    </row>
    <row r="658" spans="1:7">
      <c r="A658" s="47">
        <v>57.48</v>
      </c>
      <c r="B658" s="47">
        <v>58.66</v>
      </c>
      <c r="C658" s="47">
        <v>57.26</v>
      </c>
      <c r="D658" s="47">
        <v>58.39</v>
      </c>
      <c r="E658" s="47">
        <v>13037220</v>
      </c>
      <c r="F658" s="47" t="s">
        <v>1878</v>
      </c>
      <c r="G658" s="46">
        <f t="shared" si="7"/>
        <v>-1.5584860421305136E-2</v>
      </c>
    </row>
    <row r="659" spans="1:7">
      <c r="A659" s="47">
        <v>58.57</v>
      </c>
      <c r="B659" s="47">
        <v>58.655000000000001</v>
      </c>
      <c r="C659" s="47">
        <v>57.31</v>
      </c>
      <c r="D659" s="47">
        <v>58.11</v>
      </c>
      <c r="E659" s="47">
        <v>11019567</v>
      </c>
      <c r="F659" s="47" t="s">
        <v>1877</v>
      </c>
      <c r="G659" s="46">
        <f t="shared" si="7"/>
        <v>7.9160213388400624E-3</v>
      </c>
    </row>
    <row r="660" spans="1:7">
      <c r="A660" s="47">
        <v>57.3</v>
      </c>
      <c r="B660" s="47">
        <v>58.65</v>
      </c>
      <c r="C660" s="47">
        <v>57.12</v>
      </c>
      <c r="D660" s="47">
        <v>57.89</v>
      </c>
      <c r="E660" s="47">
        <v>12013961</v>
      </c>
      <c r="F660" s="47" t="s">
        <v>1876</v>
      </c>
      <c r="G660" s="46">
        <f t="shared" si="7"/>
        <v>-1.0191742960787731E-2</v>
      </c>
    </row>
    <row r="661" spans="1:7">
      <c r="A661" s="47">
        <v>58.56</v>
      </c>
      <c r="B661" s="47">
        <v>59.64</v>
      </c>
      <c r="C661" s="47">
        <v>58.005000000000003</v>
      </c>
      <c r="D661" s="47">
        <v>58.62</v>
      </c>
      <c r="E661" s="47">
        <v>12961469</v>
      </c>
      <c r="F661" s="47" t="s">
        <v>1875</v>
      </c>
      <c r="G661" s="46">
        <f t="shared" si="7"/>
        <v>-1.0235414534287557E-3</v>
      </c>
    </row>
    <row r="662" spans="1:7">
      <c r="A662" s="47">
        <v>58.46</v>
      </c>
      <c r="B662" s="47">
        <v>59.33</v>
      </c>
      <c r="C662" s="47">
        <v>58.07</v>
      </c>
      <c r="D662" s="47">
        <v>58.85</v>
      </c>
      <c r="E662" s="47">
        <v>10550327</v>
      </c>
      <c r="F662" s="47" t="s">
        <v>1874</v>
      </c>
      <c r="G662" s="46">
        <f t="shared" si="7"/>
        <v>-6.6270178419711723E-3</v>
      </c>
    </row>
    <row r="663" spans="1:7">
      <c r="A663" s="47">
        <v>58.18</v>
      </c>
      <c r="B663" s="47">
        <v>58.46</v>
      </c>
      <c r="C663" s="47">
        <v>57.02</v>
      </c>
      <c r="D663" s="47">
        <v>57.41</v>
      </c>
      <c r="E663" s="47">
        <v>11387580</v>
      </c>
      <c r="F663" s="47" t="s">
        <v>1873</v>
      </c>
      <c r="G663" s="46">
        <f t="shared" si="7"/>
        <v>1.3412297509144855E-2</v>
      </c>
    </row>
    <row r="664" spans="1:7">
      <c r="A664" s="47">
        <v>57.34</v>
      </c>
      <c r="B664" s="47">
        <v>59.57</v>
      </c>
      <c r="C664" s="47">
        <v>56.53</v>
      </c>
      <c r="D664" s="47">
        <v>59.05</v>
      </c>
      <c r="E664" s="47">
        <v>19170995</v>
      </c>
      <c r="F664" s="47" t="s">
        <v>1872</v>
      </c>
      <c r="G664" s="46">
        <f t="shared" si="7"/>
        <v>-2.8958509737510463E-2</v>
      </c>
    </row>
    <row r="665" spans="1:7">
      <c r="A665" s="47">
        <v>58.93</v>
      </c>
      <c r="B665" s="47">
        <v>59.225000000000001</v>
      </c>
      <c r="C665" s="47">
        <v>58.23</v>
      </c>
      <c r="D665" s="47">
        <v>58.3</v>
      </c>
      <c r="E665" s="47">
        <v>11111926</v>
      </c>
      <c r="F665" s="47" t="s">
        <v>1871</v>
      </c>
      <c r="G665" s="46">
        <f t="shared" si="7"/>
        <v>1.0806174957118442E-2</v>
      </c>
    </row>
    <row r="666" spans="1:7">
      <c r="A666" s="47">
        <v>58.86</v>
      </c>
      <c r="B666" s="47">
        <v>58.9</v>
      </c>
      <c r="C666" s="47">
        <v>57.512</v>
      </c>
      <c r="D666" s="47">
        <v>57.54</v>
      </c>
      <c r="E666" s="47">
        <v>11493781</v>
      </c>
      <c r="F666" s="47" t="s">
        <v>1870</v>
      </c>
      <c r="G666" s="46">
        <f t="shared" si="7"/>
        <v>2.294056308654846E-2</v>
      </c>
    </row>
    <row r="667" spans="1:7">
      <c r="A667" s="47">
        <v>57.88</v>
      </c>
      <c r="B667" s="47">
        <v>59.19</v>
      </c>
      <c r="C667" s="47">
        <v>57.835000000000001</v>
      </c>
      <c r="D667" s="47">
        <v>59.02</v>
      </c>
      <c r="E667" s="47">
        <v>12756724</v>
      </c>
      <c r="F667" s="47" t="s">
        <v>1869</v>
      </c>
      <c r="G667" s="46">
        <f t="shared" si="7"/>
        <v>-1.9315486275838678E-2</v>
      </c>
    </row>
    <row r="668" spans="1:7">
      <c r="A668" s="47">
        <v>58.62</v>
      </c>
      <c r="B668" s="47">
        <v>60.305</v>
      </c>
      <c r="C668" s="47">
        <v>58.613999999999997</v>
      </c>
      <c r="D668" s="47">
        <v>59.95</v>
      </c>
      <c r="E668" s="47">
        <v>15360965</v>
      </c>
      <c r="F668" s="47" t="s">
        <v>1868</v>
      </c>
      <c r="G668" s="46">
        <f t="shared" si="7"/>
        <v>-2.2185154295246146E-2</v>
      </c>
    </row>
    <row r="669" spans="1:7">
      <c r="A669" s="47">
        <v>60.86</v>
      </c>
      <c r="B669" s="47">
        <v>62.62</v>
      </c>
      <c r="C669" s="47">
        <v>60.83</v>
      </c>
      <c r="D669" s="47">
        <v>62.56</v>
      </c>
      <c r="E669" s="47">
        <v>11138922</v>
      </c>
      <c r="F669" s="47" t="s">
        <v>1867</v>
      </c>
      <c r="G669" s="46">
        <f t="shared" si="7"/>
        <v>-2.7173913043478271E-2</v>
      </c>
    </row>
    <row r="670" spans="1:7">
      <c r="A670" s="47">
        <v>62.19</v>
      </c>
      <c r="B670" s="47">
        <v>62.42</v>
      </c>
      <c r="C670" s="47">
        <v>61.451799999999999</v>
      </c>
      <c r="D670" s="47">
        <v>62.1</v>
      </c>
      <c r="E670" s="47">
        <v>11446549</v>
      </c>
      <c r="F670" s="47" t="s">
        <v>1866</v>
      </c>
      <c r="G670" s="46">
        <f t="shared" si="7"/>
        <v>1.4492753623187582E-3</v>
      </c>
    </row>
    <row r="671" spans="1:7">
      <c r="A671" s="47">
        <v>62.94</v>
      </c>
      <c r="B671" s="47">
        <v>63.515000000000001</v>
      </c>
      <c r="C671" s="47">
        <v>62.75</v>
      </c>
      <c r="D671" s="47">
        <v>63.35</v>
      </c>
      <c r="E671" s="47">
        <v>14049970</v>
      </c>
      <c r="F671" s="47" t="s">
        <v>1865</v>
      </c>
      <c r="G671" s="46">
        <f t="shared" si="7"/>
        <v>-6.4719810576164827E-3</v>
      </c>
    </row>
    <row r="672" spans="1:7">
      <c r="A672" s="47">
        <v>64.209999999999994</v>
      </c>
      <c r="B672" s="47">
        <v>65.73</v>
      </c>
      <c r="C672" s="47">
        <v>63.91</v>
      </c>
      <c r="D672" s="47">
        <v>64.66</v>
      </c>
      <c r="E672" s="47">
        <v>21843532</v>
      </c>
      <c r="F672" s="47" t="s">
        <v>1864</v>
      </c>
      <c r="G672" s="46">
        <f t="shared" si="7"/>
        <v>-6.9594803587998966E-3</v>
      </c>
    </row>
    <row r="673" spans="1:7">
      <c r="A673" s="47">
        <v>64.44</v>
      </c>
      <c r="B673" s="47">
        <v>64.599999999999994</v>
      </c>
      <c r="C673" s="47">
        <v>63.31</v>
      </c>
      <c r="D673" s="47">
        <v>63.89</v>
      </c>
      <c r="E673" s="47">
        <v>14564692</v>
      </c>
      <c r="F673" s="47" t="s">
        <v>1863</v>
      </c>
      <c r="G673" s="46">
        <f t="shared" si="7"/>
        <v>8.60854593833138E-3</v>
      </c>
    </row>
    <row r="674" spans="1:7">
      <c r="A674" s="47">
        <v>62.84</v>
      </c>
      <c r="B674" s="47">
        <v>63.32</v>
      </c>
      <c r="C674" s="47">
        <v>62.164999999999999</v>
      </c>
      <c r="D674" s="47">
        <v>62.81</v>
      </c>
      <c r="E674" s="47">
        <v>9426567</v>
      </c>
      <c r="F674" s="47" t="s">
        <v>1862</v>
      </c>
      <c r="G674" s="46">
        <f t="shared" si="7"/>
        <v>4.7763095048569681E-4</v>
      </c>
    </row>
    <row r="675" spans="1:7">
      <c r="A675" s="47">
        <v>62.81</v>
      </c>
      <c r="B675" s="47">
        <v>63.69</v>
      </c>
      <c r="C675" s="47">
        <v>61.76</v>
      </c>
      <c r="D675" s="47">
        <v>61.88</v>
      </c>
      <c r="E675" s="47">
        <v>12224288</v>
      </c>
      <c r="F675" s="47" t="s">
        <v>1861</v>
      </c>
      <c r="G675" s="46">
        <f t="shared" si="7"/>
        <v>1.502908855850027E-2</v>
      </c>
    </row>
    <row r="676" spans="1:7">
      <c r="A676" s="47">
        <v>61.93</v>
      </c>
      <c r="B676" s="47">
        <v>62.26</v>
      </c>
      <c r="C676" s="47">
        <v>61.27</v>
      </c>
      <c r="D676" s="47">
        <v>61.73</v>
      </c>
      <c r="E676" s="47">
        <v>12280056</v>
      </c>
      <c r="F676" s="47" t="s">
        <v>1860</v>
      </c>
      <c r="G676" s="46">
        <f t="shared" si="7"/>
        <v>3.239915762190293E-3</v>
      </c>
    </row>
    <row r="677" spans="1:7">
      <c r="A677" s="47">
        <v>60.98</v>
      </c>
      <c r="B677" s="47">
        <v>61.81</v>
      </c>
      <c r="C677" s="47">
        <v>60.31</v>
      </c>
      <c r="D677" s="47">
        <v>61.58</v>
      </c>
      <c r="E677" s="47">
        <v>15373809</v>
      </c>
      <c r="F677" s="47" t="s">
        <v>1859</v>
      </c>
      <c r="G677" s="46">
        <f t="shared" si="7"/>
        <v>-9.7434231893471779E-3</v>
      </c>
    </row>
    <row r="678" spans="1:7">
      <c r="A678" s="47">
        <v>61.65</v>
      </c>
      <c r="B678" s="47">
        <v>62.09</v>
      </c>
      <c r="C678" s="47">
        <v>61.12</v>
      </c>
      <c r="D678" s="47">
        <v>62</v>
      </c>
      <c r="E678" s="47">
        <v>12712690</v>
      </c>
      <c r="F678" s="47" t="s">
        <v>1858</v>
      </c>
      <c r="G678" s="46">
        <f t="shared" si="7"/>
        <v>-5.6451612903225534E-3</v>
      </c>
    </row>
    <row r="679" spans="1:7">
      <c r="A679" s="47">
        <v>62.8</v>
      </c>
      <c r="B679" s="47">
        <v>63.84</v>
      </c>
      <c r="C679" s="47">
        <v>62.68</v>
      </c>
      <c r="D679" s="47">
        <v>63.12</v>
      </c>
      <c r="E679" s="47">
        <v>13621277</v>
      </c>
      <c r="F679" s="47" t="s">
        <v>1857</v>
      </c>
      <c r="G679" s="46">
        <f t="shared" si="7"/>
        <v>-5.069708491761693E-3</v>
      </c>
    </row>
    <row r="680" spans="1:7">
      <c r="A680" s="47">
        <v>63.74</v>
      </c>
      <c r="B680" s="47">
        <v>64.180000000000007</v>
      </c>
      <c r="C680" s="47">
        <v>63.034999999999997</v>
      </c>
      <c r="D680" s="47">
        <v>63.38</v>
      </c>
      <c r="E680" s="47">
        <v>12739127</v>
      </c>
      <c r="F680" s="47" t="s">
        <v>1856</v>
      </c>
      <c r="G680" s="46">
        <f t="shared" si="7"/>
        <v>5.6800252445565746E-3</v>
      </c>
    </row>
    <row r="681" spans="1:7">
      <c r="A681" s="47">
        <v>63.57</v>
      </c>
      <c r="B681" s="47">
        <v>63.65</v>
      </c>
      <c r="C681" s="47">
        <v>62.732700000000001</v>
      </c>
      <c r="D681" s="47">
        <v>63.13</v>
      </c>
      <c r="E681" s="47">
        <v>11715190</v>
      </c>
      <c r="F681" s="47" t="s">
        <v>1855</v>
      </c>
      <c r="G681" s="46">
        <f t="shared" si="7"/>
        <v>6.9697449706953574E-3</v>
      </c>
    </row>
    <row r="682" spans="1:7">
      <c r="A682" s="47">
        <v>62.51</v>
      </c>
      <c r="B682" s="47">
        <v>63.41</v>
      </c>
      <c r="C682" s="47">
        <v>62.45</v>
      </c>
      <c r="D682" s="47">
        <v>62.72</v>
      </c>
      <c r="E682" s="47">
        <v>13840232</v>
      </c>
      <c r="F682" s="47" t="s">
        <v>1854</v>
      </c>
      <c r="G682" s="46">
        <f t="shared" si="7"/>
        <v>-3.3482142857143016E-3</v>
      </c>
    </row>
    <row r="683" spans="1:7">
      <c r="A683" s="47">
        <v>63.42</v>
      </c>
      <c r="B683" s="47">
        <v>63.47</v>
      </c>
      <c r="C683" s="47">
        <v>62.120399999999997</v>
      </c>
      <c r="D683" s="47">
        <v>62.38</v>
      </c>
      <c r="E683" s="47">
        <v>12040994</v>
      </c>
      <c r="F683" s="47" t="s">
        <v>1853</v>
      </c>
      <c r="G683" s="46">
        <f t="shared" si="7"/>
        <v>1.6672010259698666E-2</v>
      </c>
    </row>
    <row r="684" spans="1:7">
      <c r="A684" s="47">
        <v>62.5</v>
      </c>
      <c r="B684" s="47">
        <v>62.74</v>
      </c>
      <c r="C684" s="47">
        <v>61.53</v>
      </c>
      <c r="D684" s="47">
        <v>61.63</v>
      </c>
      <c r="E684" s="47">
        <v>11627635</v>
      </c>
      <c r="F684" s="47" t="s">
        <v>1852</v>
      </c>
      <c r="G684" s="46">
        <f t="shared" si="7"/>
        <v>1.41165017037157E-2</v>
      </c>
    </row>
    <row r="685" spans="1:7">
      <c r="A685" s="47">
        <v>61.67</v>
      </c>
      <c r="B685" s="47">
        <v>61.96</v>
      </c>
      <c r="C685" s="47">
        <v>61.03</v>
      </c>
      <c r="D685" s="47">
        <v>61.59</v>
      </c>
      <c r="E685" s="47">
        <v>10459264</v>
      </c>
      <c r="F685" s="47" t="s">
        <v>1851</v>
      </c>
      <c r="G685" s="46">
        <f t="shared" si="7"/>
        <v>1.2989121610651466E-3</v>
      </c>
    </row>
    <row r="686" spans="1:7">
      <c r="A686" s="47">
        <v>61.19</v>
      </c>
      <c r="B686" s="47">
        <v>61.6</v>
      </c>
      <c r="C686" s="47">
        <v>60.08</v>
      </c>
      <c r="D686" s="47">
        <v>60.99</v>
      </c>
      <c r="E686" s="47">
        <v>11150109</v>
      </c>
      <c r="F686" s="47" t="s">
        <v>1850</v>
      </c>
      <c r="G686" s="46">
        <f t="shared" si="7"/>
        <v>3.279226102639754E-3</v>
      </c>
    </row>
    <row r="687" spans="1:7">
      <c r="A687" s="47">
        <v>60.71</v>
      </c>
      <c r="B687" s="47">
        <v>61.92</v>
      </c>
      <c r="C687" s="47">
        <v>60.621000000000002</v>
      </c>
      <c r="D687" s="47">
        <v>61.69</v>
      </c>
      <c r="E687" s="47">
        <v>12846929</v>
      </c>
      <c r="F687" s="47" t="s">
        <v>1849</v>
      </c>
      <c r="G687" s="46">
        <f t="shared" si="7"/>
        <v>-1.5885881017993153E-2</v>
      </c>
    </row>
    <row r="688" spans="1:7">
      <c r="A688" s="47">
        <v>61.76</v>
      </c>
      <c r="B688" s="47">
        <v>62.37</v>
      </c>
      <c r="C688" s="47">
        <v>60.93</v>
      </c>
      <c r="D688" s="47">
        <v>61.28</v>
      </c>
      <c r="E688" s="47">
        <v>13105368</v>
      </c>
      <c r="F688" s="47" t="s">
        <v>1848</v>
      </c>
      <c r="G688" s="46">
        <f t="shared" si="7"/>
        <v>7.8328981723236879E-3</v>
      </c>
    </row>
    <row r="689" spans="1:7">
      <c r="A689" s="47">
        <v>60.98</v>
      </c>
      <c r="B689" s="47">
        <v>61.314999999999998</v>
      </c>
      <c r="C689" s="47">
        <v>59.61</v>
      </c>
      <c r="D689" s="47">
        <v>59.92</v>
      </c>
      <c r="E689" s="47">
        <v>17364192</v>
      </c>
      <c r="F689" s="47" t="s">
        <v>1847</v>
      </c>
      <c r="G689" s="46">
        <f t="shared" si="7"/>
        <v>1.7690253671561962E-2</v>
      </c>
    </row>
    <row r="690" spans="1:7">
      <c r="A690" s="47">
        <v>59.51</v>
      </c>
      <c r="B690" s="47">
        <v>59.768900000000002</v>
      </c>
      <c r="C690" s="47">
        <v>58.75</v>
      </c>
      <c r="D690" s="47">
        <v>59.46</v>
      </c>
      <c r="E690" s="47">
        <v>14133676</v>
      </c>
      <c r="F690" s="47" t="s">
        <v>1846</v>
      </c>
      <c r="G690" s="46">
        <f t="shared" si="7"/>
        <v>8.4090144635040609E-4</v>
      </c>
    </row>
    <row r="691" spans="1:7">
      <c r="A691" s="47">
        <v>59.42</v>
      </c>
      <c r="B691" s="47">
        <v>59.8</v>
      </c>
      <c r="C691" s="47">
        <v>57.29</v>
      </c>
      <c r="D691" s="47">
        <v>57.39</v>
      </c>
      <c r="E691" s="47">
        <v>19035887</v>
      </c>
      <c r="F691" s="47" t="s">
        <v>1845</v>
      </c>
      <c r="G691" s="46">
        <f t="shared" si="7"/>
        <v>3.5372016030667419E-2</v>
      </c>
    </row>
    <row r="692" spans="1:7">
      <c r="A692" s="47">
        <v>58.6</v>
      </c>
      <c r="B692" s="47">
        <v>59.195</v>
      </c>
      <c r="C692" s="47">
        <v>58.15</v>
      </c>
      <c r="D692" s="47">
        <v>59.01</v>
      </c>
      <c r="E692" s="47">
        <v>20616663</v>
      </c>
      <c r="F692" s="47" t="s">
        <v>1844</v>
      </c>
      <c r="G692" s="46">
        <f t="shared" si="7"/>
        <v>-6.9479749195051621E-3</v>
      </c>
    </row>
    <row r="693" spans="1:7">
      <c r="A693" s="47">
        <v>59.68</v>
      </c>
      <c r="B693" s="47">
        <v>60.185000000000002</v>
      </c>
      <c r="C693" s="47">
        <v>59.26</v>
      </c>
      <c r="D693" s="47">
        <v>59.44</v>
      </c>
      <c r="E693" s="47">
        <v>16592736</v>
      </c>
      <c r="F693" s="47" t="s">
        <v>1843</v>
      </c>
      <c r="G693" s="46">
        <f t="shared" si="7"/>
        <v>4.0376850605652326E-3</v>
      </c>
    </row>
    <row r="694" spans="1:7">
      <c r="A694" s="47">
        <v>59.47</v>
      </c>
      <c r="B694" s="47">
        <v>62.77</v>
      </c>
      <c r="C694" s="47">
        <v>59.4</v>
      </c>
      <c r="D694" s="47">
        <v>62.76</v>
      </c>
      <c r="E694" s="47">
        <v>32003469</v>
      </c>
      <c r="F694" s="47" t="s">
        <v>1842</v>
      </c>
      <c r="G694" s="46">
        <f t="shared" si="7"/>
        <v>-5.2421924792861674E-2</v>
      </c>
    </row>
    <row r="695" spans="1:7">
      <c r="A695" s="47">
        <v>63.27</v>
      </c>
      <c r="B695" s="47">
        <v>63.44</v>
      </c>
      <c r="C695" s="47">
        <v>61.68</v>
      </c>
      <c r="D695" s="47">
        <v>62.15</v>
      </c>
      <c r="E695" s="47">
        <v>22668025</v>
      </c>
      <c r="F695" s="47" t="s">
        <v>1841</v>
      </c>
      <c r="G695" s="46">
        <f t="shared" si="7"/>
        <v>1.8020917135961545E-2</v>
      </c>
    </row>
    <row r="696" spans="1:7">
      <c r="A696" s="47">
        <v>61.54</v>
      </c>
      <c r="B696" s="47">
        <v>62.5</v>
      </c>
      <c r="C696" s="47">
        <v>61.47</v>
      </c>
      <c r="D696" s="47">
        <v>62.27</v>
      </c>
      <c r="E696" s="47">
        <v>12419259</v>
      </c>
      <c r="F696" s="47" t="s">
        <v>1840</v>
      </c>
      <c r="G696" s="46">
        <f t="shared" si="7"/>
        <v>-1.1723141159466932E-2</v>
      </c>
    </row>
    <row r="697" spans="1:7">
      <c r="A697" s="47">
        <v>62.79</v>
      </c>
      <c r="B697" s="47">
        <v>63.05</v>
      </c>
      <c r="C697" s="47">
        <v>62.075000000000003</v>
      </c>
      <c r="D697" s="47">
        <v>62.6</v>
      </c>
      <c r="E697" s="47">
        <v>13119082</v>
      </c>
      <c r="F697" s="47" t="s">
        <v>1839</v>
      </c>
      <c r="G697" s="46">
        <f t="shared" si="7"/>
        <v>3.0351437699680517E-3</v>
      </c>
    </row>
    <row r="698" spans="1:7">
      <c r="A698" s="47">
        <v>62.02</v>
      </c>
      <c r="B698" s="47">
        <v>63.39</v>
      </c>
      <c r="C698" s="47">
        <v>61.93</v>
      </c>
      <c r="D698" s="47">
        <v>63.1</v>
      </c>
      <c r="E698" s="47">
        <v>13788674</v>
      </c>
      <c r="F698" s="47" t="s">
        <v>1838</v>
      </c>
      <c r="G698" s="46">
        <f t="shared" ref="G698:G761" si="8">A698/D698-1</f>
        <v>-1.7115689381933419E-2</v>
      </c>
    </row>
    <row r="699" spans="1:7">
      <c r="A699" s="47">
        <v>63.19</v>
      </c>
      <c r="B699" s="47">
        <v>63.99</v>
      </c>
      <c r="C699" s="47">
        <v>62.49</v>
      </c>
      <c r="D699" s="47">
        <v>63.77</v>
      </c>
      <c r="E699" s="47">
        <v>17683725</v>
      </c>
      <c r="F699" s="47" t="s">
        <v>1837</v>
      </c>
      <c r="G699" s="46">
        <f t="shared" si="8"/>
        <v>-9.0951858240553296E-3</v>
      </c>
    </row>
    <row r="700" spans="1:7">
      <c r="A700" s="47">
        <v>64.42</v>
      </c>
      <c r="B700" s="47">
        <v>64.75</v>
      </c>
      <c r="C700" s="47">
        <v>62.2</v>
      </c>
      <c r="D700" s="47">
        <v>63.02</v>
      </c>
      <c r="E700" s="47">
        <v>23738026</v>
      </c>
      <c r="F700" s="47" t="s">
        <v>1836</v>
      </c>
      <c r="G700" s="46">
        <f t="shared" si="8"/>
        <v>2.2215169787369149E-2</v>
      </c>
    </row>
    <row r="701" spans="1:7">
      <c r="A701" s="47">
        <v>62.75</v>
      </c>
      <c r="B701" s="47">
        <v>64.97</v>
      </c>
      <c r="C701" s="47">
        <v>62.658499999999997</v>
      </c>
      <c r="D701" s="47">
        <v>64.8</v>
      </c>
      <c r="E701" s="47">
        <v>25279502</v>
      </c>
      <c r="F701" s="47" t="s">
        <v>1835</v>
      </c>
      <c r="G701" s="46">
        <f t="shared" si="8"/>
        <v>-3.1635802469135776E-2</v>
      </c>
    </row>
    <row r="702" spans="1:7">
      <c r="A702" s="47">
        <v>64.180000000000007</v>
      </c>
      <c r="B702" s="47">
        <v>66.930000000000007</v>
      </c>
      <c r="C702" s="47">
        <v>64.099999999999994</v>
      </c>
      <c r="D702" s="47">
        <v>66.7</v>
      </c>
      <c r="E702" s="47">
        <v>51387329</v>
      </c>
      <c r="F702" s="47" t="s">
        <v>1834</v>
      </c>
      <c r="G702" s="46">
        <f t="shared" si="8"/>
        <v>-3.778110944527735E-2</v>
      </c>
    </row>
    <row r="703" spans="1:7">
      <c r="A703" s="47">
        <v>73.2</v>
      </c>
      <c r="B703" s="47">
        <v>74.989999999999995</v>
      </c>
      <c r="C703" s="47">
        <v>72.5</v>
      </c>
      <c r="D703" s="47">
        <v>74.38</v>
      </c>
      <c r="E703" s="47">
        <v>24567820</v>
      </c>
      <c r="F703" s="47" t="s">
        <v>1833</v>
      </c>
      <c r="G703" s="46">
        <f t="shared" si="8"/>
        <v>-1.5864479698843637E-2</v>
      </c>
    </row>
    <row r="704" spans="1:7">
      <c r="A704" s="47">
        <v>75.53</v>
      </c>
      <c r="B704" s="47">
        <v>76.28</v>
      </c>
      <c r="C704" s="47">
        <v>74.56</v>
      </c>
      <c r="D704" s="47">
        <v>76.19</v>
      </c>
      <c r="E704" s="47">
        <v>14658692</v>
      </c>
      <c r="F704" s="47" t="s">
        <v>1832</v>
      </c>
      <c r="G704" s="46">
        <f t="shared" si="8"/>
        <v>-8.6625541409632856E-3</v>
      </c>
    </row>
    <row r="705" spans="1:7">
      <c r="A705" s="47">
        <v>75.819999999999993</v>
      </c>
      <c r="B705" s="47">
        <v>76.540000000000006</v>
      </c>
      <c r="C705" s="47">
        <v>74.739999999999995</v>
      </c>
      <c r="D705" s="47">
        <v>74.900000000000006</v>
      </c>
      <c r="E705" s="47">
        <v>15661095</v>
      </c>
      <c r="F705" s="47" t="s">
        <v>1831</v>
      </c>
      <c r="G705" s="46">
        <f t="shared" si="8"/>
        <v>1.2283044058744919E-2</v>
      </c>
    </row>
    <row r="706" spans="1:7">
      <c r="A706" s="47">
        <v>73.98</v>
      </c>
      <c r="B706" s="47">
        <v>74.19</v>
      </c>
      <c r="C706" s="47">
        <v>72.959999999999994</v>
      </c>
      <c r="D706" s="47">
        <v>73.040000000000006</v>
      </c>
      <c r="E706" s="47">
        <v>10191925</v>
      </c>
      <c r="F706" s="47" t="s">
        <v>1830</v>
      </c>
      <c r="G706" s="46">
        <f t="shared" si="8"/>
        <v>1.2869660460021803E-2</v>
      </c>
    </row>
    <row r="707" spans="1:7">
      <c r="A707" s="47">
        <v>72.03</v>
      </c>
      <c r="B707" s="47">
        <v>75.055000000000007</v>
      </c>
      <c r="C707" s="47">
        <v>71.81</v>
      </c>
      <c r="D707" s="47">
        <v>74.33</v>
      </c>
      <c r="E707" s="47">
        <v>11836586</v>
      </c>
      <c r="F707" s="47" t="s">
        <v>1829</v>
      </c>
      <c r="G707" s="46">
        <f t="shared" si="8"/>
        <v>-3.0943091618458207E-2</v>
      </c>
    </row>
    <row r="708" spans="1:7">
      <c r="A708" s="47">
        <v>73.430000000000007</v>
      </c>
      <c r="B708" s="47">
        <v>73.760000000000005</v>
      </c>
      <c r="C708" s="47">
        <v>72.41</v>
      </c>
      <c r="D708" s="47">
        <v>72.89</v>
      </c>
      <c r="E708" s="47">
        <v>11332514</v>
      </c>
      <c r="F708" s="47" t="s">
        <v>1828</v>
      </c>
      <c r="G708" s="46">
        <f t="shared" si="8"/>
        <v>7.4084236520786106E-3</v>
      </c>
    </row>
    <row r="709" spans="1:7">
      <c r="A709" s="47">
        <v>72.959999999999994</v>
      </c>
      <c r="B709" s="47">
        <v>74.3</v>
      </c>
      <c r="C709" s="47">
        <v>72.94</v>
      </c>
      <c r="D709" s="47">
        <v>73.680000000000007</v>
      </c>
      <c r="E709" s="47">
        <v>8535991</v>
      </c>
      <c r="F709" s="47" t="s">
        <v>1827</v>
      </c>
      <c r="G709" s="46">
        <f t="shared" si="8"/>
        <v>-9.7719869706842655E-3</v>
      </c>
    </row>
    <row r="710" spans="1:7">
      <c r="A710" s="47">
        <v>73.69</v>
      </c>
      <c r="B710" s="47">
        <v>73.97</v>
      </c>
      <c r="C710" s="47">
        <v>73.015000000000001</v>
      </c>
      <c r="D710" s="47">
        <v>73.040000000000006</v>
      </c>
      <c r="E710" s="47">
        <v>8854191</v>
      </c>
      <c r="F710" s="47" t="s">
        <v>1826</v>
      </c>
      <c r="G710" s="46">
        <f t="shared" si="8"/>
        <v>8.8992332968236276E-3</v>
      </c>
    </row>
    <row r="711" spans="1:7">
      <c r="A711" s="47">
        <v>72.989999999999995</v>
      </c>
      <c r="B711" s="47">
        <v>73.62</v>
      </c>
      <c r="C711" s="47">
        <v>71.83</v>
      </c>
      <c r="D711" s="47">
        <v>72.73</v>
      </c>
      <c r="E711" s="47">
        <v>25514976</v>
      </c>
      <c r="F711" s="47" t="s">
        <v>1825</v>
      </c>
      <c r="G711" s="46">
        <f t="shared" si="8"/>
        <v>3.5748659425269835E-3</v>
      </c>
    </row>
    <row r="712" spans="1:7">
      <c r="A712" s="47">
        <v>73.02</v>
      </c>
      <c r="B712" s="47">
        <v>74.680000000000007</v>
      </c>
      <c r="C712" s="47">
        <v>72.8</v>
      </c>
      <c r="D712" s="47">
        <v>72.819999999999993</v>
      </c>
      <c r="E712" s="47">
        <v>14221125</v>
      </c>
      <c r="F712" s="47" t="s">
        <v>1824</v>
      </c>
      <c r="G712" s="46">
        <f t="shared" si="8"/>
        <v>2.7464982147762385E-3</v>
      </c>
    </row>
    <row r="713" spans="1:7">
      <c r="A713" s="47">
        <v>74.22</v>
      </c>
      <c r="B713" s="47">
        <v>75.040000000000006</v>
      </c>
      <c r="C713" s="47">
        <v>73.900000000000006</v>
      </c>
      <c r="D713" s="47">
        <v>74.47</v>
      </c>
      <c r="E713" s="47">
        <v>12167232</v>
      </c>
      <c r="F713" s="47" t="s">
        <v>1823</v>
      </c>
      <c r="G713" s="46">
        <f t="shared" si="8"/>
        <v>-3.3570565328320257E-3</v>
      </c>
    </row>
    <row r="714" spans="1:7">
      <c r="A714" s="47">
        <v>74.37</v>
      </c>
      <c r="B714" s="47">
        <v>74.41</v>
      </c>
      <c r="C714" s="47">
        <v>73.260000000000005</v>
      </c>
      <c r="D714" s="47">
        <v>73.48</v>
      </c>
      <c r="E714" s="47">
        <v>11915019</v>
      </c>
      <c r="F714" s="47" t="s">
        <v>1822</v>
      </c>
      <c r="G714" s="46">
        <f t="shared" si="8"/>
        <v>1.2112139357648433E-2</v>
      </c>
    </row>
    <row r="715" spans="1:7">
      <c r="A715" s="47">
        <v>73.489999999999995</v>
      </c>
      <c r="B715" s="47">
        <v>73.78</v>
      </c>
      <c r="C715" s="47">
        <v>71.959999999999994</v>
      </c>
      <c r="D715" s="47">
        <v>72.52</v>
      </c>
      <c r="E715" s="47">
        <v>13168841</v>
      </c>
      <c r="F715" s="47" t="s">
        <v>1821</v>
      </c>
      <c r="G715" s="46">
        <f t="shared" si="8"/>
        <v>1.3375620518477627E-2</v>
      </c>
    </row>
    <row r="716" spans="1:7">
      <c r="A716" s="47">
        <v>72.099999999999994</v>
      </c>
      <c r="B716" s="47">
        <v>72.98</v>
      </c>
      <c r="C716" s="47">
        <v>71.92</v>
      </c>
      <c r="D716" s="47">
        <v>72.66</v>
      </c>
      <c r="E716" s="47">
        <v>12202244</v>
      </c>
      <c r="F716" s="47" t="s">
        <v>1820</v>
      </c>
      <c r="G716" s="46">
        <f t="shared" si="8"/>
        <v>-7.7071290944124016E-3</v>
      </c>
    </row>
    <row r="717" spans="1:7">
      <c r="A717" s="47">
        <v>72.39</v>
      </c>
      <c r="B717" s="47">
        <v>72.734999999999999</v>
      </c>
      <c r="C717" s="47">
        <v>71</v>
      </c>
      <c r="D717" s="47">
        <v>71.37</v>
      </c>
      <c r="E717" s="47">
        <v>14536257</v>
      </c>
      <c r="F717" s="47" t="s">
        <v>1819</v>
      </c>
      <c r="G717" s="46">
        <f t="shared" si="8"/>
        <v>1.429171920975203E-2</v>
      </c>
    </row>
    <row r="718" spans="1:7">
      <c r="A718" s="47">
        <v>70.59</v>
      </c>
      <c r="B718" s="47">
        <v>71.87</v>
      </c>
      <c r="C718" s="47">
        <v>70.280100000000004</v>
      </c>
      <c r="D718" s="47">
        <v>71.72</v>
      </c>
      <c r="E718" s="47">
        <v>14458457</v>
      </c>
      <c r="F718" s="47" t="s">
        <v>1818</v>
      </c>
      <c r="G718" s="46">
        <f t="shared" si="8"/>
        <v>-1.5755716675961984E-2</v>
      </c>
    </row>
    <row r="719" spans="1:7">
      <c r="A719" s="47">
        <v>70.62</v>
      </c>
      <c r="B719" s="47">
        <v>70.73</v>
      </c>
      <c r="C719" s="47">
        <v>69.41</v>
      </c>
      <c r="D719" s="47">
        <v>69.64</v>
      </c>
      <c r="E719" s="47">
        <v>14798991</v>
      </c>
      <c r="F719" s="47" t="s">
        <v>1817</v>
      </c>
      <c r="G719" s="46">
        <f t="shared" si="8"/>
        <v>1.4072372199885219E-2</v>
      </c>
    </row>
    <row r="720" spans="1:7">
      <c r="A720" s="47">
        <v>69.28</v>
      </c>
      <c r="B720" s="47">
        <v>69.36</v>
      </c>
      <c r="C720" s="47">
        <v>66.69</v>
      </c>
      <c r="D720" s="47">
        <v>66.8</v>
      </c>
      <c r="E720" s="47">
        <v>14871988</v>
      </c>
      <c r="F720" s="47" t="s">
        <v>1816</v>
      </c>
      <c r="G720" s="46">
        <f t="shared" si="8"/>
        <v>3.7125748502994105E-2</v>
      </c>
    </row>
    <row r="721" spans="1:7">
      <c r="A721" s="47">
        <v>66.790000000000006</v>
      </c>
      <c r="B721" s="47">
        <v>67.66</v>
      </c>
      <c r="C721" s="47">
        <v>65.98</v>
      </c>
      <c r="D721" s="47">
        <v>66.19</v>
      </c>
      <c r="E721" s="47">
        <v>12341805</v>
      </c>
      <c r="F721" s="47" t="s">
        <v>1815</v>
      </c>
      <c r="G721" s="46">
        <f t="shared" si="8"/>
        <v>9.0648134159239113E-3</v>
      </c>
    </row>
    <row r="722" spans="1:7">
      <c r="A722" s="47">
        <v>66.14</v>
      </c>
      <c r="B722" s="47">
        <v>67.849999999999994</v>
      </c>
      <c r="C722" s="47">
        <v>65.63</v>
      </c>
      <c r="D722" s="47">
        <v>67.709999999999994</v>
      </c>
      <c r="E722" s="47">
        <v>17458844</v>
      </c>
      <c r="F722" s="47" t="s">
        <v>1814</v>
      </c>
      <c r="G722" s="46">
        <f t="shared" si="8"/>
        <v>-2.3187121547777134E-2</v>
      </c>
    </row>
    <row r="723" spans="1:7">
      <c r="A723" s="47">
        <v>68.849999999999994</v>
      </c>
      <c r="B723" s="47">
        <v>68.900000000000006</v>
      </c>
      <c r="C723" s="47">
        <v>67</v>
      </c>
      <c r="D723" s="47">
        <v>68.040000000000006</v>
      </c>
      <c r="E723" s="47">
        <v>13980553</v>
      </c>
      <c r="F723" s="47" t="s">
        <v>1813</v>
      </c>
      <c r="G723" s="46">
        <f t="shared" si="8"/>
        <v>1.190476190476164E-2</v>
      </c>
    </row>
    <row r="724" spans="1:7">
      <c r="A724" s="47">
        <v>68.099999999999994</v>
      </c>
      <c r="B724" s="47">
        <v>68.63</v>
      </c>
      <c r="C724" s="47">
        <v>66.84</v>
      </c>
      <c r="D724" s="47">
        <v>67.12</v>
      </c>
      <c r="E724" s="47">
        <v>8617899</v>
      </c>
      <c r="F724" s="47" t="s">
        <v>1812</v>
      </c>
      <c r="G724" s="46">
        <f t="shared" si="8"/>
        <v>1.4600715137067732E-2</v>
      </c>
    </row>
    <row r="725" spans="1:7">
      <c r="A725" s="47">
        <v>66.73</v>
      </c>
      <c r="B725" s="47">
        <v>66.974999999999994</v>
      </c>
      <c r="C725" s="47">
        <v>65.75</v>
      </c>
      <c r="D725" s="47">
        <v>66.09</v>
      </c>
      <c r="E725" s="47">
        <v>16907133</v>
      </c>
      <c r="F725" s="47" t="s">
        <v>1811</v>
      </c>
      <c r="G725" s="46">
        <f t="shared" si="8"/>
        <v>9.6837645634739733E-3</v>
      </c>
    </row>
    <row r="726" spans="1:7">
      <c r="A726" s="47">
        <v>65.86</v>
      </c>
      <c r="B726" s="47">
        <v>67.34</v>
      </c>
      <c r="C726" s="47">
        <v>65.62</v>
      </c>
      <c r="D726" s="47">
        <v>66.3</v>
      </c>
      <c r="E726" s="47">
        <v>14894152</v>
      </c>
      <c r="F726" s="47" t="s">
        <v>1810</v>
      </c>
      <c r="G726" s="46">
        <f t="shared" si="8"/>
        <v>-6.6365007541477894E-3</v>
      </c>
    </row>
    <row r="727" spans="1:7">
      <c r="A727" s="47">
        <v>66.03</v>
      </c>
      <c r="B727" s="47">
        <v>66.48</v>
      </c>
      <c r="C727" s="47">
        <v>65.62</v>
      </c>
      <c r="D727" s="47">
        <v>66.05</v>
      </c>
      <c r="E727" s="47">
        <v>15390593</v>
      </c>
      <c r="F727" s="47" t="s">
        <v>1809</v>
      </c>
      <c r="G727" s="46">
        <f t="shared" si="8"/>
        <v>-3.0280090840262286E-4</v>
      </c>
    </row>
    <row r="728" spans="1:7">
      <c r="A728" s="47">
        <v>66.23</v>
      </c>
      <c r="B728" s="47">
        <v>67.099999999999994</v>
      </c>
      <c r="C728" s="47">
        <v>65.78</v>
      </c>
      <c r="D728" s="47">
        <v>66.87</v>
      </c>
      <c r="E728" s="47">
        <v>16371203</v>
      </c>
      <c r="F728" s="47" t="s">
        <v>1808</v>
      </c>
      <c r="G728" s="46">
        <f t="shared" si="8"/>
        <v>-9.5708090324509998E-3</v>
      </c>
    </row>
    <row r="729" spans="1:7">
      <c r="A729" s="47">
        <v>66.44</v>
      </c>
      <c r="B729" s="47">
        <v>67.58</v>
      </c>
      <c r="C729" s="47">
        <v>66.41</v>
      </c>
      <c r="D729" s="47">
        <v>66.87</v>
      </c>
      <c r="E729" s="47">
        <v>12224355</v>
      </c>
      <c r="F729" s="47" t="s">
        <v>1807</v>
      </c>
      <c r="G729" s="46">
        <f t="shared" si="8"/>
        <v>-6.4303873186781768E-3</v>
      </c>
    </row>
    <row r="730" spans="1:7">
      <c r="A730" s="47">
        <v>66.94</v>
      </c>
      <c r="B730" s="47">
        <v>68.16</v>
      </c>
      <c r="C730" s="47">
        <v>65.849999999999994</v>
      </c>
      <c r="D730" s="47">
        <v>67.415000000000006</v>
      </c>
      <c r="E730" s="47">
        <v>27683805</v>
      </c>
      <c r="F730" s="47" t="s">
        <v>1806</v>
      </c>
      <c r="G730" s="46">
        <f t="shared" si="8"/>
        <v>-7.0459096640215213E-3</v>
      </c>
    </row>
    <row r="731" spans="1:7">
      <c r="A731" s="47">
        <v>68.569999999999993</v>
      </c>
      <c r="B731" s="47">
        <v>68.644999999999996</v>
      </c>
      <c r="C731" s="47">
        <v>67.06</v>
      </c>
      <c r="D731" s="47">
        <v>67.52</v>
      </c>
      <c r="E731" s="47">
        <v>16872538</v>
      </c>
      <c r="F731" s="47" t="s">
        <v>1805</v>
      </c>
      <c r="G731" s="46">
        <f t="shared" si="8"/>
        <v>1.5550947867298603E-2</v>
      </c>
    </row>
    <row r="732" spans="1:7">
      <c r="A732" s="47">
        <v>68.19</v>
      </c>
      <c r="B732" s="47">
        <v>69.02</v>
      </c>
      <c r="C732" s="47">
        <v>67.22</v>
      </c>
      <c r="D732" s="47">
        <v>68.944999999999993</v>
      </c>
      <c r="E732" s="47">
        <v>23910590</v>
      </c>
      <c r="F732" s="47" t="s">
        <v>1804</v>
      </c>
      <c r="G732" s="46">
        <f t="shared" si="8"/>
        <v>-1.0950757850460402E-2</v>
      </c>
    </row>
    <row r="733" spans="1:7">
      <c r="A733" s="47">
        <v>68.89</v>
      </c>
      <c r="B733" s="47">
        <v>69.2</v>
      </c>
      <c r="C733" s="47">
        <v>66.78</v>
      </c>
      <c r="D733" s="47">
        <v>67.13</v>
      </c>
      <c r="E733" s="47">
        <v>31379158</v>
      </c>
      <c r="F733" s="47" t="s">
        <v>1803</v>
      </c>
      <c r="G733" s="46">
        <f t="shared" si="8"/>
        <v>2.6217786384626907E-2</v>
      </c>
    </row>
    <row r="734" spans="1:7">
      <c r="A734" s="47">
        <v>66.430000000000007</v>
      </c>
      <c r="B734" s="47">
        <v>67.150000000000006</v>
      </c>
      <c r="C734" s="47">
        <v>65.220200000000006</v>
      </c>
      <c r="D734" s="47">
        <v>65.95</v>
      </c>
      <c r="E734" s="47">
        <v>29703731</v>
      </c>
      <c r="F734" s="47" t="s">
        <v>1802</v>
      </c>
      <c r="G734" s="46">
        <f t="shared" si="8"/>
        <v>7.2782410917362483E-3</v>
      </c>
    </row>
    <row r="735" spans="1:7">
      <c r="A735" s="47">
        <v>65.849999999999994</v>
      </c>
      <c r="B735" s="47">
        <v>66.209999999999994</v>
      </c>
      <c r="C735" s="47">
        <v>62.63</v>
      </c>
      <c r="D735" s="47">
        <v>63.12</v>
      </c>
      <c r="E735" s="47">
        <v>21527728</v>
      </c>
      <c r="F735" s="47" t="s">
        <v>1801</v>
      </c>
      <c r="G735" s="46">
        <f t="shared" si="8"/>
        <v>4.3250950570342228E-2</v>
      </c>
    </row>
    <row r="736" spans="1:7">
      <c r="A736" s="47">
        <v>63.6</v>
      </c>
      <c r="B736" s="47">
        <v>65.099999999999994</v>
      </c>
      <c r="C736" s="47">
        <v>63.024999999999999</v>
      </c>
      <c r="D736" s="47">
        <v>64.14</v>
      </c>
      <c r="E736" s="47">
        <v>24028135</v>
      </c>
      <c r="F736" s="47" t="s">
        <v>1800</v>
      </c>
      <c r="G736" s="46">
        <f t="shared" si="8"/>
        <v>-8.4190832553788786E-3</v>
      </c>
    </row>
    <row r="737" spans="1:7">
      <c r="A737" s="47">
        <v>63.56</v>
      </c>
      <c r="B737" s="47">
        <v>64.239999999999995</v>
      </c>
      <c r="C737" s="47">
        <v>63.13</v>
      </c>
      <c r="D737" s="47">
        <v>63.55</v>
      </c>
      <c r="E737" s="47">
        <v>19963415</v>
      </c>
      <c r="F737" s="47" t="s">
        <v>1799</v>
      </c>
      <c r="G737" s="46">
        <f t="shared" si="8"/>
        <v>1.5735641227387909E-4</v>
      </c>
    </row>
    <row r="738" spans="1:7">
      <c r="A738" s="47">
        <v>63.73</v>
      </c>
      <c r="B738" s="47">
        <v>64.260000000000005</v>
      </c>
      <c r="C738" s="47">
        <v>63.12</v>
      </c>
      <c r="D738" s="47">
        <v>63.6</v>
      </c>
      <c r="E738" s="47">
        <v>15969490</v>
      </c>
      <c r="F738" s="47" t="s">
        <v>1798</v>
      </c>
      <c r="G738" s="46">
        <f t="shared" si="8"/>
        <v>2.0440251572326762E-3</v>
      </c>
    </row>
    <row r="739" spans="1:7">
      <c r="A739" s="47">
        <v>63.49</v>
      </c>
      <c r="B739" s="47">
        <v>64.06</v>
      </c>
      <c r="C739" s="47">
        <v>62.43</v>
      </c>
      <c r="D739" s="47">
        <v>64</v>
      </c>
      <c r="E739" s="47">
        <v>17151726</v>
      </c>
      <c r="F739" s="47" t="s">
        <v>1797</v>
      </c>
      <c r="G739" s="46">
        <f t="shared" si="8"/>
        <v>-7.9687499999999689E-3</v>
      </c>
    </row>
    <row r="740" spans="1:7">
      <c r="A740" s="47">
        <v>64.239999999999995</v>
      </c>
      <c r="B740" s="47">
        <v>64.694999999999993</v>
      </c>
      <c r="C740" s="47">
        <v>63.984999999999999</v>
      </c>
      <c r="D740" s="47">
        <v>64.2</v>
      </c>
      <c r="E740" s="47">
        <v>13568477</v>
      </c>
      <c r="F740" s="47" t="s">
        <v>1796</v>
      </c>
      <c r="G740" s="46">
        <f t="shared" si="8"/>
        <v>6.2305295950149109E-4</v>
      </c>
    </row>
    <row r="741" spans="1:7">
      <c r="A741" s="47">
        <v>64.040000000000006</v>
      </c>
      <c r="B741" s="47">
        <v>65.319999999999993</v>
      </c>
      <c r="C741" s="47">
        <v>63.55</v>
      </c>
      <c r="D741" s="47">
        <v>65.25</v>
      </c>
      <c r="E741" s="47">
        <v>15511864</v>
      </c>
      <c r="F741" s="47" t="s">
        <v>1795</v>
      </c>
      <c r="G741" s="46">
        <f t="shared" si="8"/>
        <v>-1.8544061302681936E-2</v>
      </c>
    </row>
    <row r="742" spans="1:7">
      <c r="A742" s="47">
        <v>65.02</v>
      </c>
      <c r="B742" s="47">
        <v>65.174999999999997</v>
      </c>
      <c r="C742" s="47">
        <v>64.23</v>
      </c>
      <c r="D742" s="47">
        <v>64.430000000000007</v>
      </c>
      <c r="E742" s="47">
        <v>13039248</v>
      </c>
      <c r="F742" s="47" t="s">
        <v>1794</v>
      </c>
      <c r="G742" s="46">
        <f t="shared" si="8"/>
        <v>9.1572248952349611E-3</v>
      </c>
    </row>
    <row r="743" spans="1:7">
      <c r="A743" s="47">
        <v>64.510000000000005</v>
      </c>
      <c r="B743" s="47">
        <v>64.98</v>
      </c>
      <c r="C743" s="47">
        <v>63.505000000000003</v>
      </c>
      <c r="D743" s="47">
        <v>64.069999999999993</v>
      </c>
      <c r="E743" s="47">
        <v>13498337</v>
      </c>
      <c r="F743" s="47" t="s">
        <v>1793</v>
      </c>
      <c r="G743" s="46">
        <f t="shared" si="8"/>
        <v>6.867488684251688E-3</v>
      </c>
    </row>
    <row r="744" spans="1:7">
      <c r="A744" s="47">
        <v>63.96</v>
      </c>
      <c r="B744" s="47">
        <v>64.394999999999996</v>
      </c>
      <c r="C744" s="47">
        <v>63.561999999999998</v>
      </c>
      <c r="D744" s="47">
        <v>63.74</v>
      </c>
      <c r="E744" s="47">
        <v>16438701</v>
      </c>
      <c r="F744" s="47" t="s">
        <v>1792</v>
      </c>
      <c r="G744" s="46">
        <f t="shared" si="8"/>
        <v>3.4515218073423171E-3</v>
      </c>
    </row>
    <row r="745" spans="1:7">
      <c r="A745" s="47">
        <v>63.05</v>
      </c>
      <c r="B745" s="47">
        <v>63.61</v>
      </c>
      <c r="C745" s="47">
        <v>61.83</v>
      </c>
      <c r="D745" s="47">
        <v>62.41</v>
      </c>
      <c r="E745" s="47">
        <v>16686196</v>
      </c>
      <c r="F745" s="47" t="s">
        <v>1791</v>
      </c>
      <c r="G745" s="46">
        <f t="shared" si="8"/>
        <v>1.0254766864284504E-2</v>
      </c>
    </row>
    <row r="746" spans="1:7">
      <c r="A746" s="47">
        <v>61.99</v>
      </c>
      <c r="B746" s="47">
        <v>63.215000000000003</v>
      </c>
      <c r="C746" s="47">
        <v>61.17</v>
      </c>
      <c r="D746" s="47">
        <v>61.84</v>
      </c>
      <c r="E746" s="47">
        <v>27790812</v>
      </c>
      <c r="F746" s="47" t="s">
        <v>1790</v>
      </c>
      <c r="G746" s="46">
        <f t="shared" si="8"/>
        <v>2.4256144890038023E-3</v>
      </c>
    </row>
    <row r="747" spans="1:7">
      <c r="A747" s="47">
        <v>62.05</v>
      </c>
      <c r="B747" s="47">
        <v>62.19</v>
      </c>
      <c r="C747" s="47">
        <v>59.55</v>
      </c>
      <c r="D747" s="47">
        <v>61.04</v>
      </c>
      <c r="E747" s="47">
        <v>21356716</v>
      </c>
      <c r="F747" s="47" t="s">
        <v>1789</v>
      </c>
      <c r="G747" s="46">
        <f t="shared" si="8"/>
        <v>1.6546526867627698E-2</v>
      </c>
    </row>
    <row r="748" spans="1:7">
      <c r="A748" s="47">
        <v>60.22</v>
      </c>
      <c r="B748" s="47">
        <v>60.607199999999999</v>
      </c>
      <c r="C748" s="47">
        <v>58.95</v>
      </c>
      <c r="D748" s="47">
        <v>59.5</v>
      </c>
      <c r="E748" s="47">
        <v>20666752</v>
      </c>
      <c r="F748" s="47" t="s">
        <v>1788</v>
      </c>
      <c r="G748" s="46">
        <f t="shared" si="8"/>
        <v>1.2100840336134455E-2</v>
      </c>
    </row>
    <row r="749" spans="1:7">
      <c r="A749" s="47">
        <v>59.37</v>
      </c>
      <c r="B749" s="47">
        <v>61.74</v>
      </c>
      <c r="C749" s="47">
        <v>59.314999999999998</v>
      </c>
      <c r="D749" s="47">
        <v>61.74</v>
      </c>
      <c r="E749" s="47">
        <v>24461258</v>
      </c>
      <c r="F749" s="47" t="s">
        <v>1787</v>
      </c>
      <c r="G749" s="46">
        <f t="shared" si="8"/>
        <v>-3.8386783284742543E-2</v>
      </c>
    </row>
    <row r="750" spans="1:7">
      <c r="A750" s="47">
        <v>61.8</v>
      </c>
      <c r="B750" s="47">
        <v>62.215000000000003</v>
      </c>
      <c r="C750" s="47">
        <v>61.23</v>
      </c>
      <c r="D750" s="47">
        <v>61.65</v>
      </c>
      <c r="E750" s="47">
        <v>14790302</v>
      </c>
      <c r="F750" s="47" t="s">
        <v>1786</v>
      </c>
      <c r="G750" s="46">
        <f t="shared" si="8"/>
        <v>2.4330900243307862E-3</v>
      </c>
    </row>
    <row r="751" spans="1:7">
      <c r="A751" s="47">
        <v>62</v>
      </c>
      <c r="B751" s="47">
        <v>63.3</v>
      </c>
      <c r="C751" s="47">
        <v>61.84</v>
      </c>
      <c r="D751" s="47">
        <v>63.03</v>
      </c>
      <c r="E751" s="47">
        <v>16815493</v>
      </c>
      <c r="F751" s="47" t="s">
        <v>1785</v>
      </c>
      <c r="G751" s="46">
        <f t="shared" si="8"/>
        <v>-1.6341424718388065E-2</v>
      </c>
    </row>
    <row r="752" spans="1:7">
      <c r="A752" s="47">
        <v>63.03</v>
      </c>
      <c r="B752" s="47">
        <v>63.15</v>
      </c>
      <c r="C752" s="47">
        <v>60.65</v>
      </c>
      <c r="D752" s="47">
        <v>60.95</v>
      </c>
      <c r="E752" s="47">
        <v>20220608</v>
      </c>
      <c r="F752" s="47" t="s">
        <v>1784</v>
      </c>
      <c r="G752" s="46">
        <f t="shared" si="8"/>
        <v>3.4126333059885106E-2</v>
      </c>
    </row>
    <row r="753" spans="1:7">
      <c r="A753" s="47">
        <v>60.92</v>
      </c>
      <c r="B753" s="47">
        <v>61.95</v>
      </c>
      <c r="C753" s="47">
        <v>60.707999999999998</v>
      </c>
      <c r="D753" s="47">
        <v>61.9</v>
      </c>
      <c r="E753" s="47">
        <v>19398048</v>
      </c>
      <c r="F753" s="47" t="s">
        <v>1783</v>
      </c>
      <c r="G753" s="46">
        <f t="shared" si="8"/>
        <v>-1.5831987075928922E-2</v>
      </c>
    </row>
    <row r="754" spans="1:7">
      <c r="A754" s="47">
        <v>61.27</v>
      </c>
      <c r="B754" s="47">
        <v>61.655000000000001</v>
      </c>
      <c r="C754" s="47">
        <v>60.46</v>
      </c>
      <c r="D754" s="47">
        <v>61.46</v>
      </c>
      <c r="E754" s="47">
        <v>19820498</v>
      </c>
      <c r="F754" s="47" t="s">
        <v>1782</v>
      </c>
      <c r="G754" s="46">
        <f t="shared" si="8"/>
        <v>-3.0914415880246571E-3</v>
      </c>
    </row>
    <row r="755" spans="1:7">
      <c r="A755" s="47">
        <v>61.46</v>
      </c>
      <c r="B755" s="47">
        <v>61.719900000000003</v>
      </c>
      <c r="C755" s="47">
        <v>60.4</v>
      </c>
      <c r="D755" s="47">
        <v>61.15</v>
      </c>
      <c r="E755" s="47">
        <v>19938697</v>
      </c>
      <c r="F755" s="47" t="s">
        <v>1781</v>
      </c>
      <c r="G755" s="46">
        <f t="shared" si="8"/>
        <v>5.0695012264923012E-3</v>
      </c>
    </row>
    <row r="756" spans="1:7">
      <c r="A756" s="47">
        <v>60.8</v>
      </c>
      <c r="B756" s="47">
        <v>61.975099999999998</v>
      </c>
      <c r="C756" s="47">
        <v>60.75</v>
      </c>
      <c r="D756" s="47">
        <v>61.8</v>
      </c>
      <c r="E756" s="47">
        <v>17517510</v>
      </c>
      <c r="F756" s="47" t="s">
        <v>1780</v>
      </c>
      <c r="G756" s="46">
        <f t="shared" si="8"/>
        <v>-1.6181229773462813E-2</v>
      </c>
    </row>
    <row r="757" spans="1:7">
      <c r="A757" s="47">
        <v>62.25</v>
      </c>
      <c r="B757" s="47">
        <v>62.729199999999999</v>
      </c>
      <c r="C757" s="47">
        <v>61.58</v>
      </c>
      <c r="D757" s="47">
        <v>61.75</v>
      </c>
      <c r="E757" s="47">
        <v>20633509</v>
      </c>
      <c r="F757" s="47" t="s">
        <v>1779</v>
      </c>
      <c r="G757" s="46">
        <f t="shared" si="8"/>
        <v>8.0971659919029104E-3</v>
      </c>
    </row>
    <row r="758" spans="1:7">
      <c r="A758" s="47">
        <v>61.69</v>
      </c>
      <c r="B758" s="47">
        <v>64.180000000000007</v>
      </c>
      <c r="C758" s="47">
        <v>61.31</v>
      </c>
      <c r="D758" s="47">
        <v>64.099999999999994</v>
      </c>
      <c r="E758" s="47">
        <v>28711130</v>
      </c>
      <c r="F758" s="47" t="s">
        <v>1778</v>
      </c>
      <c r="G758" s="46">
        <f t="shared" si="8"/>
        <v>-3.7597503900155926E-2</v>
      </c>
    </row>
    <row r="759" spans="1:7">
      <c r="A759" s="47">
        <v>64.180000000000007</v>
      </c>
      <c r="B759" s="47">
        <v>64.375</v>
      </c>
      <c r="C759" s="47">
        <v>62.64</v>
      </c>
      <c r="D759" s="47">
        <v>63.45</v>
      </c>
      <c r="E759" s="47">
        <v>27903279</v>
      </c>
      <c r="F759" s="47" t="s">
        <v>1777</v>
      </c>
      <c r="G759" s="46">
        <f t="shared" si="8"/>
        <v>1.1505122143420143E-2</v>
      </c>
    </row>
    <row r="760" spans="1:7">
      <c r="A760" s="47">
        <v>63.38</v>
      </c>
      <c r="B760" s="47">
        <v>66.59</v>
      </c>
      <c r="C760" s="47">
        <v>62.78</v>
      </c>
      <c r="D760" s="47">
        <v>66.5</v>
      </c>
      <c r="E760" s="47">
        <v>46309067</v>
      </c>
      <c r="F760" s="47" t="s">
        <v>1776</v>
      </c>
      <c r="G760" s="46">
        <f t="shared" si="8"/>
        <v>-4.6917293233082691E-2</v>
      </c>
    </row>
    <row r="761" spans="1:7">
      <c r="A761" s="47">
        <v>65.905000000000001</v>
      </c>
      <c r="B761" s="47">
        <v>69.680000000000007</v>
      </c>
      <c r="C761" s="47">
        <v>65.849999999999994</v>
      </c>
      <c r="D761" s="47">
        <v>69.53</v>
      </c>
      <c r="E761" s="47">
        <v>68702553</v>
      </c>
      <c r="F761" s="47" t="s">
        <v>1775</v>
      </c>
      <c r="G761" s="46">
        <f t="shared" si="8"/>
        <v>-5.2135768732921028E-2</v>
      </c>
    </row>
    <row r="762" spans="1:7">
      <c r="A762" s="47">
        <v>75.52</v>
      </c>
      <c r="B762" s="47">
        <v>76.38</v>
      </c>
      <c r="C762" s="47">
        <v>74.915000000000006</v>
      </c>
      <c r="D762" s="47">
        <v>75.709999999999994</v>
      </c>
      <c r="E762" s="47">
        <v>22864045</v>
      </c>
      <c r="F762" s="47" t="s">
        <v>1774</v>
      </c>
      <c r="G762" s="46">
        <f t="shared" ref="G762:G825" si="9">A762/D762-1</f>
        <v>-2.5095760137365808E-3</v>
      </c>
    </row>
    <row r="763" spans="1:7">
      <c r="A763" s="47">
        <v>74.97</v>
      </c>
      <c r="B763" s="47">
        <v>75.08</v>
      </c>
      <c r="C763" s="47">
        <v>72.94</v>
      </c>
      <c r="D763" s="47">
        <v>72.959999999999994</v>
      </c>
      <c r="E763" s="47">
        <v>11954241</v>
      </c>
      <c r="F763" s="47" t="s">
        <v>1773</v>
      </c>
      <c r="G763" s="46">
        <f t="shared" si="9"/>
        <v>2.7549342105263275E-2</v>
      </c>
    </row>
    <row r="764" spans="1:7">
      <c r="A764" s="47">
        <v>71.81</v>
      </c>
      <c r="B764" s="47">
        <v>73.05</v>
      </c>
      <c r="C764" s="47">
        <v>71.754999999999995</v>
      </c>
      <c r="D764" s="47">
        <v>71.77</v>
      </c>
      <c r="E764" s="47">
        <v>10230510</v>
      </c>
      <c r="F764" s="47" t="s">
        <v>1772</v>
      </c>
      <c r="G764" s="46">
        <f t="shared" si="9"/>
        <v>5.5733593423434868E-4</v>
      </c>
    </row>
    <row r="765" spans="1:7">
      <c r="A765" s="47">
        <v>71.430000000000007</v>
      </c>
      <c r="B765" s="47">
        <v>72.989999999999995</v>
      </c>
      <c r="C765" s="47">
        <v>71.349999999999994</v>
      </c>
      <c r="D765" s="47">
        <v>72.41</v>
      </c>
      <c r="E765" s="47">
        <v>11865695</v>
      </c>
      <c r="F765" s="47" t="s">
        <v>1771</v>
      </c>
      <c r="G765" s="46">
        <f t="shared" si="9"/>
        <v>-1.3534042259356283E-2</v>
      </c>
    </row>
    <row r="766" spans="1:7">
      <c r="A766" s="47">
        <v>72.28</v>
      </c>
      <c r="B766" s="47">
        <v>75.06</v>
      </c>
      <c r="C766" s="47">
        <v>71.930000000000007</v>
      </c>
      <c r="D766" s="47">
        <v>74.819999999999993</v>
      </c>
      <c r="E766" s="47">
        <v>12766951</v>
      </c>
      <c r="F766" s="47" t="s">
        <v>1770</v>
      </c>
      <c r="G766" s="46">
        <f t="shared" si="9"/>
        <v>-3.3948142207965715E-2</v>
      </c>
    </row>
    <row r="767" spans="1:7">
      <c r="A767" s="47">
        <v>75.11</v>
      </c>
      <c r="B767" s="47">
        <v>76.5</v>
      </c>
      <c r="C767" s="47">
        <v>74.97</v>
      </c>
      <c r="D767" s="47">
        <v>76.03</v>
      </c>
      <c r="E767" s="47">
        <v>6857876</v>
      </c>
      <c r="F767" s="47" t="s">
        <v>1769</v>
      </c>
      <c r="G767" s="46">
        <f t="shared" si="9"/>
        <v>-1.2100486650006625E-2</v>
      </c>
    </row>
    <row r="768" spans="1:7">
      <c r="A768" s="47">
        <v>76</v>
      </c>
      <c r="B768" s="47">
        <v>76.05</v>
      </c>
      <c r="C768" s="47">
        <v>73.92</v>
      </c>
      <c r="D768" s="47">
        <v>74.239999999999995</v>
      </c>
      <c r="E768" s="47">
        <v>10718873</v>
      </c>
      <c r="F768" s="47" t="s">
        <v>1768</v>
      </c>
      <c r="G768" s="46">
        <f t="shared" si="9"/>
        <v>2.3706896551724199E-2</v>
      </c>
    </row>
    <row r="769" spans="1:7">
      <c r="A769" s="47">
        <v>74.27</v>
      </c>
      <c r="B769" s="47">
        <v>74.37</v>
      </c>
      <c r="C769" s="47">
        <v>72.959999999999994</v>
      </c>
      <c r="D769" s="47">
        <v>73</v>
      </c>
      <c r="E769" s="47">
        <v>11420109</v>
      </c>
      <c r="F769" s="47" t="s">
        <v>1767</v>
      </c>
      <c r="G769" s="46">
        <f t="shared" si="9"/>
        <v>1.7397260273972481E-2</v>
      </c>
    </row>
    <row r="770" spans="1:7">
      <c r="A770" s="47">
        <v>72.06</v>
      </c>
      <c r="B770" s="47">
        <v>72.765000000000001</v>
      </c>
      <c r="C770" s="47">
        <v>71.03</v>
      </c>
      <c r="D770" s="47">
        <v>71.209999999999994</v>
      </c>
      <c r="E770" s="47">
        <v>9068775</v>
      </c>
      <c r="F770" s="47" t="s">
        <v>1766</v>
      </c>
      <c r="G770" s="46">
        <f t="shared" si="9"/>
        <v>1.1936525768852846E-2</v>
      </c>
    </row>
    <row r="771" spans="1:7">
      <c r="A771" s="47">
        <v>71.78</v>
      </c>
      <c r="B771" s="47">
        <v>74.290000000000006</v>
      </c>
      <c r="C771" s="47">
        <v>71.760000000000005</v>
      </c>
      <c r="D771" s="47">
        <v>73.900000000000006</v>
      </c>
      <c r="E771" s="47">
        <v>10255784</v>
      </c>
      <c r="F771" s="47" t="s">
        <v>1765</v>
      </c>
      <c r="G771" s="46">
        <f t="shared" si="9"/>
        <v>-2.868741542625175E-2</v>
      </c>
    </row>
    <row r="772" spans="1:7">
      <c r="A772" s="47">
        <v>74.290000000000006</v>
      </c>
      <c r="B772" s="47">
        <v>74.872500000000002</v>
      </c>
      <c r="C772" s="47">
        <v>73.38</v>
      </c>
      <c r="D772" s="47">
        <v>74.41</v>
      </c>
      <c r="E772" s="47">
        <v>7460807</v>
      </c>
      <c r="F772" s="47" t="s">
        <v>1764</v>
      </c>
      <c r="G772" s="46">
        <f t="shared" si="9"/>
        <v>-1.612686466872626E-3</v>
      </c>
    </row>
    <row r="773" spans="1:7">
      <c r="A773" s="47">
        <v>74.180000000000007</v>
      </c>
      <c r="B773" s="47">
        <v>74.239999999999995</v>
      </c>
      <c r="C773" s="47">
        <v>72.92</v>
      </c>
      <c r="D773" s="47">
        <v>73.400000000000006</v>
      </c>
      <c r="E773" s="47">
        <v>8591139</v>
      </c>
      <c r="F773" s="47" t="s">
        <v>1763</v>
      </c>
      <c r="G773" s="46">
        <f t="shared" si="9"/>
        <v>1.0626702997275306E-2</v>
      </c>
    </row>
    <row r="774" spans="1:7">
      <c r="A774" s="47">
        <v>73.58</v>
      </c>
      <c r="B774" s="47">
        <v>74.97</v>
      </c>
      <c r="C774" s="47">
        <v>73.47</v>
      </c>
      <c r="D774" s="47">
        <v>74.400000000000006</v>
      </c>
      <c r="E774" s="47">
        <v>8847643</v>
      </c>
      <c r="F774" s="47" t="s">
        <v>1762</v>
      </c>
      <c r="G774" s="46">
        <f t="shared" si="9"/>
        <v>-1.1021505376344165E-2</v>
      </c>
    </row>
    <row r="775" spans="1:7">
      <c r="A775" s="47">
        <v>75.319999999999993</v>
      </c>
      <c r="B775" s="47">
        <v>75.94</v>
      </c>
      <c r="C775" s="47">
        <v>74.099999999999994</v>
      </c>
      <c r="D775" s="47">
        <v>75.3</v>
      </c>
      <c r="E775" s="47">
        <v>8888295</v>
      </c>
      <c r="F775" s="47" t="s">
        <v>1761</v>
      </c>
      <c r="G775" s="46">
        <f t="shared" si="9"/>
        <v>2.6560424966803886E-4</v>
      </c>
    </row>
    <row r="776" spans="1:7">
      <c r="A776" s="47">
        <v>76.42</v>
      </c>
      <c r="B776" s="47">
        <v>77.94</v>
      </c>
      <c r="C776" s="47">
        <v>76.210099999999997</v>
      </c>
      <c r="D776" s="47">
        <v>77.709999999999994</v>
      </c>
      <c r="E776" s="47">
        <v>7558905</v>
      </c>
      <c r="F776" s="47" t="s">
        <v>1760</v>
      </c>
      <c r="G776" s="46">
        <f t="shared" si="9"/>
        <v>-1.6600180156993827E-2</v>
      </c>
    </row>
    <row r="777" spans="1:7">
      <c r="A777" s="47">
        <v>77.33</v>
      </c>
      <c r="B777" s="47">
        <v>77.95</v>
      </c>
      <c r="C777" s="47">
        <v>76.55</v>
      </c>
      <c r="D777" s="47">
        <v>76.834999999999994</v>
      </c>
      <c r="E777" s="47">
        <v>9717635</v>
      </c>
      <c r="F777" s="47" t="s">
        <v>1759</v>
      </c>
      <c r="G777" s="46">
        <f t="shared" si="9"/>
        <v>6.4423765211167883E-3</v>
      </c>
    </row>
    <row r="778" spans="1:7">
      <c r="A778" s="47">
        <v>76.53</v>
      </c>
      <c r="B778" s="47">
        <v>76.734999999999999</v>
      </c>
      <c r="C778" s="47">
        <v>75.150000000000006</v>
      </c>
      <c r="D778" s="47">
        <v>75.2</v>
      </c>
      <c r="E778" s="47">
        <v>8902653</v>
      </c>
      <c r="F778" s="47" t="s">
        <v>1758</v>
      </c>
      <c r="G778" s="46">
        <f t="shared" si="9"/>
        <v>1.7686170212765973E-2</v>
      </c>
    </row>
    <row r="779" spans="1:7">
      <c r="A779" s="47">
        <v>75.52</v>
      </c>
      <c r="B779" s="47">
        <v>75.56</v>
      </c>
      <c r="C779" s="47">
        <v>73.56</v>
      </c>
      <c r="D779" s="47">
        <v>73.709999999999994</v>
      </c>
      <c r="E779" s="47">
        <v>8724140</v>
      </c>
      <c r="F779" s="47" t="s">
        <v>1757</v>
      </c>
      <c r="G779" s="46">
        <f t="shared" si="9"/>
        <v>2.45556912223579E-2</v>
      </c>
    </row>
    <row r="780" spans="1:7">
      <c r="A780" s="47">
        <v>73.5</v>
      </c>
      <c r="B780" s="47">
        <v>75.7</v>
      </c>
      <c r="C780" s="47">
        <v>73.349999999999994</v>
      </c>
      <c r="D780" s="47">
        <v>73.94</v>
      </c>
      <c r="E780" s="47">
        <v>10422324</v>
      </c>
      <c r="F780" s="47" t="s">
        <v>1756</v>
      </c>
      <c r="G780" s="46">
        <f t="shared" si="9"/>
        <v>-5.9507708953204785E-3</v>
      </c>
    </row>
    <row r="781" spans="1:7">
      <c r="A781" s="47">
        <v>73.58</v>
      </c>
      <c r="B781" s="47">
        <v>76.44</v>
      </c>
      <c r="C781" s="47">
        <v>73.209999999999994</v>
      </c>
      <c r="D781" s="47">
        <v>76.03</v>
      </c>
      <c r="E781" s="47">
        <v>14190881</v>
      </c>
      <c r="F781" s="47" t="s">
        <v>1755</v>
      </c>
      <c r="G781" s="46">
        <f t="shared" si="9"/>
        <v>-3.2224122057082805E-2</v>
      </c>
    </row>
    <row r="782" spans="1:7">
      <c r="A782" s="47">
        <v>74.52</v>
      </c>
      <c r="B782" s="47">
        <v>74.855000000000004</v>
      </c>
      <c r="C782" s="47">
        <v>73.459999999999994</v>
      </c>
      <c r="D782" s="47">
        <v>74.459999999999994</v>
      </c>
      <c r="E782" s="47">
        <v>7591754</v>
      </c>
      <c r="F782" s="47" t="s">
        <v>1754</v>
      </c>
      <c r="G782" s="46">
        <f t="shared" si="9"/>
        <v>8.058017727639033E-4</v>
      </c>
    </row>
    <row r="783" spans="1:7">
      <c r="A783" s="47">
        <v>74.959999999999994</v>
      </c>
      <c r="B783" s="47">
        <v>75</v>
      </c>
      <c r="C783" s="47">
        <v>72.28</v>
      </c>
      <c r="D783" s="47">
        <v>73.27</v>
      </c>
      <c r="E783" s="47">
        <v>10524544</v>
      </c>
      <c r="F783" s="47" t="s">
        <v>1753</v>
      </c>
      <c r="G783" s="46">
        <f t="shared" si="9"/>
        <v>2.306537464173597E-2</v>
      </c>
    </row>
    <row r="784" spans="1:7">
      <c r="A784" s="47">
        <v>73.61</v>
      </c>
      <c r="B784" s="47">
        <v>75.11</v>
      </c>
      <c r="C784" s="47">
        <v>73.114999999999995</v>
      </c>
      <c r="D784" s="47">
        <v>75.11</v>
      </c>
      <c r="E784" s="47">
        <v>10812732</v>
      </c>
      <c r="F784" s="47" t="s">
        <v>1752</v>
      </c>
      <c r="G784" s="46">
        <f t="shared" si="9"/>
        <v>-1.9970709625881988E-2</v>
      </c>
    </row>
    <row r="785" spans="1:7">
      <c r="A785" s="47">
        <v>75.260000000000005</v>
      </c>
      <c r="B785" s="47">
        <v>75.69</v>
      </c>
      <c r="C785" s="47">
        <v>74.73</v>
      </c>
      <c r="D785" s="47">
        <v>75.459999999999994</v>
      </c>
      <c r="E785" s="47">
        <v>8949082</v>
      </c>
      <c r="F785" s="47" t="s">
        <v>1751</v>
      </c>
      <c r="G785" s="46">
        <f t="shared" si="9"/>
        <v>-2.6504108136760074E-3</v>
      </c>
    </row>
    <row r="786" spans="1:7">
      <c r="A786" s="47">
        <v>75.290000000000006</v>
      </c>
      <c r="B786" s="47">
        <v>75.92</v>
      </c>
      <c r="C786" s="47">
        <v>74.704999999999998</v>
      </c>
      <c r="D786" s="47">
        <v>75.625</v>
      </c>
      <c r="E786" s="47">
        <v>8911724</v>
      </c>
      <c r="F786" s="47" t="s">
        <v>1750</v>
      </c>
      <c r="G786" s="46">
        <f t="shared" si="9"/>
        <v>-4.429752066115622E-3</v>
      </c>
    </row>
    <row r="787" spans="1:7">
      <c r="A787" s="47">
        <v>75.94</v>
      </c>
      <c r="B787" s="47">
        <v>76.03</v>
      </c>
      <c r="C787" s="47">
        <v>74.12</v>
      </c>
      <c r="D787" s="47">
        <v>74.510000000000005</v>
      </c>
      <c r="E787" s="47">
        <v>8378585</v>
      </c>
      <c r="F787" s="47" t="s">
        <v>1749</v>
      </c>
      <c r="G787" s="46">
        <f t="shared" si="9"/>
        <v>1.9192054757750432E-2</v>
      </c>
    </row>
    <row r="788" spans="1:7">
      <c r="A788" s="47">
        <v>74.39</v>
      </c>
      <c r="B788" s="47">
        <v>75.180000000000007</v>
      </c>
      <c r="C788" s="47">
        <v>73.900099999999995</v>
      </c>
      <c r="D788" s="47">
        <v>74.930000000000007</v>
      </c>
      <c r="E788" s="47">
        <v>8429763</v>
      </c>
      <c r="F788" s="47" t="s">
        <v>1748</v>
      </c>
      <c r="G788" s="46">
        <f t="shared" si="9"/>
        <v>-7.2067262778594543E-3</v>
      </c>
    </row>
    <row r="789" spans="1:7">
      <c r="A789" s="47">
        <v>74.180000000000007</v>
      </c>
      <c r="B789" s="47">
        <v>74.3</v>
      </c>
      <c r="C789" s="47">
        <v>73</v>
      </c>
      <c r="D789" s="47">
        <v>73.209999999999994</v>
      </c>
      <c r="E789" s="47">
        <v>8746697</v>
      </c>
      <c r="F789" s="47" t="s">
        <v>1747</v>
      </c>
      <c r="G789" s="46">
        <f t="shared" si="9"/>
        <v>1.3249556071575075E-2</v>
      </c>
    </row>
    <row r="790" spans="1:7">
      <c r="A790" s="47">
        <v>72.7</v>
      </c>
      <c r="B790" s="47">
        <v>73.59</v>
      </c>
      <c r="C790" s="47">
        <v>71.86</v>
      </c>
      <c r="D790" s="47">
        <v>73.099999999999994</v>
      </c>
      <c r="E790" s="47">
        <v>9252414</v>
      </c>
      <c r="F790" s="47" t="s">
        <v>1746</v>
      </c>
      <c r="G790" s="46">
        <f t="shared" si="9"/>
        <v>-5.4719562243500386E-3</v>
      </c>
    </row>
    <row r="791" spans="1:7">
      <c r="A791" s="47">
        <v>73.3</v>
      </c>
      <c r="B791" s="47">
        <v>75.17</v>
      </c>
      <c r="C791" s="47">
        <v>73.180000000000007</v>
      </c>
      <c r="D791" s="47">
        <v>74.814999999999998</v>
      </c>
      <c r="E791" s="47">
        <v>11908872</v>
      </c>
      <c r="F791" s="47" t="s">
        <v>1745</v>
      </c>
      <c r="G791" s="46">
        <f t="shared" si="9"/>
        <v>-2.024994987636175E-2</v>
      </c>
    </row>
    <row r="792" spans="1:7">
      <c r="A792" s="47">
        <v>73.88</v>
      </c>
      <c r="B792" s="47">
        <v>73.900000000000006</v>
      </c>
      <c r="C792" s="47">
        <v>71.53</v>
      </c>
      <c r="D792" s="47">
        <v>71.92</v>
      </c>
      <c r="E792" s="47">
        <v>9181929</v>
      </c>
      <c r="F792" s="47" t="s">
        <v>1744</v>
      </c>
      <c r="G792" s="46">
        <f t="shared" si="9"/>
        <v>2.7252502780867438E-2</v>
      </c>
    </row>
    <row r="793" spans="1:7">
      <c r="A793" s="47">
        <v>72.56</v>
      </c>
      <c r="B793" s="47">
        <v>74.510000000000005</v>
      </c>
      <c r="C793" s="47">
        <v>71.709999999999994</v>
      </c>
      <c r="D793" s="47">
        <v>72.95</v>
      </c>
      <c r="E793" s="47">
        <v>18567643</v>
      </c>
      <c r="F793" s="47" t="s">
        <v>1743</v>
      </c>
      <c r="G793" s="46">
        <f t="shared" si="9"/>
        <v>-5.3461274845785223E-3</v>
      </c>
    </row>
    <row r="794" spans="1:7">
      <c r="A794" s="47">
        <v>74.34</v>
      </c>
      <c r="B794" s="47">
        <v>77.114999999999995</v>
      </c>
      <c r="C794" s="47">
        <v>74.239999999999995</v>
      </c>
      <c r="D794" s="47">
        <v>76.86</v>
      </c>
      <c r="E794" s="47">
        <v>11641254</v>
      </c>
      <c r="F794" s="47" t="s">
        <v>1742</v>
      </c>
      <c r="G794" s="46">
        <f t="shared" si="9"/>
        <v>-3.2786885245901565E-2</v>
      </c>
    </row>
    <row r="795" spans="1:7">
      <c r="A795" s="47">
        <v>76.72</v>
      </c>
      <c r="B795" s="47">
        <v>76.84</v>
      </c>
      <c r="C795" s="47">
        <v>74.069999999999993</v>
      </c>
      <c r="D795" s="47">
        <v>74.14</v>
      </c>
      <c r="E795" s="47">
        <v>12327575</v>
      </c>
      <c r="F795" s="47" t="s">
        <v>1741</v>
      </c>
      <c r="G795" s="46">
        <f t="shared" si="9"/>
        <v>3.4799028864310744E-2</v>
      </c>
    </row>
    <row r="796" spans="1:7">
      <c r="A796" s="47">
        <v>73.209999999999994</v>
      </c>
      <c r="B796" s="47">
        <v>74.14</v>
      </c>
      <c r="C796" s="47">
        <v>72.02</v>
      </c>
      <c r="D796" s="47">
        <v>73</v>
      </c>
      <c r="E796" s="47">
        <v>16888461</v>
      </c>
      <c r="F796" s="47" t="s">
        <v>1740</v>
      </c>
      <c r="G796" s="46">
        <f t="shared" si="9"/>
        <v>2.8767123287669616E-3</v>
      </c>
    </row>
    <row r="797" spans="1:7">
      <c r="A797" s="47">
        <v>72.989999999999995</v>
      </c>
      <c r="B797" s="47">
        <v>75.064999999999998</v>
      </c>
      <c r="C797" s="47">
        <v>72.478300000000004</v>
      </c>
      <c r="D797" s="47">
        <v>73.95</v>
      </c>
      <c r="E797" s="47">
        <v>27210436</v>
      </c>
      <c r="F797" s="47" t="s">
        <v>1739</v>
      </c>
      <c r="G797" s="46">
        <f t="shared" si="9"/>
        <v>-1.2981744421906805E-2</v>
      </c>
    </row>
    <row r="798" spans="1:7">
      <c r="A798" s="47">
        <v>74.349999999999994</v>
      </c>
      <c r="B798" s="47">
        <v>74.504999999999995</v>
      </c>
      <c r="C798" s="47">
        <v>72.52</v>
      </c>
      <c r="D798" s="47">
        <v>73.435000000000002</v>
      </c>
      <c r="E798" s="47">
        <v>11652235</v>
      </c>
      <c r="F798" s="47" t="s">
        <v>1738</v>
      </c>
      <c r="G798" s="46">
        <f t="shared" si="9"/>
        <v>1.2459998638251424E-2</v>
      </c>
    </row>
    <row r="799" spans="1:7">
      <c r="A799" s="47">
        <v>73.91</v>
      </c>
      <c r="B799" s="47">
        <v>73.94</v>
      </c>
      <c r="C799" s="47">
        <v>71.77</v>
      </c>
      <c r="D799" s="47">
        <v>72.11</v>
      </c>
      <c r="E799" s="47">
        <v>10548734</v>
      </c>
      <c r="F799" s="47" t="s">
        <v>1737</v>
      </c>
      <c r="G799" s="46">
        <f t="shared" si="9"/>
        <v>2.4961863819165098E-2</v>
      </c>
    </row>
    <row r="800" spans="1:7">
      <c r="A800" s="47">
        <v>73.239999999999995</v>
      </c>
      <c r="B800" s="47">
        <v>74.67</v>
      </c>
      <c r="C800" s="47">
        <v>72.674999999999997</v>
      </c>
      <c r="D800" s="47">
        <v>74.075000000000003</v>
      </c>
      <c r="E800" s="47">
        <v>12491519</v>
      </c>
      <c r="F800" s="47" t="s">
        <v>1736</v>
      </c>
      <c r="G800" s="46">
        <f t="shared" si="9"/>
        <v>-1.1272359095511386E-2</v>
      </c>
    </row>
    <row r="801" spans="1:7">
      <c r="A801" s="47">
        <v>72.61</v>
      </c>
      <c r="B801" s="47">
        <v>73.97</v>
      </c>
      <c r="C801" s="47">
        <v>71.085599999999999</v>
      </c>
      <c r="D801" s="47">
        <v>72.622</v>
      </c>
      <c r="E801" s="47">
        <v>14049002</v>
      </c>
      <c r="F801" s="47" t="s">
        <v>1735</v>
      </c>
      <c r="G801" s="46">
        <f t="shared" si="9"/>
        <v>-1.6523918371846857E-4</v>
      </c>
    </row>
    <row r="802" spans="1:7">
      <c r="A802" s="47">
        <v>73.430000000000007</v>
      </c>
      <c r="B802" s="47">
        <v>75.94</v>
      </c>
      <c r="C802" s="47">
        <v>73.099999999999994</v>
      </c>
      <c r="D802" s="47">
        <v>75.94</v>
      </c>
      <c r="E802" s="47">
        <v>13123835</v>
      </c>
      <c r="F802" s="47" t="s">
        <v>1734</v>
      </c>
      <c r="G802" s="46">
        <f t="shared" si="9"/>
        <v>-3.3052409797208249E-2</v>
      </c>
    </row>
    <row r="803" spans="1:7">
      <c r="A803" s="47">
        <v>75.930000000000007</v>
      </c>
      <c r="B803" s="47">
        <v>79.265100000000004</v>
      </c>
      <c r="C803" s="47">
        <v>75.724999999999994</v>
      </c>
      <c r="D803" s="47">
        <v>76.959999999999994</v>
      </c>
      <c r="E803" s="47">
        <v>17398175</v>
      </c>
      <c r="F803" s="47" t="s">
        <v>1733</v>
      </c>
      <c r="G803" s="46">
        <f t="shared" si="9"/>
        <v>-1.3383575883575749E-2</v>
      </c>
    </row>
    <row r="804" spans="1:7">
      <c r="A804" s="47">
        <v>75.84</v>
      </c>
      <c r="B804" s="47">
        <v>76.2</v>
      </c>
      <c r="C804" s="47">
        <v>74.349999999999994</v>
      </c>
      <c r="D804" s="47">
        <v>75.16</v>
      </c>
      <c r="E804" s="47">
        <v>9467869</v>
      </c>
      <c r="F804" s="47" t="s">
        <v>1732</v>
      </c>
      <c r="G804" s="46">
        <f t="shared" si="9"/>
        <v>9.0473656200107389E-3</v>
      </c>
    </row>
    <row r="805" spans="1:7">
      <c r="A805" s="47">
        <v>74.91</v>
      </c>
      <c r="B805" s="47">
        <v>77.38</v>
      </c>
      <c r="C805" s="47">
        <v>74.790000000000006</v>
      </c>
      <c r="D805" s="47">
        <v>76.540000000000006</v>
      </c>
      <c r="E805" s="47">
        <v>9680412</v>
      </c>
      <c r="F805" s="47" t="s">
        <v>1731</v>
      </c>
      <c r="G805" s="46">
        <f t="shared" si="9"/>
        <v>-2.1296054350666394E-2</v>
      </c>
    </row>
    <row r="806" spans="1:7">
      <c r="A806" s="47">
        <v>76.78</v>
      </c>
      <c r="B806" s="47">
        <v>77.760000000000005</v>
      </c>
      <c r="C806" s="47">
        <v>76.36</v>
      </c>
      <c r="D806" s="47">
        <v>76.94</v>
      </c>
      <c r="E806" s="47">
        <v>9608557</v>
      </c>
      <c r="F806" s="47" t="s">
        <v>1730</v>
      </c>
      <c r="G806" s="46">
        <f t="shared" si="9"/>
        <v>-2.0795425006497892E-3</v>
      </c>
    </row>
    <row r="807" spans="1:7">
      <c r="A807" s="47">
        <v>76.290000000000006</v>
      </c>
      <c r="B807" s="47">
        <v>76.319999999999993</v>
      </c>
      <c r="C807" s="47">
        <v>74.09</v>
      </c>
      <c r="D807" s="47">
        <v>74.16</v>
      </c>
      <c r="E807" s="47">
        <v>10040042</v>
      </c>
      <c r="F807" s="47" t="s">
        <v>1729</v>
      </c>
      <c r="G807" s="46">
        <f t="shared" si="9"/>
        <v>2.8721682847896668E-2</v>
      </c>
    </row>
    <row r="808" spans="1:7">
      <c r="A808" s="47">
        <v>74.099999999999994</v>
      </c>
      <c r="B808" s="47">
        <v>74.369900000000001</v>
      </c>
      <c r="C808" s="47">
        <v>72.599999999999994</v>
      </c>
      <c r="D808" s="47">
        <v>72.623999999999995</v>
      </c>
      <c r="E808" s="47">
        <v>7736316</v>
      </c>
      <c r="F808" s="47" t="s">
        <v>1728</v>
      </c>
      <c r="G808" s="46">
        <f t="shared" si="9"/>
        <v>2.0323859881031137E-2</v>
      </c>
    </row>
    <row r="809" spans="1:7">
      <c r="A809" s="47">
        <v>73.819999999999993</v>
      </c>
      <c r="B809" s="47">
        <v>74.22</v>
      </c>
      <c r="C809" s="47">
        <v>73.25</v>
      </c>
      <c r="D809" s="47">
        <v>73.63</v>
      </c>
      <c r="E809" s="47">
        <v>7699553</v>
      </c>
      <c r="F809" s="47" t="s">
        <v>1727</v>
      </c>
      <c r="G809" s="46">
        <f t="shared" si="9"/>
        <v>2.5804699171532164E-3</v>
      </c>
    </row>
    <row r="810" spans="1:7">
      <c r="A810" s="47">
        <v>73.599999999999994</v>
      </c>
      <c r="B810" s="47">
        <v>74.34</v>
      </c>
      <c r="C810" s="47">
        <v>73.13</v>
      </c>
      <c r="D810" s="47">
        <v>73.53</v>
      </c>
      <c r="E810" s="47">
        <v>8607417</v>
      </c>
      <c r="F810" s="47" t="s">
        <v>1726</v>
      </c>
      <c r="G810" s="46">
        <f t="shared" si="9"/>
        <v>9.5199238406085129E-4</v>
      </c>
    </row>
    <row r="811" spans="1:7">
      <c r="A811" s="47">
        <v>73.77</v>
      </c>
      <c r="B811" s="47">
        <v>74.564999999999998</v>
      </c>
      <c r="C811" s="47">
        <v>73.459999999999994</v>
      </c>
      <c r="D811" s="47">
        <v>74.319999999999993</v>
      </c>
      <c r="E811" s="47">
        <v>8579281</v>
      </c>
      <c r="F811" s="47" t="s">
        <v>1725</v>
      </c>
      <c r="G811" s="46">
        <f t="shared" si="9"/>
        <v>-7.4004305705058782E-3</v>
      </c>
    </row>
    <row r="812" spans="1:7">
      <c r="A812" s="47">
        <v>73.55</v>
      </c>
      <c r="B812" s="47">
        <v>74.03</v>
      </c>
      <c r="C812" s="47">
        <v>72.98</v>
      </c>
      <c r="D812" s="47">
        <v>73.5</v>
      </c>
      <c r="E812" s="47">
        <v>12317666</v>
      </c>
      <c r="F812" s="47" t="s">
        <v>1724</v>
      </c>
      <c r="G812" s="46">
        <f t="shared" si="9"/>
        <v>6.8027210884347156E-4</v>
      </c>
    </row>
    <row r="813" spans="1:7">
      <c r="A813" s="47">
        <v>75.19</v>
      </c>
      <c r="B813" s="47">
        <v>76.28</v>
      </c>
      <c r="C813" s="47">
        <v>73.625900000000001</v>
      </c>
      <c r="D813" s="47">
        <v>75.89</v>
      </c>
      <c r="E813" s="47">
        <v>9292018</v>
      </c>
      <c r="F813" s="47" t="s">
        <v>1723</v>
      </c>
      <c r="G813" s="46">
        <f t="shared" si="9"/>
        <v>-9.2238766635920344E-3</v>
      </c>
    </row>
    <row r="814" spans="1:7">
      <c r="A814" s="47">
        <v>75.48</v>
      </c>
      <c r="B814" s="47">
        <v>76.28</v>
      </c>
      <c r="C814" s="47">
        <v>74.885000000000005</v>
      </c>
      <c r="D814" s="47">
        <v>75.36</v>
      </c>
      <c r="E814" s="47">
        <v>9526680</v>
      </c>
      <c r="F814" s="47" t="s">
        <v>1722</v>
      </c>
      <c r="G814" s="46">
        <f t="shared" si="9"/>
        <v>1.5923566878981443E-3</v>
      </c>
    </row>
    <row r="815" spans="1:7">
      <c r="A815" s="47">
        <v>75.239999999999995</v>
      </c>
      <c r="B815" s="47">
        <v>75.569999999999993</v>
      </c>
      <c r="C815" s="47">
        <v>73.682000000000002</v>
      </c>
      <c r="D815" s="47">
        <v>73.709999999999994</v>
      </c>
      <c r="E815" s="47">
        <v>14537401</v>
      </c>
      <c r="F815" s="47" t="s">
        <v>1721</v>
      </c>
      <c r="G815" s="46">
        <f t="shared" si="9"/>
        <v>2.0757020757020683E-2</v>
      </c>
    </row>
    <row r="816" spans="1:7">
      <c r="A816" s="47">
        <v>74.66</v>
      </c>
      <c r="B816" s="47">
        <v>76.33</v>
      </c>
      <c r="C816" s="47">
        <v>73.59</v>
      </c>
      <c r="D816" s="47">
        <v>76.2</v>
      </c>
      <c r="E816" s="47">
        <v>15855721</v>
      </c>
      <c r="F816" s="47" t="s">
        <v>1720</v>
      </c>
      <c r="G816" s="46">
        <f t="shared" si="9"/>
        <v>-2.020997375328093E-2</v>
      </c>
    </row>
    <row r="817" spans="1:7">
      <c r="A817" s="47">
        <v>76.73</v>
      </c>
      <c r="B817" s="47">
        <v>78.72</v>
      </c>
      <c r="C817" s="47">
        <v>76.540000000000006</v>
      </c>
      <c r="D817" s="47">
        <v>76.87</v>
      </c>
      <c r="E817" s="47">
        <v>11461787</v>
      </c>
      <c r="F817" s="47" t="s">
        <v>1719</v>
      </c>
      <c r="G817" s="46">
        <f t="shared" si="9"/>
        <v>-1.8212566671003128E-3</v>
      </c>
    </row>
    <row r="818" spans="1:7">
      <c r="A818" s="47">
        <v>77.91</v>
      </c>
      <c r="B818" s="47">
        <v>78.790000000000006</v>
      </c>
      <c r="C818" s="47">
        <v>76.05</v>
      </c>
      <c r="D818" s="47">
        <v>76.53</v>
      </c>
      <c r="E818" s="47">
        <v>14511551</v>
      </c>
      <c r="F818" s="47" t="s">
        <v>1718</v>
      </c>
      <c r="G818" s="46">
        <f t="shared" si="9"/>
        <v>1.8032144257154048E-2</v>
      </c>
    </row>
    <row r="819" spans="1:7">
      <c r="A819" s="47">
        <v>77.260000000000005</v>
      </c>
      <c r="B819" s="47">
        <v>79.372699999999995</v>
      </c>
      <c r="C819" s="47">
        <v>76.3</v>
      </c>
      <c r="D819" s="47">
        <v>79</v>
      </c>
      <c r="E819" s="47">
        <v>18801983</v>
      </c>
      <c r="F819" s="47" t="s">
        <v>1717</v>
      </c>
      <c r="G819" s="46">
        <f t="shared" si="9"/>
        <v>-2.2025316455696164E-2</v>
      </c>
    </row>
    <row r="820" spans="1:7">
      <c r="A820" s="47">
        <v>79.45</v>
      </c>
      <c r="B820" s="47">
        <v>80.709999999999994</v>
      </c>
      <c r="C820" s="47">
        <v>78.44</v>
      </c>
      <c r="D820" s="47">
        <v>80.650000000000006</v>
      </c>
      <c r="E820" s="47">
        <v>15898540</v>
      </c>
      <c r="F820" s="47" t="s">
        <v>1716</v>
      </c>
      <c r="G820" s="46">
        <f t="shared" si="9"/>
        <v>-1.4879107253564783E-2</v>
      </c>
    </row>
    <row r="821" spans="1:7">
      <c r="A821" s="47">
        <v>80.8</v>
      </c>
      <c r="B821" s="47">
        <v>82.85</v>
      </c>
      <c r="C821" s="47">
        <v>78.599999999999994</v>
      </c>
      <c r="D821" s="47">
        <v>79.37</v>
      </c>
      <c r="E821" s="47">
        <v>37521045</v>
      </c>
      <c r="F821" s="47" t="s">
        <v>1715</v>
      </c>
      <c r="G821" s="46">
        <f t="shared" si="9"/>
        <v>1.8016882953256763E-2</v>
      </c>
    </row>
    <row r="822" spans="1:7">
      <c r="A822" s="47">
        <v>78.42</v>
      </c>
      <c r="B822" s="47">
        <v>81.8</v>
      </c>
      <c r="C822" s="47">
        <v>78.094999999999999</v>
      </c>
      <c r="D822" s="47">
        <v>81.73</v>
      </c>
      <c r="E822" s="47">
        <v>25473867</v>
      </c>
      <c r="F822" s="47" t="s">
        <v>1714</v>
      </c>
      <c r="G822" s="46">
        <f t="shared" si="9"/>
        <v>-4.0499204698397184E-2</v>
      </c>
    </row>
    <row r="823" spans="1:7">
      <c r="A823" s="47">
        <v>79.72</v>
      </c>
      <c r="B823" s="47">
        <v>82.61</v>
      </c>
      <c r="C823" s="47">
        <v>79.62</v>
      </c>
      <c r="D823" s="47">
        <v>82.35</v>
      </c>
      <c r="E823" s="47">
        <v>13569313</v>
      </c>
      <c r="F823" s="47" t="s">
        <v>1713</v>
      </c>
      <c r="G823" s="46">
        <f t="shared" si="9"/>
        <v>-3.1936854887674504E-2</v>
      </c>
    </row>
    <row r="824" spans="1:7">
      <c r="A824" s="47">
        <v>83.23</v>
      </c>
      <c r="B824" s="47">
        <v>83.67</v>
      </c>
      <c r="C824" s="47">
        <v>80.822599999999994</v>
      </c>
      <c r="D824" s="47">
        <v>82.06</v>
      </c>
      <c r="E824" s="47">
        <v>13520765</v>
      </c>
      <c r="F824" s="47" t="s">
        <v>1712</v>
      </c>
      <c r="G824" s="46">
        <f t="shared" si="9"/>
        <v>1.4257860102364184E-2</v>
      </c>
    </row>
    <row r="825" spans="1:7">
      <c r="A825" s="47">
        <v>82.33</v>
      </c>
      <c r="B825" s="47">
        <v>83.8</v>
      </c>
      <c r="C825" s="47">
        <v>82.135000000000005</v>
      </c>
      <c r="D825" s="47">
        <v>83.33</v>
      </c>
      <c r="E825" s="47">
        <v>14175936</v>
      </c>
      <c r="F825" s="47" t="s">
        <v>1711</v>
      </c>
      <c r="G825" s="46">
        <f t="shared" si="9"/>
        <v>-1.2000480019200732E-2</v>
      </c>
    </row>
    <row r="826" spans="1:7">
      <c r="A826" s="47">
        <v>85.52</v>
      </c>
      <c r="B826" s="47">
        <v>87.84</v>
      </c>
      <c r="C826" s="47">
        <v>85.2</v>
      </c>
      <c r="D826" s="47">
        <v>85.39</v>
      </c>
      <c r="E826" s="47">
        <v>14786883</v>
      </c>
      <c r="F826" s="47" t="s">
        <v>1710</v>
      </c>
      <c r="G826" s="46">
        <f t="shared" ref="G826:G889" si="10">A826/D826-1</f>
        <v>1.5224265136433157E-3</v>
      </c>
    </row>
    <row r="827" spans="1:7">
      <c r="A827" s="47">
        <v>86.96</v>
      </c>
      <c r="B827" s="47">
        <v>88.625</v>
      </c>
      <c r="C827" s="47">
        <v>84.65</v>
      </c>
      <c r="D827" s="47">
        <v>86.72</v>
      </c>
      <c r="E827" s="47">
        <v>16906581</v>
      </c>
      <c r="F827" s="47" t="s">
        <v>1709</v>
      </c>
      <c r="G827" s="46">
        <f t="shared" si="10"/>
        <v>2.7675276752767708E-3</v>
      </c>
    </row>
    <row r="828" spans="1:7">
      <c r="A828" s="47">
        <v>82.91</v>
      </c>
      <c r="B828" s="47">
        <v>83.6</v>
      </c>
      <c r="C828" s="47">
        <v>79.58</v>
      </c>
      <c r="D828" s="47">
        <v>81.34</v>
      </c>
      <c r="E828" s="47">
        <v>13221624</v>
      </c>
      <c r="F828" s="47" t="s">
        <v>1708</v>
      </c>
      <c r="G828" s="46">
        <f t="shared" si="10"/>
        <v>1.930169658224723E-2</v>
      </c>
    </row>
    <row r="829" spans="1:7">
      <c r="A829" s="47">
        <v>81.489999999999995</v>
      </c>
      <c r="B829" s="47">
        <v>82.47</v>
      </c>
      <c r="C829" s="47">
        <v>79.61</v>
      </c>
      <c r="D829" s="47">
        <v>79.7</v>
      </c>
      <c r="E829" s="47">
        <v>15730265</v>
      </c>
      <c r="F829" s="47" t="s">
        <v>1707</v>
      </c>
      <c r="G829" s="46">
        <f t="shared" si="10"/>
        <v>2.2459222082810371E-2</v>
      </c>
    </row>
    <row r="830" spans="1:7">
      <c r="A830" s="47">
        <v>79.64</v>
      </c>
      <c r="B830" s="47">
        <v>81.359800000000007</v>
      </c>
      <c r="C830" s="47">
        <v>79.534999999999997</v>
      </c>
      <c r="D830" s="47">
        <v>80.87</v>
      </c>
      <c r="E830" s="47">
        <v>10301044</v>
      </c>
      <c r="F830" s="47" t="s">
        <v>1706</v>
      </c>
      <c r="G830" s="46">
        <f t="shared" si="10"/>
        <v>-1.5209595647335261E-2</v>
      </c>
    </row>
    <row r="831" spans="1:7">
      <c r="A831" s="47">
        <v>81.83</v>
      </c>
      <c r="B831" s="47">
        <v>82.534800000000004</v>
      </c>
      <c r="C831" s="47">
        <v>80.319999999999993</v>
      </c>
      <c r="D831" s="47">
        <v>80.56</v>
      </c>
      <c r="E831" s="47">
        <v>10889093</v>
      </c>
      <c r="F831" s="47" t="s">
        <v>1705</v>
      </c>
      <c r="G831" s="46">
        <f t="shared" si="10"/>
        <v>1.5764647467725768E-2</v>
      </c>
    </row>
    <row r="832" spans="1:7">
      <c r="A832" s="47">
        <v>80.81</v>
      </c>
      <c r="B832" s="47">
        <v>80.900000000000006</v>
      </c>
      <c r="C832" s="47">
        <v>78.555999999999997</v>
      </c>
      <c r="D832" s="47">
        <v>80.08</v>
      </c>
      <c r="E832" s="47">
        <v>10566025</v>
      </c>
      <c r="F832" s="47" t="s">
        <v>1704</v>
      </c>
      <c r="G832" s="46">
        <f t="shared" si="10"/>
        <v>9.1158841158842652E-3</v>
      </c>
    </row>
    <row r="833" spans="1:7">
      <c r="A833" s="47">
        <v>79.099999999999994</v>
      </c>
      <c r="B833" s="47">
        <v>79.55</v>
      </c>
      <c r="C833" s="47">
        <v>77.3</v>
      </c>
      <c r="D833" s="47">
        <v>78.56</v>
      </c>
      <c r="E833" s="47">
        <v>9463413</v>
      </c>
      <c r="F833" s="47" t="s">
        <v>1703</v>
      </c>
      <c r="G833" s="46">
        <f t="shared" si="10"/>
        <v>6.8737270875762757E-3</v>
      </c>
    </row>
    <row r="834" spans="1:7">
      <c r="A834" s="47">
        <v>79.58</v>
      </c>
      <c r="B834" s="47">
        <v>80.39</v>
      </c>
      <c r="C834" s="47">
        <v>78.11</v>
      </c>
      <c r="D834" s="47">
        <v>79.38</v>
      </c>
      <c r="E834" s="47">
        <v>9491264</v>
      </c>
      <c r="F834" s="47" t="s">
        <v>1702</v>
      </c>
      <c r="G834" s="46">
        <f t="shared" si="10"/>
        <v>2.5195263290502812E-3</v>
      </c>
    </row>
    <row r="835" spans="1:7">
      <c r="A835" s="47">
        <v>79.5</v>
      </c>
      <c r="B835" s="47">
        <v>79.72</v>
      </c>
      <c r="C835" s="47">
        <v>76.66</v>
      </c>
      <c r="D835" s="47">
        <v>77.83</v>
      </c>
      <c r="E835" s="47">
        <v>17407322</v>
      </c>
      <c r="F835" s="47" t="s">
        <v>1701</v>
      </c>
      <c r="G835" s="46">
        <f t="shared" si="10"/>
        <v>2.1457021713991997E-2</v>
      </c>
    </row>
    <row r="836" spans="1:7">
      <c r="A836" s="47">
        <v>79.09</v>
      </c>
      <c r="B836" s="47">
        <v>79.099999999999994</v>
      </c>
      <c r="C836" s="47">
        <v>75.900099999999995</v>
      </c>
      <c r="D836" s="47">
        <v>77.012</v>
      </c>
      <c r="E836" s="47">
        <v>12193167</v>
      </c>
      <c r="F836" s="47" t="s">
        <v>1700</v>
      </c>
      <c r="G836" s="46">
        <f t="shared" si="10"/>
        <v>2.6982807874097681E-2</v>
      </c>
    </row>
    <row r="837" spans="1:7">
      <c r="A837" s="47">
        <v>76.75</v>
      </c>
      <c r="B837" s="47">
        <v>77.42</v>
      </c>
      <c r="C837" s="47">
        <v>75.959999999999994</v>
      </c>
      <c r="D837" s="47">
        <v>76.260499999999993</v>
      </c>
      <c r="E837" s="47">
        <v>10023405</v>
      </c>
      <c r="F837" s="47" t="s">
        <v>1699</v>
      </c>
      <c r="G837" s="46">
        <f t="shared" si="10"/>
        <v>6.4187882324402423E-3</v>
      </c>
    </row>
    <row r="838" spans="1:7">
      <c r="A838" s="47">
        <v>77.31</v>
      </c>
      <c r="B838" s="47">
        <v>80.75</v>
      </c>
      <c r="C838" s="47">
        <v>77.121300000000005</v>
      </c>
      <c r="D838" s="47">
        <v>79.8</v>
      </c>
      <c r="E838" s="47">
        <v>13601923</v>
      </c>
      <c r="F838" s="47" t="s">
        <v>1698</v>
      </c>
      <c r="G838" s="46">
        <f t="shared" si="10"/>
        <v>-3.1203007518796899E-2</v>
      </c>
    </row>
    <row r="839" spans="1:7">
      <c r="A839" s="47">
        <v>80.180000000000007</v>
      </c>
      <c r="B839" s="47">
        <v>80.665000000000006</v>
      </c>
      <c r="C839" s="47">
        <v>78.88</v>
      </c>
      <c r="D839" s="47">
        <v>80.14</v>
      </c>
      <c r="E839" s="47">
        <v>11261761</v>
      </c>
      <c r="F839" s="47" t="s">
        <v>1697</v>
      </c>
      <c r="G839" s="46">
        <f t="shared" si="10"/>
        <v>4.9912652857497797E-4</v>
      </c>
    </row>
    <row r="840" spans="1:7">
      <c r="A840" s="47">
        <v>79.48</v>
      </c>
      <c r="B840" s="47">
        <v>79.808999999999997</v>
      </c>
      <c r="C840" s="47">
        <v>78.03</v>
      </c>
      <c r="D840" s="47">
        <v>78.525000000000006</v>
      </c>
      <c r="E840" s="47">
        <v>8624660</v>
      </c>
      <c r="F840" s="47" t="s">
        <v>1696</v>
      </c>
      <c r="G840" s="46">
        <f t="shared" si="10"/>
        <v>1.2161731932505582E-2</v>
      </c>
    </row>
    <row r="841" spans="1:7">
      <c r="A841" s="47">
        <v>79.78</v>
      </c>
      <c r="B841" s="47">
        <v>80.3</v>
      </c>
      <c r="C841" s="47">
        <v>77.099999999999994</v>
      </c>
      <c r="D841" s="47">
        <v>79.010000000000005</v>
      </c>
      <c r="E841" s="47">
        <v>9381907</v>
      </c>
      <c r="F841" s="47" t="s">
        <v>1695</v>
      </c>
      <c r="G841" s="46">
        <f t="shared" si="10"/>
        <v>9.7456018225541285E-3</v>
      </c>
    </row>
    <row r="842" spans="1:7">
      <c r="A842" s="47">
        <v>78.540000000000006</v>
      </c>
      <c r="B842" s="47">
        <v>79.19</v>
      </c>
      <c r="C842" s="47">
        <v>77.819999999999993</v>
      </c>
      <c r="D842" s="47">
        <v>78.67</v>
      </c>
      <c r="E842" s="47">
        <v>10640362</v>
      </c>
      <c r="F842" s="47" t="s">
        <v>1694</v>
      </c>
      <c r="G842" s="46">
        <f t="shared" si="10"/>
        <v>-1.6524723528663632E-3</v>
      </c>
    </row>
    <row r="843" spans="1:7">
      <c r="A843" s="47">
        <v>77.92</v>
      </c>
      <c r="B843" s="47">
        <v>78.02</v>
      </c>
      <c r="C843" s="47">
        <v>76.5</v>
      </c>
      <c r="D843" s="47">
        <v>76.900000000000006</v>
      </c>
      <c r="E843" s="47">
        <v>10436048</v>
      </c>
      <c r="F843" s="47" t="s">
        <v>1693</v>
      </c>
      <c r="G843" s="46">
        <f t="shared" si="10"/>
        <v>1.3263979193758102E-2</v>
      </c>
    </row>
    <row r="844" spans="1:7">
      <c r="A844" s="47">
        <v>77.08</v>
      </c>
      <c r="B844" s="47">
        <v>78.765000000000001</v>
      </c>
      <c r="C844" s="47">
        <v>76.53</v>
      </c>
      <c r="D844" s="47">
        <v>77</v>
      </c>
      <c r="E844" s="47">
        <v>12966060</v>
      </c>
      <c r="F844" s="47" t="s">
        <v>1692</v>
      </c>
      <c r="G844" s="46">
        <f t="shared" si="10"/>
        <v>1.0389610389609505E-3</v>
      </c>
    </row>
    <row r="845" spans="1:7">
      <c r="A845" s="47">
        <v>76.48</v>
      </c>
      <c r="B845" s="47">
        <v>77.06</v>
      </c>
      <c r="C845" s="47">
        <v>73.95</v>
      </c>
      <c r="D845" s="47">
        <v>76.77</v>
      </c>
      <c r="E845" s="47">
        <v>14167910</v>
      </c>
      <c r="F845" s="47" t="s">
        <v>1691</v>
      </c>
      <c r="G845" s="46">
        <f t="shared" si="10"/>
        <v>-3.7775172593459416E-3</v>
      </c>
    </row>
    <row r="846" spans="1:7">
      <c r="A846" s="47">
        <v>76.27</v>
      </c>
      <c r="B846" s="47">
        <v>77.319999999999993</v>
      </c>
      <c r="C846" s="47">
        <v>75.650000000000006</v>
      </c>
      <c r="D846" s="47">
        <v>77.3</v>
      </c>
      <c r="E846" s="47">
        <v>11113763</v>
      </c>
      <c r="F846" s="47" t="s">
        <v>1690</v>
      </c>
      <c r="G846" s="46">
        <f t="shared" si="10"/>
        <v>-1.3324708926261364E-2</v>
      </c>
    </row>
    <row r="847" spans="1:7">
      <c r="A847" s="47">
        <v>77.69</v>
      </c>
      <c r="B847" s="47">
        <v>78.48</v>
      </c>
      <c r="C847" s="47">
        <v>75.430000000000007</v>
      </c>
      <c r="D847" s="47">
        <v>76.11</v>
      </c>
      <c r="E847" s="47">
        <v>19144650</v>
      </c>
      <c r="F847" s="47" t="s">
        <v>1689</v>
      </c>
      <c r="G847" s="46">
        <f t="shared" si="10"/>
        <v>2.0759427144921849E-2</v>
      </c>
    </row>
    <row r="848" spans="1:7">
      <c r="A848" s="47">
        <v>74.58</v>
      </c>
      <c r="B848" s="47">
        <v>75.260000000000005</v>
      </c>
      <c r="C848" s="47">
        <v>73.38</v>
      </c>
      <c r="D848" s="47">
        <v>73.69</v>
      </c>
      <c r="E848" s="47">
        <v>27974216</v>
      </c>
      <c r="F848" s="47" t="s">
        <v>1688</v>
      </c>
      <c r="G848" s="46">
        <f t="shared" si="10"/>
        <v>1.2077622472520089E-2</v>
      </c>
    </row>
    <row r="849" spans="1:7">
      <c r="A849" s="47">
        <v>71.22</v>
      </c>
      <c r="B849" s="47">
        <v>71.260000000000005</v>
      </c>
      <c r="C849" s="47">
        <v>69.06</v>
      </c>
      <c r="D849" s="47">
        <v>69.48</v>
      </c>
      <c r="E849" s="47">
        <v>10175658</v>
      </c>
      <c r="F849" s="47" t="s">
        <v>1687</v>
      </c>
      <c r="G849" s="46">
        <f t="shared" si="10"/>
        <v>2.5043177892918767E-2</v>
      </c>
    </row>
    <row r="850" spans="1:7">
      <c r="A850" s="47">
        <v>70.56</v>
      </c>
      <c r="B850" s="47">
        <v>70.739999999999995</v>
      </c>
      <c r="C850" s="47">
        <v>68.22</v>
      </c>
      <c r="D850" s="47">
        <v>68.39</v>
      </c>
      <c r="E850" s="47">
        <v>13142958</v>
      </c>
      <c r="F850" s="47" t="s">
        <v>1686</v>
      </c>
      <c r="G850" s="46">
        <f t="shared" si="10"/>
        <v>3.1729785056294757E-2</v>
      </c>
    </row>
    <row r="851" spans="1:7">
      <c r="A851" s="47">
        <v>67.55</v>
      </c>
      <c r="B851" s="47">
        <v>69.47</v>
      </c>
      <c r="C851" s="47">
        <v>67.291700000000006</v>
      </c>
      <c r="D851" s="47">
        <v>68.12</v>
      </c>
      <c r="E851" s="47">
        <v>8897589</v>
      </c>
      <c r="F851" s="47" t="s">
        <v>1685</v>
      </c>
      <c r="G851" s="46">
        <f t="shared" si="10"/>
        <v>-8.3675866118615438E-3</v>
      </c>
    </row>
    <row r="852" spans="1:7">
      <c r="A852" s="47">
        <v>68.33</v>
      </c>
      <c r="B852" s="47">
        <v>69.239999999999995</v>
      </c>
      <c r="C852" s="47">
        <v>67.680000000000007</v>
      </c>
      <c r="D852" s="47">
        <v>68.959999999999994</v>
      </c>
      <c r="E852" s="47">
        <v>10323752</v>
      </c>
      <c r="F852" s="47" t="s">
        <v>1684</v>
      </c>
      <c r="G852" s="46">
        <f t="shared" si="10"/>
        <v>-9.1357308584686381E-3</v>
      </c>
    </row>
    <row r="853" spans="1:7">
      <c r="A853" s="47">
        <v>69.03</v>
      </c>
      <c r="B853" s="47">
        <v>69.249899999999997</v>
      </c>
      <c r="C853" s="47">
        <v>67.709999999999994</v>
      </c>
      <c r="D853" s="47">
        <v>68.05</v>
      </c>
      <c r="E853" s="47">
        <v>9990400</v>
      </c>
      <c r="F853" s="47" t="s">
        <v>1683</v>
      </c>
      <c r="G853" s="46">
        <f t="shared" si="10"/>
        <v>1.4401175606171934E-2</v>
      </c>
    </row>
    <row r="854" spans="1:7">
      <c r="A854" s="47">
        <v>68.569999999999993</v>
      </c>
      <c r="B854" s="47">
        <v>68.817999999999998</v>
      </c>
      <c r="C854" s="47">
        <v>66.385000000000005</v>
      </c>
      <c r="D854" s="47">
        <v>68.540000000000006</v>
      </c>
      <c r="E854" s="47">
        <v>16488169</v>
      </c>
      <c r="F854" s="47" t="s">
        <v>1682</v>
      </c>
      <c r="G854" s="46">
        <f t="shared" si="10"/>
        <v>4.3770061278070038E-4</v>
      </c>
    </row>
    <row r="855" spans="1:7">
      <c r="A855" s="47">
        <v>69.209999999999994</v>
      </c>
      <c r="B855" s="47">
        <v>70.19</v>
      </c>
      <c r="C855" s="47">
        <v>68.069999999999993</v>
      </c>
      <c r="D855" s="47">
        <v>68.81</v>
      </c>
      <c r="E855" s="47">
        <v>13861596</v>
      </c>
      <c r="F855" s="47" t="s">
        <v>1681</v>
      </c>
      <c r="G855" s="46">
        <f t="shared" si="10"/>
        <v>5.8131085598023269E-3</v>
      </c>
    </row>
    <row r="856" spans="1:7">
      <c r="A856" s="47">
        <v>68.760000000000005</v>
      </c>
      <c r="B856" s="47">
        <v>70.13</v>
      </c>
      <c r="C856" s="47">
        <v>68.13</v>
      </c>
      <c r="D856" s="47">
        <v>68.385000000000005</v>
      </c>
      <c r="E856" s="47">
        <v>9470903</v>
      </c>
      <c r="F856" s="47" t="s">
        <v>1680</v>
      </c>
      <c r="G856" s="46">
        <f t="shared" si="10"/>
        <v>5.4836586970827828E-3</v>
      </c>
    </row>
    <row r="857" spans="1:7">
      <c r="A857" s="47">
        <v>68.95</v>
      </c>
      <c r="B857" s="47">
        <v>69.599999999999994</v>
      </c>
      <c r="C857" s="47">
        <v>67.75</v>
      </c>
      <c r="D857" s="47">
        <v>69.06</v>
      </c>
      <c r="E857" s="47">
        <v>15329986</v>
      </c>
      <c r="F857" s="47" t="s">
        <v>1679</v>
      </c>
      <c r="G857" s="46">
        <f t="shared" si="10"/>
        <v>-1.5928178395597792E-3</v>
      </c>
    </row>
    <row r="858" spans="1:7">
      <c r="A858" s="47">
        <v>69.260000000000005</v>
      </c>
      <c r="B858" s="47">
        <v>70.86</v>
      </c>
      <c r="C858" s="47">
        <v>68.45</v>
      </c>
      <c r="D858" s="47">
        <v>69.400000000000006</v>
      </c>
      <c r="E858" s="47">
        <v>25735164</v>
      </c>
      <c r="F858" s="47" t="s">
        <v>1678</v>
      </c>
      <c r="G858" s="46">
        <f t="shared" si="10"/>
        <v>-2.0172910662824561E-3</v>
      </c>
    </row>
    <row r="859" spans="1:7">
      <c r="A859" s="47">
        <v>69.77</v>
      </c>
      <c r="B859" s="47">
        <v>71.66</v>
      </c>
      <c r="C859" s="47">
        <v>69.44</v>
      </c>
      <c r="D859" s="47">
        <v>71.290000000000006</v>
      </c>
      <c r="E859" s="47">
        <v>17639938</v>
      </c>
      <c r="F859" s="47" t="s">
        <v>1677</v>
      </c>
      <c r="G859" s="46">
        <f t="shared" si="10"/>
        <v>-2.1321363445083619E-2</v>
      </c>
    </row>
    <row r="860" spans="1:7">
      <c r="A860" s="47">
        <v>72.63</v>
      </c>
      <c r="B860" s="47">
        <v>74.334999999999994</v>
      </c>
      <c r="C860" s="47">
        <v>71.59</v>
      </c>
      <c r="D860" s="47">
        <v>73.7</v>
      </c>
      <c r="E860" s="47">
        <v>18298756</v>
      </c>
      <c r="F860" s="47" t="s">
        <v>1676</v>
      </c>
      <c r="G860" s="46">
        <f t="shared" si="10"/>
        <v>-1.4518317503392275E-2</v>
      </c>
    </row>
    <row r="861" spans="1:7">
      <c r="A861" s="47">
        <v>73.7</v>
      </c>
      <c r="B861" s="47">
        <v>77.81</v>
      </c>
      <c r="C861" s="47">
        <v>73.099999999999994</v>
      </c>
      <c r="D861" s="47">
        <v>77.040000000000006</v>
      </c>
      <c r="E861" s="47">
        <v>20069616</v>
      </c>
      <c r="F861" s="47" t="s">
        <v>1675</v>
      </c>
      <c r="G861" s="46">
        <f t="shared" si="10"/>
        <v>-4.3354101765316733E-2</v>
      </c>
    </row>
    <row r="862" spans="1:7">
      <c r="A862" s="47">
        <v>73.8</v>
      </c>
      <c r="B862" s="47">
        <v>74.064999999999998</v>
      </c>
      <c r="C862" s="47">
        <v>72.8</v>
      </c>
      <c r="D862" s="47">
        <v>73.135000000000005</v>
      </c>
      <c r="E862" s="47">
        <v>13652848</v>
      </c>
      <c r="F862" s="47" t="s">
        <v>1674</v>
      </c>
      <c r="G862" s="46">
        <f t="shared" si="10"/>
        <v>9.092773637793039E-3</v>
      </c>
    </row>
    <row r="863" spans="1:7">
      <c r="A863" s="47">
        <v>73.569999999999993</v>
      </c>
      <c r="B863" s="47">
        <v>74.59</v>
      </c>
      <c r="C863" s="47">
        <v>73.34</v>
      </c>
      <c r="D863" s="47">
        <v>73.95</v>
      </c>
      <c r="E863" s="47">
        <v>11781646</v>
      </c>
      <c r="F863" s="47" t="s">
        <v>1673</v>
      </c>
      <c r="G863" s="46">
        <f t="shared" si="10"/>
        <v>-5.1386071670048716E-3</v>
      </c>
    </row>
    <row r="864" spans="1:7">
      <c r="A864" s="47">
        <v>74.22</v>
      </c>
      <c r="B864" s="47">
        <v>75.86</v>
      </c>
      <c r="C864" s="47">
        <v>73.790000000000006</v>
      </c>
      <c r="D864" s="47">
        <v>75.09</v>
      </c>
      <c r="E864" s="47">
        <v>13151074</v>
      </c>
      <c r="F864" s="47" t="s">
        <v>1672</v>
      </c>
      <c r="G864" s="46">
        <f t="shared" si="10"/>
        <v>-1.1586096683979252E-2</v>
      </c>
    </row>
    <row r="865" spans="1:7">
      <c r="A865" s="47">
        <v>74.42</v>
      </c>
      <c r="B865" s="47">
        <v>75.34</v>
      </c>
      <c r="C865" s="47">
        <v>71.010000000000005</v>
      </c>
      <c r="D865" s="47">
        <v>71.680000000000007</v>
      </c>
      <c r="E865" s="47">
        <v>24695638</v>
      </c>
      <c r="F865" s="47" t="s">
        <v>1671</v>
      </c>
      <c r="G865" s="46">
        <f t="shared" si="10"/>
        <v>3.8225446428571397E-2</v>
      </c>
    </row>
    <row r="866" spans="1:7">
      <c r="A866" s="47">
        <v>72.23</v>
      </c>
      <c r="B866" s="47">
        <v>73.84</v>
      </c>
      <c r="C866" s="47">
        <v>71.349999999999994</v>
      </c>
      <c r="D866" s="47">
        <v>73.38</v>
      </c>
      <c r="E866" s="47">
        <v>14692566</v>
      </c>
      <c r="F866" s="47" t="s">
        <v>1670</v>
      </c>
      <c r="G866" s="46">
        <f t="shared" si="10"/>
        <v>-1.5671845189424771E-2</v>
      </c>
    </row>
    <row r="867" spans="1:7">
      <c r="A867" s="47">
        <v>73.62</v>
      </c>
      <c r="B867" s="47">
        <v>75.489999999999995</v>
      </c>
      <c r="C867" s="47">
        <v>72.825000000000003</v>
      </c>
      <c r="D867" s="47">
        <v>74.010000000000005</v>
      </c>
      <c r="E867" s="47">
        <v>18317164</v>
      </c>
      <c r="F867" s="47" t="s">
        <v>1669</v>
      </c>
      <c r="G867" s="46">
        <f t="shared" si="10"/>
        <v>-5.2695581678151582E-3</v>
      </c>
    </row>
    <row r="868" spans="1:7">
      <c r="A868" s="47">
        <v>74.66</v>
      </c>
      <c r="B868" s="47">
        <v>77.06</v>
      </c>
      <c r="C868" s="47">
        <v>74.52</v>
      </c>
      <c r="D868" s="47">
        <v>76.819999999999993</v>
      </c>
      <c r="E868" s="47">
        <v>24238438</v>
      </c>
      <c r="F868" s="47" t="s">
        <v>1668</v>
      </c>
      <c r="G868" s="46">
        <f t="shared" si="10"/>
        <v>-2.8117677688102027E-2</v>
      </c>
    </row>
    <row r="869" spans="1:7">
      <c r="A869" s="47">
        <v>78.53</v>
      </c>
      <c r="B869" s="47">
        <v>80.745500000000007</v>
      </c>
      <c r="C869" s="47">
        <v>78.14</v>
      </c>
      <c r="D869" s="47">
        <v>79.11</v>
      </c>
      <c r="E869" s="47">
        <v>15188966</v>
      </c>
      <c r="F869" s="47" t="s">
        <v>1667</v>
      </c>
      <c r="G869" s="46">
        <f t="shared" si="10"/>
        <v>-7.3315636455567601E-3</v>
      </c>
    </row>
    <row r="870" spans="1:7">
      <c r="A870" s="47">
        <v>78.41</v>
      </c>
      <c r="B870" s="47">
        <v>79.11</v>
      </c>
      <c r="C870" s="47">
        <v>75.319999999999993</v>
      </c>
      <c r="D870" s="47">
        <v>77.7</v>
      </c>
      <c r="E870" s="47">
        <v>25747321</v>
      </c>
      <c r="F870" s="47" t="s">
        <v>1666</v>
      </c>
      <c r="G870" s="46">
        <f t="shared" si="10"/>
        <v>9.1377091377089492E-3</v>
      </c>
    </row>
    <row r="871" spans="1:7">
      <c r="A871" s="47">
        <v>77.64</v>
      </c>
      <c r="B871" s="47">
        <v>80.75</v>
      </c>
      <c r="C871" s="47">
        <v>77.260000000000005</v>
      </c>
      <c r="D871" s="47">
        <v>79.23</v>
      </c>
      <c r="E871" s="47">
        <v>15491087</v>
      </c>
      <c r="F871" s="47" t="s">
        <v>1665</v>
      </c>
      <c r="G871" s="46">
        <f t="shared" si="10"/>
        <v>-2.006815600151457E-2</v>
      </c>
    </row>
    <row r="872" spans="1:7">
      <c r="A872" s="47">
        <v>79.930000000000007</v>
      </c>
      <c r="B872" s="47">
        <v>82.92</v>
      </c>
      <c r="C872" s="47">
        <v>79.64</v>
      </c>
      <c r="D872" s="47">
        <v>79.930000000000007</v>
      </c>
      <c r="E872" s="47">
        <v>11287998</v>
      </c>
      <c r="F872" s="47" t="s">
        <v>1664</v>
      </c>
      <c r="G872" s="46">
        <f t="shared" si="10"/>
        <v>0</v>
      </c>
    </row>
    <row r="873" spans="1:7">
      <c r="A873" s="47">
        <v>80.08</v>
      </c>
      <c r="B873" s="47">
        <v>80.75</v>
      </c>
      <c r="C873" s="47">
        <v>79.415999999999997</v>
      </c>
      <c r="D873" s="47">
        <v>80.599999999999994</v>
      </c>
      <c r="E873" s="47">
        <v>4634524</v>
      </c>
      <c r="F873" s="47" t="s">
        <v>1663</v>
      </c>
      <c r="G873" s="46">
        <f t="shared" si="10"/>
        <v>-6.4516129032257119E-3</v>
      </c>
    </row>
    <row r="874" spans="1:7">
      <c r="A874" s="47">
        <v>80.75</v>
      </c>
      <c r="B874" s="47">
        <v>80.989999999999995</v>
      </c>
      <c r="C874" s="47">
        <v>78.734999999999999</v>
      </c>
      <c r="D874" s="47">
        <v>79.52</v>
      </c>
      <c r="E874" s="47">
        <v>8851732</v>
      </c>
      <c r="F874" s="47" t="s">
        <v>1662</v>
      </c>
      <c r="G874" s="46">
        <f t="shared" si="10"/>
        <v>1.5467806841046317E-2</v>
      </c>
    </row>
    <row r="875" spans="1:7">
      <c r="A875" s="47">
        <v>79.91</v>
      </c>
      <c r="B875" s="47">
        <v>80.16</v>
      </c>
      <c r="C875" s="47">
        <v>76.05</v>
      </c>
      <c r="D875" s="47">
        <v>80.14</v>
      </c>
      <c r="E875" s="47">
        <v>17402561</v>
      </c>
      <c r="F875" s="47" t="s">
        <v>1661</v>
      </c>
      <c r="G875" s="46">
        <f t="shared" si="10"/>
        <v>-2.8699775393062898E-3</v>
      </c>
    </row>
    <row r="876" spans="1:7">
      <c r="A876" s="47">
        <v>80.63</v>
      </c>
      <c r="B876" s="47">
        <v>84.795000000000002</v>
      </c>
      <c r="C876" s="47">
        <v>80.569999999999993</v>
      </c>
      <c r="D876" s="47">
        <v>84.26</v>
      </c>
      <c r="E876" s="47">
        <v>13839650</v>
      </c>
      <c r="F876" s="47" t="s">
        <v>1660</v>
      </c>
      <c r="G876" s="46">
        <f t="shared" si="10"/>
        <v>-4.3080939947780839E-2</v>
      </c>
    </row>
    <row r="877" spans="1:7">
      <c r="A877" s="47">
        <v>84.92</v>
      </c>
      <c r="B877" s="47">
        <v>87.28</v>
      </c>
      <c r="C877" s="47">
        <v>84.43</v>
      </c>
      <c r="D877" s="47">
        <v>86.86</v>
      </c>
      <c r="E877" s="47">
        <v>9371737</v>
      </c>
      <c r="F877" s="47" t="s">
        <v>1659</v>
      </c>
      <c r="G877" s="46">
        <f t="shared" si="10"/>
        <v>-2.2334791618696781E-2</v>
      </c>
    </row>
    <row r="878" spans="1:7">
      <c r="A878" s="47">
        <v>85.64</v>
      </c>
      <c r="B878" s="47">
        <v>87.34</v>
      </c>
      <c r="C878" s="47">
        <v>83.51</v>
      </c>
      <c r="D878" s="47">
        <v>84.614999999999995</v>
      </c>
      <c r="E878" s="47">
        <v>11250077</v>
      </c>
      <c r="F878" s="47" t="s">
        <v>1658</v>
      </c>
      <c r="G878" s="46">
        <f t="shared" si="10"/>
        <v>1.2113691425870154E-2</v>
      </c>
    </row>
    <row r="879" spans="1:7">
      <c r="A879" s="47">
        <v>87.04</v>
      </c>
      <c r="B879" s="47">
        <v>89.71</v>
      </c>
      <c r="C879" s="47">
        <v>85.48</v>
      </c>
      <c r="D879" s="47">
        <v>89.62</v>
      </c>
      <c r="E879" s="47">
        <v>17049823</v>
      </c>
      <c r="F879" s="47" t="s">
        <v>1657</v>
      </c>
      <c r="G879" s="46">
        <f t="shared" si="10"/>
        <v>-2.8788216915866971E-2</v>
      </c>
    </row>
    <row r="880" spans="1:7">
      <c r="A880" s="47">
        <v>89.86</v>
      </c>
      <c r="B880" s="47">
        <v>92.62</v>
      </c>
      <c r="C880" s="47">
        <v>89.28</v>
      </c>
      <c r="D880" s="47">
        <v>92.49</v>
      </c>
      <c r="E880" s="47">
        <v>14515675</v>
      </c>
      <c r="F880" s="47" t="s">
        <v>1656</v>
      </c>
      <c r="G880" s="46">
        <f t="shared" si="10"/>
        <v>-2.8435506541247602E-2</v>
      </c>
    </row>
    <row r="881" spans="1:7">
      <c r="A881" s="47">
        <v>89.51</v>
      </c>
      <c r="B881" s="47">
        <v>91.37</v>
      </c>
      <c r="C881" s="47">
        <v>88.92</v>
      </c>
      <c r="D881" s="47">
        <v>90.16</v>
      </c>
      <c r="E881" s="47">
        <v>10910626</v>
      </c>
      <c r="F881" s="47" t="s">
        <v>1655</v>
      </c>
      <c r="G881" s="46">
        <f t="shared" si="10"/>
        <v>-7.2094055013308678E-3</v>
      </c>
    </row>
    <row r="882" spans="1:7">
      <c r="A882" s="47">
        <v>91.03</v>
      </c>
      <c r="B882" s="47">
        <v>92</v>
      </c>
      <c r="C882" s="47">
        <v>86.46</v>
      </c>
      <c r="D882" s="47">
        <v>86.52</v>
      </c>
      <c r="E882" s="47">
        <v>19916726</v>
      </c>
      <c r="F882" s="47" t="s">
        <v>1654</v>
      </c>
      <c r="G882" s="46">
        <f t="shared" si="10"/>
        <v>5.2126675913083842E-2</v>
      </c>
    </row>
    <row r="883" spans="1:7">
      <c r="A883" s="47">
        <v>86.8</v>
      </c>
      <c r="B883" s="47">
        <v>86.9</v>
      </c>
      <c r="C883" s="47">
        <v>83.11</v>
      </c>
      <c r="D883" s="47">
        <v>84.11</v>
      </c>
      <c r="E883" s="47">
        <v>20122066</v>
      </c>
      <c r="F883" s="47" t="s">
        <v>1653</v>
      </c>
      <c r="G883" s="46">
        <f t="shared" si="10"/>
        <v>3.1981928427059714E-2</v>
      </c>
    </row>
    <row r="884" spans="1:7">
      <c r="A884" s="47">
        <v>78.680000000000007</v>
      </c>
      <c r="B884" s="47">
        <v>80.25</v>
      </c>
      <c r="C884" s="47">
        <v>78.09</v>
      </c>
      <c r="D884" s="47">
        <v>80.02</v>
      </c>
      <c r="E884" s="47">
        <v>14327580</v>
      </c>
      <c r="F884" s="47" t="s">
        <v>1652</v>
      </c>
      <c r="G884" s="46">
        <f t="shared" si="10"/>
        <v>-1.6745813546613197E-2</v>
      </c>
    </row>
    <row r="885" spans="1:7">
      <c r="A885" s="47">
        <v>81.13</v>
      </c>
      <c r="B885" s="47">
        <v>83.23</v>
      </c>
      <c r="C885" s="47">
        <v>78.05</v>
      </c>
      <c r="D885" s="47">
        <v>78.150000000000006</v>
      </c>
      <c r="E885" s="47">
        <v>19481300</v>
      </c>
      <c r="F885" s="47" t="s">
        <v>1651</v>
      </c>
      <c r="G885" s="46">
        <f t="shared" si="10"/>
        <v>3.8131797824696001E-2</v>
      </c>
    </row>
    <row r="886" spans="1:7">
      <c r="A886" s="47">
        <v>77.66</v>
      </c>
      <c r="B886" s="47">
        <v>78.180000000000007</v>
      </c>
      <c r="C886" s="47">
        <v>76.12</v>
      </c>
      <c r="D886" s="47">
        <v>76.53</v>
      </c>
      <c r="E886" s="47">
        <v>18061466</v>
      </c>
      <c r="F886" s="47" t="s">
        <v>1650</v>
      </c>
      <c r="G886" s="46">
        <f t="shared" si="10"/>
        <v>1.4765451456944856E-2</v>
      </c>
    </row>
    <row r="887" spans="1:7">
      <c r="A887" s="47">
        <v>75.180000000000007</v>
      </c>
      <c r="B887" s="47">
        <v>75.31</v>
      </c>
      <c r="C887" s="47">
        <v>71.168000000000006</v>
      </c>
      <c r="D887" s="47">
        <v>75</v>
      </c>
      <c r="E887" s="47">
        <v>41464864</v>
      </c>
      <c r="F887" s="47" t="s">
        <v>1649</v>
      </c>
      <c r="G887" s="46">
        <f t="shared" si="10"/>
        <v>2.4000000000001798E-3</v>
      </c>
    </row>
    <row r="888" spans="1:7">
      <c r="A888" s="47">
        <v>76.55</v>
      </c>
      <c r="B888" s="47">
        <v>78.72</v>
      </c>
      <c r="C888" s="47">
        <v>75.290000000000006</v>
      </c>
      <c r="D888" s="47">
        <v>78.150099999999995</v>
      </c>
      <c r="E888" s="47">
        <v>26962895</v>
      </c>
      <c r="F888" s="47" t="s">
        <v>1648</v>
      </c>
      <c r="G888" s="46">
        <f t="shared" si="10"/>
        <v>-2.0474701887777447E-2</v>
      </c>
    </row>
    <row r="889" spans="1:7">
      <c r="A889" s="47">
        <v>79.45</v>
      </c>
      <c r="B889" s="47">
        <v>84.22</v>
      </c>
      <c r="C889" s="47">
        <v>79.39</v>
      </c>
      <c r="D889" s="47">
        <v>83.11</v>
      </c>
      <c r="E889" s="47">
        <v>13037409</v>
      </c>
      <c r="F889" s="47" t="s">
        <v>1647</v>
      </c>
      <c r="G889" s="46">
        <f t="shared" si="10"/>
        <v>-4.403802189868844E-2</v>
      </c>
    </row>
    <row r="890" spans="1:7">
      <c r="A890" s="47">
        <v>83.11</v>
      </c>
      <c r="B890" s="47">
        <v>86.14</v>
      </c>
      <c r="C890" s="47">
        <v>83.055000000000007</v>
      </c>
      <c r="D890" s="47">
        <v>85</v>
      </c>
      <c r="E890" s="47">
        <v>10269668</v>
      </c>
      <c r="F890" s="47" t="s">
        <v>1646</v>
      </c>
      <c r="G890" s="46">
        <f t="shared" ref="G890:G953" si="11">A890/D890-1</f>
        <v>-2.223529411764702E-2</v>
      </c>
    </row>
    <row r="891" spans="1:7">
      <c r="A891" s="47">
        <v>83.58</v>
      </c>
      <c r="B891" s="47">
        <v>86.25</v>
      </c>
      <c r="C891" s="47">
        <v>82.47</v>
      </c>
      <c r="D891" s="47">
        <v>85.51</v>
      </c>
      <c r="E891" s="47">
        <v>17709487</v>
      </c>
      <c r="F891" s="47" t="s">
        <v>1645</v>
      </c>
      <c r="G891" s="46">
        <f t="shared" si="11"/>
        <v>-2.2570459595369075E-2</v>
      </c>
    </row>
    <row r="892" spans="1:7">
      <c r="A892" s="47">
        <v>86.25</v>
      </c>
      <c r="B892" s="47">
        <v>87.419399999999996</v>
      </c>
      <c r="C892" s="47">
        <v>84.19</v>
      </c>
      <c r="D892" s="47">
        <v>86.09</v>
      </c>
      <c r="E892" s="47">
        <v>16005726</v>
      </c>
      <c r="F892" s="47" t="s">
        <v>1644</v>
      </c>
      <c r="G892" s="46">
        <f t="shared" si="11"/>
        <v>1.8585201533278806E-3</v>
      </c>
    </row>
    <row r="893" spans="1:7">
      <c r="A893" s="47">
        <v>87.35</v>
      </c>
      <c r="B893" s="47">
        <v>89.71</v>
      </c>
      <c r="C893" s="47">
        <v>87.1</v>
      </c>
      <c r="D893" s="47">
        <v>88.55</v>
      </c>
      <c r="E893" s="47">
        <v>10785787</v>
      </c>
      <c r="F893" s="47" t="s">
        <v>1643</v>
      </c>
      <c r="G893" s="46">
        <f t="shared" si="11"/>
        <v>-1.3551665725578754E-2</v>
      </c>
    </row>
    <row r="894" spans="1:7">
      <c r="A894" s="47">
        <v>88.55</v>
      </c>
      <c r="B894" s="47">
        <v>91.34</v>
      </c>
      <c r="C894" s="47">
        <v>87.92</v>
      </c>
      <c r="D894" s="47">
        <v>88.1</v>
      </c>
      <c r="E894" s="47">
        <v>12109437</v>
      </c>
      <c r="F894" s="47" t="s">
        <v>1642</v>
      </c>
      <c r="G894" s="46">
        <f t="shared" si="11"/>
        <v>5.107832009080715E-3</v>
      </c>
    </row>
    <row r="895" spans="1:7">
      <c r="A895" s="47">
        <v>89.24</v>
      </c>
      <c r="B895" s="47">
        <v>89.68</v>
      </c>
      <c r="C895" s="47">
        <v>85.96</v>
      </c>
      <c r="D895" s="47">
        <v>86.17</v>
      </c>
      <c r="E895" s="47">
        <v>18001395</v>
      </c>
      <c r="F895" s="47" t="s">
        <v>1641</v>
      </c>
      <c r="G895" s="46">
        <f t="shared" si="11"/>
        <v>3.5627248462341887E-2</v>
      </c>
    </row>
    <row r="896" spans="1:7">
      <c r="A896" s="47">
        <v>83.32</v>
      </c>
      <c r="B896" s="47">
        <v>84.6</v>
      </c>
      <c r="C896" s="47">
        <v>80.86</v>
      </c>
      <c r="D896" s="47">
        <v>84.55</v>
      </c>
      <c r="E896" s="47">
        <v>13298956</v>
      </c>
      <c r="F896" s="47" t="s">
        <v>1640</v>
      </c>
      <c r="G896" s="46">
        <f t="shared" si="11"/>
        <v>-1.454760496747487E-2</v>
      </c>
    </row>
    <row r="897" spans="1:7">
      <c r="A897" s="47">
        <v>83.94</v>
      </c>
      <c r="B897" s="47">
        <v>85.13</v>
      </c>
      <c r="C897" s="47">
        <v>82.35</v>
      </c>
      <c r="D897" s="47">
        <v>83.623999999999995</v>
      </c>
      <c r="E897" s="47">
        <v>14423801</v>
      </c>
      <c r="F897" s="47" t="s">
        <v>1639</v>
      </c>
      <c r="G897" s="46">
        <f t="shared" si="11"/>
        <v>3.7788194776620099E-3</v>
      </c>
    </row>
    <row r="898" spans="1:7">
      <c r="A898" s="47">
        <v>84.78</v>
      </c>
      <c r="B898" s="47">
        <v>87.6</v>
      </c>
      <c r="C898" s="47">
        <v>84</v>
      </c>
      <c r="D898" s="47">
        <v>84.68</v>
      </c>
      <c r="E898" s="47">
        <v>10581861</v>
      </c>
      <c r="F898" s="47" t="s">
        <v>1638</v>
      </c>
      <c r="G898" s="46">
        <f t="shared" si="11"/>
        <v>1.180916391119391E-3</v>
      </c>
    </row>
    <row r="899" spans="1:7">
      <c r="A899" s="47">
        <v>84.47</v>
      </c>
      <c r="B899" s="47">
        <v>85.76</v>
      </c>
      <c r="C899" s="47">
        <v>83.307199999999995</v>
      </c>
      <c r="D899" s="47">
        <v>84.36</v>
      </c>
      <c r="E899" s="47">
        <v>8590109</v>
      </c>
      <c r="F899" s="47" t="s">
        <v>1637</v>
      </c>
      <c r="G899" s="46">
        <f t="shared" si="11"/>
        <v>1.3039355144617293E-3</v>
      </c>
    </row>
    <row r="900" spans="1:7">
      <c r="A900" s="47">
        <v>85.29</v>
      </c>
      <c r="B900" s="47">
        <v>87.75</v>
      </c>
      <c r="C900" s="47">
        <v>84.614999999999995</v>
      </c>
      <c r="D900" s="47">
        <v>87.418000000000006</v>
      </c>
      <c r="E900" s="47">
        <v>9921587</v>
      </c>
      <c r="F900" s="47" t="s">
        <v>1636</v>
      </c>
      <c r="G900" s="46">
        <f t="shared" si="11"/>
        <v>-2.4342812693038063E-2</v>
      </c>
    </row>
    <row r="901" spans="1:7">
      <c r="A901" s="47">
        <v>84.66</v>
      </c>
      <c r="B901" s="47">
        <v>84.83</v>
      </c>
      <c r="C901" s="47">
        <v>82.63</v>
      </c>
      <c r="D901" s="47">
        <v>82.704999999999998</v>
      </c>
      <c r="E901" s="47">
        <v>19583270</v>
      </c>
      <c r="F901" s="47" t="s">
        <v>1635</v>
      </c>
      <c r="G901" s="46">
        <f t="shared" si="11"/>
        <v>2.3638232271325776E-2</v>
      </c>
    </row>
    <row r="902" spans="1:7">
      <c r="A902" s="47">
        <v>80.47</v>
      </c>
      <c r="B902" s="47">
        <v>85.52</v>
      </c>
      <c r="C902" s="47">
        <v>80.290000000000006</v>
      </c>
      <c r="D902" s="47">
        <v>84.26</v>
      </c>
      <c r="E902" s="47">
        <v>11764565</v>
      </c>
      <c r="F902" s="47" t="s">
        <v>1634</v>
      </c>
      <c r="G902" s="46">
        <f t="shared" si="11"/>
        <v>-4.4979824353192588E-2</v>
      </c>
    </row>
    <row r="903" spans="1:7">
      <c r="A903" s="47">
        <v>84.04</v>
      </c>
      <c r="B903" s="47">
        <v>84.784999999999997</v>
      </c>
      <c r="C903" s="47">
        <v>79.350099999999998</v>
      </c>
      <c r="D903" s="47">
        <v>79.352000000000004</v>
      </c>
      <c r="E903" s="47">
        <v>15397915</v>
      </c>
      <c r="F903" s="47" t="s">
        <v>1633</v>
      </c>
      <c r="G903" s="46">
        <f t="shared" si="11"/>
        <v>5.9078536142756377E-2</v>
      </c>
    </row>
    <row r="904" spans="1:7">
      <c r="A904" s="47">
        <v>83.81</v>
      </c>
      <c r="B904" s="47">
        <v>85.17</v>
      </c>
      <c r="C904" s="47">
        <v>82.32</v>
      </c>
      <c r="D904" s="47">
        <v>83.54</v>
      </c>
      <c r="E904" s="47">
        <v>11069268</v>
      </c>
      <c r="F904" s="47" t="s">
        <v>1632</v>
      </c>
      <c r="G904" s="46">
        <f t="shared" si="11"/>
        <v>3.2319846779984562E-3</v>
      </c>
    </row>
    <row r="905" spans="1:7">
      <c r="A905" s="47">
        <v>83.09</v>
      </c>
      <c r="B905" s="47">
        <v>84.82</v>
      </c>
      <c r="C905" s="47">
        <v>79.819999999999993</v>
      </c>
      <c r="D905" s="47">
        <v>84.09</v>
      </c>
      <c r="E905" s="47">
        <v>16098553</v>
      </c>
      <c r="F905" s="47" t="s">
        <v>1631</v>
      </c>
      <c r="G905" s="46">
        <f t="shared" si="11"/>
        <v>-1.1892020454275176E-2</v>
      </c>
    </row>
    <row r="906" spans="1:7">
      <c r="A906" s="47">
        <v>84.52</v>
      </c>
      <c r="B906" s="47">
        <v>87.85</v>
      </c>
      <c r="C906" s="47">
        <v>84.234999999999999</v>
      </c>
      <c r="D906" s="47">
        <v>87.38</v>
      </c>
      <c r="E906" s="47">
        <v>20930470</v>
      </c>
      <c r="F906" s="47" t="s">
        <v>1630</v>
      </c>
      <c r="G906" s="46">
        <f t="shared" si="11"/>
        <v>-3.2730601968413819E-2</v>
      </c>
    </row>
    <row r="907" spans="1:7">
      <c r="A907" s="47">
        <v>90.17</v>
      </c>
      <c r="B907" s="47">
        <v>92.82</v>
      </c>
      <c r="C907" s="47">
        <v>89.685000000000002</v>
      </c>
      <c r="D907" s="47">
        <v>92.18</v>
      </c>
      <c r="E907" s="47">
        <v>9229569</v>
      </c>
      <c r="F907" s="47" t="s">
        <v>1629</v>
      </c>
      <c r="G907" s="46">
        <f t="shared" si="11"/>
        <v>-2.1805163809937134E-2</v>
      </c>
    </row>
    <row r="908" spans="1:7">
      <c r="A908" s="47">
        <v>94.42</v>
      </c>
      <c r="B908" s="47">
        <v>95.57</v>
      </c>
      <c r="C908" s="47">
        <v>93.22</v>
      </c>
      <c r="D908" s="47">
        <v>93.22</v>
      </c>
      <c r="E908" s="47">
        <v>8652282</v>
      </c>
      <c r="F908" s="47" t="s">
        <v>1628</v>
      </c>
      <c r="G908" s="46">
        <f t="shared" si="11"/>
        <v>1.2872774082814953E-2</v>
      </c>
    </row>
    <row r="909" spans="1:7">
      <c r="A909" s="47">
        <v>93.83</v>
      </c>
      <c r="B909" s="47">
        <v>94.61</v>
      </c>
      <c r="C909" s="47">
        <v>90.99</v>
      </c>
      <c r="D909" s="47">
        <v>91.02</v>
      </c>
      <c r="E909" s="47">
        <v>9803544</v>
      </c>
      <c r="F909" s="47" t="s">
        <v>1627</v>
      </c>
      <c r="G909" s="46">
        <f t="shared" si="11"/>
        <v>3.0872335750384616E-2</v>
      </c>
    </row>
    <row r="910" spans="1:7">
      <c r="A910" s="47">
        <v>92.79</v>
      </c>
      <c r="B910" s="47">
        <v>93</v>
      </c>
      <c r="C910" s="47">
        <v>89.5</v>
      </c>
      <c r="D910" s="47">
        <v>89.55</v>
      </c>
      <c r="E910" s="47">
        <v>11239529</v>
      </c>
      <c r="F910" s="47" t="s">
        <v>1626</v>
      </c>
      <c r="G910" s="46">
        <f t="shared" si="11"/>
        <v>3.6180904522613133E-2</v>
      </c>
    </row>
    <row r="911" spans="1:7">
      <c r="A911" s="47">
        <v>87.18</v>
      </c>
      <c r="B911" s="47">
        <v>88.06</v>
      </c>
      <c r="C911" s="47">
        <v>85.444999999999993</v>
      </c>
      <c r="D911" s="47">
        <v>87.53</v>
      </c>
      <c r="E911" s="47">
        <v>10416299</v>
      </c>
      <c r="F911" s="47" t="s">
        <v>1625</v>
      </c>
      <c r="G911" s="46">
        <f t="shared" si="11"/>
        <v>-3.9986290414714132E-3</v>
      </c>
    </row>
    <row r="912" spans="1:7">
      <c r="A912" s="47">
        <v>86.07</v>
      </c>
      <c r="B912" s="47">
        <v>89.52</v>
      </c>
      <c r="C912" s="47">
        <v>85.98</v>
      </c>
      <c r="D912" s="47">
        <v>87.95</v>
      </c>
      <c r="E912" s="47">
        <v>10641930</v>
      </c>
      <c r="F912" s="47" t="s">
        <v>1624</v>
      </c>
      <c r="G912" s="46">
        <f t="shared" si="11"/>
        <v>-2.1375781694144558E-2</v>
      </c>
    </row>
    <row r="913" spans="1:7">
      <c r="A913" s="47">
        <v>88.7</v>
      </c>
      <c r="B913" s="47">
        <v>90.559899999999999</v>
      </c>
      <c r="C913" s="47">
        <v>87.71</v>
      </c>
      <c r="D913" s="47">
        <v>89.67</v>
      </c>
      <c r="E913" s="47">
        <v>10772526</v>
      </c>
      <c r="F913" s="47" t="s">
        <v>1623</v>
      </c>
      <c r="G913" s="46">
        <f t="shared" si="11"/>
        <v>-1.0817441730790689E-2</v>
      </c>
    </row>
    <row r="914" spans="1:7">
      <c r="A914" s="47">
        <v>91.12</v>
      </c>
      <c r="B914" s="47">
        <v>91.65</v>
      </c>
      <c r="C914" s="47">
        <v>85.56</v>
      </c>
      <c r="D914" s="47">
        <v>85.83</v>
      </c>
      <c r="E914" s="47">
        <v>14925948</v>
      </c>
      <c r="F914" s="47" t="s">
        <v>1622</v>
      </c>
      <c r="G914" s="46">
        <f t="shared" si="11"/>
        <v>6.1633461493650232E-2</v>
      </c>
    </row>
    <row r="915" spans="1:7">
      <c r="A915" s="47">
        <v>85.75</v>
      </c>
      <c r="B915" s="47">
        <v>87.694999999999993</v>
      </c>
      <c r="C915" s="47">
        <v>84.58</v>
      </c>
      <c r="D915" s="47">
        <v>85.35</v>
      </c>
      <c r="E915" s="47">
        <v>11627600</v>
      </c>
      <c r="F915" s="47" t="s">
        <v>1621</v>
      </c>
      <c r="G915" s="46">
        <f t="shared" si="11"/>
        <v>4.6865846514352327E-3</v>
      </c>
    </row>
    <row r="916" spans="1:7">
      <c r="A916" s="47">
        <v>84.26</v>
      </c>
      <c r="B916" s="47">
        <v>89.08</v>
      </c>
      <c r="C916" s="47">
        <v>84.13</v>
      </c>
      <c r="D916" s="47">
        <v>87.064999999999998</v>
      </c>
      <c r="E916" s="47">
        <v>16936399</v>
      </c>
      <c r="F916" s="47" t="s">
        <v>1620</v>
      </c>
      <c r="G916" s="46">
        <f t="shared" si="11"/>
        <v>-3.2217308907138253E-2</v>
      </c>
    </row>
    <row r="917" spans="1:7">
      <c r="A917" s="47">
        <v>86.97</v>
      </c>
      <c r="B917" s="47">
        <v>87.63</v>
      </c>
      <c r="C917" s="47">
        <v>85.68</v>
      </c>
      <c r="D917" s="47">
        <v>86.92</v>
      </c>
      <c r="E917" s="47">
        <v>12175885</v>
      </c>
      <c r="F917" s="47" t="s">
        <v>1619</v>
      </c>
      <c r="G917" s="46">
        <f t="shared" si="11"/>
        <v>5.7524160147259806E-4</v>
      </c>
    </row>
    <row r="918" spans="1:7">
      <c r="A918" s="47">
        <v>87.66</v>
      </c>
      <c r="B918" s="47">
        <v>91.5</v>
      </c>
      <c r="C918" s="47">
        <v>87.1</v>
      </c>
      <c r="D918" s="47">
        <v>90.855000000000004</v>
      </c>
      <c r="E918" s="47">
        <v>12996947</v>
      </c>
      <c r="F918" s="47" t="s">
        <v>1618</v>
      </c>
      <c r="G918" s="46">
        <f t="shared" si="11"/>
        <v>-3.5165923724616244E-2</v>
      </c>
    </row>
    <row r="919" spans="1:7">
      <c r="A919" s="47">
        <v>91.18</v>
      </c>
      <c r="B919" s="47">
        <v>95.64</v>
      </c>
      <c r="C919" s="47">
        <v>91.13</v>
      </c>
      <c r="D919" s="47">
        <v>93.07</v>
      </c>
      <c r="E919" s="47">
        <v>14457878</v>
      </c>
      <c r="F919" s="47" t="s">
        <v>1617</v>
      </c>
      <c r="G919" s="46">
        <f t="shared" si="11"/>
        <v>-2.0307295583968932E-2</v>
      </c>
    </row>
    <row r="920" spans="1:7">
      <c r="A920" s="47">
        <v>91.63</v>
      </c>
      <c r="B920" s="47">
        <v>93.51</v>
      </c>
      <c r="C920" s="47">
        <v>90.394999999999996</v>
      </c>
      <c r="D920" s="47">
        <v>92.13</v>
      </c>
      <c r="E920" s="47">
        <v>15905803</v>
      </c>
      <c r="F920" s="47" t="s">
        <v>1616</v>
      </c>
      <c r="G920" s="46">
        <f t="shared" si="11"/>
        <v>-5.4271138608488201E-3</v>
      </c>
    </row>
    <row r="921" spans="1:7">
      <c r="A921" s="47">
        <v>95.03</v>
      </c>
      <c r="B921" s="47">
        <v>95.144999999999996</v>
      </c>
      <c r="C921" s="47">
        <v>92.63</v>
      </c>
      <c r="D921" s="47">
        <v>93</v>
      </c>
      <c r="E921" s="47">
        <v>10977463</v>
      </c>
      <c r="F921" s="47" t="s">
        <v>1615</v>
      </c>
      <c r="G921" s="46">
        <f t="shared" si="11"/>
        <v>2.1827956989247221E-2</v>
      </c>
    </row>
    <row r="922" spans="1:7">
      <c r="A922" s="47">
        <v>94</v>
      </c>
      <c r="B922" s="47">
        <v>94.95</v>
      </c>
      <c r="C922" s="47">
        <v>91.85</v>
      </c>
      <c r="D922" s="47">
        <v>94.9</v>
      </c>
      <c r="E922" s="47">
        <v>17490493</v>
      </c>
      <c r="F922" s="47" t="s">
        <v>1614</v>
      </c>
      <c r="G922" s="46">
        <f t="shared" si="11"/>
        <v>-9.4836670179136995E-3</v>
      </c>
    </row>
    <row r="923" spans="1:7">
      <c r="A923" s="47">
        <v>96.4</v>
      </c>
      <c r="B923" s="47">
        <v>98.98</v>
      </c>
      <c r="C923" s="47">
        <v>95.02</v>
      </c>
      <c r="D923" s="47">
        <v>95.1</v>
      </c>
      <c r="E923" s="47">
        <v>15043052</v>
      </c>
      <c r="F923" s="47" t="s">
        <v>1613</v>
      </c>
      <c r="G923" s="46">
        <f t="shared" si="11"/>
        <v>1.3669821240799296E-2</v>
      </c>
    </row>
    <row r="924" spans="1:7">
      <c r="A924" s="47">
        <v>97.66</v>
      </c>
      <c r="B924" s="47">
        <v>97.844999999999999</v>
      </c>
      <c r="C924" s="47">
        <v>95.53</v>
      </c>
      <c r="D924" s="47">
        <v>96.76</v>
      </c>
      <c r="E924" s="47">
        <v>15117188</v>
      </c>
      <c r="F924" s="47" t="s">
        <v>1612</v>
      </c>
      <c r="G924" s="46">
        <f t="shared" si="11"/>
        <v>9.3013642000825403E-3</v>
      </c>
    </row>
    <row r="925" spans="1:7">
      <c r="A925" s="47">
        <v>95.01</v>
      </c>
      <c r="B925" s="47">
        <v>97.36</v>
      </c>
      <c r="C925" s="47">
        <v>93.8</v>
      </c>
      <c r="D925" s="47">
        <v>94.19</v>
      </c>
      <c r="E925" s="47">
        <v>15105420</v>
      </c>
      <c r="F925" s="47" t="s">
        <v>1611</v>
      </c>
      <c r="G925" s="46">
        <f t="shared" si="11"/>
        <v>8.7058074105532679E-3</v>
      </c>
    </row>
    <row r="926" spans="1:7">
      <c r="A926" s="47">
        <v>97.65</v>
      </c>
      <c r="B926" s="47">
        <v>99.3</v>
      </c>
      <c r="C926" s="47">
        <v>96.85</v>
      </c>
      <c r="D926" s="47">
        <v>97.28</v>
      </c>
      <c r="E926" s="47">
        <v>11236255</v>
      </c>
      <c r="F926" s="47" t="s">
        <v>1610</v>
      </c>
      <c r="G926" s="46">
        <f t="shared" si="11"/>
        <v>3.8034539473683626E-3</v>
      </c>
    </row>
    <row r="927" spans="1:7">
      <c r="A927" s="47">
        <v>96.23</v>
      </c>
      <c r="B927" s="47">
        <v>97.27</v>
      </c>
      <c r="C927" s="47">
        <v>95.66</v>
      </c>
      <c r="D927" s="47">
        <v>96.2</v>
      </c>
      <c r="E927" s="47">
        <v>12029623</v>
      </c>
      <c r="F927" s="47" t="s">
        <v>1609</v>
      </c>
      <c r="G927" s="46">
        <f t="shared" si="11"/>
        <v>3.1185031185021472E-4</v>
      </c>
    </row>
    <row r="928" spans="1:7">
      <c r="A928" s="47">
        <v>96.17</v>
      </c>
      <c r="B928" s="47">
        <v>96.376999999999995</v>
      </c>
      <c r="C928" s="47">
        <v>93.37</v>
      </c>
      <c r="D928" s="47">
        <v>93.6</v>
      </c>
      <c r="E928" s="47">
        <v>10113263</v>
      </c>
      <c r="F928" s="47" t="s">
        <v>1608</v>
      </c>
      <c r="G928" s="46">
        <f t="shared" si="11"/>
        <v>2.7457264957265082E-2</v>
      </c>
    </row>
    <row r="929" spans="1:7">
      <c r="A929" s="47">
        <v>94.97</v>
      </c>
      <c r="B929" s="47">
        <v>95.555000000000007</v>
      </c>
      <c r="C929" s="47">
        <v>91.76</v>
      </c>
      <c r="D929" s="47">
        <v>91.88</v>
      </c>
      <c r="E929" s="47">
        <v>9529736</v>
      </c>
      <c r="F929" s="47" t="s">
        <v>1607</v>
      </c>
      <c r="G929" s="46">
        <f t="shared" si="11"/>
        <v>3.363082281236407E-2</v>
      </c>
    </row>
    <row r="930" spans="1:7">
      <c r="A930" s="47">
        <v>91.614999999999995</v>
      </c>
      <c r="B930" s="47">
        <v>92.207300000000004</v>
      </c>
      <c r="C930" s="47">
        <v>89.811000000000007</v>
      </c>
      <c r="D930" s="47">
        <v>91.16</v>
      </c>
      <c r="E930" s="47">
        <v>9198934</v>
      </c>
      <c r="F930" s="47" t="s">
        <v>1606</v>
      </c>
      <c r="G930" s="46">
        <f t="shared" si="11"/>
        <v>4.9912242211496149E-3</v>
      </c>
    </row>
    <row r="931" spans="1:7">
      <c r="A931" s="47">
        <v>91.13</v>
      </c>
      <c r="B931" s="47">
        <v>94.07</v>
      </c>
      <c r="C931" s="47">
        <v>90.61</v>
      </c>
      <c r="D931" s="47">
        <v>93.71</v>
      </c>
      <c r="E931" s="47">
        <v>8673540</v>
      </c>
      <c r="F931" s="47" t="s">
        <v>1605</v>
      </c>
      <c r="G931" s="46">
        <f t="shared" si="11"/>
        <v>-2.7531746878668217E-2</v>
      </c>
    </row>
    <row r="932" spans="1:7">
      <c r="A932" s="47">
        <v>92.66</v>
      </c>
      <c r="B932" s="47">
        <v>92.86</v>
      </c>
      <c r="C932" s="47">
        <v>89.793700000000001</v>
      </c>
      <c r="D932" s="47">
        <v>92.251999999999995</v>
      </c>
      <c r="E932" s="47">
        <v>10452119</v>
      </c>
      <c r="F932" s="47" t="s">
        <v>1604</v>
      </c>
      <c r="G932" s="46">
        <f t="shared" si="11"/>
        <v>4.4226683432337932E-3</v>
      </c>
    </row>
    <row r="933" spans="1:7">
      <c r="A933" s="47">
        <v>93.44</v>
      </c>
      <c r="B933" s="47">
        <v>96.379900000000006</v>
      </c>
      <c r="C933" s="47">
        <v>93.23</v>
      </c>
      <c r="D933" s="47">
        <v>95.435000000000002</v>
      </c>
      <c r="E933" s="47">
        <v>14585798</v>
      </c>
      <c r="F933" s="47" t="s">
        <v>1603</v>
      </c>
      <c r="G933" s="46">
        <f t="shared" si="11"/>
        <v>-2.0904280400272479E-2</v>
      </c>
    </row>
    <row r="934" spans="1:7">
      <c r="A934" s="47">
        <v>91.8</v>
      </c>
      <c r="B934" s="47">
        <v>94.52</v>
      </c>
      <c r="C934" s="47">
        <v>90.75</v>
      </c>
      <c r="D934" s="47">
        <v>93.28</v>
      </c>
      <c r="E934" s="47">
        <v>8773014</v>
      </c>
      <c r="F934" s="47" t="s">
        <v>1602</v>
      </c>
      <c r="G934" s="46">
        <f t="shared" si="11"/>
        <v>-1.586620926243576E-2</v>
      </c>
    </row>
    <row r="935" spans="1:7">
      <c r="A935" s="47">
        <v>92.66</v>
      </c>
      <c r="B935" s="47">
        <v>93.97</v>
      </c>
      <c r="C935" s="47">
        <v>90.95</v>
      </c>
      <c r="D935" s="47">
        <v>91.025000000000006</v>
      </c>
      <c r="E935" s="47">
        <v>11062920</v>
      </c>
      <c r="F935" s="47" t="s">
        <v>1601</v>
      </c>
      <c r="G935" s="46">
        <f t="shared" si="11"/>
        <v>1.7962098324636022E-2</v>
      </c>
    </row>
    <row r="936" spans="1:7">
      <c r="A936" s="47">
        <v>92.7</v>
      </c>
      <c r="B936" s="47">
        <v>97.454999999999998</v>
      </c>
      <c r="C936" s="47">
        <v>92.63</v>
      </c>
      <c r="D936" s="47">
        <v>96.894999999999996</v>
      </c>
      <c r="E936" s="47">
        <v>12286548</v>
      </c>
      <c r="F936" s="47" t="s">
        <v>1600</v>
      </c>
      <c r="G936" s="46">
        <f t="shared" si="11"/>
        <v>-4.3294287630940675E-2</v>
      </c>
    </row>
    <row r="937" spans="1:7">
      <c r="A937" s="47">
        <v>96.72</v>
      </c>
      <c r="B937" s="47">
        <v>96.76</v>
      </c>
      <c r="C937" s="47">
        <v>93.95</v>
      </c>
      <c r="D937" s="47">
        <v>94.14</v>
      </c>
      <c r="E937" s="47">
        <v>8169067</v>
      </c>
      <c r="F937" s="47" t="s">
        <v>1599</v>
      </c>
      <c r="G937" s="46">
        <f t="shared" si="11"/>
        <v>2.7405991077119163E-2</v>
      </c>
    </row>
    <row r="938" spans="1:7">
      <c r="A938" s="47">
        <v>93.76</v>
      </c>
      <c r="B938" s="47">
        <v>95.77</v>
      </c>
      <c r="C938" s="47">
        <v>93.02</v>
      </c>
      <c r="D938" s="47">
        <v>93.12</v>
      </c>
      <c r="E938" s="47">
        <v>8957716</v>
      </c>
      <c r="F938" s="47" t="s">
        <v>1598</v>
      </c>
      <c r="G938" s="46">
        <f t="shared" si="11"/>
        <v>6.8728522336769515E-3</v>
      </c>
    </row>
    <row r="939" spans="1:7">
      <c r="A939" s="47">
        <v>93.2</v>
      </c>
      <c r="B939" s="47">
        <v>95.29</v>
      </c>
      <c r="C939" s="47">
        <v>92.38</v>
      </c>
      <c r="D939" s="47">
        <v>93.03</v>
      </c>
      <c r="E939" s="47">
        <v>11397486</v>
      </c>
      <c r="F939" s="47" t="s">
        <v>1597</v>
      </c>
      <c r="G939" s="46">
        <f t="shared" si="11"/>
        <v>1.827367515855105E-3</v>
      </c>
    </row>
    <row r="940" spans="1:7">
      <c r="A940" s="47">
        <v>93.58</v>
      </c>
      <c r="B940" s="47">
        <v>95.295000000000002</v>
      </c>
      <c r="C940" s="47">
        <v>93.13</v>
      </c>
      <c r="D940" s="47">
        <v>94.05</v>
      </c>
      <c r="E940" s="47">
        <v>12384440</v>
      </c>
      <c r="F940" s="47" t="s">
        <v>1596</v>
      </c>
      <c r="G940" s="46">
        <f t="shared" si="11"/>
        <v>-4.9973418394471114E-3</v>
      </c>
    </row>
    <row r="941" spans="1:7">
      <c r="A941" s="47">
        <v>96.56</v>
      </c>
      <c r="B941" s="47">
        <v>98.43</v>
      </c>
      <c r="C941" s="47">
        <v>95.9</v>
      </c>
      <c r="D941" s="47">
        <v>97.89</v>
      </c>
      <c r="E941" s="47">
        <v>11274736</v>
      </c>
      <c r="F941" s="47" t="s">
        <v>1595</v>
      </c>
      <c r="G941" s="46">
        <f t="shared" si="11"/>
        <v>-1.358667892532428E-2</v>
      </c>
    </row>
    <row r="942" spans="1:7">
      <c r="A942" s="47">
        <v>99.86</v>
      </c>
      <c r="B942" s="47">
        <v>100.63</v>
      </c>
      <c r="C942" s="47">
        <v>97.16</v>
      </c>
      <c r="D942" s="47">
        <v>98.751999999999995</v>
      </c>
      <c r="E942" s="47">
        <v>11268504</v>
      </c>
      <c r="F942" s="47" t="s">
        <v>1594</v>
      </c>
      <c r="G942" s="46">
        <f t="shared" si="11"/>
        <v>1.1220025923525556E-2</v>
      </c>
    </row>
    <row r="943" spans="1:7">
      <c r="A943" s="47">
        <v>99.42</v>
      </c>
      <c r="B943" s="47">
        <v>101</v>
      </c>
      <c r="C943" s="47">
        <v>99.02</v>
      </c>
      <c r="D943" s="47">
        <v>100.05</v>
      </c>
      <c r="E943" s="47">
        <v>10651075</v>
      </c>
      <c r="F943" s="47" t="s">
        <v>1593</v>
      </c>
      <c r="G943" s="46">
        <f t="shared" si="11"/>
        <v>-6.2968515742128917E-3</v>
      </c>
    </row>
    <row r="944" spans="1:7">
      <c r="A944" s="47">
        <v>102.08</v>
      </c>
      <c r="B944" s="47">
        <v>103.03</v>
      </c>
      <c r="C944" s="47">
        <v>100.16</v>
      </c>
      <c r="D944" s="47">
        <v>102.57</v>
      </c>
      <c r="E944" s="47">
        <v>14123794</v>
      </c>
      <c r="F944" s="47" t="s">
        <v>1592</v>
      </c>
      <c r="G944" s="46">
        <f t="shared" si="11"/>
        <v>-4.7772253095446082E-3</v>
      </c>
    </row>
    <row r="945" spans="1:7">
      <c r="A945" s="47">
        <v>101.51</v>
      </c>
      <c r="B945" s="47">
        <v>102.22</v>
      </c>
      <c r="C945" s="47">
        <v>100.47</v>
      </c>
      <c r="D945" s="47">
        <v>100.72</v>
      </c>
      <c r="E945" s="47">
        <v>10125639</v>
      </c>
      <c r="F945" s="47" t="s">
        <v>1591</v>
      </c>
      <c r="G945" s="46">
        <f t="shared" si="11"/>
        <v>7.84352660841936E-3</v>
      </c>
    </row>
    <row r="946" spans="1:7">
      <c r="A946" s="47">
        <v>101.1</v>
      </c>
      <c r="B946" s="47">
        <v>101.78</v>
      </c>
      <c r="C946" s="47">
        <v>100.01</v>
      </c>
      <c r="D946" s="47">
        <v>100.548</v>
      </c>
      <c r="E946" s="47">
        <v>12320895</v>
      </c>
      <c r="F946" s="47" t="s">
        <v>1590</v>
      </c>
      <c r="G946" s="46">
        <f t="shared" si="11"/>
        <v>5.489915264351275E-3</v>
      </c>
    </row>
    <row r="947" spans="1:7">
      <c r="A947" s="47">
        <v>99.11</v>
      </c>
      <c r="B947" s="47">
        <v>101.95</v>
      </c>
      <c r="C947" s="47">
        <v>98.55</v>
      </c>
      <c r="D947" s="47">
        <v>101.12</v>
      </c>
      <c r="E947" s="47">
        <v>16441158</v>
      </c>
      <c r="F947" s="47" t="s">
        <v>1589</v>
      </c>
      <c r="G947" s="46">
        <f t="shared" si="11"/>
        <v>-1.9877373417721556E-2</v>
      </c>
    </row>
    <row r="948" spans="1:7">
      <c r="A948" s="47">
        <v>98.91</v>
      </c>
      <c r="B948" s="47">
        <v>99</v>
      </c>
      <c r="C948" s="47">
        <v>96.36</v>
      </c>
      <c r="D948" s="47">
        <v>98.09</v>
      </c>
      <c r="E948" s="47">
        <v>17077237</v>
      </c>
      <c r="F948" s="47" t="s">
        <v>1588</v>
      </c>
      <c r="G948" s="46">
        <f t="shared" si="11"/>
        <v>8.3596696910999135E-3</v>
      </c>
    </row>
    <row r="949" spans="1:7">
      <c r="A949" s="47">
        <v>94.48</v>
      </c>
      <c r="B949" s="47">
        <v>95.78</v>
      </c>
      <c r="C949" s="47">
        <v>93.61</v>
      </c>
      <c r="D949" s="47">
        <v>95.45</v>
      </c>
      <c r="E949" s="47">
        <v>12357235</v>
      </c>
      <c r="F949" s="47" t="s">
        <v>1587</v>
      </c>
      <c r="G949" s="46">
        <f t="shared" si="11"/>
        <v>-1.0162388685175494E-2</v>
      </c>
    </row>
    <row r="950" spans="1:7">
      <c r="A950" s="47">
        <v>96.26</v>
      </c>
      <c r="B950" s="47">
        <v>98.94</v>
      </c>
      <c r="C950" s="47">
        <v>95.32</v>
      </c>
      <c r="D950" s="47">
        <v>96.35</v>
      </c>
      <c r="E950" s="47">
        <v>19557490</v>
      </c>
      <c r="F950" s="47" t="s">
        <v>1586</v>
      </c>
      <c r="G950" s="46">
        <f t="shared" si="11"/>
        <v>-9.3409444732739377E-4</v>
      </c>
    </row>
    <row r="951" spans="1:7">
      <c r="A951" s="47">
        <v>95.32</v>
      </c>
      <c r="B951" s="47">
        <v>96.99</v>
      </c>
      <c r="C951" s="47">
        <v>94.41</v>
      </c>
      <c r="D951" s="47">
        <v>95.24</v>
      </c>
      <c r="E951" s="47">
        <v>12281468</v>
      </c>
      <c r="F951" s="47" t="s">
        <v>1585</v>
      </c>
      <c r="G951" s="46">
        <f t="shared" si="11"/>
        <v>8.3998320033606966E-4</v>
      </c>
    </row>
    <row r="952" spans="1:7">
      <c r="A952" s="47">
        <v>96.98</v>
      </c>
      <c r="B952" s="47">
        <v>98.41</v>
      </c>
      <c r="C952" s="47">
        <v>94.47</v>
      </c>
      <c r="D952" s="47">
        <v>97.9</v>
      </c>
      <c r="E952" s="47">
        <v>20145868</v>
      </c>
      <c r="F952" s="47" t="s">
        <v>1584</v>
      </c>
      <c r="G952" s="46">
        <f t="shared" si="11"/>
        <v>-9.3973442288048936E-3</v>
      </c>
    </row>
    <row r="953" spans="1:7">
      <c r="A953" s="47">
        <v>97.92</v>
      </c>
      <c r="B953" s="47">
        <v>101.9465</v>
      </c>
      <c r="C953" s="47">
        <v>97.27</v>
      </c>
      <c r="D953" s="47">
        <v>101.14</v>
      </c>
      <c r="E953" s="47">
        <v>53766791</v>
      </c>
      <c r="F953" s="47" t="s">
        <v>1583</v>
      </c>
      <c r="G953" s="46">
        <f t="shared" si="11"/>
        <v>-3.1837057543998459E-2</v>
      </c>
    </row>
    <row r="954" spans="1:7">
      <c r="A954" s="47">
        <v>89.63</v>
      </c>
      <c r="B954" s="47">
        <v>90.67</v>
      </c>
      <c r="C954" s="47">
        <v>86.91</v>
      </c>
      <c r="D954" s="47">
        <v>87.11</v>
      </c>
      <c r="E954" s="47">
        <v>19673924</v>
      </c>
      <c r="F954" s="47" t="s">
        <v>1582</v>
      </c>
      <c r="G954" s="46">
        <f t="shared" ref="G954:G1017" si="12">A954/D954-1</f>
        <v>2.8928940420158478E-2</v>
      </c>
    </row>
    <row r="955" spans="1:7">
      <c r="A955" s="47">
        <v>88.564999999999998</v>
      </c>
      <c r="B955" s="47">
        <v>89.21</v>
      </c>
      <c r="C955" s="47">
        <v>85.270099999999999</v>
      </c>
      <c r="D955" s="47">
        <v>87.05</v>
      </c>
      <c r="E955" s="47">
        <v>11710239</v>
      </c>
      <c r="F955" s="47" t="s">
        <v>1581</v>
      </c>
      <c r="G955" s="46">
        <f t="shared" si="12"/>
        <v>1.7403790924755969E-2</v>
      </c>
    </row>
    <row r="956" spans="1:7">
      <c r="A956" s="47">
        <v>86.53</v>
      </c>
      <c r="B956" s="47">
        <v>87.62</v>
      </c>
      <c r="C956" s="47">
        <v>84.82</v>
      </c>
      <c r="D956" s="47">
        <v>86.52</v>
      </c>
      <c r="E956" s="47">
        <v>12115703</v>
      </c>
      <c r="F956" s="47" t="s">
        <v>1580</v>
      </c>
      <c r="G956" s="46">
        <f t="shared" si="12"/>
        <v>1.1558021266755425E-4</v>
      </c>
    </row>
    <row r="957" spans="1:7">
      <c r="A957" s="47">
        <v>85.86</v>
      </c>
      <c r="B957" s="47">
        <v>86.5</v>
      </c>
      <c r="C957" s="47">
        <v>83.35</v>
      </c>
      <c r="D957" s="47">
        <v>85.54</v>
      </c>
      <c r="E957" s="47">
        <v>12476467</v>
      </c>
      <c r="F957" s="47" t="s">
        <v>1579</v>
      </c>
      <c r="G957" s="46">
        <f t="shared" si="12"/>
        <v>3.740939911152541E-3</v>
      </c>
    </row>
    <row r="958" spans="1:7">
      <c r="A958" s="47">
        <v>86.42</v>
      </c>
      <c r="B958" s="47">
        <v>87.02</v>
      </c>
      <c r="C958" s="47">
        <v>81.36</v>
      </c>
      <c r="D958" s="47">
        <v>83.1</v>
      </c>
      <c r="E958" s="47">
        <v>30554903</v>
      </c>
      <c r="F958" s="47" t="s">
        <v>1578</v>
      </c>
      <c r="G958" s="46">
        <f t="shared" si="12"/>
        <v>3.9951865222623395E-2</v>
      </c>
    </row>
    <row r="959" spans="1:7">
      <c r="A959" s="47">
        <v>77.040000000000006</v>
      </c>
      <c r="B959" s="47">
        <v>80.22</v>
      </c>
      <c r="C959" s="47">
        <v>76.709999999999994</v>
      </c>
      <c r="D959" s="47">
        <v>80.0304</v>
      </c>
      <c r="E959" s="47">
        <v>13245434</v>
      </c>
      <c r="F959" s="47" t="s">
        <v>1577</v>
      </c>
      <c r="G959" s="46">
        <f t="shared" si="12"/>
        <v>-3.736580099562159E-2</v>
      </c>
    </row>
    <row r="960" spans="1:7">
      <c r="A960" s="47">
        <v>81.650000000000006</v>
      </c>
      <c r="B960" s="47">
        <v>82.28</v>
      </c>
      <c r="C960" s="47">
        <v>79.040000000000006</v>
      </c>
      <c r="D960" s="47">
        <v>80.849999999999994</v>
      </c>
      <c r="E960" s="47">
        <v>11218978</v>
      </c>
      <c r="F960" s="47" t="s">
        <v>1576</v>
      </c>
      <c r="G960" s="46">
        <f t="shared" si="12"/>
        <v>9.8948670377243531E-3</v>
      </c>
    </row>
    <row r="961" spans="1:7">
      <c r="A961" s="47">
        <v>81.05</v>
      </c>
      <c r="B961" s="47">
        <v>84.51</v>
      </c>
      <c r="C961" s="47">
        <v>80.349999999999994</v>
      </c>
      <c r="D961" s="47">
        <v>82.65</v>
      </c>
      <c r="E961" s="47">
        <v>12379715</v>
      </c>
      <c r="F961" s="47" t="s">
        <v>1575</v>
      </c>
      <c r="G961" s="46">
        <f t="shared" si="12"/>
        <v>-1.9358741681790748E-2</v>
      </c>
    </row>
    <row r="962" spans="1:7">
      <c r="A962" s="47">
        <v>82.75</v>
      </c>
      <c r="B962" s="47">
        <v>84.13</v>
      </c>
      <c r="C962" s="47">
        <v>79.72</v>
      </c>
      <c r="D962" s="47">
        <v>79.790000000000006</v>
      </c>
      <c r="E962" s="47">
        <v>17900449</v>
      </c>
      <c r="F962" s="47" t="s">
        <v>1574</v>
      </c>
      <c r="G962" s="46">
        <f t="shared" si="12"/>
        <v>3.7097380624138365E-2</v>
      </c>
    </row>
    <row r="963" spans="1:7">
      <c r="A963" s="47">
        <v>80.239999999999995</v>
      </c>
      <c r="B963" s="47">
        <v>80.31</v>
      </c>
      <c r="C963" s="47">
        <v>76.849999999999994</v>
      </c>
      <c r="D963" s="47">
        <v>76.88</v>
      </c>
      <c r="E963" s="47">
        <v>13929305</v>
      </c>
      <c r="F963" s="47" t="s">
        <v>1573</v>
      </c>
      <c r="G963" s="46">
        <f t="shared" si="12"/>
        <v>4.3704474505723123E-2</v>
      </c>
    </row>
    <row r="964" spans="1:7">
      <c r="A964" s="47">
        <v>77.739999999999995</v>
      </c>
      <c r="B964" s="47">
        <v>77.900000000000006</v>
      </c>
      <c r="C964" s="47">
        <v>74.319999999999993</v>
      </c>
      <c r="D964" s="47">
        <v>75.459999999999994</v>
      </c>
      <c r="E964" s="47">
        <v>11531787</v>
      </c>
      <c r="F964" s="47" t="s">
        <v>1572</v>
      </c>
      <c r="G964" s="46">
        <f t="shared" si="12"/>
        <v>3.0214683275907817E-2</v>
      </c>
    </row>
    <row r="965" spans="1:7">
      <c r="A965" s="47">
        <v>74.13</v>
      </c>
      <c r="B965" s="47">
        <v>76.56</v>
      </c>
      <c r="C965" s="47">
        <v>73.61</v>
      </c>
      <c r="D965" s="47">
        <v>75.117999999999995</v>
      </c>
      <c r="E965" s="47">
        <v>14053055</v>
      </c>
      <c r="F965" s="47" t="s">
        <v>1571</v>
      </c>
      <c r="G965" s="46">
        <f t="shared" si="12"/>
        <v>-1.3152639846641279E-2</v>
      </c>
    </row>
    <row r="966" spans="1:7">
      <c r="A966" s="47">
        <v>73.91</v>
      </c>
      <c r="B966" s="47">
        <v>74</v>
      </c>
      <c r="C966" s="47">
        <v>70.25</v>
      </c>
      <c r="D966" s="47">
        <v>70.53</v>
      </c>
      <c r="E966" s="47">
        <v>14155264</v>
      </c>
      <c r="F966" s="47" t="s">
        <v>1570</v>
      </c>
      <c r="G966" s="46">
        <f t="shared" si="12"/>
        <v>4.7922869700836479E-2</v>
      </c>
    </row>
    <row r="967" spans="1:7">
      <c r="A967" s="47">
        <v>69.55</v>
      </c>
      <c r="B967" s="47">
        <v>70.849999999999994</v>
      </c>
      <c r="C967" s="47">
        <v>68.709999999999994</v>
      </c>
      <c r="D967" s="47">
        <v>70.52</v>
      </c>
      <c r="E967" s="47">
        <v>9822455</v>
      </c>
      <c r="F967" s="47" t="s">
        <v>1569</v>
      </c>
      <c r="G967" s="46">
        <f t="shared" si="12"/>
        <v>-1.3754963131026643E-2</v>
      </c>
    </row>
    <row r="968" spans="1:7">
      <c r="A968" s="47">
        <v>71.36</v>
      </c>
      <c r="B968" s="47">
        <v>72.069999999999993</v>
      </c>
      <c r="C968" s="47">
        <v>68.510000000000005</v>
      </c>
      <c r="D968" s="47">
        <v>69.22</v>
      </c>
      <c r="E968" s="47">
        <v>12037030</v>
      </c>
      <c r="F968" s="47" t="s">
        <v>1568</v>
      </c>
      <c r="G968" s="46">
        <f t="shared" si="12"/>
        <v>3.0915920254261708E-2</v>
      </c>
    </row>
    <row r="969" spans="1:7">
      <c r="A969" s="47">
        <v>71.430000000000007</v>
      </c>
      <c r="B969" s="47">
        <v>72.510000000000005</v>
      </c>
      <c r="C969" s="47">
        <v>70.459999999999994</v>
      </c>
      <c r="D969" s="47">
        <v>70.459999999999994</v>
      </c>
      <c r="E969" s="47">
        <v>12294873</v>
      </c>
      <c r="F969" s="47" t="s">
        <v>1567</v>
      </c>
      <c r="G969" s="46">
        <f t="shared" si="12"/>
        <v>1.3766676128299959E-2</v>
      </c>
    </row>
    <row r="970" spans="1:7">
      <c r="A970" s="47">
        <v>70.47</v>
      </c>
      <c r="B970" s="47">
        <v>73.28</v>
      </c>
      <c r="C970" s="47">
        <v>70.069800000000001</v>
      </c>
      <c r="D970" s="47">
        <v>72.66</v>
      </c>
      <c r="E970" s="47">
        <v>10875733</v>
      </c>
      <c r="F970" s="47" t="s">
        <v>1566</v>
      </c>
      <c r="G970" s="46">
        <f t="shared" si="12"/>
        <v>-3.0140379851362531E-2</v>
      </c>
    </row>
    <row r="971" spans="1:7">
      <c r="A971" s="47">
        <v>73.430000000000007</v>
      </c>
      <c r="B971" s="47">
        <v>74.760000000000005</v>
      </c>
      <c r="C971" s="47">
        <v>71.83</v>
      </c>
      <c r="D971" s="47">
        <v>73.12</v>
      </c>
      <c r="E971" s="47">
        <v>11734548</v>
      </c>
      <c r="F971" s="47" t="s">
        <v>1565</v>
      </c>
      <c r="G971" s="46">
        <f t="shared" si="12"/>
        <v>4.2396061269147634E-3</v>
      </c>
    </row>
    <row r="972" spans="1:7">
      <c r="A972" s="47">
        <v>75.040000000000006</v>
      </c>
      <c r="B972" s="47">
        <v>75.150000000000006</v>
      </c>
      <c r="C972" s="47">
        <v>72.77</v>
      </c>
      <c r="D972" s="47">
        <v>73.180000000000007</v>
      </c>
      <c r="E972" s="47">
        <v>10739774</v>
      </c>
      <c r="F972" s="47" t="s">
        <v>1564</v>
      </c>
      <c r="G972" s="46">
        <f t="shared" si="12"/>
        <v>2.541678054113139E-2</v>
      </c>
    </row>
    <row r="973" spans="1:7">
      <c r="A973" s="47">
        <v>73.239999999999995</v>
      </c>
      <c r="B973" s="47">
        <v>75.400000000000006</v>
      </c>
      <c r="C973" s="47">
        <v>72.63</v>
      </c>
      <c r="D973" s="47">
        <v>74.83</v>
      </c>
      <c r="E973" s="47">
        <v>9436619</v>
      </c>
      <c r="F973" s="47" t="s">
        <v>1563</v>
      </c>
      <c r="G973" s="46">
        <f t="shared" si="12"/>
        <v>-2.1248162501670498E-2</v>
      </c>
    </row>
    <row r="974" spans="1:7">
      <c r="A974" s="47">
        <v>74.400000000000006</v>
      </c>
      <c r="B974" s="47">
        <v>74.484999999999999</v>
      </c>
      <c r="C974" s="47">
        <v>68.760000000000005</v>
      </c>
      <c r="D974" s="47">
        <v>70.180000000000007</v>
      </c>
      <c r="E974" s="47">
        <v>12833153</v>
      </c>
      <c r="F974" s="47" t="s">
        <v>1562</v>
      </c>
      <c r="G974" s="46">
        <f t="shared" si="12"/>
        <v>6.0131091479053822E-2</v>
      </c>
    </row>
    <row r="975" spans="1:7">
      <c r="A975" s="47">
        <v>71.400000000000006</v>
      </c>
      <c r="B975" s="47">
        <v>71.7</v>
      </c>
      <c r="C975" s="47">
        <v>69.66</v>
      </c>
      <c r="D975" s="47">
        <v>69.84</v>
      </c>
      <c r="E975" s="47">
        <v>9727264</v>
      </c>
      <c r="F975" s="47" t="s">
        <v>1561</v>
      </c>
      <c r="G975" s="46">
        <f t="shared" si="12"/>
        <v>2.2336769759450092E-2</v>
      </c>
    </row>
    <row r="976" spans="1:7">
      <c r="A976" s="47">
        <v>69.84</v>
      </c>
      <c r="B976" s="47">
        <v>70.89</v>
      </c>
      <c r="C976" s="47">
        <v>67.58</v>
      </c>
      <c r="D976" s="47">
        <v>70.819999999999993</v>
      </c>
      <c r="E976" s="47">
        <v>14264683</v>
      </c>
      <c r="F976" s="47" t="s">
        <v>1560</v>
      </c>
      <c r="G976" s="46">
        <f t="shared" si="12"/>
        <v>-1.3837898898616086E-2</v>
      </c>
    </row>
    <row r="977" spans="1:7">
      <c r="A977" s="47">
        <v>71.47</v>
      </c>
      <c r="B977" s="47">
        <v>72.150000000000006</v>
      </c>
      <c r="C977" s="47">
        <v>69.770099999999999</v>
      </c>
      <c r="D977" s="47">
        <v>71.212000000000003</v>
      </c>
      <c r="E977" s="47">
        <v>11344507</v>
      </c>
      <c r="F977" s="47" t="s">
        <v>1559</v>
      </c>
      <c r="G977" s="46">
        <f t="shared" si="12"/>
        <v>3.6229848901869754E-3</v>
      </c>
    </row>
    <row r="978" spans="1:7">
      <c r="A978" s="47">
        <v>71.819999999999993</v>
      </c>
      <c r="B978" s="47">
        <v>76.92</v>
      </c>
      <c r="C978" s="47">
        <v>71.612099999999998</v>
      </c>
      <c r="D978" s="47">
        <v>75.680000000000007</v>
      </c>
      <c r="E978" s="47">
        <v>15005631</v>
      </c>
      <c r="F978" s="47" t="s">
        <v>1558</v>
      </c>
      <c r="G978" s="46">
        <f t="shared" si="12"/>
        <v>-5.1004228329809886E-2</v>
      </c>
    </row>
    <row r="979" spans="1:7">
      <c r="A979" s="47">
        <v>75.94</v>
      </c>
      <c r="B979" s="47">
        <v>78.45</v>
      </c>
      <c r="C979" s="47">
        <v>75.319999999999993</v>
      </c>
      <c r="D979" s="47">
        <v>77.989999999999995</v>
      </c>
      <c r="E979" s="47">
        <v>11657201</v>
      </c>
      <c r="F979" s="47" t="s">
        <v>1557</v>
      </c>
      <c r="G979" s="46">
        <f t="shared" si="12"/>
        <v>-2.6285421207847159E-2</v>
      </c>
    </row>
    <row r="980" spans="1:7">
      <c r="A980" s="47">
        <v>77.680000000000007</v>
      </c>
      <c r="B980" s="47">
        <v>78.66</v>
      </c>
      <c r="C980" s="47">
        <v>74.39</v>
      </c>
      <c r="D980" s="47">
        <v>74.790000000000006</v>
      </c>
      <c r="E980" s="47">
        <v>29843842</v>
      </c>
      <c r="F980" s="47" t="s">
        <v>1556</v>
      </c>
      <c r="G980" s="46">
        <f t="shared" si="12"/>
        <v>3.8641529616258774E-2</v>
      </c>
    </row>
    <row r="981" spans="1:7">
      <c r="A981" s="47">
        <v>73.81</v>
      </c>
      <c r="B981" s="47">
        <v>74</v>
      </c>
      <c r="C981" s="47">
        <v>71.56</v>
      </c>
      <c r="D981" s="47">
        <v>73.27</v>
      </c>
      <c r="E981" s="47">
        <v>16986787</v>
      </c>
      <c r="F981" s="47" t="s">
        <v>1555</v>
      </c>
      <c r="G981" s="46">
        <f t="shared" si="12"/>
        <v>7.3700013648152485E-3</v>
      </c>
    </row>
    <row r="982" spans="1:7">
      <c r="A982" s="47">
        <v>72.97</v>
      </c>
      <c r="B982" s="47">
        <v>74.575000000000003</v>
      </c>
      <c r="C982" s="47">
        <v>71.378799999999998</v>
      </c>
      <c r="D982" s="47">
        <v>71.87</v>
      </c>
      <c r="E982" s="47">
        <v>13590705</v>
      </c>
      <c r="F982" s="47" t="s">
        <v>1554</v>
      </c>
      <c r="G982" s="46">
        <f t="shared" si="12"/>
        <v>1.5305412550438158E-2</v>
      </c>
    </row>
    <row r="983" spans="1:7">
      <c r="A983" s="47">
        <v>72.37</v>
      </c>
      <c r="B983" s="47">
        <v>75</v>
      </c>
      <c r="C983" s="47">
        <v>72.28</v>
      </c>
      <c r="D983" s="47">
        <v>74.510000000000005</v>
      </c>
      <c r="E983" s="47">
        <v>14934769</v>
      </c>
      <c r="F983" s="47" t="s">
        <v>1553</v>
      </c>
      <c r="G983" s="46">
        <f t="shared" si="12"/>
        <v>-2.8720977050060381E-2</v>
      </c>
    </row>
    <row r="984" spans="1:7">
      <c r="A984" s="47">
        <v>72.900000000000006</v>
      </c>
      <c r="B984" s="47">
        <v>73.659899999999993</v>
      </c>
      <c r="C984" s="47">
        <v>70.47</v>
      </c>
      <c r="D984" s="47">
        <v>71.33</v>
      </c>
      <c r="E984" s="47">
        <v>17231100</v>
      </c>
      <c r="F984" s="47" t="s">
        <v>1552</v>
      </c>
      <c r="G984" s="46">
        <f t="shared" si="12"/>
        <v>2.2010374316556947E-2</v>
      </c>
    </row>
    <row r="985" spans="1:7">
      <c r="A985" s="47">
        <v>71.23</v>
      </c>
      <c r="B985" s="47">
        <v>74.064999999999998</v>
      </c>
      <c r="C985" s="47">
        <v>70.709999999999994</v>
      </c>
      <c r="D985" s="47">
        <v>73.33</v>
      </c>
      <c r="E985" s="47">
        <v>14404309</v>
      </c>
      <c r="F985" s="47" t="s">
        <v>1551</v>
      </c>
      <c r="G985" s="46">
        <f t="shared" si="12"/>
        <v>-2.8637665348424823E-2</v>
      </c>
    </row>
    <row r="986" spans="1:7">
      <c r="A986" s="47">
        <v>75.83</v>
      </c>
      <c r="B986" s="47">
        <v>77.099999999999994</v>
      </c>
      <c r="C986" s="47">
        <v>72.39</v>
      </c>
      <c r="D986" s="47">
        <v>73.47</v>
      </c>
      <c r="E986" s="47">
        <v>17165614</v>
      </c>
      <c r="F986" s="47" t="s">
        <v>1550</v>
      </c>
      <c r="G986" s="46">
        <f t="shared" si="12"/>
        <v>3.2121954539267694E-2</v>
      </c>
    </row>
    <row r="987" spans="1:7">
      <c r="A987" s="47">
        <v>72.459999999999994</v>
      </c>
      <c r="B987" s="47">
        <v>75.08</v>
      </c>
      <c r="C987" s="47">
        <v>71.454999999999998</v>
      </c>
      <c r="D987" s="47">
        <v>74.3</v>
      </c>
      <c r="E987" s="47">
        <v>19289260</v>
      </c>
      <c r="F987" s="47" t="s">
        <v>1549</v>
      </c>
      <c r="G987" s="46">
        <f t="shared" si="12"/>
        <v>-2.4764468371467063E-2</v>
      </c>
    </row>
    <row r="988" spans="1:7">
      <c r="A988" s="47">
        <v>73.72</v>
      </c>
      <c r="B988" s="47">
        <v>78.13</v>
      </c>
      <c r="C988" s="47">
        <v>73.459999999999994</v>
      </c>
      <c r="D988" s="47">
        <v>76.03</v>
      </c>
      <c r="E988" s="47">
        <v>19674409</v>
      </c>
      <c r="F988" s="47" t="s">
        <v>1548</v>
      </c>
      <c r="G988" s="46">
        <f t="shared" si="12"/>
        <v>-3.0382743653820876E-2</v>
      </c>
    </row>
    <row r="989" spans="1:7">
      <c r="A989" s="47">
        <v>79.3</v>
      </c>
      <c r="B989" s="47">
        <v>81.459999999999994</v>
      </c>
      <c r="C989" s="47">
        <v>78.25</v>
      </c>
      <c r="D989" s="47">
        <v>80.430000000000007</v>
      </c>
      <c r="E989" s="47">
        <v>19130861</v>
      </c>
      <c r="F989" s="47" t="s">
        <v>1547</v>
      </c>
      <c r="G989" s="46">
        <f t="shared" si="12"/>
        <v>-1.404948402337447E-2</v>
      </c>
    </row>
    <row r="990" spans="1:7">
      <c r="A990" s="47">
        <v>84.11</v>
      </c>
      <c r="B990" s="47">
        <v>88.13</v>
      </c>
      <c r="C990" s="47">
        <v>84.07</v>
      </c>
      <c r="D990" s="47">
        <v>86.81</v>
      </c>
      <c r="E990" s="47">
        <v>11771458</v>
      </c>
      <c r="F990" s="47" t="s">
        <v>1546</v>
      </c>
      <c r="G990" s="46">
        <f t="shared" si="12"/>
        <v>-3.1102407556733103E-2</v>
      </c>
    </row>
    <row r="991" spans="1:7">
      <c r="A991" s="47">
        <v>87.51</v>
      </c>
      <c r="B991" s="47">
        <v>89.32</v>
      </c>
      <c r="C991" s="47">
        <v>86.89</v>
      </c>
      <c r="D991" s="47">
        <v>88.32</v>
      </c>
      <c r="E991" s="47">
        <v>9129602</v>
      </c>
      <c r="F991" s="47" t="s">
        <v>1545</v>
      </c>
      <c r="G991" s="46">
        <f t="shared" si="12"/>
        <v>-9.1711956521737248E-3</v>
      </c>
    </row>
    <row r="992" spans="1:7">
      <c r="A992" s="47">
        <v>88.59</v>
      </c>
      <c r="B992" s="47">
        <v>88.82</v>
      </c>
      <c r="C992" s="47">
        <v>84.52</v>
      </c>
      <c r="D992" s="47">
        <v>85.1</v>
      </c>
      <c r="E992" s="47">
        <v>10423790</v>
      </c>
      <c r="F992" s="47" t="s">
        <v>1544</v>
      </c>
      <c r="G992" s="46">
        <f t="shared" si="12"/>
        <v>4.1010575793184678E-2</v>
      </c>
    </row>
    <row r="993" spans="1:7">
      <c r="A993" s="47">
        <v>86.81</v>
      </c>
      <c r="B993" s="47">
        <v>88.99</v>
      </c>
      <c r="C993" s="47">
        <v>86.4</v>
      </c>
      <c r="D993" s="47">
        <v>87.96</v>
      </c>
      <c r="E993" s="47">
        <v>12471993</v>
      </c>
      <c r="F993" s="47" t="s">
        <v>1543</v>
      </c>
      <c r="G993" s="46">
        <f t="shared" si="12"/>
        <v>-1.3074124602091786E-2</v>
      </c>
    </row>
    <row r="994" spans="1:7">
      <c r="A994" s="47">
        <v>86.53</v>
      </c>
      <c r="B994" s="47">
        <v>88.1</v>
      </c>
      <c r="C994" s="47">
        <v>85.7</v>
      </c>
      <c r="D994" s="47">
        <v>86.68</v>
      </c>
      <c r="E994" s="47">
        <v>11808262</v>
      </c>
      <c r="F994" s="47" t="s">
        <v>1542</v>
      </c>
      <c r="G994" s="46">
        <f t="shared" si="12"/>
        <v>-1.7305029995385857E-3</v>
      </c>
    </row>
    <row r="995" spans="1:7">
      <c r="A995" s="47">
        <v>88.32</v>
      </c>
      <c r="B995" s="47">
        <v>88.61</v>
      </c>
      <c r="C995" s="47">
        <v>82.22</v>
      </c>
      <c r="D995" s="47">
        <v>82.22</v>
      </c>
      <c r="E995" s="47">
        <v>17299832</v>
      </c>
      <c r="F995" s="47" t="s">
        <v>1541</v>
      </c>
      <c r="G995" s="46">
        <f t="shared" si="12"/>
        <v>7.4191194356604262E-2</v>
      </c>
    </row>
    <row r="996" spans="1:7">
      <c r="A996" s="47">
        <v>82.48</v>
      </c>
      <c r="B996" s="47">
        <v>86.77</v>
      </c>
      <c r="C996" s="47">
        <v>81.849999999999994</v>
      </c>
      <c r="D996" s="47">
        <v>85.47</v>
      </c>
      <c r="E996" s="47">
        <v>11019066</v>
      </c>
      <c r="F996" s="47" t="s">
        <v>1540</v>
      </c>
      <c r="G996" s="46">
        <f t="shared" si="12"/>
        <v>-3.49830349830349E-2</v>
      </c>
    </row>
    <row r="997" spans="1:7">
      <c r="A997" s="47">
        <v>85.21</v>
      </c>
      <c r="B997" s="47">
        <v>86.591499999999996</v>
      </c>
      <c r="C997" s="47">
        <v>83.14</v>
      </c>
      <c r="D997" s="47">
        <v>84.704999999999998</v>
      </c>
      <c r="E997" s="47">
        <v>15499955</v>
      </c>
      <c r="F997" s="47" t="s">
        <v>1539</v>
      </c>
      <c r="G997" s="46">
        <f t="shared" si="12"/>
        <v>5.9618676583435004E-3</v>
      </c>
    </row>
    <row r="998" spans="1:7">
      <c r="A998" s="47">
        <v>85.21</v>
      </c>
      <c r="B998" s="47">
        <v>85.42</v>
      </c>
      <c r="C998" s="47">
        <v>80.739999999999995</v>
      </c>
      <c r="D998" s="47">
        <v>81.16</v>
      </c>
      <c r="E998" s="47">
        <v>16874052</v>
      </c>
      <c r="F998" s="47" t="s">
        <v>1538</v>
      </c>
      <c r="G998" s="46">
        <f t="shared" si="12"/>
        <v>4.9901429275505116E-2</v>
      </c>
    </row>
    <row r="999" spans="1:7">
      <c r="A999" s="47">
        <v>80.42</v>
      </c>
      <c r="B999" s="47">
        <v>81.3</v>
      </c>
      <c r="C999" s="47">
        <v>79.751000000000005</v>
      </c>
      <c r="D999" s="47">
        <v>80.37</v>
      </c>
      <c r="E999" s="47">
        <v>21681859</v>
      </c>
      <c r="F999" s="47" t="s">
        <v>1537</v>
      </c>
      <c r="G999" s="46">
        <f t="shared" si="12"/>
        <v>6.2212268259287384E-4</v>
      </c>
    </row>
    <row r="1000" spans="1:7">
      <c r="A1000" s="47">
        <v>80.12</v>
      </c>
      <c r="B1000" s="47">
        <v>80.78</v>
      </c>
      <c r="C1000" s="47">
        <v>77.25</v>
      </c>
      <c r="D1000" s="47">
        <v>77.959999999999994</v>
      </c>
      <c r="E1000" s="47">
        <v>14075385</v>
      </c>
      <c r="F1000" s="47" t="s">
        <v>1536</v>
      </c>
      <c r="G1000" s="46">
        <f t="shared" si="12"/>
        <v>2.7706516162134598E-2</v>
      </c>
    </row>
    <row r="1001" spans="1:7">
      <c r="A1001" s="47">
        <v>78.650000000000006</v>
      </c>
      <c r="B1001" s="47">
        <v>80</v>
      </c>
      <c r="C1001" s="47">
        <v>77.2</v>
      </c>
      <c r="D1001" s="47">
        <v>79.89</v>
      </c>
      <c r="E1001" s="47">
        <v>13309573</v>
      </c>
      <c r="F1001" s="47" t="s">
        <v>1535</v>
      </c>
      <c r="G1001" s="46">
        <f t="shared" si="12"/>
        <v>-1.552134184503684E-2</v>
      </c>
    </row>
    <row r="1002" spans="1:7">
      <c r="A1002" s="47">
        <v>81.180000000000007</v>
      </c>
      <c r="B1002" s="47">
        <v>82.06</v>
      </c>
      <c r="C1002" s="47">
        <v>79.28</v>
      </c>
      <c r="D1002" s="47">
        <v>80.44</v>
      </c>
      <c r="E1002" s="47">
        <v>12309245</v>
      </c>
      <c r="F1002" s="47" t="s">
        <v>1534</v>
      </c>
      <c r="G1002" s="46">
        <f t="shared" si="12"/>
        <v>9.1994032819493476E-3</v>
      </c>
    </row>
    <row r="1003" spans="1:7">
      <c r="A1003" s="47">
        <v>80.540000000000006</v>
      </c>
      <c r="B1003" s="47">
        <v>83.77</v>
      </c>
      <c r="C1003" s="47">
        <v>77.56</v>
      </c>
      <c r="D1003" s="47">
        <v>83.71</v>
      </c>
      <c r="E1003" s="47">
        <v>16887352</v>
      </c>
      <c r="F1003" s="47" t="s">
        <v>1533</v>
      </c>
      <c r="G1003" s="46">
        <f t="shared" si="12"/>
        <v>-3.7868832875402991E-2</v>
      </c>
    </row>
    <row r="1004" spans="1:7">
      <c r="A1004" s="47">
        <v>81.28</v>
      </c>
      <c r="B1004" s="47">
        <v>82.31</v>
      </c>
      <c r="C1004" s="47">
        <v>76.83</v>
      </c>
      <c r="D1004" s="47">
        <v>76.83</v>
      </c>
      <c r="E1004" s="47">
        <v>19779340</v>
      </c>
      <c r="F1004" s="47" t="s">
        <v>1532</v>
      </c>
      <c r="G1004" s="46">
        <f t="shared" si="12"/>
        <v>5.7920083300794012E-2</v>
      </c>
    </row>
    <row r="1005" spans="1:7">
      <c r="A1005" s="47">
        <v>77.180000000000007</v>
      </c>
      <c r="B1005" s="47">
        <v>79.938299999999998</v>
      </c>
      <c r="C1005" s="47">
        <v>76.77</v>
      </c>
      <c r="D1005" s="47">
        <v>78.599999999999994</v>
      </c>
      <c r="E1005" s="47">
        <v>15955288</v>
      </c>
      <c r="F1005" s="47" t="s">
        <v>1531</v>
      </c>
      <c r="G1005" s="46">
        <f t="shared" si="12"/>
        <v>-1.8066157760814106E-2</v>
      </c>
    </row>
    <row r="1006" spans="1:7">
      <c r="A1006" s="47">
        <v>79.75</v>
      </c>
      <c r="B1006" s="47">
        <v>81.284999999999997</v>
      </c>
      <c r="C1006" s="47">
        <v>77.31</v>
      </c>
      <c r="D1006" s="47">
        <v>79.89</v>
      </c>
      <c r="E1006" s="47">
        <v>12677442</v>
      </c>
      <c r="F1006" s="47" t="s">
        <v>1530</v>
      </c>
      <c r="G1006" s="46">
        <f t="shared" si="12"/>
        <v>-1.7524095631493708E-3</v>
      </c>
    </row>
    <row r="1007" spans="1:7">
      <c r="A1007" s="47">
        <v>77.650000000000006</v>
      </c>
      <c r="B1007" s="47">
        <v>79.06</v>
      </c>
      <c r="C1007" s="47">
        <v>76.188400000000001</v>
      </c>
      <c r="D1007" s="47">
        <v>78.59</v>
      </c>
      <c r="E1007" s="47">
        <v>15432314</v>
      </c>
      <c r="F1007" s="47" t="s">
        <v>1529</v>
      </c>
      <c r="G1007" s="46">
        <f t="shared" si="12"/>
        <v>-1.1960809263265038E-2</v>
      </c>
    </row>
    <row r="1008" spans="1:7">
      <c r="A1008" s="47">
        <v>78.83</v>
      </c>
      <c r="B1008" s="47">
        <v>79.19</v>
      </c>
      <c r="C1008" s="47">
        <v>76.37</v>
      </c>
      <c r="D1008" s="47">
        <v>76.37</v>
      </c>
      <c r="E1008" s="47">
        <v>17111400</v>
      </c>
      <c r="F1008" s="47" t="s">
        <v>1528</v>
      </c>
      <c r="G1008" s="46">
        <f t="shared" si="12"/>
        <v>3.221160141416779E-2</v>
      </c>
    </row>
    <row r="1009" spans="1:7">
      <c r="A1009" s="47">
        <v>74.290000000000006</v>
      </c>
      <c r="B1009" s="47">
        <v>76.56</v>
      </c>
      <c r="C1009" s="47">
        <v>71.831199999999995</v>
      </c>
      <c r="D1009" s="47">
        <v>73.75</v>
      </c>
      <c r="E1009" s="47">
        <v>29360958</v>
      </c>
      <c r="F1009" s="47" t="s">
        <v>1527</v>
      </c>
      <c r="G1009" s="46">
        <f t="shared" si="12"/>
        <v>7.3220338983051025E-3</v>
      </c>
    </row>
    <row r="1010" spans="1:7">
      <c r="A1010" s="47">
        <v>75.17</v>
      </c>
      <c r="B1010" s="47">
        <v>80.39</v>
      </c>
      <c r="C1010" s="47">
        <v>75.02</v>
      </c>
      <c r="D1010" s="47">
        <v>77.75</v>
      </c>
      <c r="E1010" s="47">
        <v>16770240</v>
      </c>
      <c r="F1010" s="47" t="s">
        <v>1526</v>
      </c>
      <c r="G1010" s="46">
        <f t="shared" si="12"/>
        <v>-3.3183279742765248E-2</v>
      </c>
    </row>
    <row r="1011" spans="1:7">
      <c r="A1011" s="47">
        <v>78.75</v>
      </c>
      <c r="B1011" s="47">
        <v>82.27</v>
      </c>
      <c r="C1011" s="47">
        <v>76.13</v>
      </c>
      <c r="D1011" s="47">
        <v>81.709999999999994</v>
      </c>
      <c r="E1011" s="47">
        <v>21126342</v>
      </c>
      <c r="F1011" s="47" t="s">
        <v>1525</v>
      </c>
      <c r="G1011" s="46">
        <f t="shared" si="12"/>
        <v>-3.6225676171827148E-2</v>
      </c>
    </row>
    <row r="1012" spans="1:7">
      <c r="A1012" s="47">
        <v>79.53</v>
      </c>
      <c r="B1012" s="47">
        <v>82.14</v>
      </c>
      <c r="C1012" s="47">
        <v>78.849999999999994</v>
      </c>
      <c r="D1012" s="47">
        <v>79.89</v>
      </c>
      <c r="E1012" s="47">
        <v>25513691</v>
      </c>
      <c r="F1012" s="47" t="s">
        <v>1524</v>
      </c>
      <c r="G1012" s="46">
        <f t="shared" si="12"/>
        <v>-4.5061960195268425E-3</v>
      </c>
    </row>
    <row r="1013" spans="1:7">
      <c r="A1013" s="47">
        <v>81.680000000000007</v>
      </c>
      <c r="B1013" s="47">
        <v>85.37</v>
      </c>
      <c r="C1013" s="47">
        <v>80.900000000000006</v>
      </c>
      <c r="D1013" s="47">
        <v>85.32</v>
      </c>
      <c r="E1013" s="47">
        <v>21369329</v>
      </c>
      <c r="F1013" s="47" t="s">
        <v>1523</v>
      </c>
      <c r="G1013" s="46">
        <f t="shared" si="12"/>
        <v>-4.2662916080637436E-2</v>
      </c>
    </row>
    <row r="1014" spans="1:7">
      <c r="A1014" s="47">
        <v>85.43</v>
      </c>
      <c r="B1014" s="47">
        <v>90.73</v>
      </c>
      <c r="C1014" s="47">
        <v>84.17</v>
      </c>
      <c r="D1014" s="47">
        <v>90.73</v>
      </c>
      <c r="E1014" s="47">
        <v>22066474</v>
      </c>
      <c r="F1014" s="47" t="s">
        <v>1522</v>
      </c>
      <c r="G1014" s="46">
        <f t="shared" si="12"/>
        <v>-5.8415077703074969E-2</v>
      </c>
    </row>
    <row r="1015" spans="1:7">
      <c r="A1015" s="47">
        <v>92.72</v>
      </c>
      <c r="B1015" s="47">
        <v>92.85</v>
      </c>
      <c r="C1015" s="47">
        <v>87.12</v>
      </c>
      <c r="D1015" s="47">
        <v>90.25</v>
      </c>
      <c r="E1015" s="47">
        <v>15850562</v>
      </c>
      <c r="F1015" s="47" t="s">
        <v>1521</v>
      </c>
      <c r="G1015" s="46">
        <f t="shared" si="12"/>
        <v>2.7368421052631486E-2</v>
      </c>
    </row>
    <row r="1016" spans="1:7">
      <c r="A1016" s="47">
        <v>90.71</v>
      </c>
      <c r="B1016" s="47">
        <v>92.25</v>
      </c>
      <c r="C1016" s="47">
        <v>90.04</v>
      </c>
      <c r="D1016" s="47">
        <v>91.48</v>
      </c>
      <c r="E1016" s="47">
        <v>15227635</v>
      </c>
      <c r="F1016" s="47" t="s">
        <v>1520</v>
      </c>
      <c r="G1016" s="46">
        <f t="shared" si="12"/>
        <v>-8.4171403585484583E-3</v>
      </c>
    </row>
    <row r="1017" spans="1:7">
      <c r="A1017" s="47">
        <v>91.53</v>
      </c>
      <c r="B1017" s="47">
        <v>92.49</v>
      </c>
      <c r="C1017" s="47">
        <v>86.82</v>
      </c>
      <c r="D1017" s="47">
        <v>87.55</v>
      </c>
      <c r="E1017" s="47">
        <v>21340463</v>
      </c>
      <c r="F1017" s="47" t="s">
        <v>1519</v>
      </c>
      <c r="G1017" s="46">
        <f t="shared" si="12"/>
        <v>4.5459737292975477E-2</v>
      </c>
    </row>
    <row r="1018" spans="1:7">
      <c r="A1018" s="47">
        <v>87.93</v>
      </c>
      <c r="B1018" s="47">
        <v>94.51</v>
      </c>
      <c r="C1018" s="47">
        <v>87.75</v>
      </c>
      <c r="D1018" s="47">
        <v>91</v>
      </c>
      <c r="E1018" s="47">
        <v>24872396</v>
      </c>
      <c r="F1018" s="47" t="s">
        <v>1518</v>
      </c>
      <c r="G1018" s="46">
        <f t="shared" ref="G1018:G1081" si="13">A1018/D1018-1</f>
        <v>-3.3736263736263705E-2</v>
      </c>
    </row>
    <row r="1019" spans="1:7">
      <c r="A1019" s="47">
        <v>92.09</v>
      </c>
      <c r="B1019" s="47">
        <v>93.18</v>
      </c>
      <c r="C1019" s="47">
        <v>84.37</v>
      </c>
      <c r="D1019" s="47">
        <v>85.06</v>
      </c>
      <c r="E1019" s="47">
        <v>42836610</v>
      </c>
      <c r="F1019" s="47" t="s">
        <v>1517</v>
      </c>
      <c r="G1019" s="46">
        <f t="shared" si="13"/>
        <v>8.2647542910886385E-2</v>
      </c>
    </row>
    <row r="1020" spans="1:7">
      <c r="A1020" s="47">
        <v>82.61</v>
      </c>
      <c r="B1020" s="47">
        <v>86.605000000000004</v>
      </c>
      <c r="C1020" s="47">
        <v>82.12</v>
      </c>
      <c r="D1020" s="47">
        <v>83.57</v>
      </c>
      <c r="E1020" s="47">
        <v>24669832</v>
      </c>
      <c r="F1020" s="47" t="s">
        <v>1516</v>
      </c>
      <c r="G1020" s="46">
        <f t="shared" si="13"/>
        <v>-1.1487375852578641E-2</v>
      </c>
    </row>
    <row r="1021" spans="1:7">
      <c r="A1021" s="47">
        <v>83.7</v>
      </c>
      <c r="B1021" s="47">
        <v>86.865200000000002</v>
      </c>
      <c r="C1021" s="47">
        <v>83.57</v>
      </c>
      <c r="D1021" s="47">
        <v>86.77</v>
      </c>
      <c r="E1021" s="47">
        <v>17205299</v>
      </c>
      <c r="F1021" s="47" t="s">
        <v>1515</v>
      </c>
      <c r="G1021" s="46">
        <f t="shared" si="13"/>
        <v>-3.5380892013368581E-2</v>
      </c>
    </row>
    <row r="1022" spans="1:7">
      <c r="A1022" s="47">
        <v>87.78</v>
      </c>
      <c r="B1022" s="47">
        <v>87.93</v>
      </c>
      <c r="C1022" s="47">
        <v>84.42</v>
      </c>
      <c r="D1022" s="47">
        <v>85.325000000000003</v>
      </c>
      <c r="E1022" s="47">
        <v>15683356</v>
      </c>
      <c r="F1022" s="47" t="s">
        <v>1514</v>
      </c>
      <c r="G1022" s="46">
        <f t="shared" si="13"/>
        <v>2.877234104893045E-2</v>
      </c>
    </row>
    <row r="1023" spans="1:7">
      <c r="A1023" s="47">
        <v>86.03</v>
      </c>
      <c r="B1023" s="47">
        <v>90.25</v>
      </c>
      <c r="C1023" s="47">
        <v>85.98</v>
      </c>
      <c r="D1023" s="47">
        <v>89.295000000000002</v>
      </c>
      <c r="E1023" s="47">
        <v>21052959</v>
      </c>
      <c r="F1023" s="47" t="s">
        <v>1513</v>
      </c>
      <c r="G1023" s="46">
        <f t="shared" si="13"/>
        <v>-3.6564197323478376E-2</v>
      </c>
    </row>
    <row r="1024" spans="1:7">
      <c r="A1024" s="47">
        <v>89.4</v>
      </c>
      <c r="B1024" s="47">
        <v>97.61</v>
      </c>
      <c r="C1024" s="47">
        <v>88.81</v>
      </c>
      <c r="D1024" s="47">
        <v>96.135000000000005</v>
      </c>
      <c r="E1024" s="47">
        <v>27204147</v>
      </c>
      <c r="F1024" s="47" t="s">
        <v>1512</v>
      </c>
      <c r="G1024" s="46">
        <f t="shared" si="13"/>
        <v>-7.0057731315337768E-2</v>
      </c>
    </row>
    <row r="1025" spans="1:7">
      <c r="A1025" s="47">
        <v>94.9</v>
      </c>
      <c r="B1025" s="47">
        <v>101.95</v>
      </c>
      <c r="C1025" s="47">
        <v>94.43</v>
      </c>
      <c r="D1025" s="47">
        <v>101.95</v>
      </c>
      <c r="E1025" s="47">
        <v>26487031</v>
      </c>
      <c r="F1025" s="47" t="s">
        <v>1511</v>
      </c>
      <c r="G1025" s="46">
        <f t="shared" si="13"/>
        <v>-6.9151544874938686E-2</v>
      </c>
    </row>
    <row r="1026" spans="1:7">
      <c r="A1026" s="47">
        <v>103.66</v>
      </c>
      <c r="B1026" s="47">
        <v>104.86</v>
      </c>
      <c r="C1026" s="47">
        <v>99.91</v>
      </c>
      <c r="D1026" s="47">
        <v>100</v>
      </c>
      <c r="E1026" s="47">
        <v>12768109</v>
      </c>
      <c r="F1026" s="47" t="s">
        <v>1510</v>
      </c>
      <c r="G1026" s="46">
        <f t="shared" si="13"/>
        <v>3.6599999999999966E-2</v>
      </c>
    </row>
    <row r="1027" spans="1:7">
      <c r="A1027" s="47">
        <v>100.58</v>
      </c>
      <c r="B1027" s="47">
        <v>103</v>
      </c>
      <c r="C1027" s="47">
        <v>99.135000000000005</v>
      </c>
      <c r="D1027" s="47">
        <v>102.05</v>
      </c>
      <c r="E1027" s="47">
        <v>15342449</v>
      </c>
      <c r="F1027" s="47" t="s">
        <v>1509</v>
      </c>
      <c r="G1027" s="46">
        <f t="shared" si="13"/>
        <v>-1.4404703576678113E-2</v>
      </c>
    </row>
    <row r="1028" spans="1:7">
      <c r="A1028" s="47">
        <v>102.31</v>
      </c>
      <c r="B1028" s="47">
        <v>105.7</v>
      </c>
      <c r="C1028" s="47">
        <v>102.06</v>
      </c>
      <c r="D1028" s="47">
        <v>105.08</v>
      </c>
      <c r="E1028" s="47">
        <v>16125794</v>
      </c>
      <c r="F1028" s="47" t="s">
        <v>1508</v>
      </c>
      <c r="G1028" s="46">
        <f t="shared" si="13"/>
        <v>-2.6360867910163677E-2</v>
      </c>
    </row>
    <row r="1029" spans="1:7">
      <c r="A1029" s="47">
        <v>105.17</v>
      </c>
      <c r="B1029" s="47">
        <v>105.95</v>
      </c>
      <c r="C1029" s="47">
        <v>102.29</v>
      </c>
      <c r="D1029" s="47">
        <v>102.59</v>
      </c>
      <c r="E1029" s="47">
        <v>26481916</v>
      </c>
      <c r="F1029" s="47" t="s">
        <v>1507</v>
      </c>
      <c r="G1029" s="46">
        <f t="shared" si="13"/>
        <v>2.5148649965883507E-2</v>
      </c>
    </row>
    <row r="1030" spans="1:7">
      <c r="A1030" s="47">
        <v>108.25</v>
      </c>
      <c r="B1030" s="47">
        <v>112.74</v>
      </c>
      <c r="C1030" s="47">
        <v>107.75</v>
      </c>
      <c r="D1030" s="47">
        <v>111.64</v>
      </c>
      <c r="E1030" s="47">
        <v>12493550</v>
      </c>
      <c r="F1030" s="47" t="s">
        <v>1506</v>
      </c>
      <c r="G1030" s="46">
        <f t="shared" si="13"/>
        <v>-3.036546040845578E-2</v>
      </c>
    </row>
    <row r="1031" spans="1:7">
      <c r="A1031" s="47">
        <v>109.81</v>
      </c>
      <c r="B1031" s="47">
        <v>111.395</v>
      </c>
      <c r="C1031" s="47">
        <v>108.44</v>
      </c>
      <c r="D1031" s="47">
        <v>109.75</v>
      </c>
      <c r="E1031" s="47">
        <v>10706635</v>
      </c>
      <c r="F1031" s="47" t="s">
        <v>1505</v>
      </c>
      <c r="G1031" s="46">
        <f t="shared" si="13"/>
        <v>5.4669703872445297E-4</v>
      </c>
    </row>
    <row r="1032" spans="1:7">
      <c r="A1032" s="47">
        <v>111.21</v>
      </c>
      <c r="B1032" s="47">
        <v>113.24</v>
      </c>
      <c r="C1032" s="47">
        <v>110.25</v>
      </c>
      <c r="D1032" s="47">
        <v>112.26</v>
      </c>
      <c r="E1032" s="47">
        <v>10521847</v>
      </c>
      <c r="F1032" s="47" t="s">
        <v>1504</v>
      </c>
      <c r="G1032" s="46">
        <f t="shared" si="13"/>
        <v>-9.3532870122929879E-3</v>
      </c>
    </row>
    <row r="1033" spans="1:7">
      <c r="A1033" s="47">
        <v>113.04</v>
      </c>
      <c r="B1033" s="47">
        <v>114.34</v>
      </c>
      <c r="C1033" s="47">
        <v>110.1</v>
      </c>
      <c r="D1033" s="47">
        <v>111.52</v>
      </c>
      <c r="E1033" s="47">
        <v>12471329</v>
      </c>
      <c r="F1033" s="47" t="s">
        <v>1503</v>
      </c>
      <c r="G1033" s="46">
        <f t="shared" si="13"/>
        <v>1.3629842180774787E-2</v>
      </c>
    </row>
    <row r="1034" spans="1:7">
      <c r="A1034" s="47">
        <v>112.49</v>
      </c>
      <c r="B1034" s="47">
        <v>115.52</v>
      </c>
      <c r="C1034" s="47">
        <v>110.86</v>
      </c>
      <c r="D1034" s="47">
        <v>115.26</v>
      </c>
      <c r="E1034" s="47">
        <v>16288878</v>
      </c>
      <c r="F1034" s="47" t="s">
        <v>1502</v>
      </c>
      <c r="G1034" s="46">
        <f t="shared" si="13"/>
        <v>-2.4032621898316897E-2</v>
      </c>
    </row>
    <row r="1035" spans="1:7">
      <c r="A1035" s="47">
        <v>117.65</v>
      </c>
      <c r="B1035" s="47">
        <v>122.91800000000001</v>
      </c>
      <c r="C1035" s="47">
        <v>117.2025</v>
      </c>
      <c r="D1035" s="47">
        <v>122.83</v>
      </c>
      <c r="E1035" s="47">
        <v>12778748</v>
      </c>
      <c r="F1035" s="47" t="s">
        <v>1501</v>
      </c>
      <c r="G1035" s="46">
        <f t="shared" si="13"/>
        <v>-4.217210779125613E-2</v>
      </c>
    </row>
    <row r="1036" spans="1:7">
      <c r="A1036" s="47">
        <v>121.86</v>
      </c>
      <c r="B1036" s="47">
        <v>122.32</v>
      </c>
      <c r="C1036" s="47">
        <v>116.88</v>
      </c>
      <c r="D1036" s="47">
        <v>117.06</v>
      </c>
      <c r="E1036" s="47">
        <v>15292250</v>
      </c>
      <c r="F1036" s="47" t="s">
        <v>1500</v>
      </c>
      <c r="G1036" s="46">
        <f t="shared" si="13"/>
        <v>4.100461301896452E-2</v>
      </c>
    </row>
    <row r="1037" spans="1:7">
      <c r="A1037" s="47">
        <v>116.67</v>
      </c>
      <c r="B1037" s="47">
        <v>118.24</v>
      </c>
      <c r="C1037" s="47">
        <v>115.04</v>
      </c>
      <c r="D1037" s="47">
        <v>116</v>
      </c>
      <c r="E1037" s="47">
        <v>11037797</v>
      </c>
      <c r="F1037" s="47" t="s">
        <v>1499</v>
      </c>
      <c r="G1037" s="46">
        <f t="shared" si="13"/>
        <v>5.7758620689656315E-3</v>
      </c>
    </row>
    <row r="1038" spans="1:7">
      <c r="A1038" s="47">
        <v>115.65</v>
      </c>
      <c r="B1038" s="47">
        <v>118.89</v>
      </c>
      <c r="C1038" s="47">
        <v>115.59</v>
      </c>
      <c r="D1038" s="47">
        <v>118.105</v>
      </c>
      <c r="E1038" s="47">
        <v>13928293</v>
      </c>
      <c r="F1038" s="47" t="s">
        <v>1498</v>
      </c>
      <c r="G1038" s="46">
        <f t="shared" si="13"/>
        <v>-2.0786588205410461E-2</v>
      </c>
    </row>
    <row r="1039" spans="1:7">
      <c r="A1039" s="47">
        <v>118.49</v>
      </c>
      <c r="B1039" s="47">
        <v>122.81</v>
      </c>
      <c r="C1039" s="47">
        <v>118.03</v>
      </c>
      <c r="D1039" s="47">
        <v>122.325</v>
      </c>
      <c r="E1039" s="47">
        <v>16513336</v>
      </c>
      <c r="F1039" s="47" t="s">
        <v>1497</v>
      </c>
      <c r="G1039" s="46">
        <f t="shared" si="13"/>
        <v>-3.1350909462497523E-2</v>
      </c>
    </row>
    <row r="1040" spans="1:7">
      <c r="A1040" s="47">
        <v>121.18</v>
      </c>
      <c r="B1040" s="47">
        <v>121.55</v>
      </c>
      <c r="C1040" s="47">
        <v>116.97</v>
      </c>
      <c r="D1040" s="47">
        <v>118.65</v>
      </c>
      <c r="E1040" s="47">
        <v>15918407</v>
      </c>
      <c r="F1040" s="47" t="s">
        <v>1496</v>
      </c>
      <c r="G1040" s="46">
        <f t="shared" si="13"/>
        <v>2.1323219553307959E-2</v>
      </c>
    </row>
    <row r="1041" spans="1:7">
      <c r="A1041" s="47">
        <v>116.17</v>
      </c>
      <c r="B1041" s="47">
        <v>117.1</v>
      </c>
      <c r="C1041" s="47">
        <v>112.36</v>
      </c>
      <c r="D1041" s="47">
        <v>114</v>
      </c>
      <c r="E1041" s="47">
        <v>13867983</v>
      </c>
      <c r="F1041" s="47" t="s">
        <v>1495</v>
      </c>
      <c r="G1041" s="46">
        <f t="shared" si="13"/>
        <v>1.9035087719298183E-2</v>
      </c>
    </row>
    <row r="1042" spans="1:7">
      <c r="A1042" s="47">
        <v>113.76</v>
      </c>
      <c r="B1042" s="47">
        <v>116.19</v>
      </c>
      <c r="C1042" s="47">
        <v>112.09</v>
      </c>
      <c r="D1042" s="47">
        <v>116.04</v>
      </c>
      <c r="E1042" s="47">
        <v>12378260</v>
      </c>
      <c r="F1042" s="47" t="s">
        <v>1494</v>
      </c>
      <c r="G1042" s="46">
        <f t="shared" si="13"/>
        <v>-1.9648397104446769E-2</v>
      </c>
    </row>
    <row r="1043" spans="1:7">
      <c r="A1043" s="47">
        <v>116.05</v>
      </c>
      <c r="B1043" s="47">
        <v>116.19</v>
      </c>
      <c r="C1043" s="47">
        <v>113.32</v>
      </c>
      <c r="D1043" s="47">
        <v>115.82</v>
      </c>
      <c r="E1043" s="47">
        <v>13546673</v>
      </c>
      <c r="F1043" s="47" t="s">
        <v>1493</v>
      </c>
      <c r="G1043" s="46">
        <f t="shared" si="13"/>
        <v>1.9858400967018852E-3</v>
      </c>
    </row>
    <row r="1044" spans="1:7">
      <c r="A1044" s="47">
        <v>114.65</v>
      </c>
      <c r="B1044" s="47">
        <v>117.36</v>
      </c>
      <c r="C1044" s="47">
        <v>114.09</v>
      </c>
      <c r="D1044" s="47">
        <v>115.53</v>
      </c>
      <c r="E1044" s="47">
        <v>14430567</v>
      </c>
      <c r="F1044" s="47" t="s">
        <v>1492</v>
      </c>
      <c r="G1044" s="46">
        <f t="shared" si="13"/>
        <v>-7.6170691595256468E-3</v>
      </c>
    </row>
    <row r="1045" spans="1:7">
      <c r="A1045" s="47">
        <v>117.87</v>
      </c>
      <c r="B1045" s="47">
        <v>119.35</v>
      </c>
      <c r="C1045" s="47">
        <v>114.65</v>
      </c>
      <c r="D1045" s="47">
        <v>114.65</v>
      </c>
      <c r="E1045" s="47">
        <v>16746093</v>
      </c>
      <c r="F1045" s="47" t="s">
        <v>1491</v>
      </c>
      <c r="G1045" s="46">
        <f t="shared" si="13"/>
        <v>2.8085477540340076E-2</v>
      </c>
    </row>
    <row r="1046" spans="1:7">
      <c r="A1046" s="47">
        <v>114.65</v>
      </c>
      <c r="B1046" s="47">
        <v>117.5</v>
      </c>
      <c r="C1046" s="47">
        <v>112.5</v>
      </c>
      <c r="D1046" s="47">
        <v>117.22</v>
      </c>
      <c r="E1046" s="47">
        <v>19888872</v>
      </c>
      <c r="F1046" s="47" t="s">
        <v>1490</v>
      </c>
      <c r="G1046" s="46">
        <f t="shared" si="13"/>
        <v>-2.1924586248080469E-2</v>
      </c>
    </row>
    <row r="1047" spans="1:7">
      <c r="A1047" s="47">
        <v>118.77</v>
      </c>
      <c r="B1047" s="47">
        <v>119.38</v>
      </c>
      <c r="C1047" s="47">
        <v>110.23</v>
      </c>
      <c r="D1047" s="47">
        <v>111.53</v>
      </c>
      <c r="E1047" s="47">
        <v>31997825</v>
      </c>
      <c r="F1047" s="47" t="s">
        <v>1489</v>
      </c>
      <c r="G1047" s="46">
        <f t="shared" si="13"/>
        <v>6.4915269434232981E-2</v>
      </c>
    </row>
    <row r="1048" spans="1:7">
      <c r="A1048" s="47">
        <v>112.16</v>
      </c>
      <c r="B1048" s="47">
        <v>112.18</v>
      </c>
      <c r="C1048" s="47">
        <v>106.47</v>
      </c>
      <c r="D1048" s="47">
        <v>106.56</v>
      </c>
      <c r="E1048" s="47">
        <v>21950824</v>
      </c>
      <c r="F1048" s="47" t="s">
        <v>1488</v>
      </c>
      <c r="G1048" s="46">
        <f t="shared" si="13"/>
        <v>5.2552552552552534E-2</v>
      </c>
    </row>
    <row r="1049" spans="1:7">
      <c r="A1049" s="47">
        <v>107.92</v>
      </c>
      <c r="B1049" s="47">
        <v>107.94</v>
      </c>
      <c r="C1049" s="47">
        <v>101.89</v>
      </c>
      <c r="D1049" s="47">
        <v>102.38</v>
      </c>
      <c r="E1049" s="47">
        <v>24840489</v>
      </c>
      <c r="F1049" s="47" t="s">
        <v>1487</v>
      </c>
      <c r="G1049" s="46">
        <f t="shared" si="13"/>
        <v>5.4112131275639852E-2</v>
      </c>
    </row>
    <row r="1050" spans="1:7">
      <c r="A1050" s="47">
        <v>100.46</v>
      </c>
      <c r="B1050" s="47">
        <v>100.57</v>
      </c>
      <c r="C1050" s="47">
        <v>96.05</v>
      </c>
      <c r="D1050" s="47">
        <v>98.674999999999997</v>
      </c>
      <c r="E1050" s="47">
        <v>18032858</v>
      </c>
      <c r="F1050" s="47" t="s">
        <v>1486</v>
      </c>
      <c r="G1050" s="46">
        <f t="shared" si="13"/>
        <v>1.8089688370914514E-2</v>
      </c>
    </row>
    <row r="1051" spans="1:7">
      <c r="A1051" s="47">
        <v>96.87</v>
      </c>
      <c r="B1051" s="47">
        <v>100.64</v>
      </c>
      <c r="C1051" s="47">
        <v>94.63</v>
      </c>
      <c r="D1051" s="47">
        <v>96.045000000000002</v>
      </c>
      <c r="E1051" s="47">
        <v>20988852</v>
      </c>
      <c r="F1051" s="47" t="s">
        <v>1485</v>
      </c>
      <c r="G1051" s="46">
        <f t="shared" si="13"/>
        <v>8.5897235670779892E-3</v>
      </c>
    </row>
    <row r="1052" spans="1:7">
      <c r="A1052" s="47">
        <v>96.57</v>
      </c>
      <c r="B1052" s="47">
        <v>99.82</v>
      </c>
      <c r="C1052" s="47">
        <v>95.52</v>
      </c>
      <c r="D1052" s="47">
        <v>99.75</v>
      </c>
      <c r="E1052" s="47">
        <v>15141665</v>
      </c>
      <c r="F1052" s="47" t="s">
        <v>1484</v>
      </c>
      <c r="G1052" s="46">
        <f t="shared" si="13"/>
        <v>-3.1879699248120397E-2</v>
      </c>
    </row>
    <row r="1053" spans="1:7">
      <c r="A1053" s="47">
        <v>98.55</v>
      </c>
      <c r="B1053" s="47">
        <v>99.32</v>
      </c>
      <c r="C1053" s="47">
        <v>96.4</v>
      </c>
      <c r="D1053" s="47">
        <v>99.05</v>
      </c>
      <c r="E1053" s="47">
        <v>14703198</v>
      </c>
      <c r="F1053" s="47" t="s">
        <v>1483</v>
      </c>
      <c r="G1053" s="46">
        <f t="shared" si="13"/>
        <v>-5.0479555779908702E-3</v>
      </c>
    </row>
    <row r="1054" spans="1:7">
      <c r="A1054" s="47">
        <v>100.22</v>
      </c>
      <c r="B1054" s="47">
        <v>100.73</v>
      </c>
      <c r="C1054" s="47">
        <v>97.29</v>
      </c>
      <c r="D1054" s="47">
        <v>98.12</v>
      </c>
      <c r="E1054" s="47">
        <v>20811252</v>
      </c>
      <c r="F1054" s="47" t="s">
        <v>1482</v>
      </c>
      <c r="G1054" s="46">
        <f t="shared" si="13"/>
        <v>2.1402364451691858E-2</v>
      </c>
    </row>
    <row r="1055" spans="1:7">
      <c r="A1055" s="47">
        <v>94.9</v>
      </c>
      <c r="B1055" s="47">
        <v>98.6</v>
      </c>
      <c r="C1055" s="47">
        <v>92.25</v>
      </c>
      <c r="D1055" s="47">
        <v>93.04</v>
      </c>
      <c r="E1055" s="47">
        <v>25130946</v>
      </c>
      <c r="F1055" s="47" t="s">
        <v>1481</v>
      </c>
      <c r="G1055" s="46">
        <f t="shared" si="13"/>
        <v>1.9991401547721388E-2</v>
      </c>
    </row>
    <row r="1056" spans="1:7">
      <c r="A1056" s="47">
        <v>93.61</v>
      </c>
      <c r="B1056" s="47">
        <v>100.33</v>
      </c>
      <c r="C1056" s="47">
        <v>93.5</v>
      </c>
      <c r="D1056" s="47">
        <v>99.57</v>
      </c>
      <c r="E1056" s="47">
        <v>26529924</v>
      </c>
      <c r="F1056" s="47" t="s">
        <v>1480</v>
      </c>
      <c r="G1056" s="46">
        <f t="shared" si="13"/>
        <v>-5.9857386763081166E-2</v>
      </c>
    </row>
    <row r="1057" spans="1:7">
      <c r="A1057" s="47">
        <v>99.91</v>
      </c>
      <c r="B1057" s="47">
        <v>102.39</v>
      </c>
      <c r="C1057" s="47">
        <v>98.62</v>
      </c>
      <c r="D1057" s="47">
        <v>100.24</v>
      </c>
      <c r="E1057" s="47">
        <v>20159124</v>
      </c>
      <c r="F1057" s="47" t="s">
        <v>1479</v>
      </c>
      <c r="G1057" s="46">
        <f t="shared" si="13"/>
        <v>-3.2920989624900532E-3</v>
      </c>
    </row>
    <row r="1058" spans="1:7">
      <c r="A1058" s="47">
        <v>101.34</v>
      </c>
      <c r="B1058" s="47">
        <v>107.75</v>
      </c>
      <c r="C1058" s="47">
        <v>100.86</v>
      </c>
      <c r="D1058" s="47">
        <v>107.66</v>
      </c>
      <c r="E1058" s="47">
        <v>20330763</v>
      </c>
      <c r="F1058" s="47" t="s">
        <v>1478</v>
      </c>
      <c r="G1058" s="46">
        <f t="shared" si="13"/>
        <v>-5.8703325283299246E-2</v>
      </c>
    </row>
    <row r="1059" spans="1:7">
      <c r="A1059" s="47">
        <v>106.61</v>
      </c>
      <c r="B1059" s="47">
        <v>107.23</v>
      </c>
      <c r="C1059" s="47">
        <v>103.69</v>
      </c>
      <c r="D1059" s="47">
        <v>105.61</v>
      </c>
      <c r="E1059" s="47">
        <v>17023538</v>
      </c>
      <c r="F1059" s="47" t="s">
        <v>1477</v>
      </c>
      <c r="G1059" s="46">
        <f t="shared" si="13"/>
        <v>9.4688003030016787E-3</v>
      </c>
    </row>
    <row r="1060" spans="1:7">
      <c r="A1060" s="47">
        <v>106.51</v>
      </c>
      <c r="B1060" s="47">
        <v>112.75</v>
      </c>
      <c r="C1060" s="47">
        <v>105.56100000000001</v>
      </c>
      <c r="D1060" s="47">
        <v>112.73</v>
      </c>
      <c r="E1060" s="47">
        <v>19597676</v>
      </c>
      <c r="F1060" s="47" t="s">
        <v>1476</v>
      </c>
      <c r="G1060" s="46">
        <f t="shared" si="13"/>
        <v>-5.5176084449569784E-2</v>
      </c>
    </row>
    <row r="1061" spans="1:7">
      <c r="A1061" s="47">
        <v>111.93</v>
      </c>
      <c r="B1061" s="47">
        <v>113.535</v>
      </c>
      <c r="C1061" s="47">
        <v>108.93</v>
      </c>
      <c r="D1061" s="47">
        <v>110.31</v>
      </c>
      <c r="E1061" s="47">
        <v>25719349</v>
      </c>
      <c r="F1061" s="47" t="s">
        <v>1475</v>
      </c>
      <c r="G1061" s="46">
        <f t="shared" si="13"/>
        <v>1.4685885232526452E-2</v>
      </c>
    </row>
    <row r="1062" spans="1:7">
      <c r="A1062" s="47">
        <v>110.94</v>
      </c>
      <c r="B1062" s="47">
        <v>111.1</v>
      </c>
      <c r="C1062" s="47">
        <v>104.53</v>
      </c>
      <c r="D1062" s="47">
        <v>106.15</v>
      </c>
      <c r="E1062" s="47">
        <v>33806875</v>
      </c>
      <c r="F1062" s="47" t="s">
        <v>1474</v>
      </c>
      <c r="G1062" s="46">
        <f t="shared" si="13"/>
        <v>4.5124823363165145E-2</v>
      </c>
    </row>
    <row r="1063" spans="1:7">
      <c r="A1063" s="47">
        <v>105.02</v>
      </c>
      <c r="B1063" s="47">
        <v>105.26</v>
      </c>
      <c r="C1063" s="47">
        <v>94.5</v>
      </c>
      <c r="D1063" s="47">
        <v>94.74</v>
      </c>
      <c r="E1063" s="47">
        <v>35400626</v>
      </c>
      <c r="F1063" s="47" t="s">
        <v>1473</v>
      </c>
      <c r="G1063" s="46">
        <f t="shared" si="13"/>
        <v>0.10850749419463801</v>
      </c>
    </row>
    <row r="1064" spans="1:7">
      <c r="A1064" s="47">
        <v>100.72</v>
      </c>
      <c r="B1064" s="47">
        <v>105.55</v>
      </c>
      <c r="C1064" s="47">
        <v>100.595</v>
      </c>
      <c r="D1064" s="47">
        <v>105.02</v>
      </c>
      <c r="E1064" s="47">
        <v>25263644</v>
      </c>
      <c r="F1064" s="47" t="s">
        <v>1472</v>
      </c>
      <c r="G1064" s="46">
        <f t="shared" si="13"/>
        <v>-4.0944581984383888E-2</v>
      </c>
    </row>
    <row r="1065" spans="1:7">
      <c r="A1065" s="47">
        <v>103.17</v>
      </c>
      <c r="B1065" s="47">
        <v>105.08</v>
      </c>
      <c r="C1065" s="47">
        <v>101.71</v>
      </c>
      <c r="D1065" s="47">
        <v>102.15</v>
      </c>
      <c r="E1065" s="47">
        <v>28422164</v>
      </c>
      <c r="F1065" s="47" t="s">
        <v>1471</v>
      </c>
      <c r="G1065" s="46">
        <f t="shared" si="13"/>
        <v>9.9853157121878588E-3</v>
      </c>
    </row>
    <row r="1066" spans="1:7">
      <c r="A1066" s="47">
        <v>103.65</v>
      </c>
      <c r="B1066" s="47">
        <v>106.741</v>
      </c>
      <c r="C1066" s="47">
        <v>103.03</v>
      </c>
      <c r="D1066" s="47">
        <v>106</v>
      </c>
      <c r="E1066" s="47">
        <v>28157409</v>
      </c>
      <c r="F1066" s="47" t="s">
        <v>1470</v>
      </c>
      <c r="G1066" s="46">
        <f t="shared" si="13"/>
        <v>-2.2169811320754684E-2</v>
      </c>
    </row>
    <row r="1067" spans="1:7">
      <c r="A1067" s="47">
        <v>105.2</v>
      </c>
      <c r="B1067" s="47">
        <v>111.41</v>
      </c>
      <c r="C1067" s="47">
        <v>104.99</v>
      </c>
      <c r="D1067" s="47">
        <v>109.99</v>
      </c>
      <c r="E1067" s="47">
        <v>33972162</v>
      </c>
      <c r="F1067" s="47" t="s">
        <v>1469</v>
      </c>
      <c r="G1067" s="46">
        <f t="shared" si="13"/>
        <v>-4.3549413583052976E-2</v>
      </c>
    </row>
    <row r="1068" spans="1:7">
      <c r="A1068" s="47">
        <v>110.54</v>
      </c>
      <c r="B1068" s="47">
        <v>114.79</v>
      </c>
      <c r="C1068" s="47">
        <v>110.38</v>
      </c>
      <c r="D1068" s="47">
        <v>114.7</v>
      </c>
      <c r="E1068" s="47">
        <v>28938685</v>
      </c>
      <c r="F1068" s="47" t="s">
        <v>1468</v>
      </c>
      <c r="G1068" s="46">
        <f t="shared" si="13"/>
        <v>-3.6268526591107242E-2</v>
      </c>
    </row>
    <row r="1069" spans="1:7">
      <c r="A1069" s="47">
        <v>115.46</v>
      </c>
      <c r="B1069" s="47">
        <v>116.4</v>
      </c>
      <c r="C1069" s="47">
        <v>114.01</v>
      </c>
      <c r="D1069" s="47">
        <v>115.41500000000001</v>
      </c>
      <c r="E1069" s="47">
        <v>19007632</v>
      </c>
      <c r="F1069" s="47" t="s">
        <v>1467</v>
      </c>
      <c r="G1069" s="46">
        <f t="shared" si="13"/>
        <v>3.8989732703709201E-4</v>
      </c>
    </row>
    <row r="1070" spans="1:7">
      <c r="A1070" s="47">
        <v>114.12</v>
      </c>
      <c r="B1070" s="47">
        <v>116.63</v>
      </c>
      <c r="C1070" s="47">
        <v>113</v>
      </c>
      <c r="D1070" s="47">
        <v>113.62</v>
      </c>
      <c r="E1070" s="47">
        <v>22786950</v>
      </c>
      <c r="F1070" s="47" t="s">
        <v>1466</v>
      </c>
      <c r="G1070" s="46">
        <f t="shared" si="13"/>
        <v>4.4006336912514321E-3</v>
      </c>
    </row>
    <row r="1071" spans="1:7">
      <c r="A1071" s="47">
        <v>115.29</v>
      </c>
      <c r="B1071" s="47">
        <v>120.89</v>
      </c>
      <c r="C1071" s="47">
        <v>114.73</v>
      </c>
      <c r="D1071" s="47">
        <v>119.65</v>
      </c>
      <c r="E1071" s="47">
        <v>24624884</v>
      </c>
      <c r="F1071" s="47" t="s">
        <v>1465</v>
      </c>
      <c r="G1071" s="46">
        <f t="shared" si="13"/>
        <v>-3.6439615545340587E-2</v>
      </c>
    </row>
    <row r="1072" spans="1:7">
      <c r="A1072" s="47">
        <v>119.02</v>
      </c>
      <c r="B1072" s="47">
        <v>125.28</v>
      </c>
      <c r="C1072" s="47">
        <v>118.48</v>
      </c>
      <c r="D1072" s="47">
        <v>121.54</v>
      </c>
      <c r="E1072" s="47">
        <v>30012632</v>
      </c>
      <c r="F1072" s="47" t="s">
        <v>1464</v>
      </c>
      <c r="G1072" s="46">
        <f t="shared" si="13"/>
        <v>-2.0733914760572736E-2</v>
      </c>
    </row>
    <row r="1073" spans="1:7">
      <c r="A1073" s="47">
        <v>122.94</v>
      </c>
      <c r="B1073" s="47">
        <v>123.9721</v>
      </c>
      <c r="C1073" s="47">
        <v>119.81</v>
      </c>
      <c r="D1073" s="47">
        <v>122.21</v>
      </c>
      <c r="E1073" s="47">
        <v>29475577</v>
      </c>
      <c r="F1073" s="47" t="s">
        <v>1463</v>
      </c>
      <c r="G1073" s="46">
        <f t="shared" si="13"/>
        <v>5.9733246051878464E-3</v>
      </c>
    </row>
    <row r="1074" spans="1:7">
      <c r="A1074" s="47">
        <v>120.26</v>
      </c>
      <c r="B1074" s="47">
        <v>123.32989999999999</v>
      </c>
      <c r="C1074" s="47">
        <v>118.55</v>
      </c>
      <c r="D1074" s="47">
        <v>121.02</v>
      </c>
      <c r="E1074" s="47">
        <v>30862685</v>
      </c>
      <c r="F1074" s="47" t="s">
        <v>1462</v>
      </c>
      <c r="G1074" s="46">
        <f t="shared" si="13"/>
        <v>-6.2799537266566841E-3</v>
      </c>
    </row>
    <row r="1075" spans="1:7">
      <c r="A1075" s="47">
        <v>121.41</v>
      </c>
      <c r="B1075" s="47">
        <v>129.41999999999999</v>
      </c>
      <c r="C1075" s="47">
        <v>120.5</v>
      </c>
      <c r="D1075" s="47">
        <v>126.58</v>
      </c>
      <c r="E1075" s="47">
        <v>30384513</v>
      </c>
      <c r="F1075" s="47" t="s">
        <v>1461</v>
      </c>
      <c r="G1075" s="46">
        <f t="shared" si="13"/>
        <v>-4.0843735187233388E-2</v>
      </c>
    </row>
    <row r="1076" spans="1:7">
      <c r="A1076" s="47">
        <v>126.08</v>
      </c>
      <c r="B1076" s="47">
        <v>126.7</v>
      </c>
      <c r="C1076" s="47">
        <v>121.4</v>
      </c>
      <c r="D1076" s="47">
        <v>124.39</v>
      </c>
      <c r="E1076" s="47">
        <v>33103477</v>
      </c>
      <c r="F1076" s="47" t="s">
        <v>1460</v>
      </c>
      <c r="G1076" s="46">
        <f t="shared" si="13"/>
        <v>1.3586301149610014E-2</v>
      </c>
    </row>
    <row r="1077" spans="1:7">
      <c r="A1077" s="47">
        <v>124.3</v>
      </c>
      <c r="B1077" s="47">
        <v>131.44999999999999</v>
      </c>
      <c r="C1077" s="47">
        <v>123.85</v>
      </c>
      <c r="D1077" s="47">
        <v>129.94999999999999</v>
      </c>
      <c r="E1077" s="47">
        <v>52101230</v>
      </c>
      <c r="F1077" s="47" t="s">
        <v>1459</v>
      </c>
      <c r="G1077" s="46">
        <f t="shared" si="13"/>
        <v>-4.3478260869565188E-2</v>
      </c>
    </row>
    <row r="1078" spans="1:7">
      <c r="A1078" s="47">
        <v>132.57</v>
      </c>
      <c r="B1078" s="47">
        <v>139.9</v>
      </c>
      <c r="C1078" s="47">
        <v>129.01</v>
      </c>
      <c r="D1078" s="47">
        <v>139.88999999999999</v>
      </c>
      <c r="E1078" s="47">
        <v>136263987</v>
      </c>
      <c r="F1078" s="47" t="s">
        <v>1458</v>
      </c>
      <c r="G1078" s="46">
        <f t="shared" si="13"/>
        <v>-5.2326828222174493E-2</v>
      </c>
    </row>
    <row r="1079" spans="1:7">
      <c r="A1079" s="47">
        <v>175.8</v>
      </c>
      <c r="B1079" s="47">
        <v>176.2</v>
      </c>
      <c r="C1079" s="47">
        <v>170.53</v>
      </c>
      <c r="D1079" s="47">
        <v>172.77</v>
      </c>
      <c r="E1079" s="47">
        <v>23286877</v>
      </c>
      <c r="F1079" s="47" t="s">
        <v>1457</v>
      </c>
      <c r="G1079" s="46">
        <f t="shared" si="13"/>
        <v>1.75377669734329E-2</v>
      </c>
    </row>
    <row r="1080" spans="1:7">
      <c r="A1080" s="47">
        <v>171.94</v>
      </c>
      <c r="B1080" s="47">
        <v>172.16</v>
      </c>
      <c r="C1080" s="47">
        <v>163.22</v>
      </c>
      <c r="D1080" s="47">
        <v>164.44</v>
      </c>
      <c r="E1080" s="47">
        <v>14260028</v>
      </c>
      <c r="F1080" s="47" t="s">
        <v>1456</v>
      </c>
      <c r="G1080" s="46">
        <f t="shared" si="13"/>
        <v>4.5609340792994502E-2</v>
      </c>
    </row>
    <row r="1081" spans="1:7">
      <c r="A1081" s="47">
        <v>163.52000000000001</v>
      </c>
      <c r="B1081" s="47">
        <v>163.63999999999999</v>
      </c>
      <c r="C1081" s="47">
        <v>156.79</v>
      </c>
      <c r="D1081" s="47">
        <v>158.37</v>
      </c>
      <c r="E1081" s="47">
        <v>9861663</v>
      </c>
      <c r="F1081" s="47" t="s">
        <v>1455</v>
      </c>
      <c r="G1081" s="46">
        <f t="shared" si="13"/>
        <v>3.2518785123445193E-2</v>
      </c>
    </row>
    <row r="1082" spans="1:7">
      <c r="A1082" s="47">
        <v>158.11000000000001</v>
      </c>
      <c r="B1082" s="47">
        <v>162.55000000000001</v>
      </c>
      <c r="C1082" s="47">
        <v>156.54</v>
      </c>
      <c r="D1082" s="47">
        <v>159.43199999999999</v>
      </c>
      <c r="E1082" s="47">
        <v>12657007</v>
      </c>
      <c r="F1082" s="47" t="s">
        <v>1454</v>
      </c>
      <c r="G1082" s="46">
        <f t="shared" ref="G1082:G1145" si="14">A1082/D1082-1</f>
        <v>-8.2919363741279506E-3</v>
      </c>
    </row>
    <row r="1083" spans="1:7">
      <c r="A1083" s="47">
        <v>156.97999999999999</v>
      </c>
      <c r="B1083" s="47">
        <v>165.33</v>
      </c>
      <c r="C1083" s="47">
        <v>155.49</v>
      </c>
      <c r="D1083" s="47">
        <v>162.09</v>
      </c>
      <c r="E1083" s="47">
        <v>15966504</v>
      </c>
      <c r="F1083" s="47" t="s">
        <v>1453</v>
      </c>
      <c r="G1083" s="46">
        <f t="shared" si="14"/>
        <v>-3.1525695601209325E-2</v>
      </c>
    </row>
    <row r="1084" spans="1:7">
      <c r="A1084" s="47">
        <v>158.19999999999999</v>
      </c>
      <c r="B1084" s="47">
        <v>160.91</v>
      </c>
      <c r="C1084" s="47">
        <v>155.27000000000001</v>
      </c>
      <c r="D1084" s="47">
        <v>159.80000000000001</v>
      </c>
      <c r="E1084" s="47">
        <v>13268098</v>
      </c>
      <c r="F1084" s="47" t="s">
        <v>1452</v>
      </c>
      <c r="G1084" s="46">
        <f t="shared" si="14"/>
        <v>-1.0012515644555853E-2</v>
      </c>
    </row>
    <row r="1085" spans="1:7">
      <c r="A1085" s="47">
        <v>162.16999999999999</v>
      </c>
      <c r="B1085" s="47">
        <v>162.44820000000001</v>
      </c>
      <c r="C1085" s="47">
        <v>152.08000000000001</v>
      </c>
      <c r="D1085" s="47">
        <v>156.11000000000001</v>
      </c>
      <c r="E1085" s="47">
        <v>23702207</v>
      </c>
      <c r="F1085" s="47" t="s">
        <v>1451</v>
      </c>
      <c r="G1085" s="46">
        <f t="shared" si="14"/>
        <v>3.8818781628338739E-2</v>
      </c>
    </row>
    <row r="1086" spans="1:7">
      <c r="A1086" s="47">
        <v>163.54</v>
      </c>
      <c r="B1086" s="47">
        <v>172.96</v>
      </c>
      <c r="C1086" s="47">
        <v>163.30000000000001</v>
      </c>
      <c r="D1086" s="47">
        <v>171.8</v>
      </c>
      <c r="E1086" s="47">
        <v>20050952</v>
      </c>
      <c r="F1086" s="47" t="s">
        <v>1450</v>
      </c>
      <c r="G1086" s="46">
        <f t="shared" si="14"/>
        <v>-4.8079161816065308E-2</v>
      </c>
    </row>
    <row r="1087" spans="1:7">
      <c r="A1087" s="47">
        <v>173.28</v>
      </c>
      <c r="B1087" s="47">
        <v>179.88</v>
      </c>
      <c r="C1087" s="47">
        <v>173.04</v>
      </c>
      <c r="D1087" s="47">
        <v>175.01</v>
      </c>
      <c r="E1087" s="47">
        <v>13992537</v>
      </c>
      <c r="F1087" s="47" t="s">
        <v>1449</v>
      </c>
      <c r="G1087" s="46">
        <f t="shared" si="14"/>
        <v>-9.8851494200330459E-3</v>
      </c>
    </row>
    <row r="1088" spans="1:7">
      <c r="A1088" s="47">
        <v>173.55</v>
      </c>
      <c r="B1088" s="47">
        <v>177.28</v>
      </c>
      <c r="C1088" s="47">
        <v>172.6</v>
      </c>
      <c r="D1088" s="47">
        <v>174.35</v>
      </c>
      <c r="E1088" s="47">
        <v>13715748</v>
      </c>
      <c r="F1088" s="47" t="s">
        <v>1448</v>
      </c>
      <c r="G1088" s="46">
        <f t="shared" si="14"/>
        <v>-4.5884714654429448E-3</v>
      </c>
    </row>
    <row r="1089" spans="1:7">
      <c r="A1089" s="47">
        <v>174.46</v>
      </c>
      <c r="B1089" s="47">
        <v>179.68</v>
      </c>
      <c r="C1089" s="47">
        <v>174</v>
      </c>
      <c r="D1089" s="47">
        <v>176.96</v>
      </c>
      <c r="E1089" s="47">
        <v>12735481</v>
      </c>
      <c r="F1089" s="47" t="s">
        <v>1447</v>
      </c>
      <c r="G1089" s="46">
        <f t="shared" si="14"/>
        <v>-1.4127486437612968E-2</v>
      </c>
    </row>
    <row r="1090" spans="1:7">
      <c r="A1090" s="47">
        <v>178.42</v>
      </c>
      <c r="B1090" s="47">
        <v>182</v>
      </c>
      <c r="C1090" s="47">
        <v>175.4</v>
      </c>
      <c r="D1090" s="47">
        <v>179.15</v>
      </c>
      <c r="E1090" s="47">
        <v>14374445</v>
      </c>
      <c r="F1090" s="47" t="s">
        <v>1446</v>
      </c>
      <c r="G1090" s="46">
        <f t="shared" si="14"/>
        <v>-4.0747976555959298E-3</v>
      </c>
    </row>
    <row r="1091" spans="1:7">
      <c r="A1091" s="47">
        <v>181.01</v>
      </c>
      <c r="B1091" s="47">
        <v>190.84</v>
      </c>
      <c r="C1091" s="47">
        <v>180.35</v>
      </c>
      <c r="D1091" s="47">
        <v>187.78</v>
      </c>
      <c r="E1091" s="47">
        <v>12779859</v>
      </c>
      <c r="F1091" s="47" t="s">
        <v>1445</v>
      </c>
      <c r="G1091" s="46">
        <f t="shared" si="14"/>
        <v>-3.6052827777186103E-2</v>
      </c>
    </row>
    <row r="1092" spans="1:7">
      <c r="A1092" s="47">
        <v>187.2</v>
      </c>
      <c r="B1092" s="47">
        <v>191.45</v>
      </c>
      <c r="C1092" s="47">
        <v>185.28</v>
      </c>
      <c r="D1092" s="47">
        <v>189.7</v>
      </c>
      <c r="E1092" s="47">
        <v>13588818</v>
      </c>
      <c r="F1092" s="47" t="s">
        <v>1444</v>
      </c>
      <c r="G1092" s="46">
        <f t="shared" si="14"/>
        <v>-1.3178703215603549E-2</v>
      </c>
    </row>
    <row r="1093" spans="1:7">
      <c r="A1093" s="47">
        <v>191.52</v>
      </c>
      <c r="B1093" s="47">
        <v>192.85</v>
      </c>
      <c r="C1093" s="47">
        <v>182.62</v>
      </c>
      <c r="D1093" s="47">
        <v>182.99</v>
      </c>
      <c r="E1093" s="47">
        <v>12867650</v>
      </c>
      <c r="F1093" s="47" t="s">
        <v>1443</v>
      </c>
      <c r="G1093" s="46">
        <f t="shared" si="14"/>
        <v>4.6614569102136683E-2</v>
      </c>
    </row>
    <row r="1094" spans="1:7">
      <c r="A1094" s="47">
        <v>182.95</v>
      </c>
      <c r="B1094" s="47">
        <v>185.75</v>
      </c>
      <c r="C1094" s="47">
        <v>177.4</v>
      </c>
      <c r="D1094" s="47">
        <v>185.75</v>
      </c>
      <c r="E1094" s="47">
        <v>14701568</v>
      </c>
      <c r="F1094" s="47" t="s">
        <v>1442</v>
      </c>
      <c r="G1094" s="46">
        <f t="shared" si="14"/>
        <v>-1.5074024226110372E-2</v>
      </c>
    </row>
    <row r="1095" spans="1:7">
      <c r="A1095" s="47">
        <v>187.6</v>
      </c>
      <c r="B1095" s="47">
        <v>193.125</v>
      </c>
      <c r="C1095" s="47">
        <v>186.3</v>
      </c>
      <c r="D1095" s="47">
        <v>190.02</v>
      </c>
      <c r="E1095" s="47">
        <v>12627265</v>
      </c>
      <c r="F1095" s="47" t="s">
        <v>1441</v>
      </c>
      <c r="G1095" s="46">
        <f t="shared" si="14"/>
        <v>-1.2735501526155213E-2</v>
      </c>
    </row>
    <row r="1096" spans="1:7">
      <c r="A1096" s="47">
        <v>192.27</v>
      </c>
      <c r="B1096" s="47">
        <v>195</v>
      </c>
      <c r="C1096" s="47">
        <v>185.07</v>
      </c>
      <c r="D1096" s="47">
        <v>185.52</v>
      </c>
      <c r="E1096" s="47">
        <v>14206255</v>
      </c>
      <c r="F1096" s="47" t="s">
        <v>1440</v>
      </c>
      <c r="G1096" s="46">
        <f t="shared" si="14"/>
        <v>3.6384217335058144E-2</v>
      </c>
    </row>
    <row r="1097" spans="1:7">
      <c r="A1097" s="47">
        <v>187.16</v>
      </c>
      <c r="B1097" s="47">
        <v>194.25</v>
      </c>
      <c r="C1097" s="47">
        <v>187.15</v>
      </c>
      <c r="D1097" s="47">
        <v>189.86500000000001</v>
      </c>
      <c r="E1097" s="47">
        <v>13227643</v>
      </c>
      <c r="F1097" s="47" t="s">
        <v>1439</v>
      </c>
      <c r="G1097" s="46">
        <f t="shared" si="14"/>
        <v>-1.4246964948779417E-2</v>
      </c>
    </row>
    <row r="1098" spans="1:7">
      <c r="A1098" s="47">
        <v>191.14</v>
      </c>
      <c r="B1098" s="47">
        <v>196.09979999999999</v>
      </c>
      <c r="C1098" s="47">
        <v>188.19</v>
      </c>
      <c r="D1098" s="47">
        <v>196</v>
      </c>
      <c r="E1098" s="47">
        <v>14197966</v>
      </c>
      <c r="F1098" s="47" t="s">
        <v>1438</v>
      </c>
      <c r="G1098" s="46">
        <f t="shared" si="14"/>
        <v>-2.4795918367346959E-2</v>
      </c>
    </row>
    <row r="1099" spans="1:7">
      <c r="A1099" s="47">
        <v>194.94</v>
      </c>
      <c r="B1099" s="47">
        <v>196</v>
      </c>
      <c r="C1099" s="47">
        <v>189.95</v>
      </c>
      <c r="D1099" s="47">
        <v>191.41</v>
      </c>
      <c r="E1099" s="47">
        <v>12797801</v>
      </c>
      <c r="F1099" s="47" t="s">
        <v>1437</v>
      </c>
      <c r="G1099" s="46">
        <f t="shared" si="14"/>
        <v>1.8442087665221152E-2</v>
      </c>
    </row>
    <row r="1100" spans="1:7">
      <c r="A1100" s="47">
        <v>188.58</v>
      </c>
      <c r="B1100" s="47">
        <v>192.23</v>
      </c>
      <c r="C1100" s="47">
        <v>188.4</v>
      </c>
      <c r="D1100" s="47">
        <v>191.45</v>
      </c>
      <c r="E1100" s="47">
        <v>7360352</v>
      </c>
      <c r="F1100" s="47" t="s">
        <v>1436</v>
      </c>
      <c r="G1100" s="46">
        <f t="shared" si="14"/>
        <v>-1.4990859232175358E-2</v>
      </c>
    </row>
    <row r="1101" spans="1:7">
      <c r="A1101" s="47">
        <v>191.88</v>
      </c>
      <c r="B1101" s="47">
        <v>193.95</v>
      </c>
      <c r="C1101" s="47">
        <v>188.91</v>
      </c>
      <c r="D1101" s="47">
        <v>189.61</v>
      </c>
      <c r="E1101" s="47">
        <v>9634832</v>
      </c>
      <c r="F1101" s="47" t="s">
        <v>1435</v>
      </c>
      <c r="G1101" s="46">
        <f t="shared" si="14"/>
        <v>1.1971942408100844E-2</v>
      </c>
    </row>
    <row r="1102" spans="1:7">
      <c r="A1102" s="47">
        <v>189.97</v>
      </c>
      <c r="B1102" s="47">
        <v>191.27</v>
      </c>
      <c r="C1102" s="47">
        <v>187.83</v>
      </c>
      <c r="D1102" s="47">
        <v>190.03</v>
      </c>
      <c r="E1102" s="47">
        <v>7038696</v>
      </c>
      <c r="F1102" s="47" t="s">
        <v>1434</v>
      </c>
      <c r="G1102" s="46">
        <f t="shared" si="14"/>
        <v>-3.1573962006004042E-4</v>
      </c>
    </row>
    <row r="1103" spans="1:7">
      <c r="A1103" s="47">
        <v>190.1</v>
      </c>
      <c r="B1103" s="47">
        <v>194</v>
      </c>
      <c r="C1103" s="47">
        <v>189.11</v>
      </c>
      <c r="D1103" s="47">
        <v>192.19</v>
      </c>
      <c r="E1103" s="47">
        <v>7974873</v>
      </c>
      <c r="F1103" s="47" t="s">
        <v>1433</v>
      </c>
      <c r="G1103" s="46">
        <f t="shared" si="14"/>
        <v>-1.0874655289036861E-2</v>
      </c>
    </row>
    <row r="1104" spans="1:7">
      <c r="A1104" s="47">
        <v>192.01</v>
      </c>
      <c r="B1104" s="47">
        <v>193.92</v>
      </c>
      <c r="C1104" s="47">
        <v>191.08</v>
      </c>
      <c r="D1104" s="47">
        <v>192.39</v>
      </c>
      <c r="E1104" s="47">
        <v>8357284</v>
      </c>
      <c r="F1104" s="47" t="s">
        <v>1432</v>
      </c>
      <c r="G1104" s="46">
        <f t="shared" si="14"/>
        <v>-1.9751546338167003E-3</v>
      </c>
    </row>
    <row r="1105" spans="1:7">
      <c r="A1105" s="47">
        <v>192.01</v>
      </c>
      <c r="B1105" s="47">
        <v>192.95609999999999</v>
      </c>
      <c r="C1105" s="47">
        <v>190.25</v>
      </c>
      <c r="D1105" s="47">
        <v>192.47</v>
      </c>
      <c r="E1105" s="47">
        <v>7762002</v>
      </c>
      <c r="F1105" s="47" t="s">
        <v>1431</v>
      </c>
      <c r="G1105" s="46">
        <f t="shared" si="14"/>
        <v>-2.3899828544708956E-3</v>
      </c>
    </row>
    <row r="1106" spans="1:7">
      <c r="A1106" s="47">
        <v>191.68</v>
      </c>
      <c r="B1106" s="47">
        <v>191.77</v>
      </c>
      <c r="C1106" s="47">
        <v>188.03899999999999</v>
      </c>
      <c r="D1106" s="47">
        <v>189.16</v>
      </c>
      <c r="E1106" s="47">
        <v>9541564</v>
      </c>
      <c r="F1106" s="47" t="s">
        <v>1430</v>
      </c>
      <c r="G1106" s="46">
        <f t="shared" si="14"/>
        <v>1.332205540283371E-2</v>
      </c>
    </row>
    <row r="1107" spans="1:7">
      <c r="A1107" s="47">
        <v>189.14</v>
      </c>
      <c r="B1107" s="47">
        <v>189.29</v>
      </c>
      <c r="C1107" s="47">
        <v>183.08</v>
      </c>
      <c r="D1107" s="47">
        <v>183.18</v>
      </c>
      <c r="E1107" s="47">
        <v>12515481</v>
      </c>
      <c r="F1107" s="47" t="s">
        <v>1429</v>
      </c>
      <c r="G1107" s="46">
        <f t="shared" si="14"/>
        <v>3.2536303089856888E-2</v>
      </c>
    </row>
    <row r="1108" spans="1:7">
      <c r="A1108" s="47">
        <v>182.68</v>
      </c>
      <c r="B1108" s="47">
        <v>184.40610000000001</v>
      </c>
      <c r="C1108" s="47">
        <v>181.67</v>
      </c>
      <c r="D1108" s="47">
        <v>182.53</v>
      </c>
      <c r="E1108" s="47">
        <v>10906779</v>
      </c>
      <c r="F1108" s="47" t="s">
        <v>1428</v>
      </c>
      <c r="G1108" s="46">
        <f t="shared" si="14"/>
        <v>8.217827206487005E-4</v>
      </c>
    </row>
    <row r="1109" spans="1:7">
      <c r="A1109" s="47">
        <v>186.2</v>
      </c>
      <c r="B1109" s="47">
        <v>187.84</v>
      </c>
      <c r="C1109" s="47">
        <v>181.99</v>
      </c>
      <c r="D1109" s="47">
        <v>187.005</v>
      </c>
      <c r="E1109" s="47">
        <v>18899845</v>
      </c>
      <c r="F1109" s="47" t="s">
        <v>1427</v>
      </c>
      <c r="G1109" s="46">
        <f t="shared" si="14"/>
        <v>-4.30469773535469E-3</v>
      </c>
    </row>
    <row r="1110" spans="1:7">
      <c r="A1110" s="47">
        <v>188.75</v>
      </c>
      <c r="B1110" s="47">
        <v>195.24</v>
      </c>
      <c r="C1110" s="47">
        <v>188.251</v>
      </c>
      <c r="D1110" s="47">
        <v>194.1661</v>
      </c>
      <c r="E1110" s="47">
        <v>12326082</v>
      </c>
      <c r="F1110" s="47" t="s">
        <v>1426</v>
      </c>
      <c r="G1110" s="46">
        <f t="shared" si="14"/>
        <v>-2.7894158661063928E-2</v>
      </c>
    </row>
    <row r="1111" spans="1:7">
      <c r="A1111" s="47">
        <v>190.66</v>
      </c>
      <c r="B1111" s="47">
        <v>191.1</v>
      </c>
      <c r="C1111" s="47">
        <v>183.67</v>
      </c>
      <c r="D1111" s="47">
        <v>185.12</v>
      </c>
      <c r="E1111" s="47">
        <v>11278507</v>
      </c>
      <c r="F1111" s="47" t="s">
        <v>1425</v>
      </c>
      <c r="G1111" s="46">
        <f t="shared" si="14"/>
        <v>2.9926534140017225E-2</v>
      </c>
    </row>
    <row r="1112" spans="1:7">
      <c r="A1112" s="47">
        <v>186.8</v>
      </c>
      <c r="B1112" s="47">
        <v>189.14340000000001</v>
      </c>
      <c r="C1112" s="47">
        <v>182.78</v>
      </c>
      <c r="D1112" s="47">
        <v>183.74</v>
      </c>
      <c r="E1112" s="47">
        <v>11414170</v>
      </c>
      <c r="F1112" s="47" t="s">
        <v>1424</v>
      </c>
      <c r="G1112" s="46">
        <f t="shared" si="14"/>
        <v>1.6653967562860528E-2</v>
      </c>
    </row>
    <row r="1113" spans="1:7">
      <c r="A1113" s="47">
        <v>186.38</v>
      </c>
      <c r="B1113" s="47">
        <v>190.2</v>
      </c>
      <c r="C1113" s="47">
        <v>185.3</v>
      </c>
      <c r="D1113" s="47">
        <v>187.5</v>
      </c>
      <c r="E1113" s="47">
        <v>11812188</v>
      </c>
      <c r="F1113" s="47" t="s">
        <v>1423</v>
      </c>
      <c r="G1113" s="46">
        <f t="shared" si="14"/>
        <v>-5.973333333333386E-3</v>
      </c>
    </row>
    <row r="1114" spans="1:7">
      <c r="A1114" s="47">
        <v>188.51</v>
      </c>
      <c r="B1114" s="47">
        <v>194.15</v>
      </c>
      <c r="C1114" s="47">
        <v>186.8</v>
      </c>
      <c r="D1114" s="47">
        <v>192.94</v>
      </c>
      <c r="E1114" s="47">
        <v>11908148</v>
      </c>
      <c r="F1114" s="47" t="s">
        <v>1422</v>
      </c>
      <c r="G1114" s="46">
        <f t="shared" si="14"/>
        <v>-2.296050585674303E-2</v>
      </c>
    </row>
    <row r="1115" spans="1:7">
      <c r="A1115" s="47">
        <v>191.75</v>
      </c>
      <c r="B1115" s="47">
        <v>196.42</v>
      </c>
      <c r="C1115" s="47">
        <v>191.44</v>
      </c>
      <c r="D1115" s="47">
        <v>196.06</v>
      </c>
      <c r="E1115" s="47">
        <v>11550681</v>
      </c>
      <c r="F1115" s="47" t="s">
        <v>1421</v>
      </c>
      <c r="G1115" s="46">
        <f t="shared" si="14"/>
        <v>-2.1983066408242435E-2</v>
      </c>
    </row>
    <row r="1116" spans="1:7">
      <c r="A1116" s="47">
        <v>197.35</v>
      </c>
      <c r="B1116" s="47">
        <v>197.69</v>
      </c>
      <c r="C1116" s="47">
        <v>190.09</v>
      </c>
      <c r="D1116" s="47">
        <v>191.95</v>
      </c>
      <c r="E1116" s="47">
        <v>14433205</v>
      </c>
      <c r="F1116" s="47" t="s">
        <v>1420</v>
      </c>
      <c r="G1116" s="46">
        <f t="shared" si="14"/>
        <v>2.8132326126595553E-2</v>
      </c>
    </row>
    <row r="1117" spans="1:7">
      <c r="A1117" s="47">
        <v>191.02</v>
      </c>
      <c r="B1117" s="47">
        <v>192.828</v>
      </c>
      <c r="C1117" s="47">
        <v>188.43</v>
      </c>
      <c r="D1117" s="47">
        <v>188.67</v>
      </c>
      <c r="E1117" s="47">
        <v>17772718</v>
      </c>
      <c r="F1117" s="47" t="s">
        <v>1419</v>
      </c>
      <c r="G1117" s="46">
        <f t="shared" si="14"/>
        <v>1.2455610324906052E-2</v>
      </c>
    </row>
    <row r="1118" spans="1:7">
      <c r="A1118" s="47">
        <v>184.86</v>
      </c>
      <c r="B1118" s="47">
        <v>186.07</v>
      </c>
      <c r="C1118" s="47">
        <v>179.2</v>
      </c>
      <c r="D1118" s="47">
        <v>183.41</v>
      </c>
      <c r="E1118" s="47">
        <v>13303433</v>
      </c>
      <c r="F1118" s="47" t="s">
        <v>1418</v>
      </c>
      <c r="G1118" s="46">
        <f t="shared" si="14"/>
        <v>7.9057848536068231E-3</v>
      </c>
    </row>
    <row r="1119" spans="1:7">
      <c r="A1119" s="47">
        <v>183.93</v>
      </c>
      <c r="B1119" s="47">
        <v>187.8</v>
      </c>
      <c r="C1119" s="47">
        <v>179.29</v>
      </c>
      <c r="D1119" s="47">
        <v>187.73</v>
      </c>
      <c r="E1119" s="47">
        <v>20737544</v>
      </c>
      <c r="F1119" s="47" t="s">
        <v>1417</v>
      </c>
      <c r="G1119" s="46">
        <f t="shared" si="14"/>
        <v>-2.0241836680338743E-2</v>
      </c>
    </row>
    <row r="1120" spans="1:7">
      <c r="A1120" s="47">
        <v>187.15</v>
      </c>
      <c r="B1120" s="47">
        <v>188.8</v>
      </c>
      <c r="C1120" s="47">
        <v>179.73</v>
      </c>
      <c r="D1120" s="47">
        <v>180.10499999999999</v>
      </c>
      <c r="E1120" s="47">
        <v>20422677</v>
      </c>
      <c r="F1120" s="47" t="s">
        <v>1416</v>
      </c>
      <c r="G1120" s="46">
        <f t="shared" si="14"/>
        <v>3.9116071180700152E-2</v>
      </c>
    </row>
    <row r="1121" spans="1:7">
      <c r="A1121" s="47">
        <v>179.32</v>
      </c>
      <c r="B1121" s="47">
        <v>190.35</v>
      </c>
      <c r="C1121" s="47">
        <v>179.15</v>
      </c>
      <c r="D1121" s="47">
        <v>187.77</v>
      </c>
      <c r="E1121" s="47">
        <v>19542916</v>
      </c>
      <c r="F1121" s="47" t="s">
        <v>1415</v>
      </c>
      <c r="G1121" s="46">
        <f t="shared" si="14"/>
        <v>-4.500186398253192E-2</v>
      </c>
    </row>
    <row r="1122" spans="1:7">
      <c r="A1122" s="47">
        <v>184.89</v>
      </c>
      <c r="B1122" s="47">
        <v>188.82499999999999</v>
      </c>
      <c r="C1122" s="47">
        <v>180.5</v>
      </c>
      <c r="D1122" s="47">
        <v>186.47</v>
      </c>
      <c r="E1122" s="47">
        <v>21144293</v>
      </c>
      <c r="F1122" s="47" t="s">
        <v>1414</v>
      </c>
      <c r="G1122" s="46">
        <f t="shared" si="14"/>
        <v>-8.4732128492519543E-3</v>
      </c>
    </row>
    <row r="1123" spans="1:7">
      <c r="A1123" s="47">
        <v>187.24</v>
      </c>
      <c r="B1123" s="47">
        <v>189.9</v>
      </c>
      <c r="C1123" s="47">
        <v>182.43</v>
      </c>
      <c r="D1123" s="47">
        <v>188.92</v>
      </c>
      <c r="E1123" s="47">
        <v>16308218</v>
      </c>
      <c r="F1123" s="47" t="s">
        <v>1413</v>
      </c>
      <c r="G1123" s="46">
        <f t="shared" si="14"/>
        <v>-8.8926529748040162E-3</v>
      </c>
    </row>
    <row r="1124" spans="1:7">
      <c r="A1124" s="47">
        <v>187.79</v>
      </c>
      <c r="B1124" s="47">
        <v>193</v>
      </c>
      <c r="C1124" s="47">
        <v>186.83</v>
      </c>
      <c r="D1124" s="47">
        <v>188.38</v>
      </c>
      <c r="E1124" s="47">
        <v>11080417</v>
      </c>
      <c r="F1124" s="47" t="s">
        <v>1412</v>
      </c>
      <c r="G1124" s="46">
        <f t="shared" si="14"/>
        <v>-3.1319673001379833E-3</v>
      </c>
    </row>
    <row r="1125" spans="1:7">
      <c r="A1125" s="47">
        <v>188.71</v>
      </c>
      <c r="B1125" s="47">
        <v>189.64</v>
      </c>
      <c r="C1125" s="47">
        <v>184.74</v>
      </c>
      <c r="D1125" s="47">
        <v>187</v>
      </c>
      <c r="E1125" s="47">
        <v>13359144</v>
      </c>
      <c r="F1125" s="47" t="s">
        <v>1411</v>
      </c>
      <c r="G1125" s="46">
        <f t="shared" si="14"/>
        <v>9.1443850267380888E-3</v>
      </c>
    </row>
    <row r="1126" spans="1:7">
      <c r="A1126" s="47">
        <v>188.05</v>
      </c>
      <c r="B1126" s="47">
        <v>190.79</v>
      </c>
      <c r="C1126" s="47">
        <v>185.2</v>
      </c>
      <c r="D1126" s="47">
        <v>189.155</v>
      </c>
      <c r="E1126" s="47">
        <v>20004537</v>
      </c>
      <c r="F1126" s="47" t="s">
        <v>1410</v>
      </c>
      <c r="G1126" s="46">
        <f t="shared" si="14"/>
        <v>-5.8417699770029197E-3</v>
      </c>
    </row>
    <row r="1127" spans="1:7">
      <c r="A1127" s="47">
        <v>189.48</v>
      </c>
      <c r="B1127" s="47">
        <v>193.9</v>
      </c>
      <c r="C1127" s="47">
        <v>184.27500000000001</v>
      </c>
      <c r="D1127" s="47">
        <v>193.62</v>
      </c>
      <c r="E1127" s="47">
        <v>29956603</v>
      </c>
      <c r="F1127" s="47" t="s">
        <v>1409</v>
      </c>
      <c r="G1127" s="46">
        <f t="shared" si="14"/>
        <v>-2.1382088627208029E-2</v>
      </c>
    </row>
    <row r="1128" spans="1:7">
      <c r="A1128" s="47">
        <v>193.61</v>
      </c>
      <c r="B1128" s="47">
        <v>202.5</v>
      </c>
      <c r="C1128" s="47">
        <v>193.0701</v>
      </c>
      <c r="D1128" s="47">
        <v>202.19</v>
      </c>
      <c r="E1128" s="47">
        <v>24607529</v>
      </c>
      <c r="F1128" s="47" t="s">
        <v>1408</v>
      </c>
      <c r="G1128" s="46">
        <f t="shared" si="14"/>
        <v>-4.2435333102527228E-2</v>
      </c>
    </row>
    <row r="1129" spans="1:7">
      <c r="A1129" s="47">
        <v>200.5</v>
      </c>
      <c r="B1129" s="47">
        <v>207.5</v>
      </c>
      <c r="C1129" s="47">
        <v>199.2</v>
      </c>
      <c r="D1129" s="47">
        <v>206.99</v>
      </c>
      <c r="E1129" s="47">
        <v>19980106</v>
      </c>
      <c r="F1129" s="47" t="s">
        <v>1407</v>
      </c>
      <c r="G1129" s="46">
        <f t="shared" si="14"/>
        <v>-3.1354171699115918E-2</v>
      </c>
    </row>
    <row r="1130" spans="1:7">
      <c r="A1130" s="47">
        <v>206.27</v>
      </c>
      <c r="B1130" s="47">
        <v>213.97</v>
      </c>
      <c r="C1130" s="47">
        <v>203.35</v>
      </c>
      <c r="D1130" s="47">
        <v>211.14500000000001</v>
      </c>
      <c r="E1130" s="47">
        <v>23095572</v>
      </c>
      <c r="F1130" s="47" t="s">
        <v>1406</v>
      </c>
      <c r="G1130" s="46">
        <f t="shared" si="14"/>
        <v>-2.3088398967534118E-2</v>
      </c>
    </row>
    <row r="1131" spans="1:7">
      <c r="A1131" s="47">
        <v>215.67</v>
      </c>
      <c r="B1131" s="47">
        <v>215.97</v>
      </c>
      <c r="C1131" s="47">
        <v>211.77</v>
      </c>
      <c r="D1131" s="47">
        <v>214.89</v>
      </c>
      <c r="E1131" s="47">
        <v>16697515</v>
      </c>
      <c r="F1131" s="47" t="s">
        <v>1405</v>
      </c>
      <c r="G1131" s="46">
        <f t="shared" si="14"/>
        <v>3.6297640653357721E-3</v>
      </c>
    </row>
    <row r="1132" spans="1:7">
      <c r="A1132" s="47">
        <v>212.54</v>
      </c>
      <c r="B1132" s="47">
        <v>214.20910000000001</v>
      </c>
      <c r="C1132" s="47">
        <v>210.71</v>
      </c>
      <c r="D1132" s="47">
        <v>212.22</v>
      </c>
      <c r="E1132" s="47">
        <v>17433101</v>
      </c>
      <c r="F1132" s="47" t="s">
        <v>1404</v>
      </c>
      <c r="G1132" s="46">
        <f t="shared" si="14"/>
        <v>1.5078691923475773E-3</v>
      </c>
    </row>
    <row r="1133" spans="1:7">
      <c r="A1133" s="47">
        <v>208.3</v>
      </c>
      <c r="B1133" s="47">
        <v>210.02</v>
      </c>
      <c r="C1133" s="47">
        <v>201.48349999999999</v>
      </c>
      <c r="D1133" s="47">
        <v>203.25</v>
      </c>
      <c r="E1133" s="47">
        <v>20954568</v>
      </c>
      <c r="F1133" s="47" t="s">
        <v>1403</v>
      </c>
      <c r="G1133" s="46">
        <f t="shared" si="14"/>
        <v>2.4846248462484732E-2</v>
      </c>
    </row>
    <row r="1134" spans="1:7">
      <c r="A1134" s="47">
        <v>202.03</v>
      </c>
      <c r="B1134" s="47">
        <v>208.31</v>
      </c>
      <c r="C1134" s="47">
        <v>201.56</v>
      </c>
      <c r="D1134" s="47">
        <v>207.92</v>
      </c>
      <c r="E1134" s="47">
        <v>17712094</v>
      </c>
      <c r="F1134" s="47" t="s">
        <v>1402</v>
      </c>
      <c r="G1134" s="46">
        <f t="shared" si="14"/>
        <v>-2.8328203155059573E-2</v>
      </c>
    </row>
    <row r="1135" spans="1:7">
      <c r="A1135" s="47">
        <v>204.64</v>
      </c>
      <c r="B1135" s="47">
        <v>208.2</v>
      </c>
      <c r="C1135" s="47">
        <v>202.78</v>
      </c>
      <c r="D1135" s="47">
        <v>204.1</v>
      </c>
      <c r="E1135" s="47">
        <v>23585948</v>
      </c>
      <c r="F1135" s="47" t="s">
        <v>1401</v>
      </c>
      <c r="G1135" s="46">
        <f t="shared" si="14"/>
        <v>2.6457618814306194E-3</v>
      </c>
    </row>
    <row r="1136" spans="1:7">
      <c r="A1136" s="47">
        <v>205.42</v>
      </c>
      <c r="B1136" s="47">
        <v>212.4</v>
      </c>
      <c r="C1136" s="47">
        <v>200.68</v>
      </c>
      <c r="D1136" s="47">
        <v>212.4</v>
      </c>
      <c r="E1136" s="47">
        <v>63995079</v>
      </c>
      <c r="F1136" s="47" t="s">
        <v>1400</v>
      </c>
      <c r="G1136" s="46">
        <f t="shared" si="14"/>
        <v>-3.2862523540489685E-2</v>
      </c>
    </row>
    <row r="1137" spans="1:7">
      <c r="A1137" s="47">
        <v>229.42</v>
      </c>
      <c r="B1137" s="47">
        <v>230.97</v>
      </c>
      <c r="C1137" s="47">
        <v>226.25</v>
      </c>
      <c r="D1137" s="47">
        <v>227.96</v>
      </c>
      <c r="E1137" s="47">
        <v>23213877</v>
      </c>
      <c r="F1137" s="47" t="s">
        <v>1399</v>
      </c>
      <c r="G1137" s="46">
        <f t="shared" si="14"/>
        <v>6.4046323916475689E-3</v>
      </c>
    </row>
    <row r="1138" spans="1:7">
      <c r="A1138" s="47">
        <v>225.78</v>
      </c>
      <c r="B1138" s="47">
        <v>230.42</v>
      </c>
      <c r="C1138" s="47">
        <v>224.6</v>
      </c>
      <c r="D1138" s="47">
        <v>230</v>
      </c>
      <c r="E1138" s="47">
        <v>16665648</v>
      </c>
      <c r="F1138" s="47" t="s">
        <v>1398</v>
      </c>
      <c r="G1138" s="46">
        <f t="shared" si="14"/>
        <v>-1.8347826086956509E-2</v>
      </c>
    </row>
    <row r="1139" spans="1:7">
      <c r="A1139" s="47">
        <v>228.22</v>
      </c>
      <c r="B1139" s="47">
        <v>231.92</v>
      </c>
      <c r="C1139" s="47">
        <v>225</v>
      </c>
      <c r="D1139" s="47">
        <v>231.61</v>
      </c>
      <c r="E1139" s="47">
        <v>14158856</v>
      </c>
      <c r="F1139" s="47" t="s">
        <v>1397</v>
      </c>
      <c r="G1139" s="46">
        <f t="shared" si="14"/>
        <v>-1.4636673718751436E-2</v>
      </c>
    </row>
    <row r="1140" spans="1:7">
      <c r="A1140" s="47">
        <v>230.38</v>
      </c>
      <c r="B1140" s="47">
        <v>230.9</v>
      </c>
      <c r="C1140" s="47">
        <v>225.31010000000001</v>
      </c>
      <c r="D1140" s="47">
        <v>228.33</v>
      </c>
      <c r="E1140" s="47">
        <v>14177954</v>
      </c>
      <c r="F1140" s="47" t="s">
        <v>1396</v>
      </c>
      <c r="G1140" s="46">
        <f t="shared" si="14"/>
        <v>8.9782332588796976E-3</v>
      </c>
    </row>
    <row r="1141" spans="1:7">
      <c r="A1141" s="47">
        <v>229.46</v>
      </c>
      <c r="B1141" s="47">
        <v>232.761</v>
      </c>
      <c r="C1141" s="47">
        <v>227.8</v>
      </c>
      <c r="D1141" s="47">
        <v>232.54</v>
      </c>
      <c r="E1141" s="47">
        <v>12676707</v>
      </c>
      <c r="F1141" s="47" t="s">
        <v>1395</v>
      </c>
      <c r="G1141" s="46">
        <f t="shared" si="14"/>
        <v>-1.3245033112582738E-2</v>
      </c>
    </row>
    <row r="1142" spans="1:7">
      <c r="A1142" s="47">
        <v>231.28</v>
      </c>
      <c r="B1142" s="47">
        <v>233.55</v>
      </c>
      <c r="C1142" s="47">
        <v>230.19</v>
      </c>
      <c r="D1142" s="47">
        <v>232.7</v>
      </c>
      <c r="E1142" s="47">
        <v>14054938</v>
      </c>
      <c r="F1142" s="47" t="s">
        <v>1394</v>
      </c>
      <c r="G1142" s="46">
        <f t="shared" si="14"/>
        <v>-6.1022776106574028E-3</v>
      </c>
    </row>
    <row r="1143" spans="1:7">
      <c r="A1143" s="47">
        <v>232.59</v>
      </c>
      <c r="B1143" s="47">
        <v>238.9</v>
      </c>
      <c r="C1143" s="47">
        <v>231.71</v>
      </c>
      <c r="D1143" s="47">
        <v>235.43</v>
      </c>
      <c r="E1143" s="47">
        <v>13010816</v>
      </c>
      <c r="F1143" s="47" t="s">
        <v>1393</v>
      </c>
      <c r="G1143" s="46">
        <f t="shared" si="14"/>
        <v>-1.2063033598097128E-2</v>
      </c>
    </row>
    <row r="1144" spans="1:7">
      <c r="A1144" s="47">
        <v>236.83</v>
      </c>
      <c r="B1144" s="47">
        <v>237.94</v>
      </c>
      <c r="C1144" s="47">
        <v>232.78</v>
      </c>
      <c r="D1144" s="47">
        <v>237</v>
      </c>
      <c r="E1144" s="47">
        <v>14288265</v>
      </c>
      <c r="F1144" s="47" t="s">
        <v>1392</v>
      </c>
      <c r="G1144" s="46">
        <f t="shared" si="14"/>
        <v>-7.1729957805899414E-4</v>
      </c>
    </row>
    <row r="1145" spans="1:7">
      <c r="A1145" s="47">
        <v>234.94</v>
      </c>
      <c r="B1145" s="47">
        <v>244.68989999999999</v>
      </c>
      <c r="C1145" s="47">
        <v>233.92</v>
      </c>
      <c r="D1145" s="47">
        <v>243.85</v>
      </c>
      <c r="E1145" s="47">
        <v>19043914</v>
      </c>
      <c r="F1145" s="47" t="s">
        <v>1391</v>
      </c>
      <c r="G1145" s="46">
        <f t="shared" si="14"/>
        <v>-3.6538855854008623E-2</v>
      </c>
    </row>
    <row r="1146" spans="1:7">
      <c r="A1146" s="47">
        <v>243</v>
      </c>
      <c r="B1146" s="47">
        <v>249.88</v>
      </c>
      <c r="C1146" s="47">
        <v>241.01</v>
      </c>
      <c r="D1146" s="47">
        <v>249.45</v>
      </c>
      <c r="E1146" s="47">
        <v>14404294</v>
      </c>
      <c r="F1146" s="47" t="s">
        <v>1390</v>
      </c>
      <c r="G1146" s="46">
        <f t="shared" ref="G1146:G1209" si="15">A1146/D1146-1</f>
        <v>-2.5856885147324093E-2</v>
      </c>
    </row>
    <row r="1147" spans="1:7">
      <c r="A1147" s="47">
        <v>246.88</v>
      </c>
      <c r="B1147" s="47">
        <v>255.52</v>
      </c>
      <c r="C1147" s="47">
        <v>245.82</v>
      </c>
      <c r="D1147" s="47">
        <v>254.95500000000001</v>
      </c>
      <c r="E1147" s="47">
        <v>23046733</v>
      </c>
      <c r="F1147" s="47" t="s">
        <v>1389</v>
      </c>
      <c r="G1147" s="46">
        <f t="shared" si="15"/>
        <v>-3.1672255888294032E-2</v>
      </c>
    </row>
    <row r="1148" spans="1:7">
      <c r="A1148" s="47">
        <v>240.4</v>
      </c>
      <c r="B1148" s="47">
        <v>246.66</v>
      </c>
      <c r="C1148" s="47">
        <v>239.75</v>
      </c>
      <c r="D1148" s="47">
        <v>243.73</v>
      </c>
      <c r="E1148" s="47">
        <v>24170917</v>
      </c>
      <c r="F1148" s="47" t="s">
        <v>1388</v>
      </c>
      <c r="G1148" s="46">
        <f t="shared" si="15"/>
        <v>-1.3662659500266572E-2</v>
      </c>
    </row>
    <row r="1149" spans="1:7">
      <c r="A1149" s="47">
        <v>243.21</v>
      </c>
      <c r="B1149" s="47">
        <v>258.95999999999998</v>
      </c>
      <c r="C1149" s="47">
        <v>242.98</v>
      </c>
      <c r="D1149" s="47">
        <v>258.61</v>
      </c>
      <c r="E1149" s="47">
        <v>42508925</v>
      </c>
      <c r="F1149" s="47" t="s">
        <v>1387</v>
      </c>
      <c r="G1149" s="46">
        <f t="shared" si="15"/>
        <v>-5.9549128030625287E-2</v>
      </c>
    </row>
    <row r="1150" spans="1:7">
      <c r="A1150" s="47">
        <v>258.36</v>
      </c>
      <c r="B1150" s="47">
        <v>273.51</v>
      </c>
      <c r="C1150" s="47">
        <v>253.1</v>
      </c>
      <c r="D1150" s="47">
        <v>273</v>
      </c>
      <c r="E1150" s="47">
        <v>31271743</v>
      </c>
      <c r="F1150" s="47" t="s">
        <v>1386</v>
      </c>
      <c r="G1150" s="46">
        <f t="shared" si="15"/>
        <v>-5.3626373626373569E-2</v>
      </c>
    </row>
    <row r="1151" spans="1:7">
      <c r="A1151" s="47">
        <v>271.7</v>
      </c>
      <c r="B1151" s="47">
        <v>273.27</v>
      </c>
      <c r="C1151" s="47">
        <v>269.83499999999998</v>
      </c>
      <c r="D1151" s="47">
        <v>271.01</v>
      </c>
      <c r="E1151" s="47">
        <v>3985909</v>
      </c>
      <c r="F1151" s="47" t="s">
        <v>1385</v>
      </c>
      <c r="G1151" s="46">
        <f t="shared" si="15"/>
        <v>2.5460315117522558E-3</v>
      </c>
    </row>
    <row r="1152" spans="1:7">
      <c r="A1152" s="47">
        <v>270.33</v>
      </c>
      <c r="B1152" s="47">
        <v>270.44</v>
      </c>
      <c r="C1152" s="47">
        <v>264.70999999999998</v>
      </c>
      <c r="D1152" s="47">
        <v>266.39</v>
      </c>
      <c r="E1152" s="47">
        <v>4367137</v>
      </c>
      <c r="F1152" s="47" t="s">
        <v>1384</v>
      </c>
      <c r="G1152" s="46">
        <f t="shared" si="15"/>
        <v>1.4790344982919867E-2</v>
      </c>
    </row>
    <row r="1153" spans="1:7">
      <c r="A1153" s="47">
        <v>268.35000000000002</v>
      </c>
      <c r="B1153" s="47">
        <v>269.72089999999997</v>
      </c>
      <c r="C1153" s="47">
        <v>265.44</v>
      </c>
      <c r="D1153" s="47">
        <v>268.70060000000001</v>
      </c>
      <c r="E1153" s="47">
        <v>5007867</v>
      </c>
      <c r="F1153" s="47" t="s">
        <v>1383</v>
      </c>
      <c r="G1153" s="46">
        <f t="shared" si="15"/>
        <v>-1.3047979796099174E-3</v>
      </c>
    </row>
    <row r="1154" spans="1:7">
      <c r="A1154" s="47">
        <v>266.45</v>
      </c>
      <c r="B1154" s="47">
        <v>267.41000000000003</v>
      </c>
      <c r="C1154" s="47">
        <v>260.2</v>
      </c>
      <c r="D1154" s="47">
        <v>261.5</v>
      </c>
      <c r="E1154" s="47">
        <v>7855106</v>
      </c>
      <c r="F1154" s="47" t="s">
        <v>1382</v>
      </c>
      <c r="G1154" s="46">
        <f t="shared" si="15"/>
        <v>1.8929254302103127E-2</v>
      </c>
    </row>
    <row r="1155" spans="1:7">
      <c r="A1155" s="47">
        <v>256.36</v>
      </c>
      <c r="B1155" s="47">
        <v>261.24</v>
      </c>
      <c r="C1155" s="47">
        <v>254.245</v>
      </c>
      <c r="D1155" s="47">
        <v>258.73</v>
      </c>
      <c r="E1155" s="47">
        <v>6024050</v>
      </c>
      <c r="F1155" s="47" t="s">
        <v>1381</v>
      </c>
      <c r="G1155" s="46">
        <f t="shared" si="15"/>
        <v>-9.1601283190971827E-3</v>
      </c>
    </row>
    <row r="1156" spans="1:7">
      <c r="A1156" s="47">
        <v>255.85</v>
      </c>
      <c r="B1156" s="47">
        <v>257.97000000000003</v>
      </c>
      <c r="C1156" s="47">
        <v>253.78</v>
      </c>
      <c r="D1156" s="47">
        <v>256</v>
      </c>
      <c r="E1156" s="47">
        <v>4289324</v>
      </c>
      <c r="F1156" s="47" t="s">
        <v>1380</v>
      </c>
      <c r="G1156" s="46">
        <f t="shared" si="15"/>
        <v>-5.859375000000222E-4</v>
      </c>
    </row>
    <row r="1157" spans="1:7">
      <c r="A1157" s="47">
        <v>255.05</v>
      </c>
      <c r="B1157" s="47">
        <v>260.66000000000003</v>
      </c>
      <c r="C1157" s="47">
        <v>254.69</v>
      </c>
      <c r="D1157" s="47">
        <v>257.93</v>
      </c>
      <c r="E1157" s="47">
        <v>5031650</v>
      </c>
      <c r="F1157" s="47" t="s">
        <v>1379</v>
      </c>
      <c r="G1157" s="46">
        <f t="shared" si="15"/>
        <v>-1.1165820183770769E-2</v>
      </c>
    </row>
    <row r="1158" spans="1:7">
      <c r="A1158" s="47">
        <v>260.06</v>
      </c>
      <c r="B1158" s="47">
        <v>265.47000000000003</v>
      </c>
      <c r="C1158" s="47">
        <v>259.8</v>
      </c>
      <c r="D1158" s="47">
        <v>264.95499999999998</v>
      </c>
      <c r="E1158" s="47">
        <v>4095908</v>
      </c>
      <c r="F1158" s="47" t="s">
        <v>1378</v>
      </c>
      <c r="G1158" s="46">
        <f t="shared" si="15"/>
        <v>-1.8474835349398866E-2</v>
      </c>
    </row>
    <row r="1159" spans="1:7">
      <c r="A1159" s="47">
        <v>263.54000000000002</v>
      </c>
      <c r="B1159" s="47">
        <v>268.69330000000002</v>
      </c>
      <c r="C1159" s="47">
        <v>263.07</v>
      </c>
      <c r="D1159" s="47">
        <v>265.95</v>
      </c>
      <c r="E1159" s="47">
        <v>5276445</v>
      </c>
      <c r="F1159" s="47" t="s">
        <v>1377</v>
      </c>
      <c r="G1159" s="46">
        <f t="shared" si="15"/>
        <v>-9.061853731904379E-3</v>
      </c>
    </row>
    <row r="1160" spans="1:7">
      <c r="A1160" s="47">
        <v>264.06</v>
      </c>
      <c r="B1160" s="47">
        <v>264.39</v>
      </c>
      <c r="C1160" s="47">
        <v>256.02999999999997</v>
      </c>
      <c r="D1160" s="47">
        <v>256.29000000000002</v>
      </c>
      <c r="E1160" s="47">
        <v>4615285</v>
      </c>
      <c r="F1160" s="47" t="s">
        <v>1376</v>
      </c>
      <c r="G1160" s="46">
        <f t="shared" si="15"/>
        <v>3.0317218775605781E-2</v>
      </c>
    </row>
    <row r="1161" spans="1:7">
      <c r="A1161" s="47">
        <v>260.14999999999998</v>
      </c>
      <c r="B1161" s="47">
        <v>262.77</v>
      </c>
      <c r="C1161" s="47">
        <v>253.59</v>
      </c>
      <c r="D1161" s="47">
        <v>255.22</v>
      </c>
      <c r="E1161" s="47">
        <v>6326587</v>
      </c>
      <c r="F1161" s="47" t="s">
        <v>1375</v>
      </c>
      <c r="G1161" s="46">
        <f t="shared" si="15"/>
        <v>1.931666797272924E-2</v>
      </c>
    </row>
    <row r="1162" spans="1:7">
      <c r="A1162" s="47">
        <v>255.01</v>
      </c>
      <c r="B1162" s="47">
        <v>262.57</v>
      </c>
      <c r="C1162" s="47">
        <v>251.59</v>
      </c>
      <c r="D1162" s="47">
        <v>261.83780000000002</v>
      </c>
      <c r="E1162" s="47">
        <v>7267168</v>
      </c>
      <c r="F1162" s="47" t="s">
        <v>1374</v>
      </c>
      <c r="G1162" s="46">
        <f t="shared" si="15"/>
        <v>-2.6076448854978285E-2</v>
      </c>
    </row>
    <row r="1163" spans="1:7">
      <c r="A1163" s="47">
        <v>264.64999999999998</v>
      </c>
      <c r="B1163" s="47">
        <v>265.82</v>
      </c>
      <c r="C1163" s="47">
        <v>260.11</v>
      </c>
      <c r="D1163" s="47">
        <v>261.45479999999998</v>
      </c>
      <c r="E1163" s="47">
        <v>4560448</v>
      </c>
      <c r="F1163" s="47" t="s">
        <v>1373</v>
      </c>
      <c r="G1163" s="46">
        <f t="shared" si="15"/>
        <v>1.2220850410854966E-2</v>
      </c>
    </row>
    <row r="1164" spans="1:7">
      <c r="A1164" s="47">
        <v>260.20999999999998</v>
      </c>
      <c r="B1164" s="47">
        <v>263.47000000000003</v>
      </c>
      <c r="C1164" s="47">
        <v>258.73</v>
      </c>
      <c r="D1164" s="47">
        <v>259.64999999999998</v>
      </c>
      <c r="E1164" s="47">
        <v>5329257</v>
      </c>
      <c r="F1164" s="47" t="s">
        <v>1372</v>
      </c>
      <c r="G1164" s="46">
        <f t="shared" si="15"/>
        <v>2.1567494704410883E-3</v>
      </c>
    </row>
    <row r="1165" spans="1:7">
      <c r="A1165" s="47">
        <v>259</v>
      </c>
      <c r="B1165" s="47">
        <v>264.45999999999998</v>
      </c>
      <c r="C1165" s="47">
        <v>256.89</v>
      </c>
      <c r="D1165" s="47">
        <v>263.51</v>
      </c>
      <c r="E1165" s="47">
        <v>6829064</v>
      </c>
      <c r="F1165" s="47" t="s">
        <v>1371</v>
      </c>
      <c r="G1165" s="46">
        <f t="shared" si="15"/>
        <v>-1.7115099996205085E-2</v>
      </c>
    </row>
    <row r="1166" spans="1:7">
      <c r="A1166" s="47">
        <v>262.19</v>
      </c>
      <c r="B1166" s="47">
        <v>271.44</v>
      </c>
      <c r="C1166" s="47">
        <v>261.68</v>
      </c>
      <c r="D1166" s="47">
        <v>269.89499999999998</v>
      </c>
      <c r="E1166" s="47">
        <v>8352372</v>
      </c>
      <c r="F1166" s="47" t="s">
        <v>1370</v>
      </c>
      <c r="G1166" s="46">
        <f t="shared" si="15"/>
        <v>-2.8548139091127966E-2</v>
      </c>
    </row>
    <row r="1167" spans="1:7">
      <c r="A1167" s="47">
        <v>273.39</v>
      </c>
      <c r="B1167" s="47">
        <v>276.77999999999997</v>
      </c>
      <c r="C1167" s="47">
        <v>272.18549999999999</v>
      </c>
      <c r="D1167" s="47">
        <v>274.77999999999997</v>
      </c>
      <c r="E1167" s="47">
        <v>4614852</v>
      </c>
      <c r="F1167" s="47" t="s">
        <v>1369</v>
      </c>
      <c r="G1167" s="46">
        <f t="shared" si="15"/>
        <v>-5.0585923284081069E-3</v>
      </c>
    </row>
    <row r="1168" spans="1:7">
      <c r="A1168" s="47">
        <v>278.11</v>
      </c>
      <c r="B1168" s="47">
        <v>278.33</v>
      </c>
      <c r="C1168" s="47">
        <v>274.69</v>
      </c>
      <c r="D1168" s="47">
        <v>276.02</v>
      </c>
      <c r="E1168" s="47">
        <v>3985813</v>
      </c>
      <c r="F1168" s="47" t="s">
        <v>1368</v>
      </c>
      <c r="G1168" s="46">
        <f t="shared" si="15"/>
        <v>7.5719150786175415E-3</v>
      </c>
    </row>
    <row r="1169" spans="1:7">
      <c r="A1169" s="47">
        <v>279.10000000000002</v>
      </c>
      <c r="B1169" s="47">
        <v>279.95</v>
      </c>
      <c r="C1169" s="47">
        <v>273.77999999999997</v>
      </c>
      <c r="D1169" s="47">
        <v>274.45</v>
      </c>
      <c r="E1169" s="47">
        <v>5409581</v>
      </c>
      <c r="F1169" s="47" t="s">
        <v>1367</v>
      </c>
      <c r="G1169" s="46">
        <f t="shared" si="15"/>
        <v>1.694297686281665E-2</v>
      </c>
    </row>
    <row r="1170" spans="1:7">
      <c r="A1170" s="47">
        <v>272.33999999999997</v>
      </c>
      <c r="B1170" s="47">
        <v>273.47000000000003</v>
      </c>
      <c r="C1170" s="47">
        <v>266.5</v>
      </c>
      <c r="D1170" s="47">
        <v>270.45999999999998</v>
      </c>
      <c r="E1170" s="47">
        <v>5574070</v>
      </c>
      <c r="F1170" s="47" t="s">
        <v>1366</v>
      </c>
      <c r="G1170" s="46">
        <f t="shared" si="15"/>
        <v>6.9511203135399491E-3</v>
      </c>
    </row>
    <row r="1171" spans="1:7">
      <c r="A1171" s="47">
        <v>269.49</v>
      </c>
      <c r="B1171" s="47">
        <v>272.29860000000002</v>
      </c>
      <c r="C1171" s="47">
        <v>267.8</v>
      </c>
      <c r="D1171" s="47">
        <v>271.75</v>
      </c>
      <c r="E1171" s="47">
        <v>4326076</v>
      </c>
      <c r="F1171" s="47" t="s">
        <v>1365</v>
      </c>
      <c r="G1171" s="46">
        <f t="shared" si="15"/>
        <v>-8.3164673413063106E-3</v>
      </c>
    </row>
    <row r="1172" spans="1:7">
      <c r="A1172" s="47">
        <v>269.91000000000003</v>
      </c>
      <c r="B1172" s="47">
        <v>273</v>
      </c>
      <c r="C1172" s="47">
        <v>265.68</v>
      </c>
      <c r="D1172" s="47">
        <v>271.55</v>
      </c>
      <c r="E1172" s="47">
        <v>7728307</v>
      </c>
      <c r="F1172" s="47" t="s">
        <v>1364</v>
      </c>
      <c r="G1172" s="46">
        <f t="shared" si="15"/>
        <v>-6.0394034247835959E-3</v>
      </c>
    </row>
    <row r="1173" spans="1:7">
      <c r="A1173" s="47">
        <v>276.33999999999997</v>
      </c>
      <c r="B1173" s="47">
        <v>282.5</v>
      </c>
      <c r="C1173" s="47">
        <v>275.92</v>
      </c>
      <c r="D1173" s="47">
        <v>282.18</v>
      </c>
      <c r="E1173" s="47">
        <v>8117226</v>
      </c>
      <c r="F1173" s="47" t="s">
        <v>1363</v>
      </c>
      <c r="G1173" s="46">
        <f t="shared" si="15"/>
        <v>-2.0696009639237456E-2</v>
      </c>
    </row>
    <row r="1174" spans="1:7">
      <c r="A1174" s="47">
        <v>282.97000000000003</v>
      </c>
      <c r="B1174" s="47">
        <v>283.69</v>
      </c>
      <c r="C1174" s="47">
        <v>280.39</v>
      </c>
      <c r="D1174" s="47">
        <v>281.04000000000002</v>
      </c>
      <c r="E1174" s="47">
        <v>3606742</v>
      </c>
      <c r="F1174" s="47" t="s">
        <v>1362</v>
      </c>
      <c r="G1174" s="46">
        <f t="shared" si="15"/>
        <v>6.8673498434386193E-3</v>
      </c>
    </row>
    <row r="1175" spans="1:7">
      <c r="A1175" s="47">
        <v>282.43</v>
      </c>
      <c r="B1175" s="47">
        <v>285.75</v>
      </c>
      <c r="C1175" s="47">
        <v>279.5</v>
      </c>
      <c r="D1175" s="47">
        <v>284.20999999999998</v>
      </c>
      <c r="E1175" s="47">
        <v>4056783</v>
      </c>
      <c r="F1175" s="47" t="s">
        <v>1361</v>
      </c>
      <c r="G1175" s="46">
        <f t="shared" si="15"/>
        <v>-6.2629745610639498E-3</v>
      </c>
    </row>
    <row r="1176" spans="1:7">
      <c r="A1176" s="47">
        <v>282.24</v>
      </c>
      <c r="B1176" s="47">
        <v>283.17</v>
      </c>
      <c r="C1176" s="47">
        <v>279.70999999999998</v>
      </c>
      <c r="D1176" s="47">
        <v>281.84440000000001</v>
      </c>
      <c r="E1176" s="47">
        <v>4216695</v>
      </c>
      <c r="F1176" s="47" t="s">
        <v>1360</v>
      </c>
      <c r="G1176" s="46">
        <f t="shared" si="15"/>
        <v>1.4036113543500761E-3</v>
      </c>
    </row>
    <row r="1177" spans="1:7">
      <c r="A1177" s="47">
        <v>280.49</v>
      </c>
      <c r="B1177" s="47">
        <v>287.19</v>
      </c>
      <c r="C1177" s="47">
        <v>277.8</v>
      </c>
      <c r="D1177" s="47">
        <v>286.72000000000003</v>
      </c>
      <c r="E1177" s="47">
        <v>4836471</v>
      </c>
      <c r="F1177" s="47" t="s">
        <v>1359</v>
      </c>
      <c r="G1177" s="46">
        <f t="shared" si="15"/>
        <v>-2.1728515625000111E-2</v>
      </c>
    </row>
    <row r="1178" spans="1:7">
      <c r="A1178" s="47">
        <v>284.32</v>
      </c>
      <c r="B1178" s="47">
        <v>289</v>
      </c>
      <c r="C1178" s="47">
        <v>284.11</v>
      </c>
      <c r="D1178" s="47">
        <v>288.60000000000002</v>
      </c>
      <c r="E1178" s="47">
        <v>3816588</v>
      </c>
      <c r="F1178" s="47" t="s">
        <v>1358</v>
      </c>
      <c r="G1178" s="46">
        <f t="shared" si="15"/>
        <v>-1.4830214830214961E-2</v>
      </c>
    </row>
    <row r="1179" spans="1:7">
      <c r="A1179" s="47">
        <v>286.88</v>
      </c>
      <c r="B1179" s="47">
        <v>289.37</v>
      </c>
      <c r="C1179" s="47">
        <v>285.08</v>
      </c>
      <c r="D1179" s="47">
        <v>287.45</v>
      </c>
      <c r="E1179" s="47">
        <v>4169970</v>
      </c>
      <c r="F1179" s="47" t="s">
        <v>1357</v>
      </c>
      <c r="G1179" s="46">
        <f t="shared" si="15"/>
        <v>-1.9829535571403989E-3</v>
      </c>
    </row>
    <row r="1180" spans="1:7">
      <c r="A1180" s="47">
        <v>285.23</v>
      </c>
      <c r="B1180" s="47">
        <v>296.7</v>
      </c>
      <c r="C1180" s="47">
        <v>283.33</v>
      </c>
      <c r="D1180" s="47">
        <v>296.55</v>
      </c>
      <c r="E1180" s="47">
        <v>11039278</v>
      </c>
      <c r="F1180" s="47" t="s">
        <v>1356</v>
      </c>
      <c r="G1180" s="46">
        <f t="shared" si="15"/>
        <v>-3.8172314955319475E-2</v>
      </c>
    </row>
    <row r="1181" spans="1:7">
      <c r="A1181" s="47">
        <v>293.26</v>
      </c>
      <c r="B1181" s="47">
        <v>293.68</v>
      </c>
      <c r="C1181" s="47">
        <v>288.04000000000002</v>
      </c>
      <c r="D1181" s="47">
        <v>290.41000000000003</v>
      </c>
      <c r="E1181" s="47">
        <v>6789751</v>
      </c>
      <c r="F1181" s="47" t="s">
        <v>1355</v>
      </c>
      <c r="G1181" s="46">
        <f t="shared" si="15"/>
        <v>9.8137116490477627E-3</v>
      </c>
    </row>
    <row r="1182" spans="1:7">
      <c r="A1182" s="47">
        <v>289.13</v>
      </c>
      <c r="B1182" s="47">
        <v>290.38</v>
      </c>
      <c r="C1182" s="47">
        <v>284.39999999999998</v>
      </c>
      <c r="D1182" s="47">
        <v>285.02999999999997</v>
      </c>
      <c r="E1182" s="47">
        <v>5287970</v>
      </c>
      <c r="F1182" s="47" t="s">
        <v>1354</v>
      </c>
      <c r="G1182" s="46">
        <f t="shared" si="15"/>
        <v>1.4384450759569178E-2</v>
      </c>
    </row>
    <row r="1183" spans="1:7">
      <c r="A1183" s="47">
        <v>285.52999999999997</v>
      </c>
      <c r="B1183" s="47">
        <v>288.89999999999998</v>
      </c>
      <c r="C1183" s="47">
        <v>285.25</v>
      </c>
      <c r="D1183" s="47">
        <v>288.89999999999998</v>
      </c>
      <c r="E1183" s="47">
        <v>4647112</v>
      </c>
      <c r="F1183" s="47" t="s">
        <v>1353</v>
      </c>
      <c r="G1183" s="46">
        <f t="shared" si="15"/>
        <v>-1.1664935964001422E-2</v>
      </c>
    </row>
    <row r="1184" spans="1:7">
      <c r="A1184" s="47">
        <v>286.75</v>
      </c>
      <c r="B1184" s="47">
        <v>290.89999999999998</v>
      </c>
      <c r="C1184" s="47">
        <v>286.36</v>
      </c>
      <c r="D1184" s="47">
        <v>290.10000000000002</v>
      </c>
      <c r="E1184" s="47">
        <v>5568281</v>
      </c>
      <c r="F1184" s="47" t="s">
        <v>1352</v>
      </c>
      <c r="G1184" s="46">
        <f t="shared" si="15"/>
        <v>-1.1547742157876684E-2</v>
      </c>
    </row>
    <row r="1185" spans="1:7">
      <c r="A1185" s="47">
        <v>288.66000000000003</v>
      </c>
      <c r="B1185" s="47">
        <v>292.64999999999998</v>
      </c>
      <c r="C1185" s="47">
        <v>284.33999999999997</v>
      </c>
      <c r="D1185" s="47">
        <v>290.93</v>
      </c>
      <c r="E1185" s="47">
        <v>8911799</v>
      </c>
      <c r="F1185" s="47" t="s">
        <v>1351</v>
      </c>
      <c r="G1185" s="46">
        <f t="shared" si="15"/>
        <v>-7.8025641906986909E-3</v>
      </c>
    </row>
    <row r="1186" spans="1:7">
      <c r="A1186" s="47">
        <v>288.47000000000003</v>
      </c>
      <c r="B1186" s="47">
        <v>290.40600000000001</v>
      </c>
      <c r="C1186" s="47">
        <v>279.08</v>
      </c>
      <c r="D1186" s="47">
        <v>279.61</v>
      </c>
      <c r="E1186" s="47">
        <v>14631047</v>
      </c>
      <c r="F1186" s="47" t="s">
        <v>1350</v>
      </c>
      <c r="G1186" s="46">
        <f t="shared" si="15"/>
        <v>3.1686992596831276E-2</v>
      </c>
    </row>
    <row r="1187" spans="1:7">
      <c r="A1187" s="47">
        <v>278.33</v>
      </c>
      <c r="B1187" s="47">
        <v>278.89</v>
      </c>
      <c r="C1187" s="47">
        <v>273.67</v>
      </c>
      <c r="D1187" s="47">
        <v>274.02999999999997</v>
      </c>
      <c r="E1187" s="47">
        <v>3916952</v>
      </c>
      <c r="F1187" s="47" t="s">
        <v>1349</v>
      </c>
      <c r="G1187" s="46">
        <f t="shared" si="15"/>
        <v>1.5691712586213269E-2</v>
      </c>
    </row>
    <row r="1188" spans="1:7">
      <c r="A1188" s="47">
        <v>273.62</v>
      </c>
      <c r="B1188" s="47">
        <v>278.68</v>
      </c>
      <c r="C1188" s="47">
        <v>273.52</v>
      </c>
      <c r="D1188" s="47">
        <v>277.89</v>
      </c>
      <c r="E1188" s="47">
        <v>3626405</v>
      </c>
      <c r="F1188" s="47" t="s">
        <v>1348</v>
      </c>
      <c r="G1188" s="46">
        <f t="shared" si="15"/>
        <v>-1.5365792219943053E-2</v>
      </c>
    </row>
    <row r="1189" spans="1:7">
      <c r="A1189" s="47">
        <v>277.69</v>
      </c>
      <c r="B1189" s="47">
        <v>279.82960000000003</v>
      </c>
      <c r="C1189" s="47">
        <v>276.77</v>
      </c>
      <c r="D1189" s="47">
        <v>279.81569999999999</v>
      </c>
      <c r="E1189" s="47">
        <v>4392583</v>
      </c>
      <c r="F1189" s="47" t="s">
        <v>1347</v>
      </c>
      <c r="G1189" s="46">
        <f t="shared" si="15"/>
        <v>-7.5967860273744581E-3</v>
      </c>
    </row>
    <row r="1190" spans="1:7">
      <c r="A1190" s="47">
        <v>279.51</v>
      </c>
      <c r="B1190" s="47">
        <v>279.58</v>
      </c>
      <c r="C1190" s="47">
        <v>276.5086</v>
      </c>
      <c r="D1190" s="47">
        <v>278.93</v>
      </c>
      <c r="E1190" s="47">
        <v>3542641</v>
      </c>
      <c r="F1190" s="47" t="s">
        <v>1346</v>
      </c>
      <c r="G1190" s="46">
        <f t="shared" si="15"/>
        <v>2.0793747535223783E-3</v>
      </c>
    </row>
    <row r="1191" spans="1:7">
      <c r="A1191" s="47">
        <v>276.98</v>
      </c>
      <c r="B1191" s="47">
        <v>278.29000000000002</v>
      </c>
      <c r="C1191" s="47">
        <v>273.02</v>
      </c>
      <c r="D1191" s="47">
        <v>275.75</v>
      </c>
      <c r="E1191" s="47">
        <v>5507500</v>
      </c>
      <c r="F1191" s="47" t="s">
        <v>1345</v>
      </c>
      <c r="G1191" s="46">
        <f t="shared" si="15"/>
        <v>4.4605621033546594E-3</v>
      </c>
    </row>
    <row r="1192" spans="1:7">
      <c r="A1192" s="47">
        <v>272.95999999999998</v>
      </c>
      <c r="B1192" s="47">
        <v>273.935</v>
      </c>
      <c r="C1192" s="47">
        <v>269.54000000000002</v>
      </c>
      <c r="D1192" s="47">
        <v>269.54000000000002</v>
      </c>
      <c r="E1192" s="47">
        <v>4179531</v>
      </c>
      <c r="F1192" s="47" t="s">
        <v>1344</v>
      </c>
      <c r="G1192" s="46">
        <f t="shared" si="15"/>
        <v>1.2688283742672501E-2</v>
      </c>
    </row>
    <row r="1193" spans="1:7">
      <c r="A1193" s="47">
        <v>270.58</v>
      </c>
      <c r="B1193" s="47">
        <v>272.00990000000002</v>
      </c>
      <c r="C1193" s="47">
        <v>266.60329999999999</v>
      </c>
      <c r="D1193" s="47">
        <v>267.19</v>
      </c>
      <c r="E1193" s="47">
        <v>5119910</v>
      </c>
      <c r="F1193" s="47" t="s">
        <v>1343</v>
      </c>
      <c r="G1193" s="46">
        <f t="shared" si="15"/>
        <v>1.2687600583854097E-2</v>
      </c>
    </row>
    <row r="1194" spans="1:7">
      <c r="A1194" s="47">
        <v>268.83999999999997</v>
      </c>
      <c r="B1194" s="47">
        <v>272.77</v>
      </c>
      <c r="C1194" s="47">
        <v>268.48</v>
      </c>
      <c r="D1194" s="47">
        <v>271.01</v>
      </c>
      <c r="E1194" s="47">
        <v>4830905</v>
      </c>
      <c r="F1194" s="47" t="s">
        <v>1342</v>
      </c>
      <c r="G1194" s="46">
        <f t="shared" si="15"/>
        <v>-8.0070846094241199E-3</v>
      </c>
    </row>
    <row r="1195" spans="1:7">
      <c r="A1195" s="47">
        <v>271.10000000000002</v>
      </c>
      <c r="B1195" s="47">
        <v>275.54500000000002</v>
      </c>
      <c r="C1195" s="47">
        <v>269.08</v>
      </c>
      <c r="D1195" s="47">
        <v>275.25</v>
      </c>
      <c r="E1195" s="47">
        <v>7966077</v>
      </c>
      <c r="F1195" s="47" t="s">
        <v>1341</v>
      </c>
      <c r="G1195" s="46">
        <f t="shared" si="15"/>
        <v>-1.5077202543142487E-2</v>
      </c>
    </row>
    <row r="1196" spans="1:7">
      <c r="A1196" s="47">
        <v>278.27999999999997</v>
      </c>
      <c r="B1196" s="47">
        <v>279.19</v>
      </c>
      <c r="C1196" s="47">
        <v>273.56</v>
      </c>
      <c r="D1196" s="47">
        <v>273.73</v>
      </c>
      <c r="E1196" s="47">
        <v>5285791</v>
      </c>
      <c r="F1196" s="47" t="s">
        <v>1340</v>
      </c>
      <c r="G1196" s="46">
        <f t="shared" si="15"/>
        <v>1.6622218974902125E-2</v>
      </c>
    </row>
    <row r="1197" spans="1:7">
      <c r="A1197" s="47">
        <v>274.91000000000003</v>
      </c>
      <c r="B1197" s="47">
        <v>276.81</v>
      </c>
      <c r="C1197" s="47">
        <v>274.61</v>
      </c>
      <c r="D1197" s="47">
        <v>276.17</v>
      </c>
      <c r="E1197" s="47">
        <v>4097209</v>
      </c>
      <c r="F1197" s="47" t="s">
        <v>1339</v>
      </c>
      <c r="G1197" s="46">
        <f t="shared" si="15"/>
        <v>-4.5624072129485382E-3</v>
      </c>
    </row>
    <row r="1198" spans="1:7">
      <c r="A1198" s="47">
        <v>274.58999999999997</v>
      </c>
      <c r="B1198" s="47">
        <v>276.80500000000001</v>
      </c>
      <c r="C1198" s="47">
        <v>273.06</v>
      </c>
      <c r="D1198" s="47">
        <v>274.25</v>
      </c>
      <c r="E1198" s="47">
        <v>4513787</v>
      </c>
      <c r="F1198" s="47" t="s">
        <v>1338</v>
      </c>
      <c r="G1198" s="46">
        <f t="shared" si="15"/>
        <v>1.2397447584320265E-3</v>
      </c>
    </row>
    <row r="1199" spans="1:7">
      <c r="A1199" s="47">
        <v>276.41000000000003</v>
      </c>
      <c r="B1199" s="47">
        <v>278.23500000000001</v>
      </c>
      <c r="C1199" s="47">
        <v>273.13</v>
      </c>
      <c r="D1199" s="47">
        <v>277.4418</v>
      </c>
      <c r="E1199" s="47">
        <v>5785928</v>
      </c>
      <c r="F1199" s="47" t="s">
        <v>1337</v>
      </c>
      <c r="G1199" s="46">
        <f t="shared" si="15"/>
        <v>-3.7189781784863207E-3</v>
      </c>
    </row>
    <row r="1200" spans="1:7">
      <c r="A1200" s="47">
        <v>274.37</v>
      </c>
      <c r="B1200" s="47">
        <v>280.49</v>
      </c>
      <c r="C1200" s="47">
        <v>272.5</v>
      </c>
      <c r="D1200" s="47">
        <v>278.94</v>
      </c>
      <c r="E1200" s="47">
        <v>6264118</v>
      </c>
      <c r="F1200" s="47" t="s">
        <v>1336</v>
      </c>
      <c r="G1200" s="46">
        <f t="shared" si="15"/>
        <v>-1.6383451638345092E-2</v>
      </c>
    </row>
    <row r="1201" spans="1:7">
      <c r="A1201" s="47">
        <v>278.14999999999998</v>
      </c>
      <c r="B1201" s="47">
        <v>281.10000000000002</v>
      </c>
      <c r="C1201" s="47">
        <v>277.45999999999998</v>
      </c>
      <c r="D1201" s="47">
        <v>280.22000000000003</v>
      </c>
      <c r="E1201" s="47">
        <v>3822996</v>
      </c>
      <c r="F1201" s="47" t="s">
        <v>1335</v>
      </c>
      <c r="G1201" s="46">
        <f t="shared" si="15"/>
        <v>-7.3870530297625026E-3</v>
      </c>
    </row>
    <row r="1202" spans="1:7">
      <c r="A1202" s="47">
        <v>279.54000000000002</v>
      </c>
      <c r="B1202" s="47">
        <v>282.36989999999997</v>
      </c>
      <c r="C1202" s="47">
        <v>276.87</v>
      </c>
      <c r="D1202" s="47">
        <v>280</v>
      </c>
      <c r="E1202" s="47">
        <v>6086327</v>
      </c>
      <c r="F1202" s="47" t="s">
        <v>1334</v>
      </c>
      <c r="G1202" s="46">
        <f t="shared" si="15"/>
        <v>-1.6428571428570571E-3</v>
      </c>
    </row>
    <row r="1203" spans="1:7">
      <c r="A1203" s="47">
        <v>280.67</v>
      </c>
      <c r="B1203" s="47">
        <v>280.95999999999998</v>
      </c>
      <c r="C1203" s="47">
        <v>275.82</v>
      </c>
      <c r="D1203" s="47">
        <v>277.10000000000002</v>
      </c>
      <c r="E1203" s="47">
        <v>7354195</v>
      </c>
      <c r="F1203" s="47" t="s">
        <v>1333</v>
      </c>
      <c r="G1203" s="46">
        <f t="shared" si="15"/>
        <v>1.2883435582822012E-2</v>
      </c>
    </row>
    <row r="1204" spans="1:7">
      <c r="A1204" s="47">
        <v>275.5</v>
      </c>
      <c r="B1204" s="47">
        <v>276.09309999999999</v>
      </c>
      <c r="C1204" s="47">
        <v>270.67</v>
      </c>
      <c r="D1204" s="47">
        <v>274.0711</v>
      </c>
      <c r="E1204" s="47">
        <v>6616877</v>
      </c>
      <c r="F1204" s="47" t="s">
        <v>1332</v>
      </c>
      <c r="G1204" s="46">
        <f t="shared" si="15"/>
        <v>5.2136106287747896E-3</v>
      </c>
    </row>
    <row r="1205" spans="1:7">
      <c r="A1205" s="47">
        <v>273.5</v>
      </c>
      <c r="B1205" s="47">
        <v>274.54000000000002</v>
      </c>
      <c r="C1205" s="47">
        <v>269.57</v>
      </c>
      <c r="D1205" s="47">
        <v>272.06</v>
      </c>
      <c r="E1205" s="47">
        <v>8323049</v>
      </c>
      <c r="F1205" s="47" t="s">
        <v>1331</v>
      </c>
      <c r="G1205" s="46">
        <f t="shared" si="15"/>
        <v>5.2929500845402266E-3</v>
      </c>
    </row>
    <row r="1206" spans="1:7">
      <c r="A1206" s="47">
        <v>270.99</v>
      </c>
      <c r="B1206" s="47">
        <v>276.88499999999999</v>
      </c>
      <c r="C1206" s="47">
        <v>270.43020000000001</v>
      </c>
      <c r="D1206" s="47">
        <v>276.88499999999999</v>
      </c>
      <c r="E1206" s="47">
        <v>10082821</v>
      </c>
      <c r="F1206" s="47" t="s">
        <v>1330</v>
      </c>
      <c r="G1206" s="46">
        <f t="shared" si="15"/>
        <v>-2.1290427433772074E-2</v>
      </c>
    </row>
    <row r="1207" spans="1:7">
      <c r="A1207" s="47">
        <v>275.52999999999997</v>
      </c>
      <c r="B1207" s="47">
        <v>280.5</v>
      </c>
      <c r="C1207" s="47">
        <v>274.20999999999998</v>
      </c>
      <c r="D1207" s="47">
        <v>280.245</v>
      </c>
      <c r="E1207" s="47">
        <v>11693277</v>
      </c>
      <c r="F1207" s="47" t="s">
        <v>1329</v>
      </c>
      <c r="G1207" s="46">
        <f t="shared" si="15"/>
        <v>-1.6824564220592864E-2</v>
      </c>
    </row>
    <row r="1208" spans="1:7">
      <c r="A1208" s="47">
        <v>283.17</v>
      </c>
      <c r="B1208" s="47">
        <v>289</v>
      </c>
      <c r="C1208" s="47">
        <v>281.60000000000002</v>
      </c>
      <c r="D1208" s="47">
        <v>285.37</v>
      </c>
      <c r="E1208" s="47">
        <v>18236974</v>
      </c>
      <c r="F1208" s="47" t="s">
        <v>1328</v>
      </c>
      <c r="G1208" s="46">
        <f t="shared" si="15"/>
        <v>-7.709289694081356E-3</v>
      </c>
    </row>
    <row r="1209" spans="1:7">
      <c r="A1209" s="47">
        <v>301.98</v>
      </c>
      <c r="B1209" s="47">
        <v>302.43</v>
      </c>
      <c r="C1209" s="47">
        <v>296.77999999999997</v>
      </c>
      <c r="D1209" s="47">
        <v>300.74</v>
      </c>
      <c r="E1209" s="47">
        <v>9184958</v>
      </c>
      <c r="F1209" s="47" t="s">
        <v>1327</v>
      </c>
      <c r="G1209" s="46">
        <f t="shared" si="15"/>
        <v>4.1231628649331942E-3</v>
      </c>
    </row>
    <row r="1210" spans="1:7">
      <c r="A1210" s="47">
        <v>300.48</v>
      </c>
      <c r="B1210" s="47">
        <v>306.33999999999997</v>
      </c>
      <c r="C1210" s="47">
        <v>294.89</v>
      </c>
      <c r="D1210" s="47">
        <v>305.5</v>
      </c>
      <c r="E1210" s="47">
        <v>6938396</v>
      </c>
      <c r="F1210" s="47" t="s">
        <v>1326</v>
      </c>
      <c r="G1210" s="46">
        <f t="shared" ref="G1210:G1273" si="16">A1210/D1210-1</f>
        <v>-1.643207855973805E-2</v>
      </c>
    </row>
    <row r="1211" spans="1:7">
      <c r="A1211" s="47">
        <v>306.8</v>
      </c>
      <c r="B1211" s="47">
        <v>310.16000000000003</v>
      </c>
      <c r="C1211" s="47">
        <v>305.23</v>
      </c>
      <c r="D1211" s="47">
        <v>309.66000000000003</v>
      </c>
      <c r="E1211" s="47">
        <v>3805925</v>
      </c>
      <c r="F1211" s="47" t="s">
        <v>1325</v>
      </c>
      <c r="G1211" s="46">
        <f t="shared" si="16"/>
        <v>-9.2359361880772761E-3</v>
      </c>
    </row>
    <row r="1212" spans="1:7">
      <c r="A1212" s="47">
        <v>308.52999999999997</v>
      </c>
      <c r="B1212" s="47">
        <v>309.47500000000002</v>
      </c>
      <c r="C1212" s="47">
        <v>304.2</v>
      </c>
      <c r="D1212" s="47">
        <v>305.76</v>
      </c>
      <c r="E1212" s="47">
        <v>4231088</v>
      </c>
      <c r="F1212" s="47" t="s">
        <v>1324</v>
      </c>
      <c r="G1212" s="46">
        <f t="shared" si="16"/>
        <v>9.0593929879643209E-3</v>
      </c>
    </row>
    <row r="1213" spans="1:7">
      <c r="A1213" s="47">
        <v>303.69</v>
      </c>
      <c r="B1213" s="47">
        <v>304.57</v>
      </c>
      <c r="C1213" s="47">
        <v>301.87</v>
      </c>
      <c r="D1213" s="47">
        <v>302.02069999999998</v>
      </c>
      <c r="E1213" s="47">
        <v>3601476</v>
      </c>
      <c r="F1213" s="47" t="s">
        <v>1323</v>
      </c>
      <c r="G1213" s="46">
        <f t="shared" si="16"/>
        <v>5.5271045991218681E-3</v>
      </c>
    </row>
    <row r="1214" spans="1:7">
      <c r="A1214" s="47">
        <v>301.77</v>
      </c>
      <c r="B1214" s="47">
        <v>301.83</v>
      </c>
      <c r="C1214" s="47">
        <v>296.2</v>
      </c>
      <c r="D1214" s="47">
        <v>296.49</v>
      </c>
      <c r="E1214" s="47">
        <v>5497140</v>
      </c>
      <c r="F1214" s="47" t="s">
        <v>1322</v>
      </c>
      <c r="G1214" s="46">
        <f t="shared" si="16"/>
        <v>1.780835778609724E-2</v>
      </c>
    </row>
    <row r="1215" spans="1:7">
      <c r="A1215" s="47">
        <v>298.07</v>
      </c>
      <c r="B1215" s="47">
        <v>300.02999999999997</v>
      </c>
      <c r="C1215" s="47">
        <v>291.57</v>
      </c>
      <c r="D1215" s="47">
        <v>295.51499999999999</v>
      </c>
      <c r="E1215" s="47">
        <v>5424096</v>
      </c>
      <c r="F1215" s="47" t="s">
        <v>1321</v>
      </c>
      <c r="G1215" s="46">
        <f t="shared" si="16"/>
        <v>8.6459232187876545E-3</v>
      </c>
    </row>
    <row r="1216" spans="1:7">
      <c r="A1216" s="47">
        <v>294.85000000000002</v>
      </c>
      <c r="B1216" s="47">
        <v>295.0693</v>
      </c>
      <c r="C1216" s="47">
        <v>288.81</v>
      </c>
      <c r="D1216" s="47">
        <v>292.35000000000002</v>
      </c>
      <c r="E1216" s="47">
        <v>5681478</v>
      </c>
      <c r="F1216" s="47" t="s">
        <v>1320</v>
      </c>
      <c r="G1216" s="46">
        <f t="shared" si="16"/>
        <v>8.5513938772019404E-3</v>
      </c>
    </row>
    <row r="1217" spans="1:7">
      <c r="A1217" s="47">
        <v>294.63</v>
      </c>
      <c r="B1217" s="47">
        <v>298.75</v>
      </c>
      <c r="C1217" s="47">
        <v>294.44</v>
      </c>
      <c r="D1217" s="47">
        <v>297.23</v>
      </c>
      <c r="E1217" s="47">
        <v>4268899</v>
      </c>
      <c r="F1217" s="47" t="s">
        <v>1319</v>
      </c>
      <c r="G1217" s="46">
        <f t="shared" si="16"/>
        <v>-8.7474346465700181E-3</v>
      </c>
    </row>
    <row r="1218" spans="1:7">
      <c r="A1218" s="47">
        <v>296.51</v>
      </c>
      <c r="B1218" s="47">
        <v>301.18</v>
      </c>
      <c r="C1218" s="47">
        <v>294.14</v>
      </c>
      <c r="D1218" s="47">
        <v>300.86</v>
      </c>
      <c r="E1218" s="47">
        <v>4943528</v>
      </c>
      <c r="F1218" s="47" t="s">
        <v>1318</v>
      </c>
      <c r="G1218" s="46">
        <f t="shared" si="16"/>
        <v>-1.4458552150501958E-2</v>
      </c>
    </row>
    <row r="1219" spans="1:7">
      <c r="A1219" s="47">
        <v>300.75</v>
      </c>
      <c r="B1219" s="47">
        <v>304.81</v>
      </c>
      <c r="C1219" s="47">
        <v>299.33010000000002</v>
      </c>
      <c r="D1219" s="47">
        <v>303.01</v>
      </c>
      <c r="E1219" s="47">
        <v>4848213</v>
      </c>
      <c r="F1219" s="47" t="s">
        <v>1317</v>
      </c>
      <c r="G1219" s="46">
        <f t="shared" si="16"/>
        <v>-7.4584997194812042E-3</v>
      </c>
    </row>
    <row r="1220" spans="1:7">
      <c r="A1220" s="47">
        <v>301.19</v>
      </c>
      <c r="B1220" s="47">
        <v>307.82</v>
      </c>
      <c r="C1220" s="47">
        <v>298.75</v>
      </c>
      <c r="D1220" s="47">
        <v>302.19</v>
      </c>
      <c r="E1220" s="47">
        <v>7235032</v>
      </c>
      <c r="F1220" s="47" t="s">
        <v>1316</v>
      </c>
      <c r="G1220" s="46">
        <f t="shared" si="16"/>
        <v>-3.3091763460074697E-3</v>
      </c>
    </row>
    <row r="1221" spans="1:7">
      <c r="A1221" s="47">
        <v>302.97000000000003</v>
      </c>
      <c r="B1221" s="47">
        <v>303.5</v>
      </c>
      <c r="C1221" s="47">
        <v>298.56</v>
      </c>
      <c r="D1221" s="47">
        <v>302.37</v>
      </c>
      <c r="E1221" s="47">
        <v>5455983</v>
      </c>
      <c r="F1221" s="47" t="s">
        <v>1315</v>
      </c>
      <c r="G1221" s="46">
        <f t="shared" si="16"/>
        <v>1.9843238416510367E-3</v>
      </c>
    </row>
    <row r="1222" spans="1:7">
      <c r="A1222" s="47">
        <v>300.20999999999998</v>
      </c>
      <c r="B1222" s="47">
        <v>300.83</v>
      </c>
      <c r="C1222" s="47">
        <v>295</v>
      </c>
      <c r="D1222" s="47">
        <v>296.41000000000003</v>
      </c>
      <c r="E1222" s="47">
        <v>5543262</v>
      </c>
      <c r="F1222" s="47" t="s">
        <v>1314</v>
      </c>
      <c r="G1222" s="46">
        <f t="shared" si="16"/>
        <v>1.2820080294186909E-2</v>
      </c>
    </row>
    <row r="1223" spans="1:7">
      <c r="A1223" s="47">
        <v>295.05</v>
      </c>
      <c r="B1223" s="47">
        <v>295.86509999999998</v>
      </c>
      <c r="C1223" s="47">
        <v>289.45999999999998</v>
      </c>
      <c r="D1223" s="47">
        <v>292.10000000000002</v>
      </c>
      <c r="E1223" s="47">
        <v>5911952</v>
      </c>
      <c r="F1223" s="47" t="s">
        <v>1313</v>
      </c>
      <c r="G1223" s="46">
        <f t="shared" si="16"/>
        <v>1.0099281068127297E-2</v>
      </c>
    </row>
    <row r="1224" spans="1:7">
      <c r="A1224" s="47">
        <v>297.13</v>
      </c>
      <c r="B1224" s="47">
        <v>299.30869999999999</v>
      </c>
      <c r="C1224" s="47">
        <v>291.91000000000003</v>
      </c>
      <c r="D1224" s="47">
        <v>294.89999999999998</v>
      </c>
      <c r="E1224" s="47">
        <v>6713925</v>
      </c>
      <c r="F1224" s="47" t="s">
        <v>1312</v>
      </c>
      <c r="G1224" s="46">
        <f t="shared" si="16"/>
        <v>7.5618853848762324E-3</v>
      </c>
    </row>
    <row r="1225" spans="1:7">
      <c r="A1225" s="47">
        <v>292.64</v>
      </c>
      <c r="B1225" s="47">
        <v>294.52600000000001</v>
      </c>
      <c r="C1225" s="47">
        <v>289.52</v>
      </c>
      <c r="D1225" s="47">
        <v>290.03500000000003</v>
      </c>
      <c r="E1225" s="47">
        <v>5043522</v>
      </c>
      <c r="F1225" s="47" t="s">
        <v>1311</v>
      </c>
      <c r="G1225" s="46">
        <f t="shared" si="16"/>
        <v>8.9816746254760549E-3</v>
      </c>
    </row>
    <row r="1226" spans="1:7">
      <c r="A1226" s="47">
        <v>290.24</v>
      </c>
      <c r="B1226" s="47">
        <v>292.42989999999998</v>
      </c>
      <c r="C1226" s="47">
        <v>288.92</v>
      </c>
      <c r="D1226" s="47">
        <v>290.94</v>
      </c>
      <c r="E1226" s="47">
        <v>4171502</v>
      </c>
      <c r="F1226" s="47" t="s">
        <v>1310</v>
      </c>
      <c r="G1226" s="46">
        <f t="shared" si="16"/>
        <v>-2.4059943630988512E-3</v>
      </c>
    </row>
    <row r="1227" spans="1:7">
      <c r="A1227" s="47">
        <v>289</v>
      </c>
      <c r="B1227" s="47">
        <v>291.89999999999998</v>
      </c>
      <c r="C1227" s="47">
        <v>285.76</v>
      </c>
      <c r="D1227" s="47">
        <v>290.33</v>
      </c>
      <c r="E1227" s="47">
        <v>5652486</v>
      </c>
      <c r="F1227" s="47" t="s">
        <v>1309</v>
      </c>
      <c r="G1227" s="46">
        <f t="shared" si="16"/>
        <v>-4.580994041263331E-3</v>
      </c>
    </row>
    <row r="1228" spans="1:7">
      <c r="A1228" s="47">
        <v>291.48</v>
      </c>
      <c r="B1228" s="47">
        <v>292.69990000000001</v>
      </c>
      <c r="C1228" s="47">
        <v>289.51</v>
      </c>
      <c r="D1228" s="47">
        <v>291.52999999999997</v>
      </c>
      <c r="E1228" s="47">
        <v>4235983</v>
      </c>
      <c r="F1228" s="47" t="s">
        <v>1308</v>
      </c>
      <c r="G1228" s="46">
        <f t="shared" si="16"/>
        <v>-1.7150893561534986E-4</v>
      </c>
    </row>
    <row r="1229" spans="1:7">
      <c r="A1229" s="47">
        <v>292.76</v>
      </c>
      <c r="B1229" s="47">
        <v>295.18</v>
      </c>
      <c r="C1229" s="47">
        <v>291.52999999999997</v>
      </c>
      <c r="D1229" s="47">
        <v>292.97000000000003</v>
      </c>
      <c r="E1229" s="47">
        <v>4333201</v>
      </c>
      <c r="F1229" s="47" t="s">
        <v>1307</v>
      </c>
      <c r="G1229" s="46">
        <f t="shared" si="16"/>
        <v>-7.1679694166648655E-4</v>
      </c>
    </row>
    <row r="1230" spans="1:7">
      <c r="A1230" s="47">
        <v>293.64999999999998</v>
      </c>
      <c r="B1230" s="47">
        <v>294.26</v>
      </c>
      <c r="C1230" s="47">
        <v>289.77999999999997</v>
      </c>
      <c r="D1230" s="47">
        <v>290.85019999999997</v>
      </c>
      <c r="E1230" s="47">
        <v>5058605</v>
      </c>
      <c r="F1230" s="47" t="s">
        <v>1306</v>
      </c>
      <c r="G1230" s="46">
        <f t="shared" si="16"/>
        <v>9.6262612162549832E-3</v>
      </c>
    </row>
    <row r="1231" spans="1:7">
      <c r="A1231" s="47">
        <v>289.60000000000002</v>
      </c>
      <c r="B1231" s="47">
        <v>292.87</v>
      </c>
      <c r="C1231" s="47">
        <v>287.8</v>
      </c>
      <c r="D1231" s="47">
        <v>292.60000000000002</v>
      </c>
      <c r="E1231" s="47">
        <v>6616873</v>
      </c>
      <c r="F1231" s="47" t="s">
        <v>1305</v>
      </c>
      <c r="G1231" s="46">
        <f t="shared" si="16"/>
        <v>-1.0252904989747069E-2</v>
      </c>
    </row>
    <row r="1232" spans="1:7">
      <c r="A1232" s="47">
        <v>293.20999999999998</v>
      </c>
      <c r="B1232" s="47">
        <v>296.01</v>
      </c>
      <c r="C1232" s="47">
        <v>289.64</v>
      </c>
      <c r="D1232" s="47">
        <v>290.18</v>
      </c>
      <c r="E1232" s="47">
        <v>7160286</v>
      </c>
      <c r="F1232" s="47" t="s">
        <v>1304</v>
      </c>
      <c r="G1232" s="46">
        <f t="shared" si="16"/>
        <v>1.0441794748087263E-2</v>
      </c>
    </row>
    <row r="1233" spans="1:7">
      <c r="A1233" s="47">
        <v>288.12</v>
      </c>
      <c r="B1233" s="47">
        <v>288.55</v>
      </c>
      <c r="C1233" s="47">
        <v>284.77999999999997</v>
      </c>
      <c r="D1233" s="47">
        <v>285.94</v>
      </c>
      <c r="E1233" s="47">
        <v>4966741</v>
      </c>
      <c r="F1233" s="47" t="s">
        <v>1303</v>
      </c>
      <c r="G1233" s="46">
        <f t="shared" si="16"/>
        <v>7.6239770581241206E-3</v>
      </c>
    </row>
    <row r="1234" spans="1:7">
      <c r="A1234" s="47">
        <v>286.75</v>
      </c>
      <c r="B1234" s="47">
        <v>287.45999999999998</v>
      </c>
      <c r="C1234" s="47">
        <v>280.22000000000003</v>
      </c>
      <c r="D1234" s="47">
        <v>281.7</v>
      </c>
      <c r="E1234" s="47">
        <v>6049410</v>
      </c>
      <c r="F1234" s="47" t="s">
        <v>1302</v>
      </c>
      <c r="G1234" s="46">
        <f t="shared" si="16"/>
        <v>1.792687255946035E-2</v>
      </c>
    </row>
    <row r="1235" spans="1:7">
      <c r="A1235" s="47">
        <v>283.10000000000002</v>
      </c>
      <c r="B1235" s="47">
        <v>284.30500000000001</v>
      </c>
      <c r="C1235" s="47">
        <v>276.72500000000002</v>
      </c>
      <c r="D1235" s="47">
        <v>283.27879999999999</v>
      </c>
      <c r="E1235" s="47">
        <v>7287754</v>
      </c>
      <c r="F1235" s="47" t="s">
        <v>1301</v>
      </c>
      <c r="G1235" s="46">
        <f t="shared" si="16"/>
        <v>-6.3118030717435047E-4</v>
      </c>
    </row>
    <row r="1236" spans="1:7">
      <c r="A1236" s="47">
        <v>283.38</v>
      </c>
      <c r="B1236" s="47">
        <v>286.38</v>
      </c>
      <c r="C1236" s="47">
        <v>274.86</v>
      </c>
      <c r="D1236" s="47">
        <v>275.3</v>
      </c>
      <c r="E1236" s="47">
        <v>14713402</v>
      </c>
      <c r="F1236" s="47" t="s">
        <v>1300</v>
      </c>
      <c r="G1236" s="46">
        <f t="shared" si="16"/>
        <v>2.9349800217943978E-2</v>
      </c>
    </row>
    <row r="1237" spans="1:7">
      <c r="A1237" s="47">
        <v>278.11</v>
      </c>
      <c r="B1237" s="47">
        <v>279.37180000000001</v>
      </c>
      <c r="C1237" s="47">
        <v>268.45999999999998</v>
      </c>
      <c r="D1237" s="47">
        <v>268.5</v>
      </c>
      <c r="E1237" s="47">
        <v>8071052</v>
      </c>
      <c r="F1237" s="47" t="s">
        <v>1299</v>
      </c>
      <c r="G1237" s="46">
        <f t="shared" si="16"/>
        <v>3.5791433891992686E-2</v>
      </c>
    </row>
    <row r="1238" spans="1:7">
      <c r="A1238" s="47">
        <v>268.82</v>
      </c>
      <c r="B1238" s="47">
        <v>275.16030000000001</v>
      </c>
      <c r="C1238" s="47">
        <v>265.30990000000003</v>
      </c>
      <c r="D1238" s="47">
        <v>271.4502</v>
      </c>
      <c r="E1238" s="47">
        <v>6874616</v>
      </c>
      <c r="F1238" s="47" t="s">
        <v>1298</v>
      </c>
      <c r="G1238" s="46">
        <f t="shared" si="16"/>
        <v>-9.689438431063957E-3</v>
      </c>
    </row>
    <row r="1239" spans="1:7">
      <c r="A1239" s="47">
        <v>271.89</v>
      </c>
      <c r="B1239" s="47">
        <v>274.73</v>
      </c>
      <c r="C1239" s="47">
        <v>270.68</v>
      </c>
      <c r="D1239" s="47">
        <v>274.73</v>
      </c>
      <c r="E1239" s="47">
        <v>5371069</v>
      </c>
      <c r="F1239" s="47" t="s">
        <v>1297</v>
      </c>
      <c r="G1239" s="46">
        <f t="shared" si="16"/>
        <v>-1.0337422196338375E-2</v>
      </c>
    </row>
    <row r="1240" spans="1:7">
      <c r="A1240" s="47">
        <v>274.93</v>
      </c>
      <c r="B1240" s="47">
        <v>274.97000000000003</v>
      </c>
      <c r="C1240" s="47">
        <v>270.60000000000002</v>
      </c>
      <c r="D1240" s="47">
        <v>271.89999999999998</v>
      </c>
      <c r="E1240" s="47">
        <v>5174233</v>
      </c>
      <c r="F1240" s="47" t="s">
        <v>1296</v>
      </c>
      <c r="G1240" s="46">
        <f t="shared" si="16"/>
        <v>1.1143802868701869E-2</v>
      </c>
    </row>
    <row r="1241" spans="1:7">
      <c r="A1241" s="47">
        <v>271.45</v>
      </c>
      <c r="B1241" s="47">
        <v>271.8999</v>
      </c>
      <c r="C1241" s="47">
        <v>268.39999999999998</v>
      </c>
      <c r="D1241" s="47">
        <v>268.75</v>
      </c>
      <c r="E1241" s="47">
        <v>4494584</v>
      </c>
      <c r="F1241" s="47" t="s">
        <v>1295</v>
      </c>
      <c r="G1241" s="46">
        <f t="shared" si="16"/>
        <v>1.0046511627906929E-2</v>
      </c>
    </row>
    <row r="1242" spans="1:7">
      <c r="A1242" s="47">
        <v>269.47000000000003</v>
      </c>
      <c r="B1242" s="47">
        <v>269.64999999999998</v>
      </c>
      <c r="C1242" s="47">
        <v>261.69</v>
      </c>
      <c r="D1242" s="47">
        <v>263.07</v>
      </c>
      <c r="E1242" s="47">
        <v>6055717</v>
      </c>
      <c r="F1242" s="47" t="s">
        <v>1294</v>
      </c>
      <c r="G1242" s="46">
        <f t="shared" si="16"/>
        <v>2.432812559394848E-2</v>
      </c>
    </row>
    <row r="1243" spans="1:7">
      <c r="A1243" s="47">
        <v>263.60000000000002</v>
      </c>
      <c r="B1243" s="47">
        <v>268.19940000000003</v>
      </c>
      <c r="C1243" s="47">
        <v>263.26</v>
      </c>
      <c r="D1243" s="47">
        <v>265</v>
      </c>
      <c r="E1243" s="47">
        <v>4652997</v>
      </c>
      <c r="F1243" s="47" t="s">
        <v>1293</v>
      </c>
      <c r="G1243" s="46">
        <f t="shared" si="16"/>
        <v>-5.2830188679244827E-3</v>
      </c>
    </row>
    <row r="1244" spans="1:7">
      <c r="A1244" s="47">
        <v>263.14999999999998</v>
      </c>
      <c r="B1244" s="47">
        <v>264.55</v>
      </c>
      <c r="C1244" s="47">
        <v>260.565</v>
      </c>
      <c r="D1244" s="47">
        <v>261.57409999999999</v>
      </c>
      <c r="E1244" s="47">
        <v>4427016</v>
      </c>
      <c r="F1244" s="47" t="s">
        <v>1292</v>
      </c>
      <c r="G1244" s="46">
        <f t="shared" si="16"/>
        <v>6.0246790488813762E-3</v>
      </c>
    </row>
    <row r="1245" spans="1:7">
      <c r="A1245" s="47">
        <v>260.60000000000002</v>
      </c>
      <c r="B1245" s="47">
        <v>262.94</v>
      </c>
      <c r="C1245" s="47">
        <v>260.19</v>
      </c>
      <c r="D1245" s="47">
        <v>262.48</v>
      </c>
      <c r="E1245" s="47">
        <v>3979778</v>
      </c>
      <c r="F1245" s="47" t="s">
        <v>1291</v>
      </c>
      <c r="G1245" s="46">
        <f t="shared" si="16"/>
        <v>-7.1624504724169258E-3</v>
      </c>
    </row>
    <row r="1246" spans="1:7">
      <c r="A1246" s="47">
        <v>263.04000000000002</v>
      </c>
      <c r="B1246" s="47">
        <v>263.45999999999998</v>
      </c>
      <c r="C1246" s="47">
        <v>259.14999999999998</v>
      </c>
      <c r="D1246" s="47">
        <v>259.5138</v>
      </c>
      <c r="E1246" s="47">
        <v>4086113</v>
      </c>
      <c r="F1246" s="47" t="s">
        <v>1290</v>
      </c>
      <c r="G1246" s="46">
        <f t="shared" si="16"/>
        <v>1.358771672257908E-2</v>
      </c>
    </row>
    <row r="1247" spans="1:7">
      <c r="A1247" s="47">
        <v>257.79000000000002</v>
      </c>
      <c r="B1247" s="47">
        <v>260.98</v>
      </c>
      <c r="C1247" s="47">
        <v>256.14999999999998</v>
      </c>
      <c r="D1247" s="47">
        <v>258.39999999999998</v>
      </c>
      <c r="E1247" s="47">
        <v>4947147</v>
      </c>
      <c r="F1247" s="47" t="s">
        <v>1289</v>
      </c>
      <c r="G1247" s="46">
        <f t="shared" si="16"/>
        <v>-2.3606811145508999E-3</v>
      </c>
    </row>
    <row r="1248" spans="1:7">
      <c r="A1248" s="47">
        <v>262.17</v>
      </c>
      <c r="B1248" s="47">
        <v>264.7799</v>
      </c>
      <c r="C1248" s="47">
        <v>259.58</v>
      </c>
      <c r="D1248" s="47">
        <v>260.48</v>
      </c>
      <c r="E1248" s="47">
        <v>6801808</v>
      </c>
      <c r="F1248" s="47" t="s">
        <v>1288</v>
      </c>
      <c r="G1248" s="46">
        <f t="shared" si="16"/>
        <v>6.4880221130221294E-3</v>
      </c>
    </row>
    <row r="1249" spans="1:7">
      <c r="A1249" s="47">
        <v>259.27</v>
      </c>
      <c r="B1249" s="47">
        <v>263.42</v>
      </c>
      <c r="C1249" s="47">
        <v>256.52</v>
      </c>
      <c r="D1249" s="47">
        <v>261.08</v>
      </c>
      <c r="E1249" s="47">
        <v>5869632</v>
      </c>
      <c r="F1249" s="47" t="s">
        <v>1287</v>
      </c>
      <c r="G1249" s="46">
        <f t="shared" si="16"/>
        <v>-6.9327409223226555E-3</v>
      </c>
    </row>
    <row r="1250" spans="1:7">
      <c r="A1250" s="47">
        <v>260.02</v>
      </c>
      <c r="B1250" s="47">
        <v>263.14999999999998</v>
      </c>
      <c r="C1250" s="47">
        <v>259.87</v>
      </c>
      <c r="D1250" s="47">
        <v>261.07</v>
      </c>
      <c r="E1250" s="47">
        <v>4281832</v>
      </c>
      <c r="F1250" s="47" t="s">
        <v>1286</v>
      </c>
      <c r="G1250" s="46">
        <f t="shared" si="16"/>
        <v>-4.0219098326119695E-3</v>
      </c>
    </row>
    <row r="1251" spans="1:7">
      <c r="A1251" s="47">
        <v>259.47000000000003</v>
      </c>
      <c r="B1251" s="47">
        <v>260.64</v>
      </c>
      <c r="C1251" s="47">
        <v>256.27999999999997</v>
      </c>
      <c r="D1251" s="47">
        <v>259.86</v>
      </c>
      <c r="E1251" s="47">
        <v>7051206</v>
      </c>
      <c r="F1251" s="47" t="s">
        <v>1285</v>
      </c>
      <c r="G1251" s="46">
        <f t="shared" si="16"/>
        <v>-1.5008081274532348E-3</v>
      </c>
    </row>
    <row r="1252" spans="1:7">
      <c r="A1252" s="47">
        <v>261.37</v>
      </c>
      <c r="B1252" s="47">
        <v>262.32</v>
      </c>
      <c r="C1252" s="47">
        <v>259.16000000000003</v>
      </c>
      <c r="D1252" s="47">
        <v>259.77999999999997</v>
      </c>
      <c r="E1252" s="47">
        <v>5405262</v>
      </c>
      <c r="F1252" s="47" t="s">
        <v>1284</v>
      </c>
      <c r="G1252" s="46">
        <f t="shared" si="16"/>
        <v>6.1205635537764369E-3</v>
      </c>
    </row>
    <row r="1253" spans="1:7">
      <c r="A1253" s="47">
        <v>258.64999999999998</v>
      </c>
      <c r="B1253" s="47">
        <v>260.37</v>
      </c>
      <c r="C1253" s="47">
        <v>257.2801</v>
      </c>
      <c r="D1253" s="47">
        <v>258.5</v>
      </c>
      <c r="E1253" s="47">
        <v>6048116</v>
      </c>
      <c r="F1253" s="47" t="s">
        <v>1283</v>
      </c>
      <c r="G1253" s="46">
        <f t="shared" si="16"/>
        <v>5.8027079303668572E-4</v>
      </c>
    </row>
    <row r="1254" spans="1:7">
      <c r="A1254" s="47">
        <v>257.17</v>
      </c>
      <c r="B1254" s="47">
        <v>257.60000000000002</v>
      </c>
      <c r="C1254" s="47">
        <v>252.43</v>
      </c>
      <c r="D1254" s="47">
        <v>254.13</v>
      </c>
      <c r="E1254" s="47">
        <v>6370095</v>
      </c>
      <c r="F1254" s="47" t="s">
        <v>1282</v>
      </c>
      <c r="G1254" s="46">
        <f t="shared" si="16"/>
        <v>1.1962381458308746E-2</v>
      </c>
    </row>
    <row r="1255" spans="1:7">
      <c r="A1255" s="47">
        <v>250.69</v>
      </c>
      <c r="B1255" s="47">
        <v>255.21</v>
      </c>
      <c r="C1255" s="47">
        <v>250.41</v>
      </c>
      <c r="D1255" s="47">
        <v>253.80080000000001</v>
      </c>
      <c r="E1255" s="47">
        <v>6842155</v>
      </c>
      <c r="F1255" s="47" t="s">
        <v>1281</v>
      </c>
      <c r="G1255" s="46">
        <f t="shared" si="16"/>
        <v>-1.2256856558371831E-2</v>
      </c>
    </row>
    <row r="1256" spans="1:7">
      <c r="A1256" s="47">
        <v>251.54</v>
      </c>
      <c r="B1256" s="47">
        <v>252.93</v>
      </c>
      <c r="C1256" s="47">
        <v>245.35</v>
      </c>
      <c r="D1256" s="47">
        <v>246.99</v>
      </c>
      <c r="E1256" s="47">
        <v>8112928</v>
      </c>
      <c r="F1256" s="47" t="s">
        <v>1280</v>
      </c>
      <c r="G1256" s="46">
        <f t="shared" si="16"/>
        <v>1.8421798453378546E-2</v>
      </c>
    </row>
    <row r="1257" spans="1:7">
      <c r="A1257" s="47">
        <v>244.63</v>
      </c>
      <c r="B1257" s="47">
        <v>245.34</v>
      </c>
      <c r="C1257" s="47">
        <v>235.11</v>
      </c>
      <c r="D1257" s="47">
        <v>235.86</v>
      </c>
      <c r="E1257" s="47">
        <v>7210456</v>
      </c>
      <c r="F1257" s="47" t="s">
        <v>1279</v>
      </c>
      <c r="G1257" s="46">
        <f t="shared" si="16"/>
        <v>3.7183074705333663E-2</v>
      </c>
    </row>
    <row r="1258" spans="1:7">
      <c r="A1258" s="47">
        <v>243.21</v>
      </c>
      <c r="B1258" s="47">
        <v>247.435</v>
      </c>
      <c r="C1258" s="47">
        <v>242.655</v>
      </c>
      <c r="D1258" s="47">
        <v>243.5</v>
      </c>
      <c r="E1258" s="47">
        <v>4726795</v>
      </c>
      <c r="F1258" s="47" t="s">
        <v>1278</v>
      </c>
      <c r="G1258" s="46">
        <f t="shared" si="16"/>
        <v>-1.1909650924024628E-3</v>
      </c>
    </row>
    <row r="1259" spans="1:7">
      <c r="A1259" s="47">
        <v>244.36</v>
      </c>
      <c r="B1259" s="47">
        <v>246.24</v>
      </c>
      <c r="C1259" s="47">
        <v>240.6</v>
      </c>
      <c r="D1259" s="47">
        <v>245.15</v>
      </c>
      <c r="E1259" s="47">
        <v>5185101</v>
      </c>
      <c r="F1259" s="47" t="s">
        <v>1277</v>
      </c>
      <c r="G1259" s="46">
        <f t="shared" si="16"/>
        <v>-3.2225168264327086E-3</v>
      </c>
    </row>
    <row r="1260" spans="1:7">
      <c r="A1260" s="47">
        <v>246.29</v>
      </c>
      <c r="B1260" s="47">
        <v>247.12</v>
      </c>
      <c r="C1260" s="47">
        <v>242.27</v>
      </c>
      <c r="D1260" s="47">
        <v>244.0188</v>
      </c>
      <c r="E1260" s="47">
        <v>6729725</v>
      </c>
      <c r="F1260" s="47" t="s">
        <v>1276</v>
      </c>
      <c r="G1260" s="46">
        <f t="shared" si="16"/>
        <v>9.3074795876382233E-3</v>
      </c>
    </row>
    <row r="1261" spans="1:7">
      <c r="A1261" s="47">
        <v>240.8</v>
      </c>
      <c r="B1261" s="47">
        <v>245.68</v>
      </c>
      <c r="C1261" s="47">
        <v>237.8</v>
      </c>
      <c r="D1261" s="47">
        <v>241.92</v>
      </c>
      <c r="E1261" s="47">
        <v>7274043</v>
      </c>
      <c r="F1261" s="47" t="s">
        <v>1275</v>
      </c>
      <c r="G1261" s="46">
        <f t="shared" si="16"/>
        <v>-4.6296296296295392E-3</v>
      </c>
    </row>
    <row r="1262" spans="1:7">
      <c r="A1262" s="47">
        <v>239.91</v>
      </c>
      <c r="B1262" s="47">
        <v>246.5</v>
      </c>
      <c r="C1262" s="47">
        <v>238.82</v>
      </c>
      <c r="D1262" s="47">
        <v>240.5889</v>
      </c>
      <c r="E1262" s="47">
        <v>8649753</v>
      </c>
      <c r="F1262" s="47" t="s">
        <v>1274</v>
      </c>
      <c r="G1262" s="46">
        <f t="shared" si="16"/>
        <v>-2.821825944588463E-3</v>
      </c>
    </row>
    <row r="1263" spans="1:7">
      <c r="A1263" s="47">
        <v>248.6</v>
      </c>
      <c r="B1263" s="47">
        <v>250.55529999999999</v>
      </c>
      <c r="C1263" s="47">
        <v>233.61</v>
      </c>
      <c r="D1263" s="47">
        <v>235</v>
      </c>
      <c r="E1263" s="47">
        <v>9258171</v>
      </c>
      <c r="F1263" s="47" t="s">
        <v>1273</v>
      </c>
      <c r="G1263" s="46">
        <f t="shared" si="16"/>
        <v>5.787234042553191E-2</v>
      </c>
    </row>
    <row r="1264" spans="1:7">
      <c r="A1264" s="47">
        <v>243.63</v>
      </c>
      <c r="B1264" s="47">
        <v>252.41</v>
      </c>
      <c r="C1264" s="47">
        <v>243.45</v>
      </c>
      <c r="D1264" s="47">
        <v>252.01490000000001</v>
      </c>
      <c r="E1264" s="47">
        <v>8909232</v>
      </c>
      <c r="F1264" s="47" t="s">
        <v>1272</v>
      </c>
      <c r="G1264" s="46">
        <f t="shared" si="16"/>
        <v>-3.3271445458185278E-2</v>
      </c>
    </row>
    <row r="1265" spans="1:7">
      <c r="A1265" s="47">
        <v>253.36</v>
      </c>
      <c r="B1265" s="47">
        <v>258.64</v>
      </c>
      <c r="C1265" s="47">
        <v>251.64</v>
      </c>
      <c r="D1265" s="47">
        <v>255.92</v>
      </c>
      <c r="E1265" s="47">
        <v>10170019</v>
      </c>
      <c r="F1265" s="47" t="s">
        <v>1271</v>
      </c>
      <c r="G1265" s="46">
        <f t="shared" si="16"/>
        <v>-1.0003125976867699E-2</v>
      </c>
    </row>
    <row r="1266" spans="1:7">
      <c r="A1266" s="47">
        <v>252.02</v>
      </c>
      <c r="B1266" s="47">
        <v>256.30939999999998</v>
      </c>
      <c r="C1266" s="47">
        <v>245.11</v>
      </c>
      <c r="D1266" s="47">
        <v>256</v>
      </c>
      <c r="E1266" s="47">
        <v>17998727</v>
      </c>
      <c r="F1266" s="47" t="s">
        <v>1270</v>
      </c>
      <c r="G1266" s="46">
        <f t="shared" si="16"/>
        <v>-1.554687499999996E-2</v>
      </c>
    </row>
    <row r="1267" spans="1:7">
      <c r="A1267" s="47">
        <v>247.4</v>
      </c>
      <c r="B1267" s="47">
        <v>254.92</v>
      </c>
      <c r="C1267" s="47">
        <v>246.245</v>
      </c>
      <c r="D1267" s="47">
        <v>254.92</v>
      </c>
      <c r="E1267" s="47">
        <v>9507304</v>
      </c>
      <c r="F1267" s="47" t="s">
        <v>1269</v>
      </c>
      <c r="G1267" s="46">
        <f t="shared" si="16"/>
        <v>-2.9499450808096572E-2</v>
      </c>
    </row>
    <row r="1268" spans="1:7">
      <c r="A1268" s="47">
        <v>250.16</v>
      </c>
      <c r="B1268" s="47">
        <v>256.8</v>
      </c>
      <c r="C1268" s="47">
        <v>246.65010000000001</v>
      </c>
      <c r="D1268" s="47">
        <v>255.73</v>
      </c>
      <c r="E1268" s="47">
        <v>9217267</v>
      </c>
      <c r="F1268" s="47" t="s">
        <v>1268</v>
      </c>
      <c r="G1268" s="46">
        <f t="shared" si="16"/>
        <v>-2.1780784421069121E-2</v>
      </c>
    </row>
    <row r="1269" spans="1:7">
      <c r="A1269" s="47">
        <v>259.08999999999997</v>
      </c>
      <c r="B1269" s="47">
        <v>265.8</v>
      </c>
      <c r="C1269" s="47">
        <v>256.18</v>
      </c>
      <c r="D1269" s="47">
        <v>265.06</v>
      </c>
      <c r="E1269" s="47">
        <v>7522024</v>
      </c>
      <c r="F1269" s="47" t="s">
        <v>1267</v>
      </c>
      <c r="G1269" s="46">
        <f t="shared" si="16"/>
        <v>-2.2523202293820321E-2</v>
      </c>
    </row>
    <row r="1270" spans="1:7">
      <c r="A1270" s="47">
        <v>262.29000000000002</v>
      </c>
      <c r="B1270" s="47">
        <v>266.1499</v>
      </c>
      <c r="C1270" s="47">
        <v>261.60000000000002</v>
      </c>
      <c r="D1270" s="47">
        <v>265</v>
      </c>
      <c r="E1270" s="47">
        <v>6594463</v>
      </c>
      <c r="F1270" s="47" t="s">
        <v>1266</v>
      </c>
      <c r="G1270" s="46">
        <f t="shared" si="16"/>
        <v>-1.0226415094339525E-2</v>
      </c>
    </row>
    <row r="1271" spans="1:7">
      <c r="A1271" s="47">
        <v>267.85000000000002</v>
      </c>
      <c r="B1271" s="47">
        <v>273.87</v>
      </c>
      <c r="C1271" s="47">
        <v>263.52999999999997</v>
      </c>
      <c r="D1271" s="47">
        <v>273.26</v>
      </c>
      <c r="E1271" s="47">
        <v>5663677</v>
      </c>
      <c r="F1271" s="47" t="s">
        <v>1265</v>
      </c>
      <c r="G1271" s="46">
        <f t="shared" si="16"/>
        <v>-1.9797994583912626E-2</v>
      </c>
    </row>
    <row r="1272" spans="1:7">
      <c r="A1272" s="47">
        <v>271.08999999999997</v>
      </c>
      <c r="B1272" s="47">
        <v>275.25</v>
      </c>
      <c r="C1272" s="47">
        <v>267.17</v>
      </c>
      <c r="D1272" s="47">
        <v>268.75799999999998</v>
      </c>
      <c r="E1272" s="47">
        <v>5530309</v>
      </c>
      <c r="F1272" s="47" t="s">
        <v>1264</v>
      </c>
      <c r="G1272" s="46">
        <f t="shared" si="16"/>
        <v>8.6769510116908588E-3</v>
      </c>
    </row>
    <row r="1273" spans="1:7">
      <c r="A1273" s="47">
        <v>268.82</v>
      </c>
      <c r="B1273" s="47">
        <v>273.82</v>
      </c>
      <c r="C1273" s="47">
        <v>268.02999999999997</v>
      </c>
      <c r="D1273" s="47">
        <v>272.05</v>
      </c>
      <c r="E1273" s="47">
        <v>4296187</v>
      </c>
      <c r="F1273" s="47" t="s">
        <v>1263</v>
      </c>
      <c r="G1273" s="46">
        <f t="shared" si="16"/>
        <v>-1.1872817496783705E-2</v>
      </c>
    </row>
    <row r="1274" spans="1:7">
      <c r="A1274" s="47">
        <v>271.72000000000003</v>
      </c>
      <c r="B1274" s="47">
        <v>271.75</v>
      </c>
      <c r="C1274" s="47">
        <v>265.92</v>
      </c>
      <c r="D1274" s="47">
        <v>266.66000000000003</v>
      </c>
      <c r="E1274" s="47">
        <v>5327779</v>
      </c>
      <c r="F1274" s="47" t="s">
        <v>1262</v>
      </c>
      <c r="G1274" s="46">
        <f t="shared" ref="G1274:G1337" si="17">A1274/D1274-1</f>
        <v>1.8975474386859759E-2</v>
      </c>
    </row>
    <row r="1275" spans="1:7">
      <c r="A1275" s="47">
        <v>266.02999999999997</v>
      </c>
      <c r="B1275" s="47">
        <v>267.79000000000002</v>
      </c>
      <c r="C1275" s="47">
        <v>260.97000000000003</v>
      </c>
      <c r="D1275" s="47">
        <v>260.97000000000003</v>
      </c>
      <c r="E1275" s="47">
        <v>6299063</v>
      </c>
      <c r="F1275" s="47" t="s">
        <v>1261</v>
      </c>
      <c r="G1275" s="46">
        <f t="shared" si="17"/>
        <v>1.9389201823964308E-2</v>
      </c>
    </row>
    <row r="1276" spans="1:7">
      <c r="A1276" s="47">
        <v>262.27</v>
      </c>
      <c r="B1276" s="47">
        <v>268.16000000000003</v>
      </c>
      <c r="C1276" s="47">
        <v>259.39999999999998</v>
      </c>
      <c r="D1276" s="47">
        <v>265.13</v>
      </c>
      <c r="E1276" s="47">
        <v>5983169</v>
      </c>
      <c r="F1276" s="47" t="s">
        <v>1260</v>
      </c>
      <c r="G1276" s="46">
        <f t="shared" si="17"/>
        <v>-1.0787161015351043E-2</v>
      </c>
    </row>
    <row r="1277" spans="1:7">
      <c r="A1277" s="47">
        <v>264.89</v>
      </c>
      <c r="B1277" s="47">
        <v>266</v>
      </c>
      <c r="C1277" s="47">
        <v>259.27</v>
      </c>
      <c r="D1277" s="47">
        <v>261.41000000000003</v>
      </c>
      <c r="E1277" s="47">
        <v>4669053</v>
      </c>
      <c r="F1277" s="47" t="s">
        <v>1259</v>
      </c>
      <c r="G1277" s="46">
        <f t="shared" si="17"/>
        <v>1.3312421100952321E-2</v>
      </c>
    </row>
    <row r="1278" spans="1:7">
      <c r="A1278" s="47">
        <v>264.43</v>
      </c>
      <c r="B1278" s="47">
        <v>272.58</v>
      </c>
      <c r="C1278" s="47">
        <v>262.24</v>
      </c>
      <c r="D1278" s="47">
        <v>269.62</v>
      </c>
      <c r="E1278" s="47">
        <v>6208389</v>
      </c>
      <c r="F1278" s="47" t="s">
        <v>1258</v>
      </c>
      <c r="G1278" s="46">
        <f t="shared" si="17"/>
        <v>-1.9249313849120986E-2</v>
      </c>
    </row>
    <row r="1279" spans="1:7">
      <c r="A1279" s="47">
        <v>267.91000000000003</v>
      </c>
      <c r="B1279" s="47">
        <v>268.5</v>
      </c>
      <c r="C1279" s="47">
        <v>263.89999999999998</v>
      </c>
      <c r="D1279" s="47">
        <v>267.13</v>
      </c>
      <c r="E1279" s="47">
        <v>5258204</v>
      </c>
      <c r="F1279" s="47" t="s">
        <v>1257</v>
      </c>
      <c r="G1279" s="46">
        <f t="shared" si="17"/>
        <v>2.919926627484859E-3</v>
      </c>
    </row>
    <row r="1280" spans="1:7">
      <c r="A1280" s="47">
        <v>269.87</v>
      </c>
      <c r="B1280" s="47">
        <v>274.14999999999998</v>
      </c>
      <c r="C1280" s="47">
        <v>268.58999999999997</v>
      </c>
      <c r="D1280" s="47">
        <v>273.16000000000003</v>
      </c>
      <c r="E1280" s="47">
        <v>6061589</v>
      </c>
      <c r="F1280" s="47" t="s">
        <v>1256</v>
      </c>
      <c r="G1280" s="46">
        <f t="shared" si="17"/>
        <v>-1.204422316591014E-2</v>
      </c>
    </row>
    <row r="1281" spans="1:7">
      <c r="A1281" s="47">
        <v>274</v>
      </c>
      <c r="B1281" s="47">
        <v>276.12</v>
      </c>
      <c r="C1281" s="47">
        <v>270.16000000000003</v>
      </c>
      <c r="D1281" s="47">
        <v>271.36</v>
      </c>
      <c r="E1281" s="47">
        <v>7542765</v>
      </c>
      <c r="F1281" s="47" t="s">
        <v>1255</v>
      </c>
      <c r="G1281" s="46">
        <f t="shared" si="17"/>
        <v>9.7287735849056478E-3</v>
      </c>
    </row>
    <row r="1282" spans="1:7">
      <c r="A1282" s="47">
        <v>267.20999999999998</v>
      </c>
      <c r="B1282" s="47">
        <v>277.86</v>
      </c>
      <c r="C1282" s="47">
        <v>266.2</v>
      </c>
      <c r="D1282" s="47">
        <v>275.83999999999997</v>
      </c>
      <c r="E1282" s="47">
        <v>8507211</v>
      </c>
      <c r="F1282" s="47" t="s">
        <v>1254</v>
      </c>
      <c r="G1282" s="46">
        <f t="shared" si="17"/>
        <v>-3.1286252900232014E-2</v>
      </c>
    </row>
    <row r="1283" spans="1:7">
      <c r="A1283" s="47">
        <v>275.43</v>
      </c>
      <c r="B1283" s="47">
        <v>276.87</v>
      </c>
      <c r="C1283" s="47">
        <v>271</v>
      </c>
      <c r="D1283" s="47">
        <v>271.26650000000001</v>
      </c>
      <c r="E1283" s="47">
        <v>7284375</v>
      </c>
      <c r="F1283" s="47" t="s">
        <v>1253</v>
      </c>
      <c r="G1283" s="46">
        <f t="shared" si="17"/>
        <v>1.5348375121881919E-2</v>
      </c>
    </row>
    <row r="1284" spans="1:7">
      <c r="A1284" s="47">
        <v>269.02999999999997</v>
      </c>
      <c r="B1284" s="47">
        <v>270.33</v>
      </c>
      <c r="C1284" s="47">
        <v>262.58999999999997</v>
      </c>
      <c r="D1284" s="47">
        <v>265.39</v>
      </c>
      <c r="E1284" s="47">
        <v>6681204</v>
      </c>
      <c r="F1284" s="47" t="s">
        <v>1252</v>
      </c>
      <c r="G1284" s="46">
        <f t="shared" si="17"/>
        <v>1.371566374015587E-2</v>
      </c>
    </row>
    <row r="1285" spans="1:7">
      <c r="A1285" s="47">
        <v>266.77</v>
      </c>
      <c r="B1285" s="47">
        <v>266.94</v>
      </c>
      <c r="C1285" s="47">
        <v>261.38</v>
      </c>
      <c r="D1285" s="47">
        <v>262.98</v>
      </c>
      <c r="E1285" s="47">
        <v>6689731</v>
      </c>
      <c r="F1285" s="47" t="s">
        <v>1251</v>
      </c>
      <c r="G1285" s="46">
        <f t="shared" si="17"/>
        <v>1.4411742337820277E-2</v>
      </c>
    </row>
    <row r="1286" spans="1:7">
      <c r="A1286" s="47">
        <v>264.5</v>
      </c>
      <c r="B1286" s="47">
        <v>265</v>
      </c>
      <c r="C1286" s="47">
        <v>258.17</v>
      </c>
      <c r="D1286" s="47">
        <v>260.16000000000003</v>
      </c>
      <c r="E1286" s="47">
        <v>9059072</v>
      </c>
      <c r="F1286" s="47" t="s">
        <v>1250</v>
      </c>
      <c r="G1286" s="46">
        <f t="shared" si="17"/>
        <v>1.6682041820418103E-2</v>
      </c>
    </row>
    <row r="1287" spans="1:7">
      <c r="A1287" s="47">
        <v>255.6</v>
      </c>
      <c r="B1287" s="47">
        <v>259.22000000000003</v>
      </c>
      <c r="C1287" s="47">
        <v>251.07</v>
      </c>
      <c r="D1287" s="47">
        <v>253.07499999999999</v>
      </c>
      <c r="E1287" s="47">
        <v>7243248</v>
      </c>
      <c r="F1287" s="47" t="s">
        <v>1249</v>
      </c>
      <c r="G1287" s="46">
        <f t="shared" si="17"/>
        <v>9.9772794626098449E-3</v>
      </c>
    </row>
    <row r="1288" spans="1:7">
      <c r="A1288" s="47">
        <v>253.19</v>
      </c>
      <c r="B1288" s="47">
        <v>255</v>
      </c>
      <c r="C1288" s="47">
        <v>249.5</v>
      </c>
      <c r="D1288" s="47">
        <v>251.65</v>
      </c>
      <c r="E1288" s="47">
        <v>5580356</v>
      </c>
      <c r="F1288" s="47" t="s">
        <v>1248</v>
      </c>
      <c r="G1288" s="46">
        <f t="shared" si="17"/>
        <v>6.1196105702363557E-3</v>
      </c>
    </row>
    <row r="1289" spans="1:7">
      <c r="A1289" s="47">
        <v>251.02</v>
      </c>
      <c r="B1289" s="47">
        <v>251.76</v>
      </c>
      <c r="C1289" s="47">
        <v>245.7</v>
      </c>
      <c r="D1289" s="47">
        <v>250.51</v>
      </c>
      <c r="E1289" s="47">
        <v>5744396</v>
      </c>
      <c r="F1289" s="47" t="s">
        <v>1247</v>
      </c>
      <c r="G1289" s="46">
        <f t="shared" si="17"/>
        <v>2.0358468723804535E-3</v>
      </c>
    </row>
    <row r="1290" spans="1:7">
      <c r="A1290" s="47">
        <v>247.54</v>
      </c>
      <c r="B1290" s="47">
        <v>252.64920000000001</v>
      </c>
      <c r="C1290" s="47">
        <v>246.04</v>
      </c>
      <c r="D1290" s="47">
        <v>248.04</v>
      </c>
      <c r="E1290" s="47">
        <v>6990135</v>
      </c>
      <c r="F1290" s="47" t="s">
        <v>1246</v>
      </c>
      <c r="G1290" s="46">
        <f t="shared" si="17"/>
        <v>-2.0158039025963692E-3</v>
      </c>
    </row>
    <row r="1291" spans="1:7">
      <c r="A1291" s="47">
        <v>242.84</v>
      </c>
      <c r="B1291" s="47">
        <v>245.23</v>
      </c>
      <c r="C1291" s="47">
        <v>237.27</v>
      </c>
      <c r="D1291" s="47">
        <v>238.11</v>
      </c>
      <c r="E1291" s="47">
        <v>7633372</v>
      </c>
      <c r="F1291" s="47" t="s">
        <v>1245</v>
      </c>
      <c r="G1291" s="46">
        <f t="shared" si="17"/>
        <v>1.9864768384360021E-2</v>
      </c>
    </row>
    <row r="1292" spans="1:7">
      <c r="A1292" s="47">
        <v>236.54</v>
      </c>
      <c r="B1292" s="47">
        <v>238.36</v>
      </c>
      <c r="C1292" s="47">
        <v>232.6301</v>
      </c>
      <c r="D1292" s="47">
        <v>236.88</v>
      </c>
      <c r="E1292" s="47">
        <v>6241995</v>
      </c>
      <c r="F1292" s="47" t="s">
        <v>1244</v>
      </c>
      <c r="G1292" s="46">
        <f t="shared" si="17"/>
        <v>-1.435325903411E-3</v>
      </c>
    </row>
    <row r="1293" spans="1:7">
      <c r="A1293" s="47">
        <v>235.67</v>
      </c>
      <c r="B1293" s="47">
        <v>243.2</v>
      </c>
      <c r="C1293" s="47">
        <v>233.61</v>
      </c>
      <c r="D1293" s="47">
        <v>241.58</v>
      </c>
      <c r="E1293" s="47">
        <v>7510936</v>
      </c>
      <c r="F1293" s="47" t="s">
        <v>1243</v>
      </c>
      <c r="G1293" s="46">
        <f t="shared" si="17"/>
        <v>-2.4463945690868516E-2</v>
      </c>
    </row>
    <row r="1294" spans="1:7">
      <c r="A1294" s="47">
        <v>241.03</v>
      </c>
      <c r="B1294" s="47">
        <v>241.31</v>
      </c>
      <c r="C1294" s="47">
        <v>232.3</v>
      </c>
      <c r="D1294" s="47">
        <v>233.61869999999999</v>
      </c>
      <c r="E1294" s="47">
        <v>8217621</v>
      </c>
      <c r="F1294" s="47" t="s">
        <v>1242</v>
      </c>
      <c r="G1294" s="46">
        <f t="shared" si="17"/>
        <v>3.1723915936523905E-2</v>
      </c>
    </row>
    <row r="1295" spans="1:7">
      <c r="A1295" s="47">
        <v>234.24</v>
      </c>
      <c r="B1295" s="47">
        <v>235.34</v>
      </c>
      <c r="C1295" s="47">
        <v>227.52</v>
      </c>
      <c r="D1295" s="47">
        <v>232.63</v>
      </c>
      <c r="E1295" s="47">
        <v>8846639</v>
      </c>
      <c r="F1295" s="47" t="s">
        <v>1241</v>
      </c>
      <c r="G1295" s="46">
        <f t="shared" si="17"/>
        <v>6.9208614538107671E-3</v>
      </c>
    </row>
    <row r="1296" spans="1:7">
      <c r="A1296" s="47">
        <v>234.27</v>
      </c>
      <c r="B1296" s="47">
        <v>244.97</v>
      </c>
      <c r="C1296" s="47">
        <v>233.76</v>
      </c>
      <c r="D1296" s="47">
        <v>244.49039999999999</v>
      </c>
      <c r="E1296" s="47">
        <v>6097320</v>
      </c>
      <c r="F1296" s="47" t="s">
        <v>1240</v>
      </c>
      <c r="G1296" s="46">
        <f t="shared" si="17"/>
        <v>-4.1802868333480458E-2</v>
      </c>
    </row>
    <row r="1297" spans="1:7">
      <c r="A1297" s="47">
        <v>243.77</v>
      </c>
      <c r="B1297" s="47">
        <v>246.84</v>
      </c>
      <c r="C1297" s="47">
        <v>242.25</v>
      </c>
      <c r="D1297" s="47">
        <v>245.55</v>
      </c>
      <c r="E1297" s="47">
        <v>5093181</v>
      </c>
      <c r="F1297" s="47" t="s">
        <v>1239</v>
      </c>
      <c r="G1297" s="46">
        <f t="shared" si="17"/>
        <v>-7.2490327835471602E-3</v>
      </c>
    </row>
    <row r="1298" spans="1:7">
      <c r="A1298" s="47">
        <v>244.38499999999999</v>
      </c>
      <c r="B1298" s="47">
        <v>246.95</v>
      </c>
      <c r="C1298" s="47">
        <v>240.85</v>
      </c>
      <c r="D1298" s="47">
        <v>242.03</v>
      </c>
      <c r="E1298" s="47">
        <v>5790225</v>
      </c>
      <c r="F1298" s="47" t="s">
        <v>1238</v>
      </c>
      <c r="G1298" s="46">
        <f t="shared" si="17"/>
        <v>9.7301987356939179E-3</v>
      </c>
    </row>
    <row r="1299" spans="1:7">
      <c r="A1299" s="47">
        <v>241.28</v>
      </c>
      <c r="B1299" s="47">
        <v>243.15</v>
      </c>
      <c r="C1299" s="47">
        <v>237.13</v>
      </c>
      <c r="D1299" s="47">
        <v>239.63</v>
      </c>
      <c r="E1299" s="47">
        <v>10555120</v>
      </c>
      <c r="F1299" s="47" t="s">
        <v>1237</v>
      </c>
      <c r="G1299" s="46">
        <f t="shared" si="17"/>
        <v>6.8856153236238615E-3</v>
      </c>
    </row>
    <row r="1300" spans="1:7">
      <c r="A1300" s="47">
        <v>238.41</v>
      </c>
      <c r="B1300" s="47">
        <v>247.27</v>
      </c>
      <c r="C1300" s="47">
        <v>237.8</v>
      </c>
      <c r="D1300" s="47">
        <v>246.46</v>
      </c>
      <c r="E1300" s="47">
        <v>9331202</v>
      </c>
      <c r="F1300" s="47" t="s">
        <v>1236</v>
      </c>
      <c r="G1300" s="46">
        <f t="shared" si="17"/>
        <v>-3.266250101436341E-2</v>
      </c>
    </row>
    <row r="1301" spans="1:7">
      <c r="A1301" s="47">
        <v>251.47</v>
      </c>
      <c r="B1301" s="47">
        <v>254.46109999999999</v>
      </c>
      <c r="C1301" s="47">
        <v>242.9</v>
      </c>
      <c r="D1301" s="47">
        <v>245.84</v>
      </c>
      <c r="E1301" s="47">
        <v>6340146</v>
      </c>
      <c r="F1301" s="47" t="s">
        <v>1235</v>
      </c>
      <c r="G1301" s="46">
        <f t="shared" si="17"/>
        <v>2.2901073869183275E-2</v>
      </c>
    </row>
    <row r="1302" spans="1:7">
      <c r="A1302" s="47">
        <v>249.31</v>
      </c>
      <c r="B1302" s="47">
        <v>254.78</v>
      </c>
      <c r="C1302" s="47">
        <v>247.55</v>
      </c>
      <c r="D1302" s="47">
        <v>253.42</v>
      </c>
      <c r="E1302" s="47">
        <v>7370425</v>
      </c>
      <c r="F1302" s="47" t="s">
        <v>1234</v>
      </c>
      <c r="G1302" s="46">
        <f t="shared" si="17"/>
        <v>-1.6218135900875952E-2</v>
      </c>
    </row>
    <row r="1303" spans="1:7">
      <c r="A1303" s="47">
        <v>249.98</v>
      </c>
      <c r="B1303" s="47">
        <v>252</v>
      </c>
      <c r="C1303" s="47">
        <v>246.79</v>
      </c>
      <c r="D1303" s="47">
        <v>251.41820000000001</v>
      </c>
      <c r="E1303" s="47">
        <v>7065138</v>
      </c>
      <c r="F1303" s="47" t="s">
        <v>1233</v>
      </c>
      <c r="G1303" s="46">
        <f t="shared" si="17"/>
        <v>-5.7203496007847132E-3</v>
      </c>
    </row>
    <row r="1304" spans="1:7">
      <c r="A1304" s="47">
        <v>250.35</v>
      </c>
      <c r="B1304" s="47">
        <v>251.548</v>
      </c>
      <c r="C1304" s="47">
        <v>244.30260000000001</v>
      </c>
      <c r="D1304" s="47">
        <v>249.49</v>
      </c>
      <c r="E1304" s="47">
        <v>7609684</v>
      </c>
      <c r="F1304" s="47" t="s">
        <v>1232</v>
      </c>
      <c r="G1304" s="46">
        <f t="shared" si="17"/>
        <v>3.4470319451680442E-3</v>
      </c>
    </row>
    <row r="1305" spans="1:7">
      <c r="A1305" s="47">
        <v>253.83</v>
      </c>
      <c r="B1305" s="47">
        <v>254.92</v>
      </c>
      <c r="C1305" s="47">
        <v>246.53</v>
      </c>
      <c r="D1305" s="47">
        <v>247.12</v>
      </c>
      <c r="E1305" s="47">
        <v>9234249</v>
      </c>
      <c r="F1305" s="47" t="s">
        <v>1231</v>
      </c>
      <c r="G1305" s="46">
        <f t="shared" si="17"/>
        <v>2.7152800258983589E-2</v>
      </c>
    </row>
    <row r="1306" spans="1:7">
      <c r="A1306" s="47">
        <v>242.07</v>
      </c>
      <c r="B1306" s="47">
        <v>249.96</v>
      </c>
      <c r="C1306" s="47">
        <v>241.27</v>
      </c>
      <c r="D1306" s="47">
        <v>249.31</v>
      </c>
      <c r="E1306" s="47">
        <v>9507992</v>
      </c>
      <c r="F1306" s="47" t="s">
        <v>1230</v>
      </c>
      <c r="G1306" s="46">
        <f t="shared" si="17"/>
        <v>-2.9040150816252885E-2</v>
      </c>
    </row>
    <row r="1307" spans="1:7">
      <c r="A1307" s="47">
        <v>241.76</v>
      </c>
      <c r="B1307" s="47">
        <v>244.44</v>
      </c>
      <c r="C1307" s="47">
        <v>236.04</v>
      </c>
      <c r="D1307" s="47">
        <v>240.98</v>
      </c>
      <c r="E1307" s="47">
        <v>12071203</v>
      </c>
      <c r="F1307" s="47" t="s">
        <v>1229</v>
      </c>
      <c r="G1307" s="46">
        <f t="shared" si="17"/>
        <v>3.236783135529997E-3</v>
      </c>
    </row>
    <row r="1308" spans="1:7">
      <c r="A1308" s="47">
        <v>226.09</v>
      </c>
      <c r="B1308" s="47">
        <v>241.33</v>
      </c>
      <c r="C1308" s="47">
        <v>225.65</v>
      </c>
      <c r="D1308" s="47">
        <v>239</v>
      </c>
      <c r="E1308" s="47">
        <v>13340269</v>
      </c>
      <c r="F1308" s="47" t="s">
        <v>1228</v>
      </c>
      <c r="G1308" s="46">
        <f t="shared" si="17"/>
        <v>-5.4016736401673593E-2</v>
      </c>
    </row>
    <row r="1309" spans="1:7">
      <c r="A1309" s="47">
        <v>239.05</v>
      </c>
      <c r="B1309" s="47">
        <v>243.74799999999999</v>
      </c>
      <c r="C1309" s="47">
        <v>223.09</v>
      </c>
      <c r="D1309" s="47">
        <v>243.12</v>
      </c>
      <c r="E1309" s="47">
        <v>16830228</v>
      </c>
      <c r="F1309" s="47" t="s">
        <v>1227</v>
      </c>
      <c r="G1309" s="46">
        <f t="shared" si="17"/>
        <v>-1.6740704179006194E-2</v>
      </c>
    </row>
    <row r="1310" spans="1:7">
      <c r="A1310" s="47">
        <v>239.07</v>
      </c>
      <c r="B1310" s="47">
        <v>254.8</v>
      </c>
      <c r="C1310" s="47">
        <v>232.27</v>
      </c>
      <c r="D1310" s="47">
        <v>251.76</v>
      </c>
      <c r="E1310" s="47">
        <v>18878783</v>
      </c>
      <c r="F1310" s="47" t="s">
        <v>1226</v>
      </c>
      <c r="G1310" s="46">
        <f t="shared" si="17"/>
        <v>-5.0405147759771229E-2</v>
      </c>
    </row>
    <row r="1311" spans="1:7">
      <c r="A1311" s="47">
        <v>255.06</v>
      </c>
      <c r="B1311" s="47">
        <v>267.65989999999999</v>
      </c>
      <c r="C1311" s="47">
        <v>253.25</v>
      </c>
      <c r="D1311" s="47">
        <v>265.02</v>
      </c>
      <c r="E1311" s="47">
        <v>10841763</v>
      </c>
      <c r="F1311" s="47" t="s">
        <v>1225</v>
      </c>
      <c r="G1311" s="46">
        <f t="shared" si="17"/>
        <v>-3.7582069277790286E-2</v>
      </c>
    </row>
    <row r="1312" spans="1:7">
      <c r="A1312" s="47">
        <v>269.19</v>
      </c>
      <c r="B1312" s="47">
        <v>277.5</v>
      </c>
      <c r="C1312" s="47">
        <v>268.91000000000003</v>
      </c>
      <c r="D1312" s="47">
        <v>275.95999999999998</v>
      </c>
      <c r="E1312" s="47">
        <v>8484874</v>
      </c>
      <c r="F1312" s="47" t="s">
        <v>1224</v>
      </c>
      <c r="G1312" s="46">
        <f t="shared" si="17"/>
        <v>-2.4532540947963422E-2</v>
      </c>
    </row>
    <row r="1313" spans="1:7">
      <c r="A1313" s="47">
        <v>273.63</v>
      </c>
      <c r="B1313" s="47">
        <v>274.54000000000002</v>
      </c>
      <c r="C1313" s="47">
        <v>265.72000000000003</v>
      </c>
      <c r="D1313" s="47">
        <v>268.89499999999998</v>
      </c>
      <c r="E1313" s="47">
        <v>10558514</v>
      </c>
      <c r="F1313" s="47" t="s">
        <v>1223</v>
      </c>
      <c r="G1313" s="46">
        <f t="shared" si="17"/>
        <v>1.760910392532411E-2</v>
      </c>
    </row>
    <row r="1314" spans="1:7">
      <c r="A1314" s="47">
        <v>259.85000000000002</v>
      </c>
      <c r="B1314" s="47">
        <v>261.86</v>
      </c>
      <c r="C1314" s="47">
        <v>253.11420000000001</v>
      </c>
      <c r="D1314" s="47">
        <v>257.45</v>
      </c>
      <c r="E1314" s="47">
        <v>11915229</v>
      </c>
      <c r="F1314" s="47" t="s">
        <v>1222</v>
      </c>
      <c r="G1314" s="46">
        <f t="shared" si="17"/>
        <v>9.3221984851428186E-3</v>
      </c>
    </row>
    <row r="1315" spans="1:7">
      <c r="A1315" s="47">
        <v>253.94</v>
      </c>
      <c r="B1315" s="47">
        <v>266</v>
      </c>
      <c r="C1315" s="47">
        <v>251.42</v>
      </c>
      <c r="D1315" s="47">
        <v>262.76</v>
      </c>
      <c r="E1315" s="47">
        <v>13403264</v>
      </c>
      <c r="F1315" s="47" t="s">
        <v>1221</v>
      </c>
      <c r="G1315" s="46">
        <f t="shared" si="17"/>
        <v>-3.3566752930430765E-2</v>
      </c>
    </row>
    <row r="1316" spans="1:7">
      <c r="A1316" s="47">
        <v>266.07</v>
      </c>
      <c r="B1316" s="47">
        <v>268.6662</v>
      </c>
      <c r="C1316" s="47">
        <v>259.1001</v>
      </c>
      <c r="D1316" s="47">
        <v>266.10500000000002</v>
      </c>
      <c r="E1316" s="47">
        <v>10839984</v>
      </c>
      <c r="F1316" s="47" t="s">
        <v>1220</v>
      </c>
      <c r="G1316" s="46">
        <f t="shared" si="17"/>
        <v>-1.3152702880447897E-4</v>
      </c>
    </row>
    <row r="1317" spans="1:7">
      <c r="A1317" s="47">
        <v>265</v>
      </c>
      <c r="B1317" s="47">
        <v>267.25</v>
      </c>
      <c r="C1317" s="47">
        <v>252.56</v>
      </c>
      <c r="D1317" s="47">
        <v>259.69</v>
      </c>
      <c r="E1317" s="47">
        <v>20440281</v>
      </c>
      <c r="F1317" s="47" t="s">
        <v>1219</v>
      </c>
      <c r="G1317" s="46">
        <f t="shared" si="17"/>
        <v>2.0447456582848744E-2</v>
      </c>
    </row>
    <row r="1318" spans="1:7">
      <c r="A1318" s="47">
        <v>273.85000000000002</v>
      </c>
      <c r="B1318" s="47">
        <v>285</v>
      </c>
      <c r="C1318" s="47">
        <v>273.29000000000002</v>
      </c>
      <c r="D1318" s="47">
        <v>281.42</v>
      </c>
      <c r="E1318" s="47">
        <v>13132453</v>
      </c>
      <c r="F1318" s="47" t="s">
        <v>1218</v>
      </c>
      <c r="G1318" s="46">
        <f t="shared" si="17"/>
        <v>-2.6899296425271779E-2</v>
      </c>
    </row>
    <row r="1319" spans="1:7">
      <c r="A1319" s="47">
        <v>286.92</v>
      </c>
      <c r="B1319" s="47">
        <v>293.94</v>
      </c>
      <c r="C1319" s="47">
        <v>285.45999999999998</v>
      </c>
      <c r="D1319" s="47">
        <v>292.12</v>
      </c>
      <c r="E1319" s="47">
        <v>9413810</v>
      </c>
      <c r="F1319" s="47" t="s">
        <v>1217</v>
      </c>
      <c r="G1319" s="46">
        <f t="shared" si="17"/>
        <v>-1.7800903738189766E-2</v>
      </c>
    </row>
    <row r="1320" spans="1:7">
      <c r="A1320" s="47">
        <v>290.81</v>
      </c>
      <c r="B1320" s="47">
        <v>292.97000000000003</v>
      </c>
      <c r="C1320" s="47">
        <v>285.02999999999997</v>
      </c>
      <c r="D1320" s="47">
        <v>291.13</v>
      </c>
      <c r="E1320" s="47">
        <v>9715481</v>
      </c>
      <c r="F1320" s="47" t="s">
        <v>1216</v>
      </c>
      <c r="G1320" s="46">
        <f t="shared" si="17"/>
        <v>-1.099165321334139E-3</v>
      </c>
    </row>
    <row r="1321" spans="1:7">
      <c r="A1321" s="47">
        <v>297.2</v>
      </c>
      <c r="B1321" s="47">
        <v>301.5</v>
      </c>
      <c r="C1321" s="47">
        <v>290.56</v>
      </c>
      <c r="D1321" s="47">
        <v>297.63</v>
      </c>
      <c r="E1321" s="47">
        <v>9879846</v>
      </c>
      <c r="F1321" s="47" t="s">
        <v>1215</v>
      </c>
      <c r="G1321" s="46">
        <f t="shared" si="17"/>
        <v>-1.4447468333165236E-3</v>
      </c>
    </row>
    <row r="1322" spans="1:7">
      <c r="A1322" s="47">
        <v>304.79000000000002</v>
      </c>
      <c r="B1322" s="47">
        <v>309.14</v>
      </c>
      <c r="C1322" s="47">
        <v>298.18</v>
      </c>
      <c r="D1322" s="47">
        <v>306.39999999999998</v>
      </c>
      <c r="E1322" s="47">
        <v>13597698</v>
      </c>
      <c r="F1322" s="47" t="s">
        <v>1214</v>
      </c>
      <c r="G1322" s="46">
        <f t="shared" si="17"/>
        <v>-5.2545691906004111E-3</v>
      </c>
    </row>
    <row r="1323" spans="1:7">
      <c r="A1323" s="47">
        <v>298.37</v>
      </c>
      <c r="B1323" s="47">
        <v>299.33999999999997</v>
      </c>
      <c r="C1323" s="47">
        <v>289.32</v>
      </c>
      <c r="D1323" s="47">
        <v>292.64</v>
      </c>
      <c r="E1323" s="47">
        <v>11882184</v>
      </c>
      <c r="F1323" s="47" t="s">
        <v>1213</v>
      </c>
      <c r="G1323" s="46">
        <f t="shared" si="17"/>
        <v>1.9580371787862205E-2</v>
      </c>
    </row>
    <row r="1324" spans="1:7">
      <c r="A1324" s="47">
        <v>285.02999999999997</v>
      </c>
      <c r="B1324" s="47">
        <v>302.10000000000002</v>
      </c>
      <c r="C1324" s="47">
        <v>281.60000000000002</v>
      </c>
      <c r="D1324" s="47">
        <v>287.33</v>
      </c>
      <c r="E1324" s="47">
        <v>21371109</v>
      </c>
      <c r="F1324" s="47" t="s">
        <v>1212</v>
      </c>
      <c r="G1324" s="46">
        <f t="shared" si="17"/>
        <v>-8.0047332335642096E-3</v>
      </c>
    </row>
    <row r="1325" spans="1:7">
      <c r="A1325" s="47">
        <v>283.18</v>
      </c>
      <c r="B1325" s="47">
        <v>286.08</v>
      </c>
      <c r="C1325" s="47">
        <v>278.40100000000001</v>
      </c>
      <c r="D1325" s="47">
        <v>285.10000000000002</v>
      </c>
      <c r="E1325" s="47">
        <v>9364487</v>
      </c>
      <c r="F1325" s="47" t="s">
        <v>1211</v>
      </c>
      <c r="G1325" s="46">
        <f t="shared" si="17"/>
        <v>-6.7344791301298113E-3</v>
      </c>
    </row>
    <row r="1326" spans="1:7">
      <c r="A1326" s="47">
        <v>284.2</v>
      </c>
      <c r="B1326" s="47">
        <v>286.89</v>
      </c>
      <c r="C1326" s="47">
        <v>276.51</v>
      </c>
      <c r="D1326" s="47">
        <v>280.38</v>
      </c>
      <c r="E1326" s="47">
        <v>8696995</v>
      </c>
      <c r="F1326" s="47" t="s">
        <v>1210</v>
      </c>
      <c r="G1326" s="46">
        <f t="shared" si="17"/>
        <v>1.3624366930594212E-2</v>
      </c>
    </row>
    <row r="1327" spans="1:7">
      <c r="A1327" s="47">
        <v>282.17</v>
      </c>
      <c r="B1327" s="47">
        <v>282.69889999999998</v>
      </c>
      <c r="C1327" s="47">
        <v>274.62349999999998</v>
      </c>
      <c r="D1327" s="47">
        <v>276.88</v>
      </c>
      <c r="E1327" s="47">
        <v>10084303</v>
      </c>
      <c r="F1327" s="47" t="s">
        <v>1209</v>
      </c>
      <c r="G1327" s="46">
        <f t="shared" si="17"/>
        <v>1.9105749783299597E-2</v>
      </c>
    </row>
    <row r="1328" spans="1:7">
      <c r="A1328" s="47">
        <v>269.44</v>
      </c>
      <c r="B1328" s="47">
        <v>270</v>
      </c>
      <c r="C1328" s="47">
        <v>264.70999999999998</v>
      </c>
      <c r="D1328" s="47">
        <v>268.61</v>
      </c>
      <c r="E1328" s="47">
        <v>7978598</v>
      </c>
      <c r="F1328" s="47" t="s">
        <v>1208</v>
      </c>
      <c r="G1328" s="46">
        <f t="shared" si="17"/>
        <v>3.0899817579390643E-3</v>
      </c>
    </row>
    <row r="1329" spans="1:7">
      <c r="A1329" s="47">
        <v>270.43</v>
      </c>
      <c r="B1329" s="47">
        <v>274.94</v>
      </c>
      <c r="C1329" s="47">
        <v>260.85000000000002</v>
      </c>
      <c r="D1329" s="47">
        <v>265.33999999999997</v>
      </c>
      <c r="E1329" s="47">
        <v>23840855</v>
      </c>
      <c r="F1329" s="47" t="s">
        <v>1207</v>
      </c>
      <c r="G1329" s="46">
        <f t="shared" si="17"/>
        <v>1.9182935102133314E-2</v>
      </c>
    </row>
    <row r="1330" spans="1:7">
      <c r="A1330" s="47">
        <v>251.9</v>
      </c>
      <c r="B1330" s="47">
        <v>254.315</v>
      </c>
      <c r="C1330" s="47">
        <v>247.39</v>
      </c>
      <c r="D1330" s="47">
        <v>253.96</v>
      </c>
      <c r="E1330" s="47">
        <v>13545704</v>
      </c>
      <c r="F1330" s="47" t="s">
        <v>1206</v>
      </c>
      <c r="G1330" s="46">
        <f t="shared" si="17"/>
        <v>-8.1115136241928232E-3</v>
      </c>
    </row>
    <row r="1331" spans="1:7">
      <c r="A1331" s="47">
        <v>249.1</v>
      </c>
      <c r="B1331" s="47">
        <v>250.19</v>
      </c>
      <c r="C1331" s="47">
        <v>240.53</v>
      </c>
      <c r="D1331" s="47">
        <v>243.61</v>
      </c>
      <c r="E1331" s="47">
        <v>7082835</v>
      </c>
      <c r="F1331" s="47" t="s">
        <v>1205</v>
      </c>
      <c r="G1331" s="46">
        <f t="shared" si="17"/>
        <v>2.2536020688805891E-2</v>
      </c>
    </row>
    <row r="1332" spans="1:7">
      <c r="A1332" s="47">
        <v>241.85</v>
      </c>
      <c r="B1332" s="47">
        <v>244.14</v>
      </c>
      <c r="C1332" s="47">
        <v>235.4</v>
      </c>
      <c r="D1332" s="47">
        <v>238.37</v>
      </c>
      <c r="E1332" s="47">
        <v>7788173</v>
      </c>
      <c r="F1332" s="47" t="s">
        <v>1204</v>
      </c>
      <c r="G1332" s="46">
        <f t="shared" si="17"/>
        <v>1.459915257792499E-2</v>
      </c>
    </row>
    <row r="1333" spans="1:7">
      <c r="A1333" s="47">
        <v>234.31</v>
      </c>
      <c r="B1333" s="47">
        <v>240.87</v>
      </c>
      <c r="C1333" s="47">
        <v>232.66</v>
      </c>
      <c r="D1333" s="47">
        <v>238.65</v>
      </c>
      <c r="E1333" s="47">
        <v>9805849</v>
      </c>
      <c r="F1333" s="47" t="s">
        <v>1203</v>
      </c>
      <c r="G1333" s="46">
        <f t="shared" si="17"/>
        <v>-1.8185627487953049E-2</v>
      </c>
    </row>
    <row r="1334" spans="1:7">
      <c r="A1334" s="47">
        <v>237.79</v>
      </c>
      <c r="B1334" s="47">
        <v>241.55500000000001</v>
      </c>
      <c r="C1334" s="47">
        <v>232.21</v>
      </c>
      <c r="D1334" s="47">
        <v>235</v>
      </c>
      <c r="E1334" s="47">
        <v>8295538</v>
      </c>
      <c r="F1334" s="47" t="s">
        <v>1202</v>
      </c>
      <c r="G1334" s="46">
        <f t="shared" si="17"/>
        <v>1.1872340425531869E-2</v>
      </c>
    </row>
    <row r="1335" spans="1:7">
      <c r="A1335" s="47">
        <v>229.94</v>
      </c>
      <c r="B1335" s="47">
        <v>235.4</v>
      </c>
      <c r="C1335" s="47">
        <v>225</v>
      </c>
      <c r="D1335" s="47">
        <v>234.7</v>
      </c>
      <c r="E1335" s="47">
        <v>11787024</v>
      </c>
      <c r="F1335" s="47" t="s">
        <v>1201</v>
      </c>
      <c r="G1335" s="46">
        <f t="shared" si="17"/>
        <v>-2.0281210055389853E-2</v>
      </c>
    </row>
    <row r="1336" spans="1:7">
      <c r="A1336" s="47">
        <v>241</v>
      </c>
      <c r="B1336" s="47">
        <v>248.76</v>
      </c>
      <c r="C1336" s="47">
        <v>240.03</v>
      </c>
      <c r="D1336" s="47">
        <v>246.9</v>
      </c>
      <c r="E1336" s="47">
        <v>7882985</v>
      </c>
      <c r="F1336" s="47" t="s">
        <v>1200</v>
      </c>
      <c r="G1336" s="46">
        <f t="shared" si="17"/>
        <v>-2.3896314297286336E-2</v>
      </c>
    </row>
    <row r="1337" spans="1:7">
      <c r="A1337" s="47">
        <v>247.75</v>
      </c>
      <c r="B1337" s="47">
        <v>254.39</v>
      </c>
      <c r="C1337" s="47">
        <v>242.22</v>
      </c>
      <c r="D1337" s="47">
        <v>253.8</v>
      </c>
      <c r="E1337" s="47">
        <v>8499384</v>
      </c>
      <c r="F1337" s="47" t="s">
        <v>1199</v>
      </c>
      <c r="G1337" s="46">
        <f t="shared" si="17"/>
        <v>-2.3837667454688738E-2</v>
      </c>
    </row>
    <row r="1338" spans="1:7">
      <c r="A1338" s="47">
        <v>252</v>
      </c>
      <c r="B1338" s="47">
        <v>254.39</v>
      </c>
      <c r="C1338" s="47">
        <v>246.2</v>
      </c>
      <c r="D1338" s="47">
        <v>246.65</v>
      </c>
      <c r="E1338" s="47">
        <v>7800506</v>
      </c>
      <c r="F1338" s="47" t="s">
        <v>1198</v>
      </c>
      <c r="G1338" s="46">
        <f t="shared" ref="G1338:G1401" si="18">A1338/D1338-1</f>
        <v>2.1690654773971252E-2</v>
      </c>
    </row>
    <row r="1339" spans="1:7">
      <c r="A1339" s="47">
        <v>248.64</v>
      </c>
      <c r="B1339" s="47">
        <v>250.37</v>
      </c>
      <c r="C1339" s="47">
        <v>243.58</v>
      </c>
      <c r="D1339" s="47">
        <v>246.67</v>
      </c>
      <c r="E1339" s="47">
        <v>10336554</v>
      </c>
      <c r="F1339" s="47" t="s">
        <v>1197</v>
      </c>
      <c r="G1339" s="46">
        <f t="shared" si="18"/>
        <v>7.986378562451879E-3</v>
      </c>
    </row>
    <row r="1340" spans="1:7">
      <c r="A1340" s="47">
        <v>244.26</v>
      </c>
      <c r="B1340" s="47">
        <v>249.65</v>
      </c>
      <c r="C1340" s="47">
        <v>244.14</v>
      </c>
      <c r="D1340" s="47">
        <v>248.85</v>
      </c>
      <c r="E1340" s="47">
        <v>5803248</v>
      </c>
      <c r="F1340" s="47" t="s">
        <v>1196</v>
      </c>
      <c r="G1340" s="46">
        <f t="shared" si="18"/>
        <v>-1.8444846292947625E-2</v>
      </c>
    </row>
    <row r="1341" spans="1:7">
      <c r="A1341" s="47">
        <v>247.25</v>
      </c>
      <c r="B1341" s="47">
        <v>248.74</v>
      </c>
      <c r="C1341" s="47">
        <v>241</v>
      </c>
      <c r="D1341" s="47">
        <v>243.3</v>
      </c>
      <c r="E1341" s="47">
        <v>7436752</v>
      </c>
      <c r="F1341" s="47" t="s">
        <v>1195</v>
      </c>
      <c r="G1341" s="46">
        <f t="shared" si="18"/>
        <v>1.6235100698725802E-2</v>
      </c>
    </row>
    <row r="1342" spans="1:7">
      <c r="A1342" s="47">
        <v>239.79</v>
      </c>
      <c r="B1342" s="47">
        <v>244.56319999999999</v>
      </c>
      <c r="C1342" s="47">
        <v>235.0341</v>
      </c>
      <c r="D1342" s="47">
        <v>242.25</v>
      </c>
      <c r="E1342" s="47">
        <v>8373333</v>
      </c>
      <c r="F1342" s="47" t="s">
        <v>1194</v>
      </c>
      <c r="G1342" s="46">
        <f t="shared" si="18"/>
        <v>-1.0154798761609962E-2</v>
      </c>
    </row>
    <row r="1343" spans="1:7">
      <c r="A1343" s="47">
        <v>242.06</v>
      </c>
      <c r="B1343" s="47">
        <v>249.85</v>
      </c>
      <c r="C1343" s="47">
        <v>241.54</v>
      </c>
      <c r="D1343" s="47">
        <v>246.87</v>
      </c>
      <c r="E1343" s="47">
        <v>6976718</v>
      </c>
      <c r="F1343" s="47" t="s">
        <v>1193</v>
      </c>
      <c r="G1343" s="46">
        <f t="shared" si="18"/>
        <v>-1.9483938915218491E-2</v>
      </c>
    </row>
    <row r="1344" spans="1:7">
      <c r="A1344" s="47">
        <v>244.9</v>
      </c>
      <c r="B1344" s="47">
        <v>247.44</v>
      </c>
      <c r="C1344" s="47">
        <v>236.54</v>
      </c>
      <c r="D1344" s="47">
        <v>236.57</v>
      </c>
      <c r="E1344" s="47">
        <v>7354936</v>
      </c>
      <c r="F1344" s="47" t="s">
        <v>1192</v>
      </c>
      <c r="G1344" s="46">
        <f t="shared" si="18"/>
        <v>3.5211565287230018E-2</v>
      </c>
    </row>
    <row r="1345" spans="1:7">
      <c r="A1345" s="47">
        <v>237.64</v>
      </c>
      <c r="B1345" s="47">
        <v>238.8</v>
      </c>
      <c r="C1345" s="47">
        <v>233.83</v>
      </c>
      <c r="D1345" s="47">
        <v>237.62</v>
      </c>
      <c r="E1345" s="47">
        <v>4145557</v>
      </c>
      <c r="F1345" s="47" t="s">
        <v>1191</v>
      </c>
      <c r="G1345" s="46">
        <f t="shared" si="18"/>
        <v>8.4167999326645315E-5</v>
      </c>
    </row>
    <row r="1346" spans="1:7">
      <c r="A1346" s="47">
        <v>237.5</v>
      </c>
      <c r="B1346" s="47">
        <v>240.84</v>
      </c>
      <c r="C1346" s="47">
        <v>234.09</v>
      </c>
      <c r="D1346" s="47">
        <v>238.04</v>
      </c>
      <c r="E1346" s="47">
        <v>5073071</v>
      </c>
      <c r="F1346" s="47" t="s">
        <v>1190</v>
      </c>
      <c r="G1346" s="46">
        <f t="shared" si="18"/>
        <v>-2.2685262981011478E-3</v>
      </c>
    </row>
    <row r="1347" spans="1:7">
      <c r="A1347" s="47">
        <v>242.46</v>
      </c>
      <c r="B1347" s="47">
        <v>242.91</v>
      </c>
      <c r="C1347" s="47">
        <v>236.06870000000001</v>
      </c>
      <c r="D1347" s="47">
        <v>237.43</v>
      </c>
      <c r="E1347" s="47">
        <v>6767739</v>
      </c>
      <c r="F1347" s="47" t="s">
        <v>1189</v>
      </c>
      <c r="G1347" s="46">
        <f t="shared" si="18"/>
        <v>2.1185191424841099E-2</v>
      </c>
    </row>
    <row r="1348" spans="1:7">
      <c r="A1348" s="47">
        <v>235.04</v>
      </c>
      <c r="B1348" s="47">
        <v>235.6</v>
      </c>
      <c r="C1348" s="47">
        <v>229.22</v>
      </c>
      <c r="D1348" s="47">
        <v>229.46</v>
      </c>
      <c r="E1348" s="47">
        <v>7107892</v>
      </c>
      <c r="F1348" s="47" t="s">
        <v>1188</v>
      </c>
      <c r="G1348" s="46">
        <f t="shared" si="18"/>
        <v>2.4317963915279295E-2</v>
      </c>
    </row>
    <row r="1349" spans="1:7">
      <c r="A1349" s="47">
        <v>226.83</v>
      </c>
      <c r="B1349" s="47">
        <v>232.49</v>
      </c>
      <c r="C1349" s="47">
        <v>225.7021</v>
      </c>
      <c r="D1349" s="47">
        <v>228.94</v>
      </c>
      <c r="E1349" s="47">
        <v>9211701</v>
      </c>
      <c r="F1349" s="47" t="s">
        <v>1187</v>
      </c>
      <c r="G1349" s="46">
        <f t="shared" si="18"/>
        <v>-9.216388573425327E-3</v>
      </c>
    </row>
    <row r="1350" spans="1:7">
      <c r="A1350" s="47">
        <v>234.91</v>
      </c>
      <c r="B1350" s="47">
        <v>235.64</v>
      </c>
      <c r="C1350" s="47">
        <v>229.8</v>
      </c>
      <c r="D1350" s="47">
        <v>230.47</v>
      </c>
      <c r="E1350" s="47">
        <v>5047831</v>
      </c>
      <c r="F1350" s="47" t="s">
        <v>1186</v>
      </c>
      <c r="G1350" s="46">
        <f t="shared" si="18"/>
        <v>1.9264980257734265E-2</v>
      </c>
    </row>
    <row r="1351" spans="1:7">
      <c r="A1351" s="47">
        <v>231.92</v>
      </c>
      <c r="B1351" s="47">
        <v>237.99690000000001</v>
      </c>
      <c r="C1351" s="47">
        <v>227.53479999999999</v>
      </c>
      <c r="D1351" s="47">
        <v>237.8</v>
      </c>
      <c r="E1351" s="47">
        <v>8148695</v>
      </c>
      <c r="F1351" s="47" t="s">
        <v>1185</v>
      </c>
      <c r="G1351" s="46">
        <f t="shared" si="18"/>
        <v>-2.4726661059714106E-2</v>
      </c>
    </row>
    <row r="1352" spans="1:7">
      <c r="A1352" s="47">
        <v>234.2</v>
      </c>
      <c r="B1352" s="47">
        <v>234.69</v>
      </c>
      <c r="C1352" s="47">
        <v>229.69</v>
      </c>
      <c r="D1352" s="47">
        <v>232</v>
      </c>
      <c r="E1352" s="47">
        <v>5002663</v>
      </c>
      <c r="F1352" s="47" t="s">
        <v>1184</v>
      </c>
      <c r="G1352" s="46">
        <f t="shared" si="18"/>
        <v>9.4827586206895909E-3</v>
      </c>
    </row>
    <row r="1353" spans="1:7">
      <c r="A1353" s="47">
        <v>231.51</v>
      </c>
      <c r="B1353" s="47">
        <v>233.84</v>
      </c>
      <c r="C1353" s="47">
        <v>230.02</v>
      </c>
      <c r="D1353" s="47">
        <v>232.19</v>
      </c>
      <c r="E1353" s="47">
        <v>6017643</v>
      </c>
      <c r="F1353" s="47" t="s">
        <v>1183</v>
      </c>
      <c r="G1353" s="46">
        <f t="shared" si="18"/>
        <v>-2.9286360308368176E-3</v>
      </c>
    </row>
    <row r="1354" spans="1:7">
      <c r="A1354" s="47">
        <v>231.03</v>
      </c>
      <c r="B1354" s="47">
        <v>236.25</v>
      </c>
      <c r="C1354" s="47">
        <v>229.68</v>
      </c>
      <c r="D1354" s="47">
        <v>236</v>
      </c>
      <c r="E1354" s="47">
        <v>8316075</v>
      </c>
      <c r="F1354" s="47" t="s">
        <v>1182</v>
      </c>
      <c r="G1354" s="46">
        <f t="shared" si="18"/>
        <v>-2.1059322033898265E-2</v>
      </c>
    </row>
    <row r="1355" spans="1:7">
      <c r="A1355" s="47">
        <v>235.73</v>
      </c>
      <c r="B1355" s="47">
        <v>243.5</v>
      </c>
      <c r="C1355" s="47">
        <v>235.25</v>
      </c>
      <c r="D1355" s="47">
        <v>243.5</v>
      </c>
      <c r="E1355" s="47">
        <v>7079520</v>
      </c>
      <c r="F1355" s="47" t="s">
        <v>1181</v>
      </c>
      <c r="G1355" s="46">
        <f t="shared" si="18"/>
        <v>-3.1909650924024646E-2</v>
      </c>
    </row>
    <row r="1356" spans="1:7">
      <c r="A1356" s="47">
        <v>238.64</v>
      </c>
      <c r="B1356" s="47">
        <v>242.12</v>
      </c>
      <c r="C1356" s="47">
        <v>238.09</v>
      </c>
      <c r="D1356" s="47">
        <v>240.36</v>
      </c>
      <c r="E1356" s="47">
        <v>3053752</v>
      </c>
      <c r="F1356" s="47" t="s">
        <v>1180</v>
      </c>
      <c r="G1356" s="46">
        <f t="shared" si="18"/>
        <v>-7.1559327675154716E-3</v>
      </c>
    </row>
    <row r="1357" spans="1:7">
      <c r="A1357" s="47">
        <v>239.44</v>
      </c>
      <c r="B1357" s="47">
        <v>244.25</v>
      </c>
      <c r="C1357" s="47">
        <v>238.33</v>
      </c>
      <c r="D1357" s="47">
        <v>243.6</v>
      </c>
      <c r="E1357" s="47">
        <v>6421336</v>
      </c>
      <c r="F1357" s="47" t="s">
        <v>1179</v>
      </c>
      <c r="G1357" s="46">
        <f t="shared" si="18"/>
        <v>-1.7077175697865377E-2</v>
      </c>
    </row>
    <row r="1358" spans="1:7">
      <c r="A1358" s="47">
        <v>243.49</v>
      </c>
      <c r="B1358" s="47">
        <v>243.68</v>
      </c>
      <c r="C1358" s="47">
        <v>238.09</v>
      </c>
      <c r="D1358" s="47">
        <v>240.16499999999999</v>
      </c>
      <c r="E1358" s="47">
        <v>6340935</v>
      </c>
      <c r="F1358" s="47" t="s">
        <v>1178</v>
      </c>
      <c r="G1358" s="46">
        <f t="shared" si="18"/>
        <v>1.3844648470842991E-2</v>
      </c>
    </row>
    <row r="1359" spans="1:7">
      <c r="A1359" s="47">
        <v>237.72</v>
      </c>
      <c r="B1359" s="47">
        <v>239.75139999999999</v>
      </c>
      <c r="C1359" s="47">
        <v>232.2013</v>
      </c>
      <c r="D1359" s="47">
        <v>232.62</v>
      </c>
      <c r="E1359" s="47">
        <v>8156045</v>
      </c>
      <c r="F1359" s="47" t="s">
        <v>1177</v>
      </c>
      <c r="G1359" s="46">
        <f t="shared" si="18"/>
        <v>2.1924168171266523E-2</v>
      </c>
    </row>
    <row r="1360" spans="1:7">
      <c r="A1360" s="47">
        <v>236.45</v>
      </c>
      <c r="B1360" s="47">
        <v>237.17</v>
      </c>
      <c r="C1360" s="47">
        <v>232.28</v>
      </c>
      <c r="D1360" s="47">
        <v>236.66</v>
      </c>
      <c r="E1360" s="47">
        <v>11534717</v>
      </c>
      <c r="F1360" s="47" t="s">
        <v>1176</v>
      </c>
      <c r="G1360" s="46">
        <f t="shared" si="18"/>
        <v>-8.8734893940678461E-4</v>
      </c>
    </row>
    <row r="1361" spans="1:7">
      <c r="A1361" s="47">
        <v>235.51</v>
      </c>
      <c r="B1361" s="47">
        <v>238.1</v>
      </c>
      <c r="C1361" s="47">
        <v>232.4</v>
      </c>
      <c r="D1361" s="47">
        <v>234.51</v>
      </c>
      <c r="E1361" s="47">
        <v>8914060</v>
      </c>
      <c r="F1361" s="47" t="s">
        <v>1175</v>
      </c>
      <c r="G1361" s="46">
        <f t="shared" si="18"/>
        <v>4.2642104814294424E-3</v>
      </c>
    </row>
    <row r="1362" spans="1:7">
      <c r="A1362" s="47">
        <v>230.2</v>
      </c>
      <c r="B1362" s="47">
        <v>231.15</v>
      </c>
      <c r="C1362" s="47">
        <v>224.61</v>
      </c>
      <c r="D1362" s="47">
        <v>224.8</v>
      </c>
      <c r="E1362" s="47">
        <v>10110033</v>
      </c>
      <c r="F1362" s="47" t="s">
        <v>1174</v>
      </c>
      <c r="G1362" s="46">
        <f t="shared" si="18"/>
        <v>2.4021352313167155E-2</v>
      </c>
    </row>
    <row r="1363" spans="1:7">
      <c r="A1363" s="47">
        <v>221.6</v>
      </c>
      <c r="B1363" s="47">
        <v>222.31</v>
      </c>
      <c r="C1363" s="47">
        <v>217.12</v>
      </c>
      <c r="D1363" s="47">
        <v>221.93</v>
      </c>
      <c r="E1363" s="47">
        <v>6508117</v>
      </c>
      <c r="F1363" s="47" t="s">
        <v>1173</v>
      </c>
      <c r="G1363" s="46">
        <f t="shared" si="18"/>
        <v>-1.4869553462804053E-3</v>
      </c>
    </row>
    <row r="1364" spans="1:7">
      <c r="A1364" s="47">
        <v>220.79</v>
      </c>
      <c r="B1364" s="47">
        <v>223.16</v>
      </c>
      <c r="C1364" s="47">
        <v>215</v>
      </c>
      <c r="D1364" s="47">
        <v>215.95</v>
      </c>
      <c r="E1364" s="47">
        <v>9759424</v>
      </c>
      <c r="F1364" s="47" t="s">
        <v>1172</v>
      </c>
      <c r="G1364" s="46">
        <f t="shared" si="18"/>
        <v>2.2412595508219502E-2</v>
      </c>
    </row>
    <row r="1365" spans="1:7">
      <c r="A1365" s="47">
        <v>214.06</v>
      </c>
      <c r="B1365" s="47">
        <v>215</v>
      </c>
      <c r="C1365" s="47">
        <v>210.4203</v>
      </c>
      <c r="D1365" s="47">
        <v>213.39</v>
      </c>
      <c r="E1365" s="47">
        <v>4283354</v>
      </c>
      <c r="F1365" s="47" t="s">
        <v>1171</v>
      </c>
      <c r="G1365" s="46">
        <f t="shared" si="18"/>
        <v>3.1397909930175327E-3</v>
      </c>
    </row>
    <row r="1366" spans="1:7">
      <c r="A1366" s="47">
        <v>215.34</v>
      </c>
      <c r="B1366" s="47">
        <v>216.23</v>
      </c>
      <c r="C1366" s="47">
        <v>206.65</v>
      </c>
      <c r="D1366" s="47">
        <v>208.36</v>
      </c>
      <c r="E1366" s="47">
        <v>6556822</v>
      </c>
      <c r="F1366" s="47" t="s">
        <v>1170</v>
      </c>
      <c r="G1366" s="46">
        <f t="shared" si="18"/>
        <v>3.3499712036859197E-2</v>
      </c>
    </row>
    <row r="1367" spans="1:7">
      <c r="A1367" s="47">
        <v>210.8</v>
      </c>
      <c r="B1367" s="47">
        <v>218.94</v>
      </c>
      <c r="C1367" s="47">
        <v>209.25</v>
      </c>
      <c r="D1367" s="47">
        <v>217</v>
      </c>
      <c r="E1367" s="47">
        <v>7807532</v>
      </c>
      <c r="F1367" s="47" t="s">
        <v>1169</v>
      </c>
      <c r="G1367" s="46">
        <f t="shared" si="18"/>
        <v>-2.857142857142847E-2</v>
      </c>
    </row>
    <row r="1368" spans="1:7">
      <c r="A1368" s="47">
        <v>216.94</v>
      </c>
      <c r="B1368" s="47">
        <v>218.72</v>
      </c>
      <c r="C1368" s="47">
        <v>215.57</v>
      </c>
      <c r="D1368" s="47">
        <v>216.32499999999999</v>
      </c>
      <c r="E1368" s="47">
        <v>5419592</v>
      </c>
      <c r="F1368" s="47" t="s">
        <v>1168</v>
      </c>
      <c r="G1368" s="46">
        <f t="shared" si="18"/>
        <v>2.8429446434763417E-3</v>
      </c>
    </row>
    <row r="1369" spans="1:7">
      <c r="A1369" s="47">
        <v>217.93</v>
      </c>
      <c r="B1369" s="47">
        <v>219.32</v>
      </c>
      <c r="C1369" s="47">
        <v>216.31</v>
      </c>
      <c r="D1369" s="47">
        <v>217.39</v>
      </c>
      <c r="E1369" s="47">
        <v>5363365</v>
      </c>
      <c r="F1369" s="47" t="s">
        <v>1167</v>
      </c>
      <c r="G1369" s="46">
        <f t="shared" si="18"/>
        <v>2.4840149040894488E-3</v>
      </c>
    </row>
    <row r="1370" spans="1:7">
      <c r="A1370" s="47">
        <v>217.77</v>
      </c>
      <c r="B1370" s="47">
        <v>218.553</v>
      </c>
      <c r="C1370" s="47">
        <v>213.01</v>
      </c>
      <c r="D1370" s="47">
        <v>214.88</v>
      </c>
      <c r="E1370" s="47">
        <v>6214640</v>
      </c>
      <c r="F1370" s="47" t="s">
        <v>1166</v>
      </c>
      <c r="G1370" s="46">
        <f t="shared" si="18"/>
        <v>1.3449367088607556E-2</v>
      </c>
    </row>
    <row r="1371" spans="1:7">
      <c r="A1371" s="47">
        <v>214.54</v>
      </c>
      <c r="B1371" s="47">
        <v>216.93</v>
      </c>
      <c r="C1371" s="47">
        <v>213.11</v>
      </c>
      <c r="D1371" s="47">
        <v>213.33</v>
      </c>
      <c r="E1371" s="47">
        <v>7645193</v>
      </c>
      <c r="F1371" s="47" t="s">
        <v>1165</v>
      </c>
      <c r="G1371" s="46">
        <f t="shared" si="18"/>
        <v>5.6719636244315641E-3</v>
      </c>
    </row>
    <row r="1372" spans="1:7">
      <c r="A1372" s="47">
        <v>212.56</v>
      </c>
      <c r="B1372" s="47">
        <v>215.75</v>
      </c>
      <c r="C1372" s="47">
        <v>210.5</v>
      </c>
      <c r="D1372" s="47">
        <v>215.6</v>
      </c>
      <c r="E1372" s="47">
        <v>7537366</v>
      </c>
      <c r="F1372" s="47" t="s">
        <v>1164</v>
      </c>
      <c r="G1372" s="46">
        <f t="shared" si="18"/>
        <v>-1.4100185528756914E-2</v>
      </c>
    </row>
    <row r="1373" spans="1:7">
      <c r="A1373" s="47">
        <v>216.54</v>
      </c>
      <c r="B1373" s="47">
        <v>220.57</v>
      </c>
      <c r="C1373" s="47">
        <v>214.34010000000001</v>
      </c>
      <c r="D1373" s="47">
        <v>217.15</v>
      </c>
      <c r="E1373" s="47">
        <v>10146956</v>
      </c>
      <c r="F1373" s="47" t="s">
        <v>1163</v>
      </c>
      <c r="G1373" s="46">
        <f t="shared" si="18"/>
        <v>-2.8091181211145066E-3</v>
      </c>
    </row>
    <row r="1374" spans="1:7">
      <c r="A1374" s="47">
        <v>214.12</v>
      </c>
      <c r="B1374" s="47">
        <v>215.83</v>
      </c>
      <c r="C1374" s="47">
        <v>207.09</v>
      </c>
      <c r="D1374" s="47">
        <v>212.51</v>
      </c>
      <c r="E1374" s="47">
        <v>12976149</v>
      </c>
      <c r="F1374" s="47" t="s">
        <v>1162</v>
      </c>
      <c r="G1374" s="46">
        <f t="shared" si="18"/>
        <v>7.5761140652206294E-3</v>
      </c>
    </row>
    <row r="1375" spans="1:7">
      <c r="A1375" s="47">
        <v>211.39</v>
      </c>
      <c r="B1375" s="47">
        <v>213.84</v>
      </c>
      <c r="C1375" s="47">
        <v>208.62</v>
      </c>
      <c r="D1375" s="47">
        <v>213.2</v>
      </c>
      <c r="E1375" s="47">
        <v>5363151</v>
      </c>
      <c r="F1375" s="47" t="s">
        <v>1161</v>
      </c>
      <c r="G1375" s="46">
        <f t="shared" si="18"/>
        <v>-8.4896810506566167E-3</v>
      </c>
    </row>
    <row r="1376" spans="1:7">
      <c r="A1376" s="47">
        <v>214.46</v>
      </c>
      <c r="B1376" s="47">
        <v>216.07</v>
      </c>
      <c r="C1376" s="47">
        <v>206.23</v>
      </c>
      <c r="D1376" s="47">
        <v>206.29</v>
      </c>
      <c r="E1376" s="47">
        <v>13817473</v>
      </c>
      <c r="F1376" s="47" t="s">
        <v>1160</v>
      </c>
      <c r="G1376" s="46">
        <f t="shared" si="18"/>
        <v>3.9604440350962333E-2</v>
      </c>
    </row>
    <row r="1377" spans="1:7">
      <c r="A1377" s="47">
        <v>206</v>
      </c>
      <c r="B1377" s="47">
        <v>207.07910000000001</v>
      </c>
      <c r="C1377" s="47">
        <v>198.86</v>
      </c>
      <c r="D1377" s="47">
        <v>204</v>
      </c>
      <c r="E1377" s="47">
        <v>14781555</v>
      </c>
      <c r="F1377" s="47" t="s">
        <v>1159</v>
      </c>
      <c r="G1377" s="46">
        <f t="shared" si="18"/>
        <v>9.8039215686274161E-3</v>
      </c>
    </row>
    <row r="1378" spans="1:7">
      <c r="A1378" s="47">
        <v>200.82</v>
      </c>
      <c r="B1378" s="47">
        <v>202.16</v>
      </c>
      <c r="C1378" s="47">
        <v>193.92</v>
      </c>
      <c r="D1378" s="47">
        <v>194.53</v>
      </c>
      <c r="E1378" s="47">
        <v>12019989</v>
      </c>
      <c r="F1378" s="47" t="s">
        <v>1158</v>
      </c>
      <c r="G1378" s="46">
        <f t="shared" si="18"/>
        <v>3.2334344317071828E-2</v>
      </c>
    </row>
    <row r="1379" spans="1:7">
      <c r="A1379" s="47">
        <v>192.67</v>
      </c>
      <c r="B1379" s="47">
        <v>194.73</v>
      </c>
      <c r="C1379" s="47">
        <v>190.96</v>
      </c>
      <c r="D1379" s="47">
        <v>192.47</v>
      </c>
      <c r="E1379" s="47">
        <v>11518655</v>
      </c>
      <c r="F1379" s="47" t="s">
        <v>1157</v>
      </c>
      <c r="G1379" s="46">
        <f t="shared" si="18"/>
        <v>1.0391229802046986E-3</v>
      </c>
    </row>
    <row r="1380" spans="1:7">
      <c r="A1380" s="47">
        <v>190.9</v>
      </c>
      <c r="B1380" s="47">
        <v>192.75</v>
      </c>
      <c r="C1380" s="47">
        <v>189.57</v>
      </c>
      <c r="D1380" s="47">
        <v>190.82</v>
      </c>
      <c r="E1380" s="47">
        <v>9391530</v>
      </c>
      <c r="F1380" s="47" t="s">
        <v>1156</v>
      </c>
      <c r="G1380" s="46">
        <f t="shared" si="18"/>
        <v>4.1924326590514482E-4</v>
      </c>
    </row>
    <row r="1381" spans="1:7">
      <c r="A1381" s="47">
        <v>190.12</v>
      </c>
      <c r="B1381" s="47">
        <v>192.95</v>
      </c>
      <c r="C1381" s="47">
        <v>189.54</v>
      </c>
      <c r="D1381" s="47">
        <v>192.59</v>
      </c>
      <c r="E1381" s="47">
        <v>8095357</v>
      </c>
      <c r="F1381" s="47" t="s">
        <v>1155</v>
      </c>
      <c r="G1381" s="46">
        <f t="shared" si="18"/>
        <v>-1.2825172646554805E-2</v>
      </c>
    </row>
    <row r="1382" spans="1:7">
      <c r="A1382" s="47">
        <v>192.3</v>
      </c>
      <c r="B1382" s="47">
        <v>194.63</v>
      </c>
      <c r="C1382" s="47">
        <v>190.63</v>
      </c>
      <c r="D1382" s="47">
        <v>192.13</v>
      </c>
      <c r="E1382" s="47">
        <v>6448805</v>
      </c>
      <c r="F1382" s="47" t="s">
        <v>1154</v>
      </c>
      <c r="G1382" s="46">
        <f t="shared" si="18"/>
        <v>8.8481757143599182E-4</v>
      </c>
    </row>
    <row r="1383" spans="1:7">
      <c r="A1383" s="47">
        <v>191.94</v>
      </c>
      <c r="B1383" s="47">
        <v>192.38</v>
      </c>
      <c r="C1383" s="47">
        <v>183.54</v>
      </c>
      <c r="D1383" s="47">
        <v>185.19</v>
      </c>
      <c r="E1383" s="47">
        <v>10127757</v>
      </c>
      <c r="F1383" s="47" t="s">
        <v>1153</v>
      </c>
      <c r="G1383" s="46">
        <f t="shared" si="18"/>
        <v>3.6449052324639464E-2</v>
      </c>
    </row>
    <row r="1384" spans="1:7">
      <c r="A1384" s="47">
        <v>188.62</v>
      </c>
      <c r="B1384" s="47">
        <v>191.72989999999999</v>
      </c>
      <c r="C1384" s="47">
        <v>186.85</v>
      </c>
      <c r="D1384" s="47">
        <v>191.1069</v>
      </c>
      <c r="E1384" s="47">
        <v>6020699</v>
      </c>
      <c r="F1384" s="47" t="s">
        <v>1152</v>
      </c>
      <c r="G1384" s="46">
        <f t="shared" si="18"/>
        <v>-1.3013135580138613E-2</v>
      </c>
    </row>
    <row r="1385" spans="1:7">
      <c r="A1385" s="47">
        <v>189.1</v>
      </c>
      <c r="B1385" s="47">
        <v>194.9</v>
      </c>
      <c r="C1385" s="47">
        <v>188.43</v>
      </c>
      <c r="D1385" s="47">
        <v>193.95</v>
      </c>
      <c r="E1385" s="47">
        <v>7103620</v>
      </c>
      <c r="F1385" s="47" t="s">
        <v>1151</v>
      </c>
      <c r="G1385" s="46">
        <f t="shared" si="18"/>
        <v>-2.500644496004123E-2</v>
      </c>
    </row>
    <row r="1386" spans="1:7">
      <c r="A1386" s="47">
        <v>192.34</v>
      </c>
      <c r="B1386" s="47">
        <v>193.1</v>
      </c>
      <c r="C1386" s="47">
        <v>186.4</v>
      </c>
      <c r="D1386" s="47">
        <v>187.49809999999999</v>
      </c>
      <c r="E1386" s="47">
        <v>9151685</v>
      </c>
      <c r="F1386" s="47" t="s">
        <v>1150</v>
      </c>
      <c r="G1386" s="46">
        <f t="shared" si="18"/>
        <v>2.5823728347113883E-2</v>
      </c>
    </row>
    <row r="1387" spans="1:7">
      <c r="A1387" s="47">
        <v>183.36</v>
      </c>
      <c r="B1387" s="47">
        <v>186.71</v>
      </c>
      <c r="C1387" s="47">
        <v>178.6</v>
      </c>
      <c r="D1387" s="47">
        <v>184.98</v>
      </c>
      <c r="E1387" s="47">
        <v>13144319</v>
      </c>
      <c r="F1387" s="47" t="s">
        <v>1149</v>
      </c>
      <c r="G1387" s="46">
        <f t="shared" si="18"/>
        <v>-8.7577035355171917E-3</v>
      </c>
    </row>
    <row r="1388" spans="1:7">
      <c r="A1388" s="47">
        <v>184.72</v>
      </c>
      <c r="B1388" s="47">
        <v>196.07</v>
      </c>
      <c r="C1388" s="47">
        <v>184.44</v>
      </c>
      <c r="D1388" s="47">
        <v>195.74</v>
      </c>
      <c r="E1388" s="47">
        <v>18986391</v>
      </c>
      <c r="F1388" s="47" t="s">
        <v>1148</v>
      </c>
      <c r="G1388" s="46">
        <f t="shared" si="18"/>
        <v>-5.6299172371513273E-2</v>
      </c>
    </row>
    <row r="1389" spans="1:7">
      <c r="A1389" s="47">
        <v>202.73</v>
      </c>
      <c r="B1389" s="47">
        <v>204.92</v>
      </c>
      <c r="C1389" s="47">
        <v>198.55</v>
      </c>
      <c r="D1389" s="47">
        <v>204.6</v>
      </c>
      <c r="E1389" s="47">
        <v>8075064</v>
      </c>
      <c r="F1389" s="47" t="s">
        <v>1147</v>
      </c>
      <c r="G1389" s="46">
        <f t="shared" si="18"/>
        <v>-9.1397849462365732E-3</v>
      </c>
    </row>
    <row r="1390" spans="1:7">
      <c r="A1390" s="47">
        <v>204.56</v>
      </c>
      <c r="B1390" s="47">
        <v>204.92</v>
      </c>
      <c r="C1390" s="47">
        <v>199.37</v>
      </c>
      <c r="D1390" s="47">
        <v>202.3</v>
      </c>
      <c r="E1390" s="47">
        <v>15188527</v>
      </c>
      <c r="F1390" s="47" t="s">
        <v>1146</v>
      </c>
      <c r="G1390" s="46">
        <f t="shared" si="18"/>
        <v>1.1171527434503226E-2</v>
      </c>
    </row>
    <row r="1391" spans="1:7">
      <c r="A1391" s="47">
        <v>194.29</v>
      </c>
      <c r="B1391" s="47">
        <v>195</v>
      </c>
      <c r="C1391" s="47">
        <v>184.11019999999999</v>
      </c>
      <c r="D1391" s="47">
        <v>186.76</v>
      </c>
      <c r="E1391" s="47">
        <v>16106952</v>
      </c>
      <c r="F1391" s="47" t="s">
        <v>1145</v>
      </c>
      <c r="G1391" s="46">
        <f t="shared" si="18"/>
        <v>4.0319126151210138E-2</v>
      </c>
    </row>
    <row r="1392" spans="1:7">
      <c r="A1392" s="47">
        <v>179.81</v>
      </c>
      <c r="B1392" s="47">
        <v>188.75</v>
      </c>
      <c r="C1392" s="47">
        <v>174.81</v>
      </c>
      <c r="D1392" s="47">
        <v>177.94</v>
      </c>
      <c r="E1392" s="47">
        <v>31655971</v>
      </c>
      <c r="F1392" s="47" t="s">
        <v>1144</v>
      </c>
      <c r="G1392" s="46">
        <f t="shared" si="18"/>
        <v>1.0509160391143135E-2</v>
      </c>
    </row>
    <row r="1393" spans="1:7">
      <c r="A1393" s="47">
        <v>187.76</v>
      </c>
      <c r="B1393" s="47">
        <v>192.70500000000001</v>
      </c>
      <c r="C1393" s="47">
        <v>185.05</v>
      </c>
      <c r="D1393" s="47">
        <v>189.01</v>
      </c>
      <c r="E1393" s="47">
        <v>14386024</v>
      </c>
      <c r="F1393" s="47" t="s">
        <v>1143</v>
      </c>
      <c r="G1393" s="46">
        <f t="shared" si="18"/>
        <v>-6.6134066980583217E-3</v>
      </c>
    </row>
    <row r="1394" spans="1:7">
      <c r="A1394" s="47">
        <v>186.13</v>
      </c>
      <c r="B1394" s="47">
        <v>195.33</v>
      </c>
      <c r="C1394" s="47">
        <v>182.92</v>
      </c>
      <c r="D1394" s="47">
        <v>193.29</v>
      </c>
      <c r="E1394" s="47">
        <v>12041236</v>
      </c>
      <c r="F1394" s="47" t="s">
        <v>1142</v>
      </c>
      <c r="G1394" s="46">
        <f t="shared" si="18"/>
        <v>-3.7042785451911642E-2</v>
      </c>
    </row>
    <row r="1395" spans="1:7">
      <c r="A1395" s="47">
        <v>195.04</v>
      </c>
      <c r="B1395" s="47">
        <v>197.59</v>
      </c>
      <c r="C1395" s="47">
        <v>192.31</v>
      </c>
      <c r="D1395" s="47">
        <v>194.08</v>
      </c>
      <c r="E1395" s="47">
        <v>7627102</v>
      </c>
      <c r="F1395" s="47" t="s">
        <v>1141</v>
      </c>
      <c r="G1395" s="46">
        <f t="shared" si="18"/>
        <v>4.9464138499586419E-3</v>
      </c>
    </row>
    <row r="1396" spans="1:7">
      <c r="A1396" s="47">
        <v>192.31</v>
      </c>
      <c r="B1396" s="47">
        <v>198.39</v>
      </c>
      <c r="C1396" s="47">
        <v>191.5</v>
      </c>
      <c r="D1396" s="47">
        <v>196.96</v>
      </c>
      <c r="E1396" s="47">
        <v>8050042</v>
      </c>
      <c r="F1396" s="47" t="s">
        <v>1140</v>
      </c>
      <c r="G1396" s="46">
        <f t="shared" si="18"/>
        <v>-2.3608854589764472E-2</v>
      </c>
    </row>
    <row r="1397" spans="1:7">
      <c r="A1397" s="47">
        <v>200.43</v>
      </c>
      <c r="B1397" s="47">
        <v>201.32</v>
      </c>
      <c r="C1397" s="47">
        <v>197.72</v>
      </c>
      <c r="D1397" s="47">
        <v>198.79</v>
      </c>
      <c r="E1397" s="47">
        <v>4754359</v>
      </c>
      <c r="F1397" s="47" t="s">
        <v>1139</v>
      </c>
      <c r="G1397" s="46">
        <f t="shared" si="18"/>
        <v>8.2499119674028787E-3</v>
      </c>
    </row>
    <row r="1398" spans="1:7">
      <c r="A1398" s="47">
        <v>197.22</v>
      </c>
      <c r="B1398" s="47">
        <v>203.89</v>
      </c>
      <c r="C1398" s="47">
        <v>195.05</v>
      </c>
      <c r="D1398" s="47">
        <v>200.66</v>
      </c>
      <c r="E1398" s="47">
        <v>7715998</v>
      </c>
      <c r="F1398" s="47" t="s">
        <v>1138</v>
      </c>
      <c r="G1398" s="46">
        <f t="shared" si="18"/>
        <v>-1.7143426691916708E-2</v>
      </c>
    </row>
    <row r="1399" spans="1:7">
      <c r="A1399" s="47">
        <v>203.04</v>
      </c>
      <c r="B1399" s="47">
        <v>206.24</v>
      </c>
      <c r="C1399" s="47">
        <v>201.21</v>
      </c>
      <c r="D1399" s="47">
        <v>206.24</v>
      </c>
      <c r="E1399" s="47">
        <v>6644745</v>
      </c>
      <c r="F1399" s="47" t="s">
        <v>1137</v>
      </c>
      <c r="G1399" s="46">
        <f t="shared" si="18"/>
        <v>-1.5515903801396558E-2</v>
      </c>
    </row>
    <row r="1400" spans="1:7">
      <c r="A1400" s="47">
        <v>203.93</v>
      </c>
      <c r="B1400" s="47">
        <v>212.34</v>
      </c>
      <c r="C1400" s="47">
        <v>202.1403</v>
      </c>
      <c r="D1400" s="47">
        <v>211.9</v>
      </c>
      <c r="E1400" s="47">
        <v>12398290</v>
      </c>
      <c r="F1400" s="47" t="s">
        <v>1136</v>
      </c>
      <c r="G1400" s="46">
        <f t="shared" si="18"/>
        <v>-3.7612081170363409E-2</v>
      </c>
    </row>
    <row r="1401" spans="1:7">
      <c r="A1401" s="47">
        <v>213.07</v>
      </c>
      <c r="B1401" s="47">
        <v>215.83</v>
      </c>
      <c r="C1401" s="47">
        <v>206.02</v>
      </c>
      <c r="D1401" s="47">
        <v>208.3</v>
      </c>
      <c r="E1401" s="47">
        <v>17247188</v>
      </c>
      <c r="F1401" s="47" t="s">
        <v>1135</v>
      </c>
      <c r="G1401" s="46">
        <f t="shared" si="18"/>
        <v>2.289966394623133E-2</v>
      </c>
    </row>
    <row r="1402" spans="1:7">
      <c r="A1402" s="47">
        <v>201.96</v>
      </c>
      <c r="B1402" s="47">
        <v>205.47</v>
      </c>
      <c r="C1402" s="47">
        <v>200.31</v>
      </c>
      <c r="D1402" s="47">
        <v>201.14</v>
      </c>
      <c r="E1402" s="47">
        <v>4867725</v>
      </c>
      <c r="F1402" s="47" t="s">
        <v>1134</v>
      </c>
      <c r="G1402" s="46">
        <f t="shared" ref="G1402:G1465" si="19">A1402/D1402-1</f>
        <v>4.0767624540123393E-3</v>
      </c>
    </row>
    <row r="1403" spans="1:7">
      <c r="A1403" s="47">
        <v>200.06</v>
      </c>
      <c r="B1403" s="47">
        <v>207.23</v>
      </c>
      <c r="C1403" s="47">
        <v>199.1</v>
      </c>
      <c r="D1403" s="47">
        <v>205.52</v>
      </c>
      <c r="E1403" s="47">
        <v>6566682</v>
      </c>
      <c r="F1403" s="47" t="s">
        <v>1133</v>
      </c>
      <c r="G1403" s="46">
        <f t="shared" si="19"/>
        <v>-2.6566757493188042E-2</v>
      </c>
    </row>
    <row r="1404" spans="1:7">
      <c r="A1404" s="47">
        <v>204.45</v>
      </c>
      <c r="B1404" s="47">
        <v>207.47</v>
      </c>
      <c r="C1404" s="47">
        <v>202.22</v>
      </c>
      <c r="D1404" s="47">
        <v>204.44</v>
      </c>
      <c r="E1404" s="47">
        <v>9663990</v>
      </c>
      <c r="F1404" s="47" t="s">
        <v>1132</v>
      </c>
      <c r="G1404" s="46">
        <f t="shared" si="19"/>
        <v>4.8914106828279458E-5</v>
      </c>
    </row>
    <row r="1405" spans="1:7">
      <c r="A1405" s="47">
        <v>203.14</v>
      </c>
      <c r="B1405" s="47">
        <v>203.48</v>
      </c>
      <c r="C1405" s="47">
        <v>198.12799999999999</v>
      </c>
      <c r="D1405" s="47">
        <v>199.99</v>
      </c>
      <c r="E1405" s="47">
        <v>7630531</v>
      </c>
      <c r="F1405" s="47" t="s">
        <v>1131</v>
      </c>
      <c r="G1405" s="46">
        <f t="shared" si="19"/>
        <v>1.5750787539376754E-2</v>
      </c>
    </row>
    <row r="1406" spans="1:7">
      <c r="A1406" s="47">
        <v>203.6</v>
      </c>
      <c r="B1406" s="47">
        <v>208.94800000000001</v>
      </c>
      <c r="C1406" s="47">
        <v>200.5</v>
      </c>
      <c r="D1406" s="47">
        <v>208.20349999999999</v>
      </c>
      <c r="E1406" s="47">
        <v>8591824</v>
      </c>
      <c r="F1406" s="47" t="s">
        <v>1130</v>
      </c>
      <c r="G1406" s="46">
        <f t="shared" si="19"/>
        <v>-2.2110579313027845E-2</v>
      </c>
    </row>
    <row r="1407" spans="1:7">
      <c r="A1407" s="47">
        <v>207.74</v>
      </c>
      <c r="B1407" s="47">
        <v>209.02</v>
      </c>
      <c r="C1407" s="47">
        <v>200.11</v>
      </c>
      <c r="D1407" s="47">
        <v>202.44</v>
      </c>
      <c r="E1407" s="47">
        <v>8145300</v>
      </c>
      <c r="F1407" s="47" t="s">
        <v>1129</v>
      </c>
      <c r="G1407" s="46">
        <f t="shared" si="19"/>
        <v>2.6180596720015936E-2</v>
      </c>
    </row>
    <row r="1408" spans="1:7">
      <c r="A1408" s="47">
        <v>201.51</v>
      </c>
      <c r="B1408" s="47">
        <v>204.08</v>
      </c>
      <c r="C1408" s="47">
        <v>196.63229999999999</v>
      </c>
      <c r="D1408" s="47">
        <v>199.87</v>
      </c>
      <c r="E1408" s="47">
        <v>10603246</v>
      </c>
      <c r="F1408" s="47" t="s">
        <v>1128</v>
      </c>
      <c r="G1408" s="46">
        <f t="shared" si="19"/>
        <v>8.2053334667533395E-3</v>
      </c>
    </row>
    <row r="1409" spans="1:7">
      <c r="A1409" s="47">
        <v>197.27</v>
      </c>
      <c r="B1409" s="47">
        <v>197.35</v>
      </c>
      <c r="C1409" s="47">
        <v>192.6</v>
      </c>
      <c r="D1409" s="47">
        <v>194.36</v>
      </c>
      <c r="E1409" s="47">
        <v>7082372</v>
      </c>
      <c r="F1409" s="47" t="s">
        <v>1127</v>
      </c>
      <c r="G1409" s="46">
        <f t="shared" si="19"/>
        <v>1.4972216505453773E-2</v>
      </c>
    </row>
    <row r="1410" spans="1:7">
      <c r="A1410" s="47">
        <v>193.06</v>
      </c>
      <c r="B1410" s="47">
        <v>196.87</v>
      </c>
      <c r="C1410" s="47">
        <v>192.67</v>
      </c>
      <c r="D1410" s="47">
        <v>196.75</v>
      </c>
      <c r="E1410" s="47">
        <v>5582626</v>
      </c>
      <c r="F1410" s="47" t="s">
        <v>1126</v>
      </c>
      <c r="G1410" s="46">
        <f t="shared" si="19"/>
        <v>-1.8754764930114298E-2</v>
      </c>
    </row>
    <row r="1411" spans="1:7">
      <c r="A1411" s="47">
        <v>194.61</v>
      </c>
      <c r="B1411" s="47">
        <v>195.71</v>
      </c>
      <c r="C1411" s="47">
        <v>193.33</v>
      </c>
      <c r="D1411" s="47">
        <v>193.91</v>
      </c>
      <c r="E1411" s="47">
        <v>4228748</v>
      </c>
      <c r="F1411" s="47" t="s">
        <v>1125</v>
      </c>
      <c r="G1411" s="46">
        <f t="shared" si="19"/>
        <v>3.6099221288228289E-3</v>
      </c>
    </row>
    <row r="1412" spans="1:7">
      <c r="A1412" s="47">
        <v>191.66</v>
      </c>
      <c r="B1412" s="47">
        <v>197.37</v>
      </c>
      <c r="C1412" s="47">
        <v>190.88</v>
      </c>
      <c r="D1412" s="47">
        <v>196.13</v>
      </c>
      <c r="E1412" s="47">
        <v>5921767</v>
      </c>
      <c r="F1412" s="47" t="s">
        <v>1124</v>
      </c>
      <c r="G1412" s="46">
        <f t="shared" si="19"/>
        <v>-2.2791005965431044E-2</v>
      </c>
    </row>
    <row r="1413" spans="1:7">
      <c r="A1413" s="47">
        <v>196.85</v>
      </c>
      <c r="B1413" s="47">
        <v>196.91</v>
      </c>
      <c r="C1413" s="47">
        <v>192.16</v>
      </c>
      <c r="D1413" s="47">
        <v>193.55</v>
      </c>
      <c r="E1413" s="47">
        <v>5024054</v>
      </c>
      <c r="F1413" s="47" t="s">
        <v>1123</v>
      </c>
      <c r="G1413" s="46">
        <f t="shared" si="19"/>
        <v>1.704985791785063E-2</v>
      </c>
    </row>
    <row r="1414" spans="1:7">
      <c r="A1414" s="47">
        <v>191.91</v>
      </c>
      <c r="B1414" s="47">
        <v>196.21</v>
      </c>
      <c r="C1414" s="47">
        <v>189.25</v>
      </c>
      <c r="D1414" s="47">
        <v>192.73</v>
      </c>
      <c r="E1414" s="47">
        <v>6546430</v>
      </c>
      <c r="F1414" s="47" t="s">
        <v>1122</v>
      </c>
      <c r="G1414" s="46">
        <f t="shared" si="19"/>
        <v>-4.2546567737248298E-3</v>
      </c>
    </row>
    <row r="1415" spans="1:7">
      <c r="A1415" s="47">
        <v>196.94</v>
      </c>
      <c r="B1415" s="47">
        <v>201.27</v>
      </c>
      <c r="C1415" s="47">
        <v>196.22049999999999</v>
      </c>
      <c r="D1415" s="47">
        <v>199.26</v>
      </c>
      <c r="E1415" s="47">
        <v>7268872</v>
      </c>
      <c r="F1415" s="47" t="s">
        <v>1121</v>
      </c>
      <c r="G1415" s="46">
        <f t="shared" si="19"/>
        <v>-1.1643079393756861E-2</v>
      </c>
    </row>
    <row r="1416" spans="1:7">
      <c r="A1416" s="47">
        <v>197.03</v>
      </c>
      <c r="B1416" s="47">
        <v>198.72</v>
      </c>
      <c r="C1416" s="47">
        <v>193.31100000000001</v>
      </c>
      <c r="D1416" s="47">
        <v>194.06</v>
      </c>
      <c r="E1416" s="47">
        <v>7939637</v>
      </c>
      <c r="F1416" s="47" t="s">
        <v>1120</v>
      </c>
      <c r="G1416" s="46">
        <f t="shared" si="19"/>
        <v>1.5304544986086688E-2</v>
      </c>
    </row>
    <row r="1417" spans="1:7">
      <c r="A1417" s="47">
        <v>194.5</v>
      </c>
      <c r="B1417" s="47">
        <v>195.78</v>
      </c>
      <c r="C1417" s="47">
        <v>191.11</v>
      </c>
      <c r="D1417" s="47">
        <v>192.64</v>
      </c>
      <c r="E1417" s="47">
        <v>6766102</v>
      </c>
      <c r="F1417" s="47" t="s">
        <v>1119</v>
      </c>
      <c r="G1417" s="46">
        <f t="shared" si="19"/>
        <v>9.6553156146179653E-3</v>
      </c>
    </row>
    <row r="1418" spans="1:7">
      <c r="A1418" s="47">
        <v>192.02</v>
      </c>
      <c r="B1418" s="47">
        <v>192.47</v>
      </c>
      <c r="C1418" s="47">
        <v>188.09</v>
      </c>
      <c r="D1418" s="47">
        <v>190.99959999999999</v>
      </c>
      <c r="E1418" s="47">
        <v>7590637</v>
      </c>
      <c r="F1418" s="47" t="s">
        <v>1118</v>
      </c>
      <c r="G1418" s="46">
        <f t="shared" si="19"/>
        <v>5.3424195652767015E-3</v>
      </c>
    </row>
    <row r="1419" spans="1:7">
      <c r="A1419" s="47">
        <v>187.25</v>
      </c>
      <c r="B1419" s="47">
        <v>187.92</v>
      </c>
      <c r="C1419" s="47">
        <v>180.13</v>
      </c>
      <c r="D1419" s="47">
        <v>182.4</v>
      </c>
      <c r="E1419" s="47">
        <v>7606454</v>
      </c>
      <c r="F1419" s="47" t="s">
        <v>1117</v>
      </c>
      <c r="G1419" s="46">
        <f t="shared" si="19"/>
        <v>2.6589912280701622E-2</v>
      </c>
    </row>
    <row r="1420" spans="1:7">
      <c r="A1420" s="47">
        <v>182.19</v>
      </c>
      <c r="B1420" s="47">
        <v>184.9</v>
      </c>
      <c r="C1420" s="47">
        <v>179.6</v>
      </c>
      <c r="D1420" s="47">
        <v>180.17</v>
      </c>
      <c r="E1420" s="47">
        <v>7374516</v>
      </c>
      <c r="F1420" s="47" t="s">
        <v>1116</v>
      </c>
      <c r="G1420" s="46">
        <f t="shared" si="19"/>
        <v>1.1211633457290482E-2</v>
      </c>
    </row>
    <row r="1421" spans="1:7">
      <c r="A1421" s="47">
        <v>181.61</v>
      </c>
      <c r="B1421" s="47">
        <v>188.47</v>
      </c>
      <c r="C1421" s="47">
        <v>181.1</v>
      </c>
      <c r="D1421" s="47">
        <v>188.39</v>
      </c>
      <c r="E1421" s="47">
        <v>6782378</v>
      </c>
      <c r="F1421" s="47" t="s">
        <v>1115</v>
      </c>
      <c r="G1421" s="46">
        <f t="shared" si="19"/>
        <v>-3.5989171399755659E-2</v>
      </c>
    </row>
    <row r="1422" spans="1:7">
      <c r="A1422" s="47">
        <v>187.78</v>
      </c>
      <c r="B1422" s="47">
        <v>188.06</v>
      </c>
      <c r="C1422" s="47">
        <v>182.185</v>
      </c>
      <c r="D1422" s="47">
        <v>186.79</v>
      </c>
      <c r="E1422" s="47">
        <v>8939288</v>
      </c>
      <c r="F1422" s="47" t="s">
        <v>1114</v>
      </c>
      <c r="G1422" s="46">
        <f t="shared" si="19"/>
        <v>5.3000695968734579E-3</v>
      </c>
    </row>
    <row r="1423" spans="1:7">
      <c r="A1423" s="47">
        <v>183.21</v>
      </c>
      <c r="B1423" s="47">
        <v>183.45</v>
      </c>
      <c r="C1423" s="47">
        <v>174.08</v>
      </c>
      <c r="D1423" s="47">
        <v>174.84</v>
      </c>
      <c r="E1423" s="47">
        <v>13765625</v>
      </c>
      <c r="F1423" s="47" t="s">
        <v>1113</v>
      </c>
      <c r="G1423" s="46">
        <f t="shared" si="19"/>
        <v>4.7872340425531901E-2</v>
      </c>
    </row>
    <row r="1424" spans="1:7">
      <c r="A1424" s="47">
        <v>176.07</v>
      </c>
      <c r="B1424" s="47">
        <v>178.25</v>
      </c>
      <c r="C1424" s="47">
        <v>171.63</v>
      </c>
      <c r="D1424" s="47">
        <v>176.7</v>
      </c>
      <c r="E1424" s="47">
        <v>13557242</v>
      </c>
      <c r="F1424" s="47" t="s">
        <v>1112</v>
      </c>
      <c r="G1424" s="46">
        <f t="shared" si="19"/>
        <v>-3.5653650254668934E-3</v>
      </c>
    </row>
    <row r="1425" spans="1:7">
      <c r="A1425" s="47">
        <v>175.79</v>
      </c>
      <c r="B1425" s="47">
        <v>178.74</v>
      </c>
      <c r="C1425" s="47">
        <v>173.79</v>
      </c>
      <c r="D1425" s="47">
        <v>176.63</v>
      </c>
      <c r="E1425" s="47">
        <v>11840100</v>
      </c>
      <c r="F1425" s="47" t="s">
        <v>1111</v>
      </c>
      <c r="G1425" s="46">
        <f t="shared" si="19"/>
        <v>-4.7557040140406848E-3</v>
      </c>
    </row>
    <row r="1426" spans="1:7">
      <c r="A1426" s="47">
        <v>180.91</v>
      </c>
      <c r="B1426" s="47">
        <v>189.34</v>
      </c>
      <c r="C1426" s="47">
        <v>180.67</v>
      </c>
      <c r="D1426" s="47">
        <v>187.095</v>
      </c>
      <c r="E1426" s="47">
        <v>8174799</v>
      </c>
      <c r="F1426" s="47" t="s">
        <v>1110</v>
      </c>
      <c r="G1426" s="46">
        <f t="shared" si="19"/>
        <v>-3.3058072102407854E-2</v>
      </c>
    </row>
    <row r="1427" spans="1:7">
      <c r="A1427" s="47">
        <v>186.02</v>
      </c>
      <c r="B1427" s="47">
        <v>190.45</v>
      </c>
      <c r="C1427" s="47">
        <v>184.18</v>
      </c>
      <c r="D1427" s="47">
        <v>190.05</v>
      </c>
      <c r="E1427" s="47">
        <v>7763369</v>
      </c>
      <c r="F1427" s="47" t="s">
        <v>1109</v>
      </c>
      <c r="G1427" s="46">
        <f t="shared" si="19"/>
        <v>-2.1204946066824548E-2</v>
      </c>
    </row>
    <row r="1428" spans="1:7">
      <c r="A1428" s="47">
        <v>186.96</v>
      </c>
      <c r="B1428" s="47">
        <v>188.6</v>
      </c>
      <c r="C1428" s="47">
        <v>184.38</v>
      </c>
      <c r="D1428" s="47">
        <v>186</v>
      </c>
      <c r="E1428" s="47">
        <v>7053058</v>
      </c>
      <c r="F1428" s="47" t="s">
        <v>1108</v>
      </c>
      <c r="G1428" s="46">
        <f t="shared" si="19"/>
        <v>5.1612903225806139E-3</v>
      </c>
    </row>
    <row r="1429" spans="1:7">
      <c r="A1429" s="47">
        <v>184</v>
      </c>
      <c r="B1429" s="47">
        <v>192.1</v>
      </c>
      <c r="C1429" s="47">
        <v>180.93</v>
      </c>
      <c r="D1429" s="47">
        <v>191.46199999999999</v>
      </c>
      <c r="E1429" s="47">
        <v>8110351</v>
      </c>
      <c r="F1429" s="47" t="s">
        <v>1107</v>
      </c>
      <c r="G1429" s="46">
        <f t="shared" si="19"/>
        <v>-3.8973791143934511E-2</v>
      </c>
    </row>
    <row r="1430" spans="1:7">
      <c r="A1430" s="47">
        <v>190.09</v>
      </c>
      <c r="B1430" s="47">
        <v>198.22</v>
      </c>
      <c r="C1430" s="47">
        <v>187.84</v>
      </c>
      <c r="D1430" s="47">
        <v>196.09</v>
      </c>
      <c r="E1430" s="47">
        <v>6580655</v>
      </c>
      <c r="F1430" s="47" t="s">
        <v>1106</v>
      </c>
      <c r="G1430" s="46">
        <f t="shared" si="19"/>
        <v>-3.0598194706512261E-2</v>
      </c>
    </row>
    <row r="1431" spans="1:7">
      <c r="A1431" s="47">
        <v>194.6</v>
      </c>
      <c r="B1431" s="47">
        <v>195.75</v>
      </c>
      <c r="C1431" s="47">
        <v>187.3</v>
      </c>
      <c r="D1431" s="47">
        <v>191</v>
      </c>
      <c r="E1431" s="47">
        <v>8541960</v>
      </c>
      <c r="F1431" s="47" t="s">
        <v>1105</v>
      </c>
      <c r="G1431" s="46">
        <f t="shared" si="19"/>
        <v>1.884816753926688E-2</v>
      </c>
    </row>
    <row r="1432" spans="1:7">
      <c r="A1432" s="47">
        <v>185.95</v>
      </c>
      <c r="B1432" s="47">
        <v>191.75</v>
      </c>
      <c r="C1432" s="47">
        <v>184.7</v>
      </c>
      <c r="D1432" s="47">
        <v>184.7</v>
      </c>
      <c r="E1432" s="47">
        <v>9282378</v>
      </c>
      <c r="F1432" s="47" t="s">
        <v>1104</v>
      </c>
      <c r="G1432" s="46">
        <f t="shared" si="19"/>
        <v>6.7677314564158486E-3</v>
      </c>
    </row>
    <row r="1433" spans="1:7">
      <c r="A1433" s="47">
        <v>191.84</v>
      </c>
      <c r="B1433" s="47">
        <v>201.84</v>
      </c>
      <c r="C1433" s="47">
        <v>182.85</v>
      </c>
      <c r="D1433" s="47">
        <v>200.98500000000001</v>
      </c>
      <c r="E1433" s="47">
        <v>17034108</v>
      </c>
      <c r="F1433" s="47" t="s">
        <v>1103</v>
      </c>
      <c r="G1433" s="46">
        <f t="shared" si="19"/>
        <v>-4.5500908027962361E-2</v>
      </c>
    </row>
    <row r="1434" spans="1:7">
      <c r="A1434" s="47">
        <v>204.99</v>
      </c>
      <c r="B1434" s="47">
        <v>206.59</v>
      </c>
      <c r="C1434" s="47">
        <v>194.95</v>
      </c>
      <c r="D1434" s="47">
        <v>205.69</v>
      </c>
      <c r="E1434" s="47">
        <v>16006894</v>
      </c>
      <c r="F1434" s="47" t="s">
        <v>1102</v>
      </c>
      <c r="G1434" s="46">
        <f t="shared" si="19"/>
        <v>-3.4031795420291777E-3</v>
      </c>
    </row>
    <row r="1435" spans="1:7">
      <c r="A1435" s="47">
        <v>210.82</v>
      </c>
      <c r="B1435" s="47">
        <v>212.45</v>
      </c>
      <c r="C1435" s="47">
        <v>204.6</v>
      </c>
      <c r="D1435" s="47">
        <v>211.62219999999999</v>
      </c>
      <c r="E1435" s="47">
        <v>7219494</v>
      </c>
      <c r="F1435" s="47" t="s">
        <v>1101</v>
      </c>
      <c r="G1435" s="46">
        <f t="shared" si="19"/>
        <v>-3.790717609022165E-3</v>
      </c>
    </row>
    <row r="1436" spans="1:7">
      <c r="A1436" s="47">
        <v>208.93</v>
      </c>
      <c r="B1436" s="47">
        <v>209.87989999999999</v>
      </c>
      <c r="C1436" s="47">
        <v>205.14500000000001</v>
      </c>
      <c r="D1436" s="47">
        <v>205.59</v>
      </c>
      <c r="E1436" s="47">
        <v>6237911</v>
      </c>
      <c r="F1436" s="47" t="s">
        <v>1100</v>
      </c>
      <c r="G1436" s="46">
        <f t="shared" si="19"/>
        <v>1.6245926358285923E-2</v>
      </c>
    </row>
    <row r="1437" spans="1:7">
      <c r="A1437" s="47">
        <v>204.14</v>
      </c>
      <c r="B1437" s="47">
        <v>205.25229999999999</v>
      </c>
      <c r="C1437" s="47">
        <v>202.29839999999999</v>
      </c>
      <c r="D1437" s="47">
        <v>203.7</v>
      </c>
      <c r="E1437" s="47">
        <v>5628727</v>
      </c>
      <c r="F1437" s="47" t="s">
        <v>1099</v>
      </c>
      <c r="G1437" s="46">
        <f t="shared" si="19"/>
        <v>2.1600392734413276E-3</v>
      </c>
    </row>
    <row r="1438" spans="1:7">
      <c r="A1438" s="47">
        <v>204.48</v>
      </c>
      <c r="B1438" s="47">
        <v>205.41589999999999</v>
      </c>
      <c r="C1438" s="47">
        <v>202.42</v>
      </c>
      <c r="D1438" s="47">
        <v>205.41589999999999</v>
      </c>
      <c r="E1438" s="47">
        <v>4581319</v>
      </c>
      <c r="F1438" s="47" t="s">
        <v>1098</v>
      </c>
      <c r="G1438" s="46">
        <f t="shared" si="19"/>
        <v>-4.5561224812684653E-3</v>
      </c>
    </row>
    <row r="1439" spans="1:7">
      <c r="A1439" s="47">
        <v>204.34</v>
      </c>
      <c r="B1439" s="47">
        <v>207</v>
      </c>
      <c r="C1439" s="47">
        <v>202.3</v>
      </c>
      <c r="D1439" s="47">
        <v>206.81</v>
      </c>
      <c r="E1439" s="47">
        <v>6051898</v>
      </c>
      <c r="F1439" s="47" t="s">
        <v>1097</v>
      </c>
      <c r="G1439" s="46">
        <f t="shared" si="19"/>
        <v>-1.1943329626227017E-2</v>
      </c>
    </row>
    <row r="1440" spans="1:7">
      <c r="A1440" s="47">
        <v>203.48</v>
      </c>
      <c r="B1440" s="47">
        <v>205.35</v>
      </c>
      <c r="C1440" s="47">
        <v>200.25</v>
      </c>
      <c r="D1440" s="47">
        <v>202.53</v>
      </c>
      <c r="E1440" s="47">
        <v>6072171</v>
      </c>
      <c r="F1440" s="47" t="s">
        <v>1096</v>
      </c>
      <c r="G1440" s="46">
        <f t="shared" si="19"/>
        <v>4.6906631116376829E-3</v>
      </c>
    </row>
    <row r="1441" spans="1:7">
      <c r="A1441" s="47">
        <v>201.67</v>
      </c>
      <c r="B1441" s="47">
        <v>201.96</v>
      </c>
      <c r="C1441" s="47">
        <v>196.24</v>
      </c>
      <c r="D1441" s="47">
        <v>198.49</v>
      </c>
      <c r="E1441" s="47">
        <v>5108202</v>
      </c>
      <c r="F1441" s="47" t="s">
        <v>1095</v>
      </c>
      <c r="G1441" s="46">
        <f t="shared" si="19"/>
        <v>1.6020958234671756E-2</v>
      </c>
    </row>
    <row r="1442" spans="1:7">
      <c r="A1442" s="47">
        <v>198.88</v>
      </c>
      <c r="B1442" s="47">
        <v>201.09880000000001</v>
      </c>
      <c r="C1442" s="47">
        <v>196.57</v>
      </c>
      <c r="D1442" s="47">
        <v>200</v>
      </c>
      <c r="E1442" s="47">
        <v>5404075</v>
      </c>
      <c r="F1442" s="47" t="s">
        <v>1094</v>
      </c>
      <c r="G1442" s="46">
        <f t="shared" si="19"/>
        <v>-5.6000000000000494E-3</v>
      </c>
    </row>
    <row r="1443" spans="1:7">
      <c r="A1443" s="47">
        <v>196.79</v>
      </c>
      <c r="B1443" s="47">
        <v>199.09989999999999</v>
      </c>
      <c r="C1443" s="47">
        <v>196.22</v>
      </c>
      <c r="D1443" s="47">
        <v>197.93</v>
      </c>
      <c r="E1443" s="47">
        <v>6092535</v>
      </c>
      <c r="F1443" s="47" t="s">
        <v>1093</v>
      </c>
      <c r="G1443" s="46">
        <f t="shared" si="19"/>
        <v>-5.7596119840348514E-3</v>
      </c>
    </row>
    <row r="1444" spans="1:7">
      <c r="A1444" s="47">
        <v>198.18</v>
      </c>
      <c r="B1444" s="47">
        <v>198.7</v>
      </c>
      <c r="C1444" s="47">
        <v>191.51</v>
      </c>
      <c r="D1444" s="47">
        <v>192.06</v>
      </c>
      <c r="E1444" s="47">
        <v>6772962</v>
      </c>
      <c r="F1444" s="47" t="s">
        <v>1092</v>
      </c>
      <c r="G1444" s="46">
        <f t="shared" si="19"/>
        <v>3.1865042174320513E-2</v>
      </c>
    </row>
    <row r="1445" spans="1:7">
      <c r="A1445" s="47">
        <v>192.44</v>
      </c>
      <c r="B1445" s="47">
        <v>196.84</v>
      </c>
      <c r="C1445" s="47">
        <v>191.92</v>
      </c>
      <c r="D1445" s="47">
        <v>195.06</v>
      </c>
      <c r="E1445" s="47">
        <v>6865340</v>
      </c>
      <c r="F1445" s="47" t="s">
        <v>1091</v>
      </c>
      <c r="G1445" s="46">
        <f t="shared" si="19"/>
        <v>-1.3431764585255856E-2</v>
      </c>
    </row>
    <row r="1446" spans="1:7">
      <c r="A1446" s="47">
        <v>194.57</v>
      </c>
      <c r="B1446" s="47">
        <v>198.75</v>
      </c>
      <c r="C1446" s="47">
        <v>194</v>
      </c>
      <c r="D1446" s="47">
        <v>197.73</v>
      </c>
      <c r="E1446" s="47">
        <v>5362472</v>
      </c>
      <c r="F1446" s="47" t="s">
        <v>1090</v>
      </c>
      <c r="G1446" s="46">
        <f t="shared" si="19"/>
        <v>-1.5981388762453808E-2</v>
      </c>
    </row>
    <row r="1447" spans="1:7">
      <c r="A1447" s="47">
        <v>196.29</v>
      </c>
      <c r="B1447" s="47">
        <v>197.42</v>
      </c>
      <c r="C1447" s="47">
        <v>193.25</v>
      </c>
      <c r="D1447" s="47">
        <v>193.92</v>
      </c>
      <c r="E1447" s="47">
        <v>6279277</v>
      </c>
      <c r="F1447" s="47" t="s">
        <v>1089</v>
      </c>
      <c r="G1447" s="46">
        <f t="shared" si="19"/>
        <v>1.2221534653465316E-2</v>
      </c>
    </row>
    <row r="1448" spans="1:7">
      <c r="A1448" s="47">
        <v>191.46</v>
      </c>
      <c r="B1448" s="47">
        <v>195.46870000000001</v>
      </c>
      <c r="C1448" s="47">
        <v>190.51</v>
      </c>
      <c r="D1448" s="47">
        <v>195.19</v>
      </c>
      <c r="E1448" s="47">
        <v>4847965</v>
      </c>
      <c r="F1448" s="47" t="s">
        <v>1088</v>
      </c>
      <c r="G1448" s="46">
        <f t="shared" si="19"/>
        <v>-1.910958553204567E-2</v>
      </c>
    </row>
    <row r="1449" spans="1:7">
      <c r="A1449" s="47">
        <v>193.07</v>
      </c>
      <c r="B1449" s="47">
        <v>195.13</v>
      </c>
      <c r="C1449" s="47">
        <v>191.48</v>
      </c>
      <c r="D1449" s="47">
        <v>192.1</v>
      </c>
      <c r="E1449" s="47">
        <v>10082355</v>
      </c>
      <c r="F1449" s="47" t="s">
        <v>1087</v>
      </c>
      <c r="G1449" s="46">
        <f t="shared" si="19"/>
        <v>5.0494534096825472E-3</v>
      </c>
    </row>
    <row r="1450" spans="1:7">
      <c r="A1450" s="47">
        <v>191.32</v>
      </c>
      <c r="B1450" s="47">
        <v>192.51</v>
      </c>
      <c r="C1450" s="47">
        <v>189.4</v>
      </c>
      <c r="D1450" s="47">
        <v>190</v>
      </c>
      <c r="E1450" s="47">
        <v>7939997</v>
      </c>
      <c r="F1450" s="47" t="s">
        <v>1086</v>
      </c>
      <c r="G1450" s="46">
        <f t="shared" si="19"/>
        <v>6.947368421052591E-3</v>
      </c>
    </row>
    <row r="1451" spans="1:7">
      <c r="A1451" s="47">
        <v>189.03</v>
      </c>
      <c r="B1451" s="47">
        <v>193.535</v>
      </c>
      <c r="C1451" s="47">
        <v>186.52</v>
      </c>
      <c r="D1451" s="47">
        <v>192</v>
      </c>
      <c r="E1451" s="47">
        <v>9155292</v>
      </c>
      <c r="F1451" s="47" t="s">
        <v>1085</v>
      </c>
      <c r="G1451" s="46">
        <f t="shared" si="19"/>
        <v>-1.5468750000000031E-2</v>
      </c>
    </row>
    <row r="1452" spans="1:7">
      <c r="A1452" s="47">
        <v>193.32</v>
      </c>
      <c r="B1452" s="47">
        <v>199.85</v>
      </c>
      <c r="C1452" s="47">
        <v>191.69</v>
      </c>
      <c r="D1452" s="47">
        <v>198.7</v>
      </c>
      <c r="E1452" s="47">
        <v>8792199</v>
      </c>
      <c r="F1452" s="47" t="s">
        <v>1084</v>
      </c>
      <c r="G1452" s="46">
        <f t="shared" si="19"/>
        <v>-2.7075993960744782E-2</v>
      </c>
    </row>
    <row r="1453" spans="1:7">
      <c r="A1453" s="47">
        <v>198.63</v>
      </c>
      <c r="B1453" s="47">
        <v>203.95089999999999</v>
      </c>
      <c r="C1453" s="47">
        <v>196.7</v>
      </c>
      <c r="D1453" s="47">
        <v>203.71</v>
      </c>
      <c r="E1453" s="47">
        <v>6525299</v>
      </c>
      <c r="F1453" s="47" t="s">
        <v>1083</v>
      </c>
      <c r="G1453" s="46">
        <f t="shared" si="19"/>
        <v>-2.4937411025477418E-2</v>
      </c>
    </row>
    <row r="1454" spans="1:7">
      <c r="A1454" s="47">
        <v>204.09</v>
      </c>
      <c r="B1454" s="47">
        <v>204.16</v>
      </c>
      <c r="C1454" s="47">
        <v>198.88</v>
      </c>
      <c r="D1454" s="47">
        <v>202</v>
      </c>
      <c r="E1454" s="47">
        <v>5821425</v>
      </c>
      <c r="F1454" s="47" t="s">
        <v>1082</v>
      </c>
      <c r="G1454" s="46">
        <f t="shared" si="19"/>
        <v>1.0346534653465467E-2</v>
      </c>
    </row>
    <row r="1455" spans="1:7">
      <c r="A1455" s="47">
        <v>202.91</v>
      </c>
      <c r="B1455" s="47">
        <v>204.23</v>
      </c>
      <c r="C1455" s="47">
        <v>198.09</v>
      </c>
      <c r="D1455" s="47">
        <v>199</v>
      </c>
      <c r="E1455" s="47">
        <v>7573326</v>
      </c>
      <c r="F1455" s="47" t="s">
        <v>1081</v>
      </c>
      <c r="G1455" s="46">
        <f t="shared" si="19"/>
        <v>1.9648241206030148E-2</v>
      </c>
    </row>
    <row r="1456" spans="1:7">
      <c r="A1456" s="47">
        <v>197.33</v>
      </c>
      <c r="B1456" s="47">
        <v>199.1</v>
      </c>
      <c r="C1456" s="47">
        <v>195.5206</v>
      </c>
      <c r="D1456" s="47">
        <v>196.35</v>
      </c>
      <c r="E1456" s="47">
        <v>5771585</v>
      </c>
      <c r="F1456" s="47" t="s">
        <v>1080</v>
      </c>
      <c r="G1456" s="46">
        <f t="shared" si="19"/>
        <v>4.9910873440286441E-3</v>
      </c>
    </row>
    <row r="1457" spans="1:7">
      <c r="A1457" s="47">
        <v>197.07</v>
      </c>
      <c r="B1457" s="47">
        <v>199.4</v>
      </c>
      <c r="C1457" s="47">
        <v>195.22</v>
      </c>
      <c r="D1457" s="47">
        <v>198.25</v>
      </c>
      <c r="E1457" s="47">
        <v>7961646</v>
      </c>
      <c r="F1457" s="47" t="s">
        <v>1079</v>
      </c>
      <c r="G1457" s="46">
        <f t="shared" si="19"/>
        <v>-5.9520807061791414E-3</v>
      </c>
    </row>
    <row r="1458" spans="1:7">
      <c r="A1458" s="47">
        <v>196.07</v>
      </c>
      <c r="B1458" s="47">
        <v>196.35</v>
      </c>
      <c r="C1458" s="47">
        <v>191.69</v>
      </c>
      <c r="D1458" s="47">
        <v>193.05</v>
      </c>
      <c r="E1458" s="47">
        <v>10865370</v>
      </c>
      <c r="F1458" s="47" t="s">
        <v>1078</v>
      </c>
      <c r="G1458" s="46">
        <f t="shared" si="19"/>
        <v>1.5643615643615494E-2</v>
      </c>
    </row>
    <row r="1459" spans="1:7">
      <c r="A1459" s="47">
        <v>192.51</v>
      </c>
      <c r="B1459" s="47">
        <v>198.65989999999999</v>
      </c>
      <c r="C1459" s="47">
        <v>189.13140000000001</v>
      </c>
      <c r="D1459" s="47">
        <v>191.81</v>
      </c>
      <c r="E1459" s="47">
        <v>16803593</v>
      </c>
      <c r="F1459" s="47" t="s">
        <v>1077</v>
      </c>
      <c r="G1459" s="46">
        <f t="shared" si="19"/>
        <v>3.6494447630466276E-3</v>
      </c>
    </row>
    <row r="1460" spans="1:7">
      <c r="A1460" s="47">
        <v>184.6</v>
      </c>
      <c r="B1460" s="47">
        <v>185.44</v>
      </c>
      <c r="C1460" s="47">
        <v>178.27</v>
      </c>
      <c r="D1460" s="47">
        <v>178.45</v>
      </c>
      <c r="E1460" s="47">
        <v>15436643</v>
      </c>
      <c r="F1460" s="47" t="s">
        <v>1076</v>
      </c>
      <c r="G1460" s="46">
        <f t="shared" si="19"/>
        <v>3.446343513589234E-2</v>
      </c>
    </row>
    <row r="1461" spans="1:7">
      <c r="A1461" s="47">
        <v>176.27</v>
      </c>
      <c r="B1461" s="47">
        <v>179.58</v>
      </c>
      <c r="C1461" s="47">
        <v>176.0102</v>
      </c>
      <c r="D1461" s="47">
        <v>178.01</v>
      </c>
      <c r="E1461" s="47">
        <v>6125669</v>
      </c>
      <c r="F1461" s="47" t="s">
        <v>1075</v>
      </c>
      <c r="G1461" s="46">
        <f t="shared" si="19"/>
        <v>-9.7747317566427849E-3</v>
      </c>
    </row>
    <row r="1462" spans="1:7">
      <c r="A1462" s="47">
        <v>177.98</v>
      </c>
      <c r="B1462" s="47">
        <v>178.46</v>
      </c>
      <c r="C1462" s="47">
        <v>172.39</v>
      </c>
      <c r="D1462" s="47">
        <v>173.92</v>
      </c>
      <c r="E1462" s="47">
        <v>6868784</v>
      </c>
      <c r="F1462" s="47" t="s">
        <v>1074</v>
      </c>
      <c r="G1462" s="46">
        <f t="shared" si="19"/>
        <v>2.3344066237350525E-2</v>
      </c>
    </row>
    <row r="1463" spans="1:7">
      <c r="A1463" s="47">
        <v>172.56</v>
      </c>
      <c r="B1463" s="47">
        <v>173.6</v>
      </c>
      <c r="C1463" s="47">
        <v>169.08</v>
      </c>
      <c r="D1463" s="47">
        <v>171.08</v>
      </c>
      <c r="E1463" s="47">
        <v>6256092</v>
      </c>
      <c r="F1463" s="47" t="s">
        <v>1073</v>
      </c>
      <c r="G1463" s="46">
        <f t="shared" si="19"/>
        <v>8.6509235445404453E-3</v>
      </c>
    </row>
    <row r="1464" spans="1:7">
      <c r="A1464" s="47">
        <v>173.86</v>
      </c>
      <c r="B1464" s="47">
        <v>180.75</v>
      </c>
      <c r="C1464" s="47">
        <v>171.94</v>
      </c>
      <c r="D1464" s="47">
        <v>178.15</v>
      </c>
      <c r="E1464" s="47">
        <v>6999615</v>
      </c>
      <c r="F1464" s="47" t="s">
        <v>1072</v>
      </c>
      <c r="G1464" s="46">
        <f t="shared" si="19"/>
        <v>-2.4080830760594973E-2</v>
      </c>
    </row>
    <row r="1465" spans="1:7">
      <c r="A1465" s="47">
        <v>178.42</v>
      </c>
      <c r="B1465" s="47">
        <v>179.49</v>
      </c>
      <c r="C1465" s="47">
        <v>175.73</v>
      </c>
      <c r="D1465" s="47">
        <v>176.16</v>
      </c>
      <c r="E1465" s="47">
        <v>4669007</v>
      </c>
      <c r="F1465" s="47" t="s">
        <v>1071</v>
      </c>
      <c r="G1465" s="46">
        <f t="shared" si="19"/>
        <v>1.2829246139872685E-2</v>
      </c>
    </row>
    <row r="1466" spans="1:7">
      <c r="A1466" s="47">
        <v>175.58</v>
      </c>
      <c r="B1466" s="47">
        <v>179.46</v>
      </c>
      <c r="C1466" s="47">
        <v>174.32</v>
      </c>
      <c r="D1466" s="47">
        <v>179.25</v>
      </c>
      <c r="E1466" s="47">
        <v>5701784</v>
      </c>
      <c r="F1466" s="47" t="s">
        <v>1070</v>
      </c>
      <c r="G1466" s="46">
        <f t="shared" ref="G1466:G1529" si="20">A1466/D1466-1</f>
        <v>-2.0474198047419789E-2</v>
      </c>
    </row>
    <row r="1467" spans="1:7">
      <c r="A1467" s="47">
        <v>178.82</v>
      </c>
      <c r="B1467" s="47">
        <v>179.64</v>
      </c>
      <c r="C1467" s="47">
        <v>172.68</v>
      </c>
      <c r="D1467" s="47">
        <v>174.65</v>
      </c>
      <c r="E1467" s="47">
        <v>6025037</v>
      </c>
      <c r="F1467" s="47" t="s">
        <v>1069</v>
      </c>
      <c r="G1467" s="46">
        <f t="shared" si="20"/>
        <v>2.3876324076724798E-2</v>
      </c>
    </row>
    <row r="1468" spans="1:7">
      <c r="A1468" s="47">
        <v>173.92</v>
      </c>
      <c r="B1468" s="47">
        <v>174.56</v>
      </c>
      <c r="C1468" s="47">
        <v>169.54</v>
      </c>
      <c r="D1468" s="47">
        <v>171.5</v>
      </c>
      <c r="E1468" s="47">
        <v>7353955</v>
      </c>
      <c r="F1468" s="47" t="s">
        <v>1068</v>
      </c>
      <c r="G1468" s="46">
        <f t="shared" si="20"/>
        <v>1.4110787172011641E-2</v>
      </c>
    </row>
    <row r="1469" spans="1:7">
      <c r="A1469" s="47">
        <v>169.81</v>
      </c>
      <c r="B1469" s="47">
        <v>171.34</v>
      </c>
      <c r="C1469" s="47">
        <v>166.49979999999999</v>
      </c>
      <c r="D1469" s="47">
        <v>169.9</v>
      </c>
      <c r="E1469" s="47">
        <v>6630594</v>
      </c>
      <c r="F1469" s="47" t="s">
        <v>1067</v>
      </c>
      <c r="G1469" s="46">
        <f t="shared" si="20"/>
        <v>-5.2972336668632991E-4</v>
      </c>
    </row>
    <row r="1470" spans="1:7">
      <c r="A1470" s="47">
        <v>172.06</v>
      </c>
      <c r="B1470" s="47">
        <v>173.36</v>
      </c>
      <c r="C1470" s="47">
        <v>169.01</v>
      </c>
      <c r="D1470" s="47">
        <v>172.99</v>
      </c>
      <c r="E1470" s="47">
        <v>6659704</v>
      </c>
      <c r="F1470" s="47" t="s">
        <v>1066</v>
      </c>
      <c r="G1470" s="46">
        <f t="shared" si="20"/>
        <v>-5.3760332967224267E-3</v>
      </c>
    </row>
    <row r="1471" spans="1:7">
      <c r="A1471" s="47">
        <v>172.3</v>
      </c>
      <c r="B1471" s="47">
        <v>172.6</v>
      </c>
      <c r="C1471" s="47">
        <v>164.33</v>
      </c>
      <c r="D1471" s="47">
        <v>168.75</v>
      </c>
      <c r="E1471" s="47">
        <v>10624487</v>
      </c>
      <c r="F1471" s="47" t="s">
        <v>1065</v>
      </c>
      <c r="G1471" s="46">
        <f t="shared" si="20"/>
        <v>2.1037037037037187E-2</v>
      </c>
    </row>
    <row r="1472" spans="1:7">
      <c r="A1472" s="47">
        <v>171.51</v>
      </c>
      <c r="B1472" s="47">
        <v>180.66</v>
      </c>
      <c r="C1472" s="47">
        <v>170.74</v>
      </c>
      <c r="D1472" s="47">
        <v>180.42</v>
      </c>
      <c r="E1472" s="47">
        <v>10234780</v>
      </c>
      <c r="F1472" s="47" t="s">
        <v>1064</v>
      </c>
      <c r="G1472" s="46">
        <f t="shared" si="20"/>
        <v>-4.9384768872630547E-2</v>
      </c>
    </row>
    <row r="1473" spans="1:7">
      <c r="A1473" s="47">
        <v>178.4</v>
      </c>
      <c r="B1473" s="47">
        <v>182.52</v>
      </c>
      <c r="C1473" s="47">
        <v>177.13</v>
      </c>
      <c r="D1473" s="47">
        <v>181.63</v>
      </c>
      <c r="E1473" s="47">
        <v>7583166</v>
      </c>
      <c r="F1473" s="47" t="s">
        <v>1063</v>
      </c>
      <c r="G1473" s="46">
        <f t="shared" si="20"/>
        <v>-1.7783405825028797E-2</v>
      </c>
    </row>
    <row r="1474" spans="1:7">
      <c r="A1474" s="47">
        <v>183.23</v>
      </c>
      <c r="B1474" s="47">
        <v>183.99</v>
      </c>
      <c r="C1474" s="47">
        <v>179.15</v>
      </c>
      <c r="D1474" s="47">
        <v>183.4</v>
      </c>
      <c r="E1474" s="47">
        <v>6340005</v>
      </c>
      <c r="F1474" s="47" t="s">
        <v>1062</v>
      </c>
      <c r="G1474" s="46">
        <f t="shared" si="20"/>
        <v>-9.2693565976020853E-4</v>
      </c>
    </row>
    <row r="1475" spans="1:7">
      <c r="A1475" s="47">
        <v>181.57</v>
      </c>
      <c r="B1475" s="47">
        <v>182.64</v>
      </c>
      <c r="C1475" s="47">
        <v>178.5</v>
      </c>
      <c r="D1475" s="47">
        <v>178.89</v>
      </c>
      <c r="E1475" s="47">
        <v>7233512</v>
      </c>
      <c r="F1475" s="47" t="s">
        <v>1061</v>
      </c>
      <c r="G1475" s="46">
        <f t="shared" si="20"/>
        <v>1.4981273408239737E-2</v>
      </c>
    </row>
    <row r="1476" spans="1:7">
      <c r="A1476" s="47">
        <v>177.28</v>
      </c>
      <c r="B1476" s="47">
        <v>179.95</v>
      </c>
      <c r="C1476" s="47">
        <v>176.31</v>
      </c>
      <c r="D1476" s="47">
        <v>177.69</v>
      </c>
      <c r="E1476" s="47">
        <v>5529363</v>
      </c>
      <c r="F1476" s="47" t="s">
        <v>1060</v>
      </c>
      <c r="G1476" s="46">
        <f t="shared" si="20"/>
        <v>-2.3073892734537527E-3</v>
      </c>
    </row>
    <row r="1477" spans="1:7">
      <c r="A1477" s="47">
        <v>176.18</v>
      </c>
      <c r="B1477" s="47">
        <v>181.24</v>
      </c>
      <c r="C1477" s="47">
        <v>174.46</v>
      </c>
      <c r="D1477" s="47">
        <v>180.29</v>
      </c>
      <c r="E1477" s="47">
        <v>8348329</v>
      </c>
      <c r="F1477" s="47" t="s">
        <v>1059</v>
      </c>
      <c r="G1477" s="46">
        <f t="shared" si="20"/>
        <v>-2.2796605468966558E-2</v>
      </c>
    </row>
    <row r="1478" spans="1:7">
      <c r="A1478" s="47">
        <v>177.21</v>
      </c>
      <c r="B1478" s="47">
        <v>179.8</v>
      </c>
      <c r="C1478" s="47">
        <v>176.72</v>
      </c>
      <c r="D1478" s="47">
        <v>179.69</v>
      </c>
      <c r="E1478" s="47">
        <v>5943623</v>
      </c>
      <c r="F1478" s="47" t="s">
        <v>1058</v>
      </c>
      <c r="G1478" s="46">
        <f t="shared" si="20"/>
        <v>-1.3801547108909684E-2</v>
      </c>
    </row>
    <row r="1479" spans="1:7">
      <c r="A1479" s="47">
        <v>177.43</v>
      </c>
      <c r="B1479" s="47">
        <v>178.23480000000001</v>
      </c>
      <c r="C1479" s="47">
        <v>172.56</v>
      </c>
      <c r="D1479" s="47">
        <v>174.625</v>
      </c>
      <c r="E1479" s="47">
        <v>6869584</v>
      </c>
      <c r="F1479" s="47" t="s">
        <v>1057</v>
      </c>
      <c r="G1479" s="46">
        <f t="shared" si="20"/>
        <v>1.6062992125984277E-2</v>
      </c>
    </row>
    <row r="1480" spans="1:7">
      <c r="A1480" s="47">
        <v>174.23</v>
      </c>
      <c r="B1480" s="47">
        <v>174.69</v>
      </c>
      <c r="C1480" s="47">
        <v>169.41</v>
      </c>
      <c r="D1480" s="47">
        <v>170.7</v>
      </c>
      <c r="E1480" s="47">
        <v>6831902</v>
      </c>
      <c r="F1480" s="47" t="s">
        <v>1056</v>
      </c>
      <c r="G1480" s="46">
        <f t="shared" si="20"/>
        <v>2.0679554774458042E-2</v>
      </c>
    </row>
    <row r="1481" spans="1:7">
      <c r="A1481" s="47">
        <v>168.35</v>
      </c>
      <c r="B1481" s="47">
        <v>171.48</v>
      </c>
      <c r="C1481" s="47">
        <v>165.56</v>
      </c>
      <c r="D1481" s="47">
        <v>171.48</v>
      </c>
      <c r="E1481" s="47">
        <v>5423702</v>
      </c>
      <c r="F1481" s="47" t="s">
        <v>1055</v>
      </c>
      <c r="G1481" s="46">
        <f t="shared" si="20"/>
        <v>-1.8252857476090512E-2</v>
      </c>
    </row>
    <row r="1482" spans="1:7">
      <c r="A1482" s="47">
        <v>170.87</v>
      </c>
      <c r="B1482" s="47">
        <v>173.71</v>
      </c>
      <c r="C1482" s="47">
        <v>168.6</v>
      </c>
      <c r="D1482" s="47">
        <v>173.71</v>
      </c>
      <c r="E1482" s="47">
        <v>8158658</v>
      </c>
      <c r="F1482" s="47" t="s">
        <v>1054</v>
      </c>
      <c r="G1482" s="46">
        <f t="shared" si="20"/>
        <v>-1.6349087559725972E-2</v>
      </c>
    </row>
    <row r="1483" spans="1:7">
      <c r="A1483" s="47">
        <v>172.5</v>
      </c>
      <c r="B1483" s="47">
        <v>172.78</v>
      </c>
      <c r="C1483" s="47">
        <v>168.19</v>
      </c>
      <c r="D1483" s="47">
        <v>169</v>
      </c>
      <c r="E1483" s="47">
        <v>6650737</v>
      </c>
      <c r="F1483" s="47" t="s">
        <v>1053</v>
      </c>
      <c r="G1483" s="46">
        <f t="shared" si="20"/>
        <v>2.0710059171597628E-2</v>
      </c>
    </row>
    <row r="1484" spans="1:7">
      <c r="A1484" s="47">
        <v>168</v>
      </c>
      <c r="B1484" s="47">
        <v>173.48</v>
      </c>
      <c r="C1484" s="47">
        <v>164.29</v>
      </c>
      <c r="D1484" s="47">
        <v>170.595</v>
      </c>
      <c r="E1484" s="47">
        <v>8931751</v>
      </c>
      <c r="F1484" s="47" t="s">
        <v>1052</v>
      </c>
      <c r="G1484" s="46">
        <f t="shared" si="20"/>
        <v>-1.521146575222021E-2</v>
      </c>
    </row>
    <row r="1485" spans="1:7">
      <c r="A1485" s="47">
        <v>172.79</v>
      </c>
      <c r="B1485" s="47">
        <v>175.4</v>
      </c>
      <c r="C1485" s="47">
        <v>170.4</v>
      </c>
      <c r="D1485" s="47">
        <v>172</v>
      </c>
      <c r="E1485" s="47">
        <v>7693874</v>
      </c>
      <c r="F1485" s="47" t="s">
        <v>1051</v>
      </c>
      <c r="G1485" s="46">
        <f t="shared" si="20"/>
        <v>4.5930232558140105E-3</v>
      </c>
    </row>
    <row r="1486" spans="1:7">
      <c r="A1486" s="47">
        <v>170.26</v>
      </c>
      <c r="B1486" s="47">
        <v>170.9</v>
      </c>
      <c r="C1486" s="47">
        <v>165.55</v>
      </c>
      <c r="D1486" s="47">
        <v>165.58</v>
      </c>
      <c r="E1486" s="47">
        <v>7793821</v>
      </c>
      <c r="F1486" s="47" t="s">
        <v>1050</v>
      </c>
      <c r="G1486" s="46">
        <f t="shared" si="20"/>
        <v>2.8264283125981171E-2</v>
      </c>
    </row>
    <row r="1487" spans="1:7">
      <c r="A1487" s="47">
        <v>164.36</v>
      </c>
      <c r="B1487" s="47">
        <v>171.12</v>
      </c>
      <c r="C1487" s="47">
        <v>164.01</v>
      </c>
      <c r="D1487" s="47">
        <v>170.6</v>
      </c>
      <c r="E1487" s="47">
        <v>11332668</v>
      </c>
      <c r="F1487" s="47" t="s">
        <v>1049</v>
      </c>
      <c r="G1487" s="46">
        <f t="shared" si="20"/>
        <v>-3.6576787807737321E-2</v>
      </c>
    </row>
    <row r="1488" spans="1:7">
      <c r="A1488" s="47">
        <v>168.05</v>
      </c>
      <c r="B1488" s="47">
        <v>168.83</v>
      </c>
      <c r="C1488" s="47">
        <v>164.31</v>
      </c>
      <c r="D1488" s="47">
        <v>164.72</v>
      </c>
      <c r="E1488" s="47">
        <v>8583734</v>
      </c>
      <c r="F1488" s="47" t="s">
        <v>1048</v>
      </c>
      <c r="G1488" s="46">
        <f t="shared" si="20"/>
        <v>2.0216124332200103E-2</v>
      </c>
    </row>
    <row r="1489" spans="1:7">
      <c r="A1489" s="47">
        <v>163.83000000000001</v>
      </c>
      <c r="B1489" s="47">
        <v>164.9597</v>
      </c>
      <c r="C1489" s="47">
        <v>161.66</v>
      </c>
      <c r="D1489" s="47">
        <v>162.84</v>
      </c>
      <c r="E1489" s="47">
        <v>5582620</v>
      </c>
      <c r="F1489" s="47" t="s">
        <v>1047</v>
      </c>
      <c r="G1489" s="46">
        <f t="shared" si="20"/>
        <v>6.0795873249817056E-3</v>
      </c>
    </row>
    <row r="1490" spans="1:7">
      <c r="A1490" s="47">
        <v>161.22</v>
      </c>
      <c r="B1490" s="47">
        <v>162.83000000000001</v>
      </c>
      <c r="C1490" s="47">
        <v>158.30000000000001</v>
      </c>
      <c r="D1490" s="47">
        <v>160.19</v>
      </c>
      <c r="E1490" s="47">
        <v>6539467</v>
      </c>
      <c r="F1490" s="47" t="s">
        <v>1046</v>
      </c>
      <c r="G1490" s="46">
        <f t="shared" si="20"/>
        <v>6.4298645358635831E-3</v>
      </c>
    </row>
    <row r="1491" spans="1:7">
      <c r="A1491" s="47">
        <v>157.55000000000001</v>
      </c>
      <c r="B1491" s="47">
        <v>157.91999999999999</v>
      </c>
      <c r="C1491" s="47">
        <v>152.22</v>
      </c>
      <c r="D1491" s="47">
        <v>152.63</v>
      </c>
      <c r="E1491" s="47">
        <v>5117394</v>
      </c>
      <c r="F1491" s="47" t="s">
        <v>1045</v>
      </c>
      <c r="G1491" s="46">
        <f t="shared" si="20"/>
        <v>3.2234816222236784E-2</v>
      </c>
    </row>
    <row r="1492" spans="1:7">
      <c r="A1492" s="47">
        <v>155.26</v>
      </c>
      <c r="B1492" s="47">
        <v>157.21</v>
      </c>
      <c r="C1492" s="47">
        <v>151.88999999999999</v>
      </c>
      <c r="D1492" s="47">
        <v>157.06</v>
      </c>
      <c r="E1492" s="47">
        <v>7038068</v>
      </c>
      <c r="F1492" s="47" t="s">
        <v>1044</v>
      </c>
      <c r="G1492" s="46">
        <f t="shared" si="20"/>
        <v>-1.1460588310200026E-2</v>
      </c>
    </row>
    <row r="1493" spans="1:7">
      <c r="A1493" s="47">
        <v>153.04</v>
      </c>
      <c r="B1493" s="47">
        <v>159.5</v>
      </c>
      <c r="C1493" s="47">
        <v>152.91499999999999</v>
      </c>
      <c r="D1493" s="47">
        <v>158.34</v>
      </c>
      <c r="E1493" s="47">
        <v>9041718</v>
      </c>
      <c r="F1493" s="47" t="s">
        <v>1043</v>
      </c>
      <c r="G1493" s="46">
        <f t="shared" si="20"/>
        <v>-3.3472274851585215E-2</v>
      </c>
    </row>
    <row r="1494" spans="1:7">
      <c r="A1494" s="47">
        <v>159.91</v>
      </c>
      <c r="B1494" s="47">
        <v>160.88999999999999</v>
      </c>
      <c r="C1494" s="47">
        <v>157.6</v>
      </c>
      <c r="D1494" s="47">
        <v>157.6</v>
      </c>
      <c r="E1494" s="47">
        <v>5881831</v>
      </c>
      <c r="F1494" s="47" t="s">
        <v>1042</v>
      </c>
      <c r="G1494" s="46">
        <f t="shared" si="20"/>
        <v>1.4657360406091335E-2</v>
      </c>
    </row>
    <row r="1495" spans="1:7">
      <c r="A1495" s="47">
        <v>156.86000000000001</v>
      </c>
      <c r="B1495" s="47">
        <v>158.21</v>
      </c>
      <c r="C1495" s="47">
        <v>155.5949</v>
      </c>
      <c r="D1495" s="47">
        <v>155.79</v>
      </c>
      <c r="E1495" s="47">
        <v>7265620</v>
      </c>
      <c r="F1495" s="47" t="s">
        <v>1041</v>
      </c>
      <c r="G1495" s="46">
        <f t="shared" si="20"/>
        <v>6.8682200397973681E-3</v>
      </c>
    </row>
    <row r="1496" spans="1:7">
      <c r="A1496" s="47">
        <v>156.09</v>
      </c>
      <c r="B1496" s="47">
        <v>156.21</v>
      </c>
      <c r="C1496" s="47">
        <v>153.11000000000001</v>
      </c>
      <c r="D1496" s="47">
        <v>154.28</v>
      </c>
      <c r="E1496" s="47">
        <v>5494431</v>
      </c>
      <c r="F1496" s="47" t="s">
        <v>1040</v>
      </c>
      <c r="G1496" s="46">
        <f t="shared" si="20"/>
        <v>1.173191599688872E-2</v>
      </c>
    </row>
    <row r="1497" spans="1:7">
      <c r="A1497" s="47">
        <v>156</v>
      </c>
      <c r="B1497" s="47">
        <v>156.34</v>
      </c>
      <c r="C1497" s="47">
        <v>150</v>
      </c>
      <c r="D1497" s="47">
        <v>152.97999999999999</v>
      </c>
      <c r="E1497" s="47">
        <v>8446143</v>
      </c>
      <c r="F1497" s="47" t="s">
        <v>1039</v>
      </c>
      <c r="G1497" s="46">
        <f t="shared" si="20"/>
        <v>1.9741142633024067E-2</v>
      </c>
    </row>
    <row r="1498" spans="1:7">
      <c r="A1498" s="47">
        <v>154.6</v>
      </c>
      <c r="B1498" s="47">
        <v>159.47989999999999</v>
      </c>
      <c r="C1498" s="47">
        <v>153.63499999999999</v>
      </c>
      <c r="D1498" s="47">
        <v>156.69999999999999</v>
      </c>
      <c r="E1498" s="47">
        <v>7554487</v>
      </c>
      <c r="F1498" s="47" t="s">
        <v>1038</v>
      </c>
      <c r="G1498" s="46">
        <f t="shared" si="20"/>
        <v>-1.340140395660494E-2</v>
      </c>
    </row>
    <row r="1499" spans="1:7">
      <c r="A1499" s="47">
        <v>156.78</v>
      </c>
      <c r="B1499" s="47">
        <v>158.27099999999999</v>
      </c>
      <c r="C1499" s="47">
        <v>155.12</v>
      </c>
      <c r="D1499" s="47">
        <v>157.49</v>
      </c>
      <c r="E1499" s="47">
        <v>6732830</v>
      </c>
      <c r="F1499" s="47" t="s">
        <v>1037</v>
      </c>
      <c r="G1499" s="46">
        <f t="shared" si="20"/>
        <v>-4.5082227443012934E-3</v>
      </c>
    </row>
    <row r="1500" spans="1:7">
      <c r="A1500" s="47">
        <v>157.49</v>
      </c>
      <c r="B1500" s="47">
        <v>157.6</v>
      </c>
      <c r="C1500" s="47">
        <v>154.61000000000001</v>
      </c>
      <c r="D1500" s="47">
        <v>156</v>
      </c>
      <c r="E1500" s="47">
        <v>6344432</v>
      </c>
      <c r="F1500" s="47" t="s">
        <v>1036</v>
      </c>
      <c r="G1500" s="46">
        <f t="shared" si="20"/>
        <v>9.551282051282195E-3</v>
      </c>
    </row>
    <row r="1501" spans="1:7">
      <c r="A1501" s="47">
        <v>154.53</v>
      </c>
      <c r="B1501" s="47">
        <v>155.97</v>
      </c>
      <c r="C1501" s="47">
        <v>153.05000000000001</v>
      </c>
      <c r="D1501" s="47">
        <v>154.9</v>
      </c>
      <c r="E1501" s="47">
        <v>5658288</v>
      </c>
      <c r="F1501" s="47" t="s">
        <v>1035</v>
      </c>
      <c r="G1501" s="46">
        <f t="shared" si="20"/>
        <v>-2.3886378308586309E-3</v>
      </c>
    </row>
    <row r="1502" spans="1:7">
      <c r="A1502" s="47">
        <v>155.01</v>
      </c>
      <c r="B1502" s="47">
        <v>155.33000000000001</v>
      </c>
      <c r="C1502" s="47">
        <v>148.93</v>
      </c>
      <c r="D1502" s="47">
        <v>150.5</v>
      </c>
      <c r="E1502" s="47">
        <v>10156091</v>
      </c>
      <c r="F1502" s="47" t="s">
        <v>1034</v>
      </c>
      <c r="G1502" s="46">
        <f t="shared" si="20"/>
        <v>2.9966777408637846E-2</v>
      </c>
    </row>
    <row r="1503" spans="1:7">
      <c r="A1503" s="47">
        <v>148.79</v>
      </c>
      <c r="B1503" s="47">
        <v>151.94499999999999</v>
      </c>
      <c r="C1503" s="47">
        <v>144.51</v>
      </c>
      <c r="D1503" s="47">
        <v>144.72999999999999</v>
      </c>
      <c r="E1503" s="47">
        <v>10050679</v>
      </c>
      <c r="F1503" s="47" t="s">
        <v>1033</v>
      </c>
      <c r="G1503" s="46">
        <f t="shared" si="20"/>
        <v>2.805223519657285E-2</v>
      </c>
    </row>
    <row r="1504" spans="1:7">
      <c r="A1504" s="47">
        <v>145.96</v>
      </c>
      <c r="B1504" s="47">
        <v>146.4</v>
      </c>
      <c r="C1504" s="47">
        <v>140.02000000000001</v>
      </c>
      <c r="D1504" s="47">
        <v>145.47999999999999</v>
      </c>
      <c r="E1504" s="47">
        <v>9554775</v>
      </c>
      <c r="F1504" s="47" t="s">
        <v>1032</v>
      </c>
      <c r="G1504" s="46">
        <f t="shared" si="20"/>
        <v>3.2994226010449879E-3</v>
      </c>
    </row>
    <row r="1505" spans="1:7">
      <c r="A1505" s="47">
        <v>147</v>
      </c>
      <c r="B1505" s="47">
        <v>154.55000000000001</v>
      </c>
      <c r="C1505" s="47">
        <v>146.29</v>
      </c>
      <c r="D1505" s="47">
        <v>154.12</v>
      </c>
      <c r="E1505" s="47">
        <v>10267534</v>
      </c>
      <c r="F1505" s="47" t="s">
        <v>1031</v>
      </c>
      <c r="G1505" s="46">
        <f t="shared" si="20"/>
        <v>-4.6197767973008119E-2</v>
      </c>
    </row>
    <row r="1506" spans="1:7">
      <c r="A1506" s="47">
        <v>150.86000000000001</v>
      </c>
      <c r="B1506" s="47">
        <v>151</v>
      </c>
      <c r="C1506" s="47">
        <v>147.36000000000001</v>
      </c>
      <c r="D1506" s="47">
        <v>148.26</v>
      </c>
      <c r="E1506" s="47">
        <v>5724145</v>
      </c>
      <c r="F1506" s="47" t="s">
        <v>1030</v>
      </c>
      <c r="G1506" s="46">
        <f t="shared" si="20"/>
        <v>1.7536759746391573E-2</v>
      </c>
    </row>
    <row r="1507" spans="1:7">
      <c r="A1507" s="47">
        <v>148.22</v>
      </c>
      <c r="B1507" s="47">
        <v>150.74</v>
      </c>
      <c r="C1507" s="47">
        <v>148.04</v>
      </c>
      <c r="D1507" s="47">
        <v>150.58000000000001</v>
      </c>
      <c r="E1507" s="47">
        <v>5612696</v>
      </c>
      <c r="F1507" s="47" t="s">
        <v>1029</v>
      </c>
      <c r="G1507" s="46">
        <f t="shared" si="20"/>
        <v>-1.5672732102536946E-2</v>
      </c>
    </row>
    <row r="1508" spans="1:7">
      <c r="A1508" s="47">
        <v>150.94</v>
      </c>
      <c r="B1508" s="47">
        <v>151.08000000000001</v>
      </c>
      <c r="C1508" s="47">
        <v>147.9</v>
      </c>
      <c r="D1508" s="47">
        <v>148</v>
      </c>
      <c r="E1508" s="47">
        <v>7811268</v>
      </c>
      <c r="F1508" s="47" t="s">
        <v>1028</v>
      </c>
      <c r="G1508" s="46">
        <f t="shared" si="20"/>
        <v>1.986486486486494E-2</v>
      </c>
    </row>
    <row r="1509" spans="1:7">
      <c r="A1509" s="47">
        <v>145.38999999999999</v>
      </c>
      <c r="B1509" s="47">
        <v>149.72</v>
      </c>
      <c r="C1509" s="47">
        <v>145.22</v>
      </c>
      <c r="D1509" s="47">
        <v>146.74969999999999</v>
      </c>
      <c r="E1509" s="47">
        <v>7779063</v>
      </c>
      <c r="F1509" s="47" t="s">
        <v>1027</v>
      </c>
      <c r="G1509" s="46">
        <f t="shared" si="20"/>
        <v>-9.2654363177574472E-3</v>
      </c>
    </row>
    <row r="1510" spans="1:7">
      <c r="A1510" s="47">
        <v>146.24</v>
      </c>
      <c r="B1510" s="47">
        <v>149.18</v>
      </c>
      <c r="C1510" s="47">
        <v>145.99</v>
      </c>
      <c r="D1510" s="47">
        <v>148.125</v>
      </c>
      <c r="E1510" s="47">
        <v>8580542</v>
      </c>
      <c r="F1510" s="47" t="s">
        <v>1026</v>
      </c>
      <c r="G1510" s="46">
        <f t="shared" si="20"/>
        <v>-1.2725738396624386E-2</v>
      </c>
    </row>
    <row r="1511" spans="1:7">
      <c r="A1511" s="47">
        <v>145.51</v>
      </c>
      <c r="B1511" s="47">
        <v>145.88999999999999</v>
      </c>
      <c r="C1511" s="47">
        <v>141.63</v>
      </c>
      <c r="D1511" s="47">
        <v>142.9</v>
      </c>
      <c r="E1511" s="47">
        <v>8361165</v>
      </c>
      <c r="F1511" s="47" t="s">
        <v>1025</v>
      </c>
      <c r="G1511" s="46">
        <f t="shared" si="20"/>
        <v>1.8264520643806792E-2</v>
      </c>
    </row>
    <row r="1512" spans="1:7">
      <c r="A1512" s="47">
        <v>144.41</v>
      </c>
      <c r="B1512" s="47">
        <v>144.69999999999999</v>
      </c>
      <c r="C1512" s="47">
        <v>141.43</v>
      </c>
      <c r="D1512" s="47">
        <v>142.07</v>
      </c>
      <c r="E1512" s="47">
        <v>9272877</v>
      </c>
      <c r="F1512" s="47" t="s">
        <v>1024</v>
      </c>
      <c r="G1512" s="46">
        <f t="shared" si="20"/>
        <v>1.6470753853734088E-2</v>
      </c>
    </row>
    <row r="1513" spans="1:7">
      <c r="A1513" s="47">
        <v>143.72999999999999</v>
      </c>
      <c r="B1513" s="47">
        <v>145.1</v>
      </c>
      <c r="C1513" s="47">
        <v>139.61000000000001</v>
      </c>
      <c r="D1513" s="47">
        <v>140.19999999999999</v>
      </c>
      <c r="E1513" s="47">
        <v>11142641</v>
      </c>
      <c r="F1513" s="47" t="s">
        <v>1023</v>
      </c>
      <c r="G1513" s="46">
        <f t="shared" si="20"/>
        <v>2.5178316690442237E-2</v>
      </c>
    </row>
    <row r="1514" spans="1:7">
      <c r="A1514" s="47">
        <v>141.03</v>
      </c>
      <c r="B1514" s="47">
        <v>145.65</v>
      </c>
      <c r="C1514" s="47">
        <v>140.91</v>
      </c>
      <c r="D1514" s="47">
        <v>144</v>
      </c>
      <c r="E1514" s="47">
        <v>9757599</v>
      </c>
      <c r="F1514" s="47" t="s">
        <v>1022</v>
      </c>
      <c r="G1514" s="46">
        <f t="shared" si="20"/>
        <v>-2.0625000000000004E-2</v>
      </c>
    </row>
    <row r="1515" spans="1:7">
      <c r="A1515" s="47">
        <v>143.96</v>
      </c>
      <c r="B1515" s="47">
        <v>145.27000000000001</v>
      </c>
      <c r="C1515" s="47">
        <v>142.18</v>
      </c>
      <c r="D1515" s="47">
        <v>142.96</v>
      </c>
      <c r="E1515" s="47">
        <v>10273368</v>
      </c>
      <c r="F1515" s="47" t="s">
        <v>1021</v>
      </c>
      <c r="G1515" s="46">
        <f t="shared" si="20"/>
        <v>6.9949636261892323E-3</v>
      </c>
    </row>
    <row r="1516" spans="1:7">
      <c r="A1516" s="47">
        <v>144.96</v>
      </c>
      <c r="B1516" s="47">
        <v>146.4</v>
      </c>
      <c r="C1516" s="47">
        <v>142.11000000000001</v>
      </c>
      <c r="D1516" s="47">
        <v>143.25</v>
      </c>
      <c r="E1516" s="47">
        <v>13169422</v>
      </c>
      <c r="F1516" s="47" t="s">
        <v>1020</v>
      </c>
      <c r="G1516" s="46">
        <f t="shared" si="20"/>
        <v>1.1937172774869165E-2</v>
      </c>
    </row>
    <row r="1517" spans="1:7">
      <c r="A1517" s="47">
        <v>146.29</v>
      </c>
      <c r="B1517" s="47">
        <v>147.19999999999999</v>
      </c>
      <c r="C1517" s="47">
        <v>139.28</v>
      </c>
      <c r="D1517" s="47">
        <v>139.91999999999999</v>
      </c>
      <c r="E1517" s="47">
        <v>35487924</v>
      </c>
      <c r="F1517" s="47" t="s">
        <v>1019</v>
      </c>
      <c r="G1517" s="46">
        <f t="shared" si="20"/>
        <v>4.5526014865637565E-2</v>
      </c>
    </row>
    <row r="1518" spans="1:7">
      <c r="A1518" s="47">
        <v>128.31</v>
      </c>
      <c r="B1518" s="47">
        <v>129.59</v>
      </c>
      <c r="C1518" s="47">
        <v>126.12</v>
      </c>
      <c r="D1518" s="47">
        <v>127.05</v>
      </c>
      <c r="E1518" s="47">
        <v>14031243</v>
      </c>
      <c r="F1518" s="47" t="s">
        <v>1018</v>
      </c>
      <c r="G1518" s="46">
        <f t="shared" si="20"/>
        <v>9.9173553719009711E-3</v>
      </c>
    </row>
    <row r="1519" spans="1:7">
      <c r="A1519" s="47">
        <v>125.43</v>
      </c>
      <c r="B1519" s="47">
        <v>127.94</v>
      </c>
      <c r="C1519" s="47">
        <v>124.85</v>
      </c>
      <c r="D1519" s="47">
        <v>124.94</v>
      </c>
      <c r="E1519" s="47">
        <v>9241882</v>
      </c>
      <c r="F1519" s="47" t="s">
        <v>1017</v>
      </c>
      <c r="G1519" s="46">
        <f t="shared" si="20"/>
        <v>3.9218825036018146E-3</v>
      </c>
    </row>
    <row r="1520" spans="1:7">
      <c r="A1520" s="47">
        <v>123.66</v>
      </c>
      <c r="B1520" s="47">
        <v>124.18</v>
      </c>
      <c r="C1520" s="47">
        <v>120.31</v>
      </c>
      <c r="D1520" s="47">
        <v>121.26</v>
      </c>
      <c r="E1520" s="47">
        <v>7674351</v>
      </c>
      <c r="F1520" s="47" t="s">
        <v>1016</v>
      </c>
      <c r="G1520" s="46">
        <f t="shared" si="20"/>
        <v>1.9792182088075094E-2</v>
      </c>
    </row>
    <row r="1521" spans="1:7">
      <c r="A1521" s="47">
        <v>120.61</v>
      </c>
      <c r="B1521" s="47">
        <v>122.7</v>
      </c>
      <c r="C1521" s="47">
        <v>119.43</v>
      </c>
      <c r="D1521" s="47">
        <v>119.85</v>
      </c>
      <c r="E1521" s="47">
        <v>5613832</v>
      </c>
      <c r="F1521" s="47" t="s">
        <v>1015</v>
      </c>
      <c r="G1521" s="46">
        <f t="shared" si="20"/>
        <v>6.3412599082186549E-3</v>
      </c>
    </row>
    <row r="1522" spans="1:7">
      <c r="A1522" s="47">
        <v>123</v>
      </c>
      <c r="B1522" s="47">
        <v>123.45</v>
      </c>
      <c r="C1522" s="47">
        <v>120.62</v>
      </c>
      <c r="D1522" s="47">
        <v>121.35</v>
      </c>
      <c r="E1522" s="47">
        <v>7569776</v>
      </c>
      <c r="F1522" s="47" t="s">
        <v>1014</v>
      </c>
      <c r="G1522" s="46">
        <f t="shared" si="20"/>
        <v>1.3597033374536549E-2</v>
      </c>
    </row>
    <row r="1523" spans="1:7">
      <c r="A1523" s="47">
        <v>123.58</v>
      </c>
      <c r="B1523" s="47">
        <v>124.03</v>
      </c>
      <c r="C1523" s="47">
        <v>118.645</v>
      </c>
      <c r="D1523" s="47">
        <v>119.3</v>
      </c>
      <c r="E1523" s="47">
        <v>9891526</v>
      </c>
      <c r="F1523" s="47" t="s">
        <v>1013</v>
      </c>
      <c r="G1523" s="46">
        <f t="shared" si="20"/>
        <v>3.5875943000838184E-2</v>
      </c>
    </row>
    <row r="1524" spans="1:7">
      <c r="A1524" s="47">
        <v>116.14</v>
      </c>
      <c r="B1524" s="47">
        <v>122</v>
      </c>
      <c r="C1524" s="47">
        <v>115.9029</v>
      </c>
      <c r="D1524" s="47">
        <v>121.66</v>
      </c>
      <c r="E1524" s="47">
        <v>9192284</v>
      </c>
      <c r="F1524" s="47" t="s">
        <v>1012</v>
      </c>
      <c r="G1524" s="46">
        <f t="shared" si="20"/>
        <v>-4.5372349169817472E-2</v>
      </c>
    </row>
    <row r="1525" spans="1:7">
      <c r="A1525" s="47">
        <v>120.53</v>
      </c>
      <c r="B1525" s="47">
        <v>122.387</v>
      </c>
      <c r="C1525" s="47">
        <v>120.05500000000001</v>
      </c>
      <c r="D1525" s="47">
        <v>121.25</v>
      </c>
      <c r="E1525" s="47">
        <v>6678219</v>
      </c>
      <c r="F1525" s="47" t="s">
        <v>1011</v>
      </c>
      <c r="G1525" s="46">
        <f t="shared" si="20"/>
        <v>-5.9381443298969216E-3</v>
      </c>
    </row>
    <row r="1526" spans="1:7">
      <c r="A1526" s="47">
        <v>120.18</v>
      </c>
      <c r="B1526" s="47">
        <v>120.47</v>
      </c>
      <c r="C1526" s="47">
        <v>115.4</v>
      </c>
      <c r="D1526" s="47">
        <v>115.47</v>
      </c>
      <c r="E1526" s="47">
        <v>10680406</v>
      </c>
      <c r="F1526" s="47" t="s">
        <v>1010</v>
      </c>
      <c r="G1526" s="46">
        <f t="shared" si="20"/>
        <v>4.078981553650296E-2</v>
      </c>
    </row>
    <row r="1527" spans="1:7">
      <c r="A1527" s="47">
        <v>115.24</v>
      </c>
      <c r="B1527" s="47">
        <v>118.38500000000001</v>
      </c>
      <c r="C1527" s="47">
        <v>115</v>
      </c>
      <c r="D1527" s="47">
        <v>115.94</v>
      </c>
      <c r="E1527" s="47">
        <v>7563183</v>
      </c>
      <c r="F1527" s="47" t="s">
        <v>1009</v>
      </c>
      <c r="G1527" s="46">
        <f t="shared" si="20"/>
        <v>-6.0376056580990767E-3</v>
      </c>
    </row>
    <row r="1528" spans="1:7">
      <c r="A1528" s="47">
        <v>115.19</v>
      </c>
      <c r="B1528" s="47">
        <v>116</v>
      </c>
      <c r="C1528" s="47">
        <v>109.91</v>
      </c>
      <c r="D1528" s="47">
        <v>110.29</v>
      </c>
      <c r="E1528" s="47">
        <v>12879850</v>
      </c>
      <c r="F1528" s="47" t="s">
        <v>1008</v>
      </c>
      <c r="G1528" s="46">
        <f t="shared" si="20"/>
        <v>4.4428325324145312E-2</v>
      </c>
    </row>
    <row r="1529" spans="1:7">
      <c r="A1529" s="47">
        <v>107.54</v>
      </c>
      <c r="B1529" s="47">
        <v>112.85</v>
      </c>
      <c r="C1529" s="47">
        <v>107.41</v>
      </c>
      <c r="D1529" s="47">
        <v>111.12</v>
      </c>
      <c r="E1529" s="47">
        <v>11736608</v>
      </c>
      <c r="F1529" s="47" t="s">
        <v>1007</v>
      </c>
      <c r="G1529" s="46">
        <f t="shared" si="20"/>
        <v>-3.2217422606191537E-2</v>
      </c>
    </row>
    <row r="1530" spans="1:7">
      <c r="A1530" s="47">
        <v>112.17</v>
      </c>
      <c r="B1530" s="47">
        <v>114.3</v>
      </c>
      <c r="C1530" s="47">
        <v>110.02500000000001</v>
      </c>
      <c r="D1530" s="47">
        <v>110.9</v>
      </c>
      <c r="E1530" s="47">
        <v>10730723</v>
      </c>
      <c r="F1530" s="47" t="s">
        <v>1006</v>
      </c>
      <c r="G1530" s="46">
        <f t="shared" ref="G1530:G1593" si="21">A1530/D1530-1</f>
        <v>1.1451758340847551E-2</v>
      </c>
    </row>
    <row r="1531" spans="1:7">
      <c r="A1531" s="47">
        <v>111.85</v>
      </c>
      <c r="B1531" s="47">
        <v>112.12</v>
      </c>
      <c r="C1531" s="47">
        <v>110.054</v>
      </c>
      <c r="D1531" s="47">
        <v>110.3</v>
      </c>
      <c r="E1531" s="47">
        <v>11069777</v>
      </c>
      <c r="F1531" s="47" t="s">
        <v>1005</v>
      </c>
      <c r="G1531" s="46">
        <f t="shared" si="21"/>
        <v>1.4052583862194101E-2</v>
      </c>
    </row>
    <row r="1532" spans="1:7">
      <c r="A1532" s="47">
        <v>108.31</v>
      </c>
      <c r="B1532" s="47">
        <v>109.52500000000001</v>
      </c>
      <c r="C1532" s="47">
        <v>106.57</v>
      </c>
      <c r="D1532" s="47">
        <v>109.5</v>
      </c>
      <c r="E1532" s="47">
        <v>9575624</v>
      </c>
      <c r="F1532" s="47" t="s">
        <v>1004</v>
      </c>
      <c r="G1532" s="46">
        <f t="shared" si="21"/>
        <v>-1.0867579908675817E-2</v>
      </c>
    </row>
    <row r="1533" spans="1:7">
      <c r="A1533" s="47">
        <v>107.95</v>
      </c>
      <c r="B1533" s="47">
        <v>109.09</v>
      </c>
      <c r="C1533" s="47">
        <v>106.42</v>
      </c>
      <c r="D1533" s="47">
        <v>107.46</v>
      </c>
      <c r="E1533" s="47">
        <v>7821377</v>
      </c>
      <c r="F1533" s="47" t="s">
        <v>1003</v>
      </c>
      <c r="G1533" s="46">
        <f t="shared" si="21"/>
        <v>4.5598362181278329E-3</v>
      </c>
    </row>
    <row r="1534" spans="1:7">
      <c r="A1534" s="47">
        <v>109.785</v>
      </c>
      <c r="B1534" s="47">
        <v>110.98</v>
      </c>
      <c r="C1534" s="47">
        <v>107.93</v>
      </c>
      <c r="D1534" s="47">
        <v>109</v>
      </c>
      <c r="E1534" s="47">
        <v>8417858</v>
      </c>
      <c r="F1534" s="47" t="s">
        <v>1002</v>
      </c>
      <c r="G1534" s="46">
        <f t="shared" si="21"/>
        <v>7.2018348623852368E-3</v>
      </c>
    </row>
    <row r="1535" spans="1:7">
      <c r="A1535" s="47">
        <v>105.98</v>
      </c>
      <c r="B1535" s="47">
        <v>106.29</v>
      </c>
      <c r="C1535" s="47">
        <v>102.34</v>
      </c>
      <c r="D1535" s="47">
        <v>104.85</v>
      </c>
      <c r="E1535" s="47">
        <v>7716160</v>
      </c>
      <c r="F1535" s="47" t="s">
        <v>1001</v>
      </c>
      <c r="G1535" s="46">
        <f t="shared" si="21"/>
        <v>1.0777300906056331E-2</v>
      </c>
    </row>
    <row r="1536" spans="1:7">
      <c r="A1536" s="47">
        <v>105.84</v>
      </c>
      <c r="B1536" s="47">
        <v>108.7</v>
      </c>
      <c r="C1536" s="47">
        <v>104.78</v>
      </c>
      <c r="D1536" s="47">
        <v>105.63</v>
      </c>
      <c r="E1536" s="47">
        <v>10894921</v>
      </c>
      <c r="F1536" s="47" t="s">
        <v>1000</v>
      </c>
      <c r="G1536" s="46">
        <f t="shared" si="21"/>
        <v>1.9880715705766772E-3</v>
      </c>
    </row>
    <row r="1537" spans="1:7">
      <c r="A1537" s="47">
        <v>105.06</v>
      </c>
      <c r="B1537" s="47">
        <v>105.505</v>
      </c>
      <c r="C1537" s="47">
        <v>100.75</v>
      </c>
      <c r="D1537" s="47">
        <v>101.61</v>
      </c>
      <c r="E1537" s="47">
        <v>9385890</v>
      </c>
      <c r="F1537" s="47" t="s">
        <v>999</v>
      </c>
      <c r="G1537" s="46">
        <f t="shared" si="21"/>
        <v>3.3953351048125135E-2</v>
      </c>
    </row>
    <row r="1538" spans="1:7">
      <c r="A1538" s="47">
        <v>100.28</v>
      </c>
      <c r="B1538" s="47">
        <v>106.23</v>
      </c>
      <c r="C1538" s="47">
        <v>99.9</v>
      </c>
      <c r="D1538" s="47">
        <v>105.255</v>
      </c>
      <c r="E1538" s="47">
        <v>10291513</v>
      </c>
      <c r="F1538" s="47" t="s">
        <v>998</v>
      </c>
      <c r="G1538" s="46">
        <f t="shared" si="21"/>
        <v>-4.7266163127642313E-2</v>
      </c>
    </row>
    <row r="1539" spans="1:7">
      <c r="A1539" s="47">
        <v>101.67</v>
      </c>
      <c r="B1539" s="47">
        <v>102.5</v>
      </c>
      <c r="C1539" s="47">
        <v>96.26</v>
      </c>
      <c r="D1539" s="47">
        <v>97.8</v>
      </c>
      <c r="E1539" s="47">
        <v>11998987</v>
      </c>
      <c r="F1539" s="47" t="s">
        <v>997</v>
      </c>
      <c r="G1539" s="46">
        <f t="shared" si="21"/>
        <v>3.9570552147239368E-2</v>
      </c>
    </row>
    <row r="1540" spans="1:7">
      <c r="A1540" s="47">
        <v>92.39</v>
      </c>
      <c r="B1540" s="47">
        <v>92.95</v>
      </c>
      <c r="C1540" s="47">
        <v>89.88</v>
      </c>
      <c r="D1540" s="47">
        <v>92.79</v>
      </c>
      <c r="E1540" s="47">
        <v>7699462</v>
      </c>
      <c r="F1540" s="47" t="s">
        <v>996</v>
      </c>
      <c r="G1540" s="46">
        <f t="shared" si="21"/>
        <v>-4.3108093544563797E-3</v>
      </c>
    </row>
    <row r="1541" spans="1:7">
      <c r="A1541" s="47">
        <v>93.52</v>
      </c>
      <c r="B1541" s="47">
        <v>94.679900000000004</v>
      </c>
      <c r="C1541" s="47">
        <v>90.92</v>
      </c>
      <c r="D1541" s="47">
        <v>91.1</v>
      </c>
      <c r="E1541" s="47">
        <v>7077181</v>
      </c>
      <c r="F1541" s="47" t="s">
        <v>995</v>
      </c>
      <c r="G1541" s="46">
        <f t="shared" si="21"/>
        <v>2.6564215148188852E-2</v>
      </c>
    </row>
    <row r="1542" spans="1:7">
      <c r="A1542" s="47">
        <v>91.38</v>
      </c>
      <c r="B1542" s="47">
        <v>94.67</v>
      </c>
      <c r="C1542" s="47">
        <v>90.38</v>
      </c>
      <c r="D1542" s="47">
        <v>92.72</v>
      </c>
      <c r="E1542" s="47">
        <v>9628376</v>
      </c>
      <c r="F1542" s="47" t="s">
        <v>994</v>
      </c>
      <c r="G1542" s="46">
        <f t="shared" si="21"/>
        <v>-1.4452113891285645E-2</v>
      </c>
    </row>
    <row r="1543" spans="1:7">
      <c r="A1543" s="47">
        <v>95.74</v>
      </c>
      <c r="B1543" s="47">
        <v>99.431399999999996</v>
      </c>
      <c r="C1543" s="47">
        <v>94.87</v>
      </c>
      <c r="D1543" s="47">
        <v>96.38</v>
      </c>
      <c r="E1543" s="47">
        <v>9882034</v>
      </c>
      <c r="F1543" s="47" t="s">
        <v>993</v>
      </c>
      <c r="G1543" s="46">
        <f t="shared" si="21"/>
        <v>-6.6403818219548105E-3</v>
      </c>
    </row>
    <row r="1544" spans="1:7">
      <c r="A1544" s="47">
        <v>97.03</v>
      </c>
      <c r="B1544" s="47">
        <v>98.259900000000002</v>
      </c>
      <c r="C1544" s="47">
        <v>94.37</v>
      </c>
      <c r="D1544" s="47">
        <v>95.5</v>
      </c>
      <c r="E1544" s="47">
        <v>8948597</v>
      </c>
      <c r="F1544" s="47" t="s">
        <v>992</v>
      </c>
      <c r="G1544" s="46">
        <f t="shared" si="21"/>
        <v>1.6020942408377037E-2</v>
      </c>
    </row>
    <row r="1545" spans="1:7">
      <c r="A1545" s="47">
        <v>93.48</v>
      </c>
      <c r="B1545" s="47">
        <v>97.105000000000004</v>
      </c>
      <c r="C1545" s="47">
        <v>93.06</v>
      </c>
      <c r="D1545" s="47">
        <v>97</v>
      </c>
      <c r="E1545" s="47">
        <v>11311959</v>
      </c>
      <c r="F1545" s="47" t="s">
        <v>991</v>
      </c>
      <c r="G1545" s="46">
        <f t="shared" si="21"/>
        <v>-3.6288659793814348E-2</v>
      </c>
    </row>
    <row r="1546" spans="1:7">
      <c r="A1546" s="47">
        <v>100.63</v>
      </c>
      <c r="B1546" s="47">
        <v>100.93</v>
      </c>
      <c r="C1546" s="47">
        <v>95.635000000000005</v>
      </c>
      <c r="D1546" s="47">
        <v>96.31</v>
      </c>
      <c r="E1546" s="47">
        <v>9452863</v>
      </c>
      <c r="F1546" s="47" t="s">
        <v>990</v>
      </c>
      <c r="G1546" s="46">
        <f t="shared" si="21"/>
        <v>4.4855155227909727E-2</v>
      </c>
    </row>
    <row r="1547" spans="1:7">
      <c r="A1547" s="47">
        <v>95.71</v>
      </c>
      <c r="B1547" s="47">
        <v>100.42</v>
      </c>
      <c r="C1547" s="47">
        <v>95.27</v>
      </c>
      <c r="D1547" s="47">
        <v>97.43</v>
      </c>
      <c r="E1547" s="47">
        <v>11814366</v>
      </c>
      <c r="F1547" s="47" t="s">
        <v>989</v>
      </c>
      <c r="G1547" s="46">
        <f t="shared" si="21"/>
        <v>-1.7653700092374103E-2</v>
      </c>
    </row>
    <row r="1548" spans="1:7">
      <c r="A1548" s="47">
        <v>97.29</v>
      </c>
      <c r="B1548" s="47">
        <v>98</v>
      </c>
      <c r="C1548" s="47">
        <v>89.4</v>
      </c>
      <c r="D1548" s="47">
        <v>89.4</v>
      </c>
      <c r="E1548" s="47">
        <v>13936472</v>
      </c>
      <c r="F1548" s="47" t="s">
        <v>988</v>
      </c>
      <c r="G1548" s="46">
        <f t="shared" si="21"/>
        <v>8.8255033557046891E-2</v>
      </c>
    </row>
    <row r="1549" spans="1:7">
      <c r="A1549" s="47">
        <v>85.26</v>
      </c>
      <c r="B1549" s="47">
        <v>88.15</v>
      </c>
      <c r="C1549" s="47">
        <v>82.07</v>
      </c>
      <c r="D1549" s="47">
        <v>86.29</v>
      </c>
      <c r="E1549" s="47">
        <v>12969720</v>
      </c>
      <c r="F1549" s="47" t="s">
        <v>987</v>
      </c>
      <c r="G1549" s="46">
        <f t="shared" si="21"/>
        <v>-1.1936493220535471E-2</v>
      </c>
    </row>
    <row r="1550" spans="1:7">
      <c r="A1550" s="47">
        <v>86.68</v>
      </c>
      <c r="B1550" s="47">
        <v>96.23</v>
      </c>
      <c r="C1550" s="47">
        <v>86.21</v>
      </c>
      <c r="D1550" s="47">
        <v>95.64</v>
      </c>
      <c r="E1550" s="47">
        <v>14874413</v>
      </c>
      <c r="F1550" s="47" t="s">
        <v>986</v>
      </c>
      <c r="G1550" s="46">
        <f t="shared" si="21"/>
        <v>-9.3684650773734779E-2</v>
      </c>
    </row>
    <row r="1551" spans="1:7">
      <c r="A1551" s="47">
        <v>93.69</v>
      </c>
      <c r="B1551" s="47">
        <v>98.06</v>
      </c>
      <c r="C1551" s="47">
        <v>87.04</v>
      </c>
      <c r="D1551" s="47">
        <v>91.56</v>
      </c>
      <c r="E1551" s="47">
        <v>12181578</v>
      </c>
      <c r="F1551" s="47" t="s">
        <v>985</v>
      </c>
      <c r="G1551" s="46">
        <f t="shared" si="21"/>
        <v>2.3263433813892398E-2</v>
      </c>
    </row>
    <row r="1552" spans="1:7">
      <c r="A1552" s="47">
        <v>91.46</v>
      </c>
      <c r="B1552" s="47">
        <v>95.1</v>
      </c>
      <c r="C1552" s="47">
        <v>86.15</v>
      </c>
      <c r="D1552" s="47">
        <v>91.855000000000004</v>
      </c>
      <c r="E1552" s="47">
        <v>16073257</v>
      </c>
      <c r="F1552" s="47" t="s">
        <v>984</v>
      </c>
      <c r="G1552" s="46">
        <f t="shared" si="21"/>
        <v>-4.3002558380056399E-3</v>
      </c>
    </row>
    <row r="1553" spans="1:7">
      <c r="A1553" s="47">
        <v>97.87</v>
      </c>
      <c r="B1553" s="47">
        <v>101.08</v>
      </c>
      <c r="C1553" s="47">
        <v>90.52</v>
      </c>
      <c r="D1553" s="47">
        <v>94.5</v>
      </c>
      <c r="E1553" s="47">
        <v>17969391</v>
      </c>
      <c r="F1553" s="47" t="s">
        <v>983</v>
      </c>
      <c r="G1553" s="46">
        <f t="shared" si="21"/>
        <v>3.5661375661375727E-2</v>
      </c>
    </row>
    <row r="1554" spans="1:7">
      <c r="A1554" s="47">
        <v>92.72</v>
      </c>
      <c r="B1554" s="47">
        <v>103.155</v>
      </c>
      <c r="C1554" s="47">
        <v>91.23</v>
      </c>
      <c r="D1554" s="47">
        <v>94</v>
      </c>
      <c r="E1554" s="47">
        <v>16204938</v>
      </c>
      <c r="F1554" s="47" t="s">
        <v>982</v>
      </c>
      <c r="G1554" s="46">
        <f t="shared" si="21"/>
        <v>-1.3617021276595809E-2</v>
      </c>
    </row>
    <row r="1555" spans="1:7">
      <c r="A1555" s="47">
        <v>110.15</v>
      </c>
      <c r="B1555" s="47">
        <v>110.6</v>
      </c>
      <c r="C1555" s="47">
        <v>99.78</v>
      </c>
      <c r="D1555" s="47">
        <v>100.52</v>
      </c>
      <c r="E1555" s="47">
        <v>19170559</v>
      </c>
      <c r="F1555" s="47" t="s">
        <v>981</v>
      </c>
      <c r="G1555" s="46">
        <f t="shared" si="21"/>
        <v>9.5801830481496264E-2</v>
      </c>
    </row>
    <row r="1556" spans="1:7">
      <c r="A1556" s="47">
        <v>96.96</v>
      </c>
      <c r="B1556" s="47">
        <v>104.78</v>
      </c>
      <c r="C1556" s="47">
        <v>94.5</v>
      </c>
      <c r="D1556" s="47">
        <v>96.56</v>
      </c>
      <c r="E1556" s="47">
        <v>20114391</v>
      </c>
      <c r="F1556" s="47" t="s">
        <v>980</v>
      </c>
      <c r="G1556" s="46">
        <f t="shared" si="21"/>
        <v>4.1425020712508864E-3</v>
      </c>
    </row>
    <row r="1557" spans="1:7">
      <c r="A1557" s="47">
        <v>103.9</v>
      </c>
      <c r="B1557" s="47">
        <v>107.75</v>
      </c>
      <c r="C1557" s="47">
        <v>101.98</v>
      </c>
      <c r="D1557" s="47">
        <v>106.65</v>
      </c>
      <c r="E1557" s="47">
        <v>10761017</v>
      </c>
      <c r="F1557" s="47" t="s">
        <v>979</v>
      </c>
      <c r="G1557" s="46">
        <f t="shared" si="21"/>
        <v>-2.5785278949835955E-2</v>
      </c>
    </row>
    <row r="1558" spans="1:7">
      <c r="A1558" s="47">
        <v>109.74</v>
      </c>
      <c r="B1558" s="47">
        <v>109.74</v>
      </c>
      <c r="C1558" s="47">
        <v>103.17</v>
      </c>
      <c r="D1558" s="47">
        <v>105.3</v>
      </c>
      <c r="E1558" s="47">
        <v>11748492</v>
      </c>
      <c r="F1558" s="47" t="s">
        <v>978</v>
      </c>
      <c r="G1558" s="46">
        <f t="shared" si="21"/>
        <v>4.2165242165242089E-2</v>
      </c>
    </row>
    <row r="1559" spans="1:7">
      <c r="A1559" s="47">
        <v>101.63</v>
      </c>
      <c r="B1559" s="47">
        <v>106.99</v>
      </c>
      <c r="C1559" s="47">
        <v>99.71</v>
      </c>
      <c r="D1559" s="47">
        <v>102.72</v>
      </c>
      <c r="E1559" s="47">
        <v>12458891</v>
      </c>
      <c r="F1559" s="47" t="s">
        <v>977</v>
      </c>
      <c r="G1559" s="46">
        <f t="shared" si="21"/>
        <v>-1.0611370716510971E-2</v>
      </c>
    </row>
    <row r="1560" spans="1:7">
      <c r="A1560" s="47">
        <v>110.89</v>
      </c>
      <c r="B1560" s="47">
        <v>111.57</v>
      </c>
      <c r="C1560" s="47">
        <v>107.58</v>
      </c>
      <c r="D1560" s="47">
        <v>107.95</v>
      </c>
      <c r="E1560" s="47">
        <v>8524269</v>
      </c>
      <c r="F1560" s="47" t="s">
        <v>976</v>
      </c>
      <c r="G1560" s="46">
        <f t="shared" si="21"/>
        <v>2.7234830940250143E-2</v>
      </c>
    </row>
    <row r="1561" spans="1:7">
      <c r="A1561" s="47">
        <v>112.18</v>
      </c>
      <c r="B1561" s="47">
        <v>114.9</v>
      </c>
      <c r="C1561" s="47">
        <v>111.24</v>
      </c>
      <c r="D1561" s="47">
        <v>112.03</v>
      </c>
      <c r="E1561" s="47">
        <v>7671457</v>
      </c>
      <c r="F1561" s="47" t="s">
        <v>975</v>
      </c>
      <c r="G1561" s="46">
        <f t="shared" si="21"/>
        <v>1.3389270731054559E-3</v>
      </c>
    </row>
    <row r="1562" spans="1:7">
      <c r="A1562" s="47">
        <v>115.3</v>
      </c>
      <c r="B1562" s="47">
        <v>115.39</v>
      </c>
      <c r="C1562" s="47">
        <v>110.62</v>
      </c>
      <c r="D1562" s="47">
        <v>112.04</v>
      </c>
      <c r="E1562" s="47">
        <v>8245198</v>
      </c>
      <c r="F1562" s="47" t="s">
        <v>974</v>
      </c>
      <c r="G1562" s="46">
        <f t="shared" si="21"/>
        <v>2.909675116029975E-2</v>
      </c>
    </row>
    <row r="1563" spans="1:7">
      <c r="A1563" s="47">
        <v>109.76</v>
      </c>
      <c r="B1563" s="47">
        <v>114.56</v>
      </c>
      <c r="C1563" s="47">
        <v>108.26</v>
      </c>
      <c r="D1563" s="47">
        <v>112.82</v>
      </c>
      <c r="E1563" s="47">
        <v>11912275</v>
      </c>
      <c r="F1563" s="47" t="s">
        <v>973</v>
      </c>
      <c r="G1563" s="46">
        <f t="shared" si="21"/>
        <v>-2.7122850558411571E-2</v>
      </c>
    </row>
    <row r="1564" spans="1:7">
      <c r="A1564" s="47">
        <v>112.86</v>
      </c>
      <c r="B1564" s="47">
        <v>113.05</v>
      </c>
      <c r="C1564" s="47">
        <v>106.53</v>
      </c>
      <c r="D1564" s="47">
        <v>107.46</v>
      </c>
      <c r="E1564" s="47">
        <v>13366965</v>
      </c>
      <c r="F1564" s="47" t="s">
        <v>972</v>
      </c>
      <c r="G1564" s="46">
        <f t="shared" si="21"/>
        <v>5.0251256281407031E-2</v>
      </c>
    </row>
    <row r="1565" spans="1:7">
      <c r="A1565" s="47">
        <v>107.99</v>
      </c>
      <c r="B1565" s="47">
        <v>108.73</v>
      </c>
      <c r="C1565" s="47">
        <v>103.72</v>
      </c>
      <c r="D1565" s="47">
        <v>104.26</v>
      </c>
      <c r="E1565" s="47">
        <v>17215994</v>
      </c>
      <c r="F1565" s="47" t="s">
        <v>971</v>
      </c>
      <c r="G1565" s="46">
        <f t="shared" si="21"/>
        <v>3.5775944753500655E-2</v>
      </c>
    </row>
    <row r="1566" spans="1:7">
      <c r="A1566" s="47">
        <v>107.84</v>
      </c>
      <c r="B1566" s="47">
        <v>112.05</v>
      </c>
      <c r="C1566" s="47">
        <v>106.3</v>
      </c>
      <c r="D1566" s="47">
        <v>106.3</v>
      </c>
      <c r="E1566" s="47">
        <v>15461904</v>
      </c>
      <c r="F1566" s="47" t="s">
        <v>970</v>
      </c>
      <c r="G1566" s="46">
        <f t="shared" si="21"/>
        <v>1.4487300094073507E-2</v>
      </c>
    </row>
    <row r="1567" spans="1:7">
      <c r="A1567" s="47">
        <v>109.11</v>
      </c>
      <c r="B1567" s="47">
        <v>112.63</v>
      </c>
      <c r="C1567" s="47">
        <v>108.6</v>
      </c>
      <c r="D1567" s="47">
        <v>109.81</v>
      </c>
      <c r="E1567" s="47">
        <v>10306927</v>
      </c>
      <c r="F1567" s="47" t="s">
        <v>969</v>
      </c>
      <c r="G1567" s="46">
        <f t="shared" si="21"/>
        <v>-6.3746471177488218E-3</v>
      </c>
    </row>
    <row r="1568" spans="1:7">
      <c r="A1568" s="47">
        <v>109.66</v>
      </c>
      <c r="B1568" s="47">
        <v>116.41500000000001</v>
      </c>
      <c r="C1568" s="47">
        <v>109.33</v>
      </c>
      <c r="D1568" s="47">
        <v>115.67</v>
      </c>
      <c r="E1568" s="47">
        <v>13636134</v>
      </c>
      <c r="F1568" s="47" t="s">
        <v>968</v>
      </c>
      <c r="G1568" s="46">
        <f t="shared" si="21"/>
        <v>-5.1958156825451796E-2</v>
      </c>
    </row>
    <row r="1569" spans="1:7">
      <c r="A1569" s="47">
        <v>116.44</v>
      </c>
      <c r="B1569" s="47">
        <v>116.79</v>
      </c>
      <c r="C1569" s="47">
        <v>113.52</v>
      </c>
      <c r="D1569" s="47">
        <v>114.29</v>
      </c>
      <c r="E1569" s="47">
        <v>10139308</v>
      </c>
      <c r="F1569" s="47" t="s">
        <v>967</v>
      </c>
      <c r="G1569" s="46">
        <f t="shared" si="21"/>
        <v>1.8811794557703987E-2</v>
      </c>
    </row>
    <row r="1570" spans="1:7">
      <c r="A1570" s="47">
        <v>119.49</v>
      </c>
      <c r="B1570" s="47">
        <v>121.85</v>
      </c>
      <c r="C1570" s="47">
        <v>118.53</v>
      </c>
      <c r="D1570" s="47">
        <v>121.72</v>
      </c>
      <c r="E1570" s="47">
        <v>5896230</v>
      </c>
      <c r="F1570" s="47" t="s">
        <v>966</v>
      </c>
      <c r="G1570" s="46">
        <f t="shared" si="21"/>
        <v>-1.8320736115675307E-2</v>
      </c>
    </row>
    <row r="1571" spans="1:7">
      <c r="A1571" s="47">
        <v>122.43</v>
      </c>
      <c r="B1571" s="47">
        <v>124.31</v>
      </c>
      <c r="C1571" s="47">
        <v>120.4</v>
      </c>
      <c r="D1571" s="47">
        <v>123.86</v>
      </c>
      <c r="E1571" s="47">
        <v>7212911</v>
      </c>
      <c r="F1571" s="47" t="s">
        <v>965</v>
      </c>
      <c r="G1571" s="46">
        <f t="shared" si="21"/>
        <v>-1.1545293072824148E-2</v>
      </c>
    </row>
    <row r="1572" spans="1:7">
      <c r="A1572" s="47">
        <v>123.91</v>
      </c>
      <c r="B1572" s="47">
        <v>124.45</v>
      </c>
      <c r="C1572" s="47">
        <v>122.3</v>
      </c>
      <c r="D1572" s="47">
        <v>122.63</v>
      </c>
      <c r="E1572" s="47">
        <v>4878649</v>
      </c>
      <c r="F1572" s="47" t="s">
        <v>964</v>
      </c>
      <c r="G1572" s="46">
        <f t="shared" si="21"/>
        <v>1.04379026339394E-2</v>
      </c>
    </row>
    <row r="1573" spans="1:7">
      <c r="A1573" s="47">
        <v>122.27</v>
      </c>
      <c r="B1573" s="47">
        <v>122.99</v>
      </c>
      <c r="C1573" s="47">
        <v>121.68</v>
      </c>
      <c r="D1573" s="47">
        <v>122.58</v>
      </c>
      <c r="E1573" s="47">
        <v>5085799</v>
      </c>
      <c r="F1573" s="47" t="s">
        <v>963</v>
      </c>
      <c r="G1573" s="46">
        <f t="shared" si="21"/>
        <v>-2.5289606787404217E-3</v>
      </c>
    </row>
    <row r="1574" spans="1:7">
      <c r="A1574" s="47">
        <v>122.99</v>
      </c>
      <c r="B1574" s="47">
        <v>123</v>
      </c>
      <c r="C1574" s="47">
        <v>120.8</v>
      </c>
      <c r="D1574" s="47">
        <v>120.89</v>
      </c>
      <c r="E1574" s="47">
        <v>5769897</v>
      </c>
      <c r="F1574" s="47" t="s">
        <v>962</v>
      </c>
      <c r="G1574" s="46">
        <f t="shared" si="21"/>
        <v>1.7371163867979211E-2</v>
      </c>
    </row>
    <row r="1575" spans="1:7">
      <c r="A1575" s="47">
        <v>120.51</v>
      </c>
      <c r="B1575" s="47">
        <v>121.1</v>
      </c>
      <c r="C1575" s="47">
        <v>117.8</v>
      </c>
      <c r="D1575" s="47">
        <v>118.04</v>
      </c>
      <c r="E1575" s="47">
        <v>6066472</v>
      </c>
      <c r="F1575" s="47" t="s">
        <v>961</v>
      </c>
      <c r="G1575" s="46">
        <f t="shared" si="21"/>
        <v>2.0925110132158586E-2</v>
      </c>
    </row>
    <row r="1576" spans="1:7">
      <c r="A1576" s="47">
        <v>118.56</v>
      </c>
      <c r="B1576" s="47">
        <v>119.91</v>
      </c>
      <c r="C1576" s="47">
        <v>117.87</v>
      </c>
      <c r="D1576" s="47">
        <v>118.85</v>
      </c>
      <c r="E1576" s="47">
        <v>6482283</v>
      </c>
      <c r="F1576" s="47" t="s">
        <v>960</v>
      </c>
      <c r="G1576" s="46">
        <f t="shared" si="21"/>
        <v>-2.4400504838030246E-3</v>
      </c>
    </row>
    <row r="1577" spans="1:7">
      <c r="A1577" s="47">
        <v>118.84</v>
      </c>
      <c r="B1577" s="47">
        <v>121</v>
      </c>
      <c r="C1577" s="47">
        <v>118.4</v>
      </c>
      <c r="D1577" s="47">
        <v>120.76</v>
      </c>
      <c r="E1577" s="47">
        <v>4677447</v>
      </c>
      <c r="F1577" s="47" t="s">
        <v>959</v>
      </c>
      <c r="G1577" s="46">
        <f t="shared" si="21"/>
        <v>-1.5899304405432302E-2</v>
      </c>
    </row>
    <row r="1578" spans="1:7">
      <c r="A1578" s="47">
        <v>120.06</v>
      </c>
      <c r="B1578" s="47">
        <v>120.15</v>
      </c>
      <c r="C1578" s="47">
        <v>118.5</v>
      </c>
      <c r="D1578" s="47">
        <v>118.56</v>
      </c>
      <c r="E1578" s="47">
        <v>4868408</v>
      </c>
      <c r="F1578" s="47" t="s">
        <v>958</v>
      </c>
      <c r="G1578" s="46">
        <f t="shared" si="21"/>
        <v>1.2651821862348145E-2</v>
      </c>
    </row>
    <row r="1579" spans="1:7">
      <c r="A1579" s="47">
        <v>118.88</v>
      </c>
      <c r="B1579" s="47">
        <v>119.67</v>
      </c>
      <c r="C1579" s="47">
        <v>118.41</v>
      </c>
      <c r="D1579" s="47">
        <v>119.6</v>
      </c>
      <c r="E1579" s="47">
        <v>4166262</v>
      </c>
      <c r="F1579" s="47" t="s">
        <v>957</v>
      </c>
      <c r="G1579" s="46">
        <f t="shared" si="21"/>
        <v>-6.0200668896320808E-3</v>
      </c>
    </row>
    <row r="1580" spans="1:7">
      <c r="A1580" s="47">
        <v>119.89</v>
      </c>
      <c r="B1580" s="47">
        <v>120.6</v>
      </c>
      <c r="C1580" s="47">
        <v>119.47</v>
      </c>
      <c r="D1580" s="47">
        <v>120.09</v>
      </c>
      <c r="E1580" s="47">
        <v>4020286</v>
      </c>
      <c r="F1580" s="47" t="s">
        <v>956</v>
      </c>
      <c r="G1580" s="46">
        <f t="shared" si="21"/>
        <v>-1.6654176034640589E-3</v>
      </c>
    </row>
    <row r="1581" spans="1:7">
      <c r="A1581" s="47">
        <v>119.72</v>
      </c>
      <c r="B1581" s="47">
        <v>122.19</v>
      </c>
      <c r="C1581" s="47">
        <v>118.89100000000001</v>
      </c>
      <c r="D1581" s="47">
        <v>121.2</v>
      </c>
      <c r="E1581" s="47">
        <v>7595345</v>
      </c>
      <c r="F1581" s="47" t="s">
        <v>955</v>
      </c>
      <c r="G1581" s="46">
        <f t="shared" si="21"/>
        <v>-1.2211221122112259E-2</v>
      </c>
    </row>
    <row r="1582" spans="1:7">
      <c r="A1582" s="47">
        <v>120.08</v>
      </c>
      <c r="B1582" s="47">
        <v>120.34</v>
      </c>
      <c r="C1582" s="47">
        <v>117.3</v>
      </c>
      <c r="D1582" s="47">
        <v>118.04</v>
      </c>
      <c r="E1582" s="47">
        <v>7396789</v>
      </c>
      <c r="F1582" s="47" t="s">
        <v>954</v>
      </c>
      <c r="G1582" s="46">
        <f t="shared" si="21"/>
        <v>1.7282277194171414E-2</v>
      </c>
    </row>
    <row r="1583" spans="1:7">
      <c r="A1583" s="47">
        <v>116.51</v>
      </c>
      <c r="B1583" s="47">
        <v>117.24</v>
      </c>
      <c r="C1583" s="47">
        <v>114.05</v>
      </c>
      <c r="D1583" s="47">
        <v>114.3</v>
      </c>
      <c r="E1583" s="47">
        <v>8236584</v>
      </c>
      <c r="F1583" s="47" t="s">
        <v>953</v>
      </c>
      <c r="G1583" s="46">
        <f t="shared" si="21"/>
        <v>1.9335083114610851E-2</v>
      </c>
    </row>
    <row r="1584" spans="1:7">
      <c r="A1584" s="47">
        <v>113.89</v>
      </c>
      <c r="B1584" s="47">
        <v>117.32</v>
      </c>
      <c r="C1584" s="47">
        <v>113.15</v>
      </c>
      <c r="D1584" s="47">
        <v>116.75</v>
      </c>
      <c r="E1584" s="47">
        <v>9467156</v>
      </c>
      <c r="F1584" s="47" t="s">
        <v>952</v>
      </c>
      <c r="G1584" s="46">
        <f t="shared" si="21"/>
        <v>-2.4496788008565251E-2</v>
      </c>
    </row>
    <row r="1585" spans="1:7">
      <c r="A1585" s="47">
        <v>117.12</v>
      </c>
      <c r="B1585" s="47">
        <v>117.2</v>
      </c>
      <c r="C1585" s="47">
        <v>112.42</v>
      </c>
      <c r="D1585" s="47">
        <v>112.79</v>
      </c>
      <c r="E1585" s="47">
        <v>13653347</v>
      </c>
      <c r="F1585" s="47" t="s">
        <v>951</v>
      </c>
      <c r="G1585" s="46">
        <f t="shared" si="21"/>
        <v>3.8389928185122768E-2</v>
      </c>
    </row>
    <row r="1586" spans="1:7">
      <c r="A1586" s="47">
        <v>116.66</v>
      </c>
      <c r="B1586" s="47">
        <v>117.53</v>
      </c>
      <c r="C1586" s="47">
        <v>115.16</v>
      </c>
      <c r="D1586" s="47">
        <v>117.47</v>
      </c>
      <c r="E1586" s="47">
        <v>9255661</v>
      </c>
      <c r="F1586" s="47" t="s">
        <v>950</v>
      </c>
      <c r="G1586" s="46">
        <f t="shared" si="21"/>
        <v>-6.8953775432025743E-3</v>
      </c>
    </row>
    <row r="1587" spans="1:7">
      <c r="A1587" s="47">
        <v>116.52</v>
      </c>
      <c r="B1587" s="47">
        <v>117.21</v>
      </c>
      <c r="C1587" s="47">
        <v>114.7154</v>
      </c>
      <c r="D1587" s="47">
        <v>115.83</v>
      </c>
      <c r="E1587" s="47">
        <v>6432992</v>
      </c>
      <c r="F1587" s="47" t="s">
        <v>949</v>
      </c>
      <c r="G1587" s="46">
        <f t="shared" si="21"/>
        <v>5.9570059570059897E-3</v>
      </c>
    </row>
    <row r="1588" spans="1:7">
      <c r="A1588" s="47">
        <v>115.24</v>
      </c>
      <c r="B1588" s="47">
        <v>115.98</v>
      </c>
      <c r="C1588" s="47">
        <v>112.31</v>
      </c>
      <c r="D1588" s="47">
        <v>113.63</v>
      </c>
      <c r="E1588" s="47">
        <v>7002260</v>
      </c>
      <c r="F1588" s="47" t="s">
        <v>948</v>
      </c>
      <c r="G1588" s="46">
        <f t="shared" si="21"/>
        <v>1.416879345243327E-2</v>
      </c>
    </row>
    <row r="1589" spans="1:7">
      <c r="A1589" s="47">
        <v>116.98</v>
      </c>
      <c r="B1589" s="47">
        <v>119.6</v>
      </c>
      <c r="C1589" s="47">
        <v>116.51</v>
      </c>
      <c r="D1589" s="47">
        <v>118.45</v>
      </c>
      <c r="E1589" s="47">
        <v>7123969</v>
      </c>
      <c r="F1589" s="47" t="s">
        <v>947</v>
      </c>
      <c r="G1589" s="46">
        <f t="shared" si="21"/>
        <v>-1.2410299704516681E-2</v>
      </c>
    </row>
    <row r="1590" spans="1:7">
      <c r="A1590" s="47">
        <v>117.89</v>
      </c>
      <c r="B1590" s="47">
        <v>117.93980000000001</v>
      </c>
      <c r="C1590" s="47">
        <v>115.8</v>
      </c>
      <c r="D1590" s="47">
        <v>117.4</v>
      </c>
      <c r="E1590" s="47">
        <v>8533941</v>
      </c>
      <c r="F1590" s="47" t="s">
        <v>946</v>
      </c>
      <c r="G1590" s="46">
        <f t="shared" si="21"/>
        <v>4.1737649063031679E-3</v>
      </c>
    </row>
    <row r="1591" spans="1:7">
      <c r="A1591" s="47">
        <v>115.5</v>
      </c>
      <c r="B1591" s="47">
        <v>117.45</v>
      </c>
      <c r="C1591" s="47">
        <v>115.47</v>
      </c>
      <c r="D1591" s="47">
        <v>116.73</v>
      </c>
      <c r="E1591" s="47">
        <v>5305308</v>
      </c>
      <c r="F1591" s="47" t="s">
        <v>945</v>
      </c>
      <c r="G1591" s="46">
        <f t="shared" si="21"/>
        <v>-1.0537136982780804E-2</v>
      </c>
    </row>
    <row r="1592" spans="1:7">
      <c r="A1592" s="47">
        <v>116.15</v>
      </c>
      <c r="B1592" s="47">
        <v>116.39</v>
      </c>
      <c r="C1592" s="47">
        <v>115.11</v>
      </c>
      <c r="D1592" s="47">
        <v>115.31</v>
      </c>
      <c r="E1592" s="47">
        <v>8746199</v>
      </c>
      <c r="F1592" s="47" t="s">
        <v>944</v>
      </c>
      <c r="G1592" s="46">
        <f t="shared" si="21"/>
        <v>7.2847107796374377E-3</v>
      </c>
    </row>
    <row r="1593" spans="1:7">
      <c r="A1593" s="47">
        <v>116.04</v>
      </c>
      <c r="B1593" s="47">
        <v>116.7</v>
      </c>
      <c r="C1593" s="47">
        <v>115.47</v>
      </c>
      <c r="D1593" s="47">
        <v>116.45</v>
      </c>
      <c r="E1593" s="47">
        <v>9730424</v>
      </c>
      <c r="F1593" s="47" t="s">
        <v>943</v>
      </c>
      <c r="G1593" s="46">
        <f t="shared" si="21"/>
        <v>-3.5208243881493795E-3</v>
      </c>
    </row>
    <row r="1594" spans="1:7">
      <c r="A1594" s="47">
        <v>115.4</v>
      </c>
      <c r="B1594" s="47">
        <v>116</v>
      </c>
      <c r="C1594" s="47">
        <v>114.85</v>
      </c>
      <c r="D1594" s="47">
        <v>115.92</v>
      </c>
      <c r="E1594" s="47">
        <v>4793197</v>
      </c>
      <c r="F1594" s="47" t="s">
        <v>942</v>
      </c>
      <c r="G1594" s="46">
        <f t="shared" ref="G1594:G1657" si="22">A1594/D1594-1</f>
        <v>-4.4858523119392091E-3</v>
      </c>
    </row>
    <row r="1595" spans="1:7">
      <c r="A1595" s="47">
        <v>114.85</v>
      </c>
      <c r="B1595" s="47">
        <v>115.95</v>
      </c>
      <c r="C1595" s="47">
        <v>114.61</v>
      </c>
      <c r="D1595" s="47">
        <v>115.14</v>
      </c>
      <c r="E1595" s="47">
        <v>5955223</v>
      </c>
      <c r="F1595" s="47" t="s">
        <v>941</v>
      </c>
      <c r="G1595" s="46">
        <f t="shared" si="22"/>
        <v>-2.5186729199235813E-3</v>
      </c>
    </row>
    <row r="1596" spans="1:7">
      <c r="A1596" s="47">
        <v>114.64</v>
      </c>
      <c r="B1596" s="47">
        <v>115.59</v>
      </c>
      <c r="C1596" s="47">
        <v>114.12</v>
      </c>
      <c r="D1596" s="47">
        <v>115.515</v>
      </c>
      <c r="E1596" s="47">
        <v>7182707</v>
      </c>
      <c r="F1596" s="47" t="s">
        <v>940</v>
      </c>
      <c r="G1596" s="46">
        <f t="shared" si="22"/>
        <v>-7.5747738388953767E-3</v>
      </c>
    </row>
    <row r="1597" spans="1:7">
      <c r="A1597" s="47">
        <v>115.28</v>
      </c>
      <c r="B1597" s="47">
        <v>115.88</v>
      </c>
      <c r="C1597" s="47">
        <v>113.86</v>
      </c>
      <c r="D1597" s="47">
        <v>113.98</v>
      </c>
      <c r="E1597" s="47">
        <v>9652847</v>
      </c>
      <c r="F1597" s="47" t="s">
        <v>939</v>
      </c>
      <c r="G1597" s="46">
        <f t="shared" si="22"/>
        <v>1.140550973855059E-2</v>
      </c>
    </row>
    <row r="1598" spans="1:7">
      <c r="A1598" s="47">
        <v>112.93</v>
      </c>
      <c r="B1598" s="47">
        <v>113.71</v>
      </c>
      <c r="C1598" s="47">
        <v>112.27</v>
      </c>
      <c r="D1598" s="47">
        <v>113.64</v>
      </c>
      <c r="E1598" s="47">
        <v>6965689</v>
      </c>
      <c r="F1598" s="47" t="s">
        <v>938</v>
      </c>
      <c r="G1598" s="46">
        <f t="shared" si="22"/>
        <v>-6.2478000703977132E-3</v>
      </c>
    </row>
    <row r="1599" spans="1:7">
      <c r="A1599" s="47">
        <v>112.57</v>
      </c>
      <c r="B1599" s="47">
        <v>113.56</v>
      </c>
      <c r="C1599" s="47">
        <v>111.59</v>
      </c>
      <c r="D1599" s="47">
        <v>112.99</v>
      </c>
      <c r="E1599" s="47">
        <v>5950181</v>
      </c>
      <c r="F1599" s="47" t="s">
        <v>937</v>
      </c>
      <c r="G1599" s="46">
        <f t="shared" si="22"/>
        <v>-3.7171431100097019E-3</v>
      </c>
    </row>
    <row r="1600" spans="1:7">
      <c r="A1600" s="47">
        <v>111.82</v>
      </c>
      <c r="B1600" s="47">
        <v>112.64</v>
      </c>
      <c r="C1600" s="47">
        <v>109.82</v>
      </c>
      <c r="D1600" s="47">
        <v>110.4</v>
      </c>
      <c r="E1600" s="47">
        <v>8295189</v>
      </c>
      <c r="F1600" s="47" t="s">
        <v>936</v>
      </c>
      <c r="G1600" s="46">
        <f t="shared" si="22"/>
        <v>1.2862318840579645E-2</v>
      </c>
    </row>
    <row r="1601" spans="1:7">
      <c r="A1601" s="47">
        <v>109.67</v>
      </c>
      <c r="B1601" s="47">
        <v>111.56</v>
      </c>
      <c r="C1601" s="47">
        <v>109.53</v>
      </c>
      <c r="D1601" s="47">
        <v>111.5</v>
      </c>
      <c r="E1601" s="47">
        <v>6916836</v>
      </c>
      <c r="F1601" s="47" t="s">
        <v>935</v>
      </c>
      <c r="G1601" s="46">
        <f t="shared" si="22"/>
        <v>-1.6412556053811644E-2</v>
      </c>
    </row>
    <row r="1602" spans="1:7">
      <c r="A1602" s="47">
        <v>110.17</v>
      </c>
      <c r="B1602" s="47">
        <v>110.22</v>
      </c>
      <c r="C1602" s="47">
        <v>107.44</v>
      </c>
      <c r="D1602" s="47">
        <v>107.57</v>
      </c>
      <c r="E1602" s="47">
        <v>6766627</v>
      </c>
      <c r="F1602" s="47" t="s">
        <v>934</v>
      </c>
      <c r="G1602" s="46">
        <f t="shared" si="22"/>
        <v>2.4170307706609773E-2</v>
      </c>
    </row>
    <row r="1603" spans="1:7">
      <c r="A1603" s="47">
        <v>108.76</v>
      </c>
      <c r="B1603" s="47">
        <v>110.42</v>
      </c>
      <c r="C1603" s="47">
        <v>108.76</v>
      </c>
      <c r="D1603" s="47">
        <v>109.49</v>
      </c>
      <c r="E1603" s="47">
        <v>7099931</v>
      </c>
      <c r="F1603" s="47" t="s">
        <v>933</v>
      </c>
      <c r="G1603" s="46">
        <f t="shared" si="22"/>
        <v>-6.667275550278462E-3</v>
      </c>
    </row>
    <row r="1604" spans="1:7">
      <c r="A1604" s="47">
        <v>110.75</v>
      </c>
      <c r="B1604" s="47">
        <v>111.21</v>
      </c>
      <c r="C1604" s="47">
        <v>109.27500000000001</v>
      </c>
      <c r="D1604" s="47">
        <v>109.47</v>
      </c>
      <c r="E1604" s="47">
        <v>7419283</v>
      </c>
      <c r="F1604" s="47" t="s">
        <v>932</v>
      </c>
      <c r="G1604" s="46">
        <f t="shared" si="22"/>
        <v>1.1692701196674982E-2</v>
      </c>
    </row>
    <row r="1605" spans="1:7">
      <c r="A1605" s="47">
        <v>108.17</v>
      </c>
      <c r="B1605" s="47">
        <v>108.45</v>
      </c>
      <c r="C1605" s="47">
        <v>107.2</v>
      </c>
      <c r="D1605" s="47">
        <v>107.54</v>
      </c>
      <c r="E1605" s="47">
        <v>4080618</v>
      </c>
      <c r="F1605" s="47" t="s">
        <v>931</v>
      </c>
      <c r="G1605" s="46">
        <f t="shared" si="22"/>
        <v>5.8582852891946313E-3</v>
      </c>
    </row>
    <row r="1606" spans="1:7">
      <c r="A1606" s="47">
        <v>107.97</v>
      </c>
      <c r="B1606" s="47">
        <v>109.6</v>
      </c>
      <c r="C1606" s="47">
        <v>107.73</v>
      </c>
      <c r="D1606" s="47">
        <v>109.52</v>
      </c>
      <c r="E1606" s="47">
        <v>3769715</v>
      </c>
      <c r="F1606" s="47" t="s">
        <v>930</v>
      </c>
      <c r="G1606" s="46">
        <f t="shared" si="22"/>
        <v>-1.415266617969313E-2</v>
      </c>
    </row>
    <row r="1607" spans="1:7">
      <c r="A1607" s="47">
        <v>109.4</v>
      </c>
      <c r="B1607" s="47">
        <v>110.18</v>
      </c>
      <c r="C1607" s="47">
        <v>108.9</v>
      </c>
      <c r="D1607" s="47">
        <v>110.1665</v>
      </c>
      <c r="E1607" s="47">
        <v>3390317</v>
      </c>
      <c r="F1607" s="47" t="s">
        <v>929</v>
      </c>
      <c r="G1607" s="46">
        <f t="shared" si="22"/>
        <v>-6.9576504654318416E-3</v>
      </c>
    </row>
    <row r="1608" spans="1:7">
      <c r="A1608" s="47">
        <v>109.75</v>
      </c>
      <c r="B1608" s="47">
        <v>109.75</v>
      </c>
      <c r="C1608" s="47">
        <v>108.57</v>
      </c>
      <c r="D1608" s="47">
        <v>109.13</v>
      </c>
      <c r="E1608" s="47">
        <v>4050317</v>
      </c>
      <c r="F1608" s="47" t="s">
        <v>928</v>
      </c>
      <c r="G1608" s="46">
        <f t="shared" si="22"/>
        <v>5.6812975350499784E-3</v>
      </c>
    </row>
    <row r="1609" spans="1:7">
      <c r="A1609" s="47">
        <v>108.69</v>
      </c>
      <c r="B1609" s="47">
        <v>109.26</v>
      </c>
      <c r="C1609" s="47">
        <v>108.38</v>
      </c>
      <c r="D1609" s="47">
        <v>108.64</v>
      </c>
      <c r="E1609" s="47">
        <v>1679950</v>
      </c>
      <c r="F1609" s="47" t="s">
        <v>927</v>
      </c>
      <c r="G1609" s="46">
        <f t="shared" si="22"/>
        <v>4.6023564064801015E-4</v>
      </c>
    </row>
    <row r="1610" spans="1:7">
      <c r="A1610" s="47">
        <v>108.61</v>
      </c>
      <c r="B1610" s="47">
        <v>109.45</v>
      </c>
      <c r="C1610" s="47">
        <v>108.38</v>
      </c>
      <c r="D1610" s="47">
        <v>109.05</v>
      </c>
      <c r="E1610" s="47">
        <v>4659074</v>
      </c>
      <c r="F1610" s="47" t="s">
        <v>926</v>
      </c>
      <c r="G1610" s="46">
        <f t="shared" si="22"/>
        <v>-4.0348464007335938E-3</v>
      </c>
    </row>
    <row r="1611" spans="1:7">
      <c r="A1611" s="47">
        <v>108.75</v>
      </c>
      <c r="B1611" s="47">
        <v>109.62</v>
      </c>
      <c r="C1611" s="47">
        <v>108.13</v>
      </c>
      <c r="D1611" s="47">
        <v>109.28</v>
      </c>
      <c r="E1611" s="47">
        <v>9831071</v>
      </c>
      <c r="F1611" s="47" t="s">
        <v>925</v>
      </c>
      <c r="G1611" s="46">
        <f t="shared" si="22"/>
        <v>-4.8499267935578905E-3</v>
      </c>
    </row>
    <row r="1612" spans="1:7">
      <c r="A1612" s="47">
        <v>108.88</v>
      </c>
      <c r="B1612" s="47">
        <v>108.94</v>
      </c>
      <c r="C1612" s="47">
        <v>107.46</v>
      </c>
      <c r="D1612" s="47">
        <v>107.8</v>
      </c>
      <c r="E1612" s="47">
        <v>6590055</v>
      </c>
      <c r="F1612" s="47" t="s">
        <v>924</v>
      </c>
      <c r="G1612" s="46">
        <f t="shared" si="22"/>
        <v>1.0018552875695752E-2</v>
      </c>
    </row>
    <row r="1613" spans="1:7">
      <c r="A1613" s="47">
        <v>107.83</v>
      </c>
      <c r="B1613" s="47">
        <v>109.47</v>
      </c>
      <c r="C1613" s="47">
        <v>107.76</v>
      </c>
      <c r="D1613" s="47">
        <v>108.86</v>
      </c>
      <c r="E1613" s="47">
        <v>6478284</v>
      </c>
      <c r="F1613" s="47" t="s">
        <v>923</v>
      </c>
      <c r="G1613" s="46">
        <f t="shared" si="22"/>
        <v>-9.4616939187948113E-3</v>
      </c>
    </row>
    <row r="1614" spans="1:7">
      <c r="A1614" s="47">
        <v>108.46</v>
      </c>
      <c r="B1614" s="47">
        <v>109.6</v>
      </c>
      <c r="C1614" s="47">
        <v>107.67</v>
      </c>
      <c r="D1614" s="47">
        <v>109.57</v>
      </c>
      <c r="E1614" s="47">
        <v>8168386</v>
      </c>
      <c r="F1614" s="47" t="s">
        <v>922</v>
      </c>
      <c r="G1614" s="46">
        <f t="shared" si="22"/>
        <v>-1.0130510176143082E-2</v>
      </c>
    </row>
    <row r="1615" spans="1:7">
      <c r="A1615" s="47">
        <v>109.57</v>
      </c>
      <c r="B1615" s="47">
        <v>109.828</v>
      </c>
      <c r="C1615" s="47">
        <v>108.35</v>
      </c>
      <c r="D1615" s="47">
        <v>108.4</v>
      </c>
      <c r="E1615" s="47">
        <v>8466723</v>
      </c>
      <c r="F1615" s="47" t="s">
        <v>921</v>
      </c>
      <c r="G1615" s="46">
        <f t="shared" si="22"/>
        <v>1.0793357933579273E-2</v>
      </c>
    </row>
    <row r="1616" spans="1:7">
      <c r="A1616" s="47">
        <v>107.65</v>
      </c>
      <c r="B1616" s="47">
        <v>107.905</v>
      </c>
      <c r="C1616" s="47">
        <v>105.52</v>
      </c>
      <c r="D1616" s="47">
        <v>105.83</v>
      </c>
      <c r="E1616" s="47">
        <v>7001186</v>
      </c>
      <c r="F1616" s="47" t="s">
        <v>920</v>
      </c>
      <c r="G1616" s="46">
        <f t="shared" si="22"/>
        <v>1.7197392043843962E-2</v>
      </c>
    </row>
    <row r="1617" spans="1:7">
      <c r="A1617" s="47">
        <v>105.67</v>
      </c>
      <c r="B1617" s="47">
        <v>106.2199</v>
      </c>
      <c r="C1617" s="47">
        <v>104.13</v>
      </c>
      <c r="D1617" s="47">
        <v>105.21</v>
      </c>
      <c r="E1617" s="47">
        <v>6380433</v>
      </c>
      <c r="F1617" s="47" t="s">
        <v>919</v>
      </c>
      <c r="G1617" s="46">
        <f t="shared" si="22"/>
        <v>4.3722079650223566E-3</v>
      </c>
    </row>
    <row r="1618" spans="1:7">
      <c r="A1618" s="47">
        <v>105.51</v>
      </c>
      <c r="B1618" s="47">
        <v>105.87</v>
      </c>
      <c r="C1618" s="47">
        <v>103.5902</v>
      </c>
      <c r="D1618" s="47">
        <v>103.72</v>
      </c>
      <c r="E1618" s="47">
        <v>5782111</v>
      </c>
      <c r="F1618" s="47" t="s">
        <v>918</v>
      </c>
      <c r="G1618" s="46">
        <f t="shared" si="22"/>
        <v>1.7258002313922161E-2</v>
      </c>
    </row>
    <row r="1619" spans="1:7">
      <c r="A1619" s="47">
        <v>103.62</v>
      </c>
      <c r="B1619" s="47">
        <v>104.13</v>
      </c>
      <c r="C1619" s="47">
        <v>103.26</v>
      </c>
      <c r="D1619" s="47">
        <v>103.77</v>
      </c>
      <c r="E1619" s="47">
        <v>5316693</v>
      </c>
      <c r="F1619" s="47" t="s">
        <v>917</v>
      </c>
      <c r="G1619" s="46">
        <f t="shared" si="22"/>
        <v>-1.4455044810638418E-3</v>
      </c>
    </row>
    <row r="1620" spans="1:7">
      <c r="A1620" s="47">
        <v>103.78</v>
      </c>
      <c r="B1620" s="47">
        <v>105.1</v>
      </c>
      <c r="C1620" s="47">
        <v>103.6</v>
      </c>
      <c r="D1620" s="47">
        <v>104.6</v>
      </c>
      <c r="E1620" s="47">
        <v>5681147</v>
      </c>
      <c r="F1620" s="47" t="s">
        <v>916</v>
      </c>
      <c r="G1620" s="46">
        <f t="shared" si="22"/>
        <v>-7.8393881453153735E-3</v>
      </c>
    </row>
    <row r="1621" spans="1:7">
      <c r="A1621" s="47">
        <v>104.34</v>
      </c>
      <c r="B1621" s="47">
        <v>105.34350000000001</v>
      </c>
      <c r="C1621" s="47">
        <v>104.16</v>
      </c>
      <c r="D1621" s="47">
        <v>104.79</v>
      </c>
      <c r="E1621" s="47">
        <v>7018440</v>
      </c>
      <c r="F1621" s="47" t="s">
        <v>915</v>
      </c>
      <c r="G1621" s="46">
        <f t="shared" si="22"/>
        <v>-4.294302891497348E-3</v>
      </c>
    </row>
    <row r="1622" spans="1:7">
      <c r="A1622" s="47">
        <v>104.59</v>
      </c>
      <c r="B1622" s="47">
        <v>105.5</v>
      </c>
      <c r="C1622" s="47">
        <v>104.11</v>
      </c>
      <c r="D1622" s="47">
        <v>105.45</v>
      </c>
      <c r="E1622" s="47">
        <v>5637586</v>
      </c>
      <c r="F1622" s="47" t="s">
        <v>914</v>
      </c>
      <c r="G1622" s="46">
        <f t="shared" si="22"/>
        <v>-8.1555239449976336E-3</v>
      </c>
    </row>
    <row r="1623" spans="1:7">
      <c r="A1623" s="47">
        <v>105</v>
      </c>
      <c r="B1623" s="47">
        <v>106.29</v>
      </c>
      <c r="C1623" s="47">
        <v>104.655</v>
      </c>
      <c r="D1623" s="47">
        <v>106.29</v>
      </c>
      <c r="E1623" s="47">
        <v>7849569</v>
      </c>
      <c r="F1623" s="47" t="s">
        <v>913</v>
      </c>
      <c r="G1623" s="46">
        <f t="shared" si="22"/>
        <v>-1.2136607394863219E-2</v>
      </c>
    </row>
    <row r="1624" spans="1:7">
      <c r="A1624" s="47">
        <v>105.59</v>
      </c>
      <c r="B1624" s="47">
        <v>106.13</v>
      </c>
      <c r="C1624" s="47">
        <v>104.51</v>
      </c>
      <c r="D1624" s="47">
        <v>105</v>
      </c>
      <c r="E1624" s="47">
        <v>9062795</v>
      </c>
      <c r="F1624" s="47" t="s">
        <v>912</v>
      </c>
      <c r="G1624" s="46">
        <f t="shared" si="22"/>
        <v>5.6190476190476346E-3</v>
      </c>
    </row>
    <row r="1625" spans="1:7">
      <c r="A1625" s="47">
        <v>106.21</v>
      </c>
      <c r="B1625" s="47">
        <v>108.49</v>
      </c>
      <c r="C1625" s="47">
        <v>104.65</v>
      </c>
      <c r="D1625" s="47">
        <v>107.96</v>
      </c>
      <c r="E1625" s="47">
        <v>7185204</v>
      </c>
      <c r="F1625" s="47" t="s">
        <v>911</v>
      </c>
      <c r="G1625" s="46">
        <f t="shared" si="22"/>
        <v>-1.620970729899962E-2</v>
      </c>
    </row>
    <row r="1626" spans="1:7">
      <c r="A1626" s="47">
        <v>108.01</v>
      </c>
      <c r="B1626" s="47">
        <v>108.39</v>
      </c>
      <c r="C1626" s="47">
        <v>106.9</v>
      </c>
      <c r="D1626" s="47">
        <v>107.97</v>
      </c>
      <c r="E1626" s="47">
        <v>4439511</v>
      </c>
      <c r="F1626" s="47" t="s">
        <v>910</v>
      </c>
      <c r="G1626" s="46">
        <f t="shared" si="22"/>
        <v>3.7047327961481358E-4</v>
      </c>
    </row>
    <row r="1627" spans="1:7">
      <c r="A1627" s="47">
        <v>107.75</v>
      </c>
      <c r="B1627" s="47">
        <v>108.24</v>
      </c>
      <c r="C1627" s="47">
        <v>106.8</v>
      </c>
      <c r="D1627" s="47">
        <v>106.89</v>
      </c>
      <c r="E1627" s="47">
        <v>7555124</v>
      </c>
      <c r="F1627" s="47" t="s">
        <v>909</v>
      </c>
      <c r="G1627" s="46">
        <f t="shared" si="22"/>
        <v>8.0456544110767414E-3</v>
      </c>
    </row>
    <row r="1628" spans="1:7">
      <c r="A1628" s="47">
        <v>106.2</v>
      </c>
      <c r="B1628" s="47">
        <v>106.78</v>
      </c>
      <c r="C1628" s="47">
        <v>104.5</v>
      </c>
      <c r="D1628" s="47">
        <v>104.8</v>
      </c>
      <c r="E1628" s="47">
        <v>13150051</v>
      </c>
      <c r="F1628" s="47" t="s">
        <v>908</v>
      </c>
      <c r="G1628" s="46">
        <f t="shared" si="22"/>
        <v>1.3358778625954359E-2</v>
      </c>
    </row>
    <row r="1629" spans="1:7">
      <c r="A1629" s="47">
        <v>104.45</v>
      </c>
      <c r="B1629" s="47">
        <v>104.57</v>
      </c>
      <c r="C1629" s="47">
        <v>102.06</v>
      </c>
      <c r="D1629" s="47">
        <v>102.38</v>
      </c>
      <c r="E1629" s="47">
        <v>8338769</v>
      </c>
      <c r="F1629" s="47" t="s">
        <v>907</v>
      </c>
      <c r="G1629" s="46">
        <f t="shared" si="22"/>
        <v>2.0218792732955793E-2</v>
      </c>
    </row>
    <row r="1630" spans="1:7">
      <c r="A1630" s="47">
        <v>101.77</v>
      </c>
      <c r="B1630" s="47">
        <v>103.23</v>
      </c>
      <c r="C1630" s="47">
        <v>100.72</v>
      </c>
      <c r="D1630" s="47">
        <v>102.92</v>
      </c>
      <c r="E1630" s="47">
        <v>6448811</v>
      </c>
      <c r="F1630" s="47" t="s">
        <v>906</v>
      </c>
      <c r="G1630" s="46">
        <f t="shared" si="22"/>
        <v>-1.1173727166731484E-2</v>
      </c>
    </row>
    <row r="1631" spans="1:7">
      <c r="A1631" s="47">
        <v>102.55</v>
      </c>
      <c r="B1631" s="47">
        <v>104.47</v>
      </c>
      <c r="C1631" s="47">
        <v>102.15</v>
      </c>
      <c r="D1631" s="47">
        <v>103</v>
      </c>
      <c r="E1631" s="47">
        <v>7525120</v>
      </c>
      <c r="F1631" s="47" t="s">
        <v>905</v>
      </c>
      <c r="G1631" s="46">
        <f t="shared" si="22"/>
        <v>-4.3689320388349273E-3</v>
      </c>
    </row>
    <row r="1632" spans="1:7">
      <c r="A1632" s="47">
        <v>104.09</v>
      </c>
      <c r="B1632" s="47">
        <v>105.38</v>
      </c>
      <c r="C1632" s="47">
        <v>103.12</v>
      </c>
      <c r="D1632" s="47">
        <v>105.22</v>
      </c>
      <c r="E1632" s="47">
        <v>5962021</v>
      </c>
      <c r="F1632" s="47" t="s">
        <v>904</v>
      </c>
      <c r="G1632" s="46">
        <f t="shared" si="22"/>
        <v>-1.0739403155293648E-2</v>
      </c>
    </row>
    <row r="1633" spans="1:7">
      <c r="A1633" s="47">
        <v>104.95</v>
      </c>
      <c r="B1633" s="47">
        <v>106.17</v>
      </c>
      <c r="C1633" s="47">
        <v>104.0076</v>
      </c>
      <c r="D1633" s="47">
        <v>104.08</v>
      </c>
      <c r="E1633" s="47">
        <v>7960162</v>
      </c>
      <c r="F1633" s="47" t="s">
        <v>903</v>
      </c>
      <c r="G1633" s="46">
        <f t="shared" si="22"/>
        <v>8.3589546502691459E-3</v>
      </c>
    </row>
    <row r="1634" spans="1:7">
      <c r="A1634" s="47">
        <v>103.66</v>
      </c>
      <c r="B1634" s="47">
        <v>104.2</v>
      </c>
      <c r="C1634" s="47">
        <v>102.98</v>
      </c>
      <c r="D1634" s="47">
        <v>103.85</v>
      </c>
      <c r="E1634" s="47">
        <v>4831599</v>
      </c>
      <c r="F1634" s="47" t="s">
        <v>902</v>
      </c>
      <c r="G1634" s="46">
        <f t="shared" si="22"/>
        <v>-1.8295618680789216E-3</v>
      </c>
    </row>
    <row r="1635" spans="1:7">
      <c r="A1635" s="47">
        <v>104.2</v>
      </c>
      <c r="B1635" s="47">
        <v>104.48</v>
      </c>
      <c r="C1635" s="47">
        <v>103.105</v>
      </c>
      <c r="D1635" s="47">
        <v>104.35</v>
      </c>
      <c r="E1635" s="47">
        <v>5640361</v>
      </c>
      <c r="F1635" s="47" t="s">
        <v>901</v>
      </c>
      <c r="G1635" s="46">
        <f t="shared" si="22"/>
        <v>-1.4374700527071127E-3</v>
      </c>
    </row>
    <row r="1636" spans="1:7">
      <c r="A1636" s="47">
        <v>103.73</v>
      </c>
      <c r="B1636" s="47">
        <v>103.85</v>
      </c>
      <c r="C1636" s="47">
        <v>101.37</v>
      </c>
      <c r="D1636" s="47">
        <v>101.87</v>
      </c>
      <c r="E1636" s="47">
        <v>4980344</v>
      </c>
      <c r="F1636" s="47" t="s">
        <v>900</v>
      </c>
      <c r="G1636" s="46">
        <f t="shared" si="22"/>
        <v>1.8258564837537961E-2</v>
      </c>
    </row>
    <row r="1637" spans="1:7">
      <c r="A1637" s="47">
        <v>102.12</v>
      </c>
      <c r="B1637" s="47">
        <v>103.6</v>
      </c>
      <c r="C1637" s="47">
        <v>101.63</v>
      </c>
      <c r="D1637" s="47">
        <v>102</v>
      </c>
      <c r="E1637" s="47">
        <v>5329359</v>
      </c>
      <c r="F1637" s="47" t="s">
        <v>899</v>
      </c>
      <c r="G1637" s="46">
        <f t="shared" si="22"/>
        <v>1.1764705882353343E-3</v>
      </c>
    </row>
    <row r="1638" spans="1:7">
      <c r="A1638" s="47">
        <v>102.03</v>
      </c>
      <c r="B1638" s="47">
        <v>103.09</v>
      </c>
      <c r="C1638" s="47">
        <v>100.92</v>
      </c>
      <c r="D1638" s="47">
        <v>102.97</v>
      </c>
      <c r="E1638" s="47">
        <v>6715166</v>
      </c>
      <c r="F1638" s="47" t="s">
        <v>898</v>
      </c>
      <c r="G1638" s="46">
        <f t="shared" si="22"/>
        <v>-9.1288724871321225E-3</v>
      </c>
    </row>
    <row r="1639" spans="1:7">
      <c r="A1639" s="47">
        <v>102.67</v>
      </c>
      <c r="B1639" s="47">
        <v>103.04</v>
      </c>
      <c r="C1639" s="47">
        <v>100.66</v>
      </c>
      <c r="D1639" s="47">
        <v>101.04</v>
      </c>
      <c r="E1639" s="47">
        <v>5391050</v>
      </c>
      <c r="F1639" s="47" t="s">
        <v>897</v>
      </c>
      <c r="G1639" s="46">
        <f t="shared" si="22"/>
        <v>1.6132224861441058E-2</v>
      </c>
    </row>
    <row r="1640" spans="1:7">
      <c r="A1640" s="47">
        <v>101.42</v>
      </c>
      <c r="B1640" s="47">
        <v>101.71</v>
      </c>
      <c r="C1640" s="47">
        <v>99.6</v>
      </c>
      <c r="D1640" s="47">
        <v>100.02500000000001</v>
      </c>
      <c r="E1640" s="47">
        <v>5451433</v>
      </c>
      <c r="F1640" s="47" t="s">
        <v>896</v>
      </c>
      <c r="G1640" s="46">
        <f t="shared" si="22"/>
        <v>1.3946513371656977E-2</v>
      </c>
    </row>
    <row r="1641" spans="1:7">
      <c r="A1641" s="47">
        <v>100.47</v>
      </c>
      <c r="B1641" s="47">
        <v>101.72</v>
      </c>
      <c r="C1641" s="47">
        <v>100.29</v>
      </c>
      <c r="D1641" s="47">
        <v>100.94</v>
      </c>
      <c r="E1641" s="47">
        <v>9088435</v>
      </c>
      <c r="F1641" s="47" t="s">
        <v>895</v>
      </c>
      <c r="G1641" s="46">
        <f t="shared" si="22"/>
        <v>-4.6562314246086922E-3</v>
      </c>
    </row>
    <row r="1642" spans="1:7">
      <c r="A1642" s="47">
        <v>100.63</v>
      </c>
      <c r="B1642" s="47">
        <v>101.34</v>
      </c>
      <c r="C1642" s="47">
        <v>100.17</v>
      </c>
      <c r="D1642" s="47">
        <v>101.2</v>
      </c>
      <c r="E1642" s="47">
        <v>7332216</v>
      </c>
      <c r="F1642" s="47" t="s">
        <v>894</v>
      </c>
      <c r="G1642" s="46">
        <f t="shared" si="22"/>
        <v>-5.6324110671936989E-3</v>
      </c>
    </row>
    <row r="1643" spans="1:7">
      <c r="A1643" s="47">
        <v>100.99</v>
      </c>
      <c r="B1643" s="47">
        <v>103.25</v>
      </c>
      <c r="C1643" s="47">
        <v>100.285</v>
      </c>
      <c r="D1643" s="47">
        <v>103.05</v>
      </c>
      <c r="E1643" s="47">
        <v>9236156</v>
      </c>
      <c r="F1643" s="47" t="s">
        <v>893</v>
      </c>
      <c r="G1643" s="46">
        <f t="shared" si="22"/>
        <v>-1.9990295972828753E-2</v>
      </c>
    </row>
    <row r="1644" spans="1:7">
      <c r="A1644" s="47">
        <v>102.81</v>
      </c>
      <c r="B1644" s="47">
        <v>105.76</v>
      </c>
      <c r="C1644" s="47">
        <v>102.605</v>
      </c>
      <c r="D1644" s="47">
        <v>105.72</v>
      </c>
      <c r="E1644" s="47">
        <v>5818361</v>
      </c>
      <c r="F1644" s="47" t="s">
        <v>892</v>
      </c>
      <c r="G1644" s="46">
        <f t="shared" si="22"/>
        <v>-2.7525539160045409E-2</v>
      </c>
    </row>
    <row r="1645" spans="1:7">
      <c r="A1645" s="47">
        <v>104.98</v>
      </c>
      <c r="B1645" s="47">
        <v>105.3</v>
      </c>
      <c r="C1645" s="47">
        <v>103.93</v>
      </c>
      <c r="D1645" s="47">
        <v>104.7</v>
      </c>
      <c r="E1645" s="47">
        <v>5489839</v>
      </c>
      <c r="F1645" s="47" t="s">
        <v>891</v>
      </c>
      <c r="G1645" s="46">
        <f t="shared" si="22"/>
        <v>2.6743075453676823E-3</v>
      </c>
    </row>
    <row r="1646" spans="1:7">
      <c r="A1646" s="47">
        <v>104.1</v>
      </c>
      <c r="B1646" s="47">
        <v>106.5</v>
      </c>
      <c r="C1646" s="47">
        <v>103.26</v>
      </c>
      <c r="D1646" s="47">
        <v>106.47</v>
      </c>
      <c r="E1646" s="47">
        <v>7200513</v>
      </c>
      <c r="F1646" s="47" t="s">
        <v>890</v>
      </c>
      <c r="G1646" s="46">
        <f t="shared" si="22"/>
        <v>-2.2259791490560787E-2</v>
      </c>
    </row>
    <row r="1647" spans="1:7">
      <c r="A1647" s="47">
        <v>106.5</v>
      </c>
      <c r="B1647" s="47">
        <v>106.6</v>
      </c>
      <c r="C1647" s="47">
        <v>103.96</v>
      </c>
      <c r="D1647" s="47">
        <v>105.29</v>
      </c>
      <c r="E1647" s="47">
        <v>4204919</v>
      </c>
      <c r="F1647" s="47" t="s">
        <v>889</v>
      </c>
      <c r="G1647" s="46">
        <f t="shared" si="22"/>
        <v>1.1492069522271775E-2</v>
      </c>
    </row>
    <row r="1648" spans="1:7">
      <c r="A1648" s="47">
        <v>105</v>
      </c>
      <c r="B1648" s="47">
        <v>107.02</v>
      </c>
      <c r="C1648" s="47">
        <v>104.69499999999999</v>
      </c>
      <c r="D1648" s="47">
        <v>106.84</v>
      </c>
      <c r="E1648" s="47">
        <v>5420866</v>
      </c>
      <c r="F1648" s="47" t="s">
        <v>888</v>
      </c>
      <c r="G1648" s="46">
        <f t="shared" si="22"/>
        <v>-1.7222014226881299E-2</v>
      </c>
    </row>
    <row r="1649" spans="1:7">
      <c r="A1649" s="47">
        <v>106.6</v>
      </c>
      <c r="B1649" s="47">
        <v>108.46</v>
      </c>
      <c r="C1649" s="47">
        <v>106.45</v>
      </c>
      <c r="D1649" s="47">
        <v>107.99</v>
      </c>
      <c r="E1649" s="47">
        <v>7004191</v>
      </c>
      <c r="F1649" s="47" t="s">
        <v>887</v>
      </c>
      <c r="G1649" s="46">
        <f t="shared" si="22"/>
        <v>-1.2871562181683505E-2</v>
      </c>
    </row>
    <row r="1650" spans="1:7">
      <c r="A1650" s="47">
        <v>107.19</v>
      </c>
      <c r="B1650" s="47">
        <v>107.49</v>
      </c>
      <c r="C1650" s="47">
        <v>104.42</v>
      </c>
      <c r="D1650" s="47">
        <v>104.46</v>
      </c>
      <c r="E1650" s="47">
        <v>12070921</v>
      </c>
      <c r="F1650" s="47" t="s">
        <v>886</v>
      </c>
      <c r="G1650" s="46">
        <f t="shared" si="22"/>
        <v>2.6134405514072423E-2</v>
      </c>
    </row>
    <row r="1651" spans="1:7">
      <c r="A1651" s="47">
        <v>104.91</v>
      </c>
      <c r="B1651" s="47">
        <v>106.98</v>
      </c>
      <c r="C1651" s="47">
        <v>103.19</v>
      </c>
      <c r="D1651" s="47">
        <v>106.075</v>
      </c>
      <c r="E1651" s="47">
        <v>23817914</v>
      </c>
      <c r="F1651" s="47" t="s">
        <v>885</v>
      </c>
      <c r="G1651" s="46">
        <f t="shared" si="22"/>
        <v>-1.0982795192081118E-2</v>
      </c>
    </row>
    <row r="1652" spans="1:7">
      <c r="A1652" s="47">
        <v>96.64</v>
      </c>
      <c r="B1652" s="47">
        <v>97.6</v>
      </c>
      <c r="C1652" s="47">
        <v>94.77</v>
      </c>
      <c r="D1652" s="47">
        <v>97.42</v>
      </c>
      <c r="E1652" s="47">
        <v>17459600</v>
      </c>
      <c r="F1652" s="47" t="s">
        <v>884</v>
      </c>
      <c r="G1652" s="46">
        <f t="shared" si="22"/>
        <v>-8.006569492917226E-3</v>
      </c>
    </row>
    <row r="1653" spans="1:7">
      <c r="A1653" s="47">
        <v>97.36</v>
      </c>
      <c r="B1653" s="47">
        <v>101.95</v>
      </c>
      <c r="C1653" s="47">
        <v>97.114999999999995</v>
      </c>
      <c r="D1653" s="47">
        <v>101.36</v>
      </c>
      <c r="E1653" s="47">
        <v>11384723</v>
      </c>
      <c r="F1653" s="47" t="s">
        <v>883</v>
      </c>
      <c r="G1653" s="46">
        <f t="shared" si="22"/>
        <v>-3.9463299131807461E-2</v>
      </c>
    </row>
    <row r="1654" spans="1:7">
      <c r="A1654" s="47">
        <v>101.44</v>
      </c>
      <c r="B1654" s="47">
        <v>102.73</v>
      </c>
      <c r="C1654" s="47">
        <v>100.465</v>
      </c>
      <c r="D1654" s="47">
        <v>102.36</v>
      </c>
      <c r="E1654" s="47">
        <v>6917672</v>
      </c>
      <c r="F1654" s="47" t="s">
        <v>882</v>
      </c>
      <c r="G1654" s="46">
        <f t="shared" si="22"/>
        <v>-8.9878858929269834E-3</v>
      </c>
    </row>
    <row r="1655" spans="1:7">
      <c r="A1655" s="47">
        <v>101.22</v>
      </c>
      <c r="B1655" s="47">
        <v>104.32</v>
      </c>
      <c r="C1655" s="47">
        <v>100.75</v>
      </c>
      <c r="D1655" s="47">
        <v>103.92</v>
      </c>
      <c r="E1655" s="47">
        <v>7261238</v>
      </c>
      <c r="F1655" s="47" t="s">
        <v>881</v>
      </c>
      <c r="G1655" s="46">
        <f t="shared" si="22"/>
        <v>-2.5981524249422683E-2</v>
      </c>
    </row>
    <row r="1656" spans="1:7">
      <c r="A1656" s="47">
        <v>103.63</v>
      </c>
      <c r="B1656" s="47">
        <v>104.34</v>
      </c>
      <c r="C1656" s="47">
        <v>102.84</v>
      </c>
      <c r="D1656" s="47">
        <v>103.89</v>
      </c>
      <c r="E1656" s="47">
        <v>4019239</v>
      </c>
      <c r="F1656" s="47" t="s">
        <v>880</v>
      </c>
      <c r="G1656" s="46">
        <f t="shared" si="22"/>
        <v>-2.502647030513061E-3</v>
      </c>
    </row>
    <row r="1657" spans="1:7">
      <c r="A1657" s="47">
        <v>103.09</v>
      </c>
      <c r="B1657" s="47">
        <v>103.23</v>
      </c>
      <c r="C1657" s="47">
        <v>101.9</v>
      </c>
      <c r="D1657" s="47">
        <v>103</v>
      </c>
      <c r="E1657" s="47">
        <v>4363705</v>
      </c>
      <c r="F1657" s="47" t="s">
        <v>879</v>
      </c>
      <c r="G1657" s="46">
        <f t="shared" si="22"/>
        <v>8.7378640776702987E-4</v>
      </c>
    </row>
    <row r="1658" spans="1:7">
      <c r="A1658" s="47">
        <v>103.59</v>
      </c>
      <c r="B1658" s="47">
        <v>103.66</v>
      </c>
      <c r="C1658" s="47">
        <v>101.9</v>
      </c>
      <c r="D1658" s="47">
        <v>102.01</v>
      </c>
      <c r="E1658" s="47">
        <v>4629287</v>
      </c>
      <c r="F1658" s="47" t="s">
        <v>878</v>
      </c>
      <c r="G1658" s="46">
        <f t="shared" ref="G1658:G1721" si="23">A1658/D1658-1</f>
        <v>1.5488677580629329E-2</v>
      </c>
    </row>
    <row r="1659" spans="1:7">
      <c r="A1659" s="47">
        <v>101.75</v>
      </c>
      <c r="B1659" s="47">
        <v>102.35</v>
      </c>
      <c r="C1659" s="47">
        <v>101.3674</v>
      </c>
      <c r="D1659" s="47">
        <v>101.59</v>
      </c>
      <c r="E1659" s="47">
        <v>3817790</v>
      </c>
      <c r="F1659" s="47" t="s">
        <v>877</v>
      </c>
      <c r="G1659" s="46">
        <f t="shared" si="23"/>
        <v>1.5749581651736122E-3</v>
      </c>
    </row>
    <row r="1660" spans="1:7">
      <c r="A1660" s="47">
        <v>101.58</v>
      </c>
      <c r="B1660" s="47">
        <v>103.96</v>
      </c>
      <c r="C1660" s="47">
        <v>101.47</v>
      </c>
      <c r="D1660" s="47">
        <v>101.78</v>
      </c>
      <c r="E1660" s="47">
        <v>4788311</v>
      </c>
      <c r="F1660" s="47" t="s">
        <v>876</v>
      </c>
      <c r="G1660" s="46">
        <f t="shared" si="23"/>
        <v>-1.9650225977598801E-3</v>
      </c>
    </row>
    <row r="1661" spans="1:7">
      <c r="A1661" s="47">
        <v>100.54</v>
      </c>
      <c r="B1661" s="47">
        <v>101</v>
      </c>
      <c r="C1661" s="47">
        <v>99.4</v>
      </c>
      <c r="D1661" s="47">
        <v>99.4</v>
      </c>
      <c r="E1661" s="47">
        <v>4561588</v>
      </c>
      <c r="F1661" s="47" t="s">
        <v>875</v>
      </c>
      <c r="G1661" s="46">
        <f t="shared" si="23"/>
        <v>1.1468812877263534E-2</v>
      </c>
    </row>
    <row r="1662" spans="1:7">
      <c r="A1662" s="47">
        <v>99.89</v>
      </c>
      <c r="B1662" s="47">
        <v>100.69</v>
      </c>
      <c r="C1662" s="47">
        <v>99.385000000000005</v>
      </c>
      <c r="D1662" s="47">
        <v>99.44</v>
      </c>
      <c r="E1662" s="47">
        <v>5038850</v>
      </c>
      <c r="F1662" s="47" t="s">
        <v>874</v>
      </c>
      <c r="G1662" s="46">
        <f t="shared" si="23"/>
        <v>4.525341914722425E-3</v>
      </c>
    </row>
    <row r="1663" spans="1:7">
      <c r="A1663" s="47">
        <v>99.33</v>
      </c>
      <c r="B1663" s="47">
        <v>101.15</v>
      </c>
      <c r="C1663" s="47">
        <v>99.25</v>
      </c>
      <c r="D1663" s="47">
        <v>100.85</v>
      </c>
      <c r="E1663" s="47">
        <v>7398352</v>
      </c>
      <c r="F1663" s="47" t="s">
        <v>873</v>
      </c>
      <c r="G1663" s="46">
        <f t="shared" si="23"/>
        <v>-1.5071888943976153E-2</v>
      </c>
    </row>
    <row r="1664" spans="1:7">
      <c r="A1664" s="47">
        <v>101.62</v>
      </c>
      <c r="B1664" s="47">
        <v>102.607</v>
      </c>
      <c r="C1664" s="47">
        <v>101.52</v>
      </c>
      <c r="D1664" s="47">
        <v>102.11</v>
      </c>
      <c r="E1664" s="47">
        <v>3829056</v>
      </c>
      <c r="F1664" s="47" t="s">
        <v>872</v>
      </c>
      <c r="G1664" s="46">
        <f t="shared" si="23"/>
        <v>-4.7987464499069654E-3</v>
      </c>
    </row>
    <row r="1665" spans="1:7">
      <c r="A1665" s="47">
        <v>102.79</v>
      </c>
      <c r="B1665" s="47">
        <v>102.98</v>
      </c>
      <c r="C1665" s="47">
        <v>100.84</v>
      </c>
      <c r="D1665" s="47">
        <v>101.84</v>
      </c>
      <c r="E1665" s="47">
        <v>5534673</v>
      </c>
      <c r="F1665" s="47" t="s">
        <v>871</v>
      </c>
      <c r="G1665" s="46">
        <f t="shared" si="23"/>
        <v>9.3283582089551675E-3</v>
      </c>
    </row>
    <row r="1666" spans="1:7">
      <c r="A1666" s="47">
        <v>101.03</v>
      </c>
      <c r="B1666" s="47">
        <v>101.31</v>
      </c>
      <c r="C1666" s="47">
        <v>98.61</v>
      </c>
      <c r="D1666" s="47">
        <v>99.54</v>
      </c>
      <c r="E1666" s="47">
        <v>5343141</v>
      </c>
      <c r="F1666" s="47" t="s">
        <v>870</v>
      </c>
      <c r="G1666" s="46">
        <f t="shared" si="23"/>
        <v>1.4968856741008674E-2</v>
      </c>
    </row>
    <row r="1667" spans="1:7">
      <c r="A1667" s="47">
        <v>99.73</v>
      </c>
      <c r="B1667" s="47">
        <v>101.83</v>
      </c>
      <c r="C1667" s="47">
        <v>99.360100000000003</v>
      </c>
      <c r="D1667" s="47">
        <v>101.81</v>
      </c>
      <c r="E1667" s="47">
        <v>8011727</v>
      </c>
      <c r="F1667" s="47" t="s">
        <v>869</v>
      </c>
      <c r="G1667" s="46">
        <f t="shared" si="23"/>
        <v>-2.0430213142127451E-2</v>
      </c>
    </row>
    <row r="1668" spans="1:7">
      <c r="A1668" s="47">
        <v>102.53</v>
      </c>
      <c r="B1668" s="47">
        <v>104.6409</v>
      </c>
      <c r="C1668" s="47">
        <v>102.23</v>
      </c>
      <c r="D1668" s="47">
        <v>104</v>
      </c>
      <c r="E1668" s="47">
        <v>5746364</v>
      </c>
      <c r="F1668" s="47" t="s">
        <v>868</v>
      </c>
      <c r="G1668" s="46">
        <f t="shared" si="23"/>
        <v>-1.4134615384615357E-2</v>
      </c>
    </row>
    <row r="1669" spans="1:7">
      <c r="A1669" s="47">
        <v>103.59</v>
      </c>
      <c r="B1669" s="47">
        <v>104.07</v>
      </c>
      <c r="C1669" s="47">
        <v>101.48</v>
      </c>
      <c r="D1669" s="47">
        <v>102.68</v>
      </c>
      <c r="E1669" s="47">
        <v>7512787</v>
      </c>
      <c r="F1669" s="47" t="s">
        <v>867</v>
      </c>
      <c r="G1669" s="46">
        <f t="shared" si="23"/>
        <v>8.8624853915075796E-3</v>
      </c>
    </row>
    <row r="1670" spans="1:7">
      <c r="A1670" s="47">
        <v>102.2</v>
      </c>
      <c r="B1670" s="47">
        <v>105.17</v>
      </c>
      <c r="C1670" s="47">
        <v>101.1</v>
      </c>
      <c r="D1670" s="47">
        <v>104.87</v>
      </c>
      <c r="E1670" s="47">
        <v>7189838</v>
      </c>
      <c r="F1670" s="47" t="s">
        <v>866</v>
      </c>
      <c r="G1670" s="46">
        <f t="shared" si="23"/>
        <v>-2.5460093449032106E-2</v>
      </c>
    </row>
    <row r="1671" spans="1:7">
      <c r="A1671" s="47">
        <v>104.55</v>
      </c>
      <c r="B1671" s="47">
        <v>104.87</v>
      </c>
      <c r="C1671" s="47">
        <v>103.22</v>
      </c>
      <c r="D1671" s="47">
        <v>104.43</v>
      </c>
      <c r="E1671" s="47">
        <v>4780793</v>
      </c>
      <c r="F1671" s="47" t="s">
        <v>865</v>
      </c>
      <c r="G1671" s="46">
        <f t="shared" si="23"/>
        <v>1.1490950876185124E-3</v>
      </c>
    </row>
    <row r="1672" spans="1:7">
      <c r="A1672" s="47">
        <v>104.14</v>
      </c>
      <c r="B1672" s="47">
        <v>104.46259999999999</v>
      </c>
      <c r="C1672" s="47">
        <v>101.54</v>
      </c>
      <c r="D1672" s="47">
        <v>103.34</v>
      </c>
      <c r="E1672" s="47">
        <v>5523936</v>
      </c>
      <c r="F1672" s="47" t="s">
        <v>864</v>
      </c>
      <c r="G1672" s="46">
        <f t="shared" si="23"/>
        <v>7.7414360363847745E-3</v>
      </c>
    </row>
    <row r="1673" spans="1:7">
      <c r="A1673" s="47">
        <v>103.69</v>
      </c>
      <c r="B1673" s="47">
        <v>106.1</v>
      </c>
      <c r="C1673" s="47">
        <v>102.73</v>
      </c>
      <c r="D1673" s="47">
        <v>105.41</v>
      </c>
      <c r="E1673" s="47">
        <v>6444130</v>
      </c>
      <c r="F1673" s="47" t="s">
        <v>863</v>
      </c>
      <c r="G1673" s="46">
        <f t="shared" si="23"/>
        <v>-1.631723745375202E-2</v>
      </c>
    </row>
    <row r="1674" spans="1:7">
      <c r="A1674" s="47">
        <v>105.11</v>
      </c>
      <c r="B1674" s="47">
        <v>105.32</v>
      </c>
      <c r="C1674" s="47">
        <v>104.35</v>
      </c>
      <c r="D1674" s="47">
        <v>104.73</v>
      </c>
      <c r="E1674" s="47">
        <v>3396306</v>
      </c>
      <c r="F1674" s="47" t="s">
        <v>862</v>
      </c>
      <c r="G1674" s="46">
        <f t="shared" si="23"/>
        <v>3.6283777332186684E-3</v>
      </c>
    </row>
    <row r="1675" spans="1:7">
      <c r="A1675" s="47">
        <v>104.64</v>
      </c>
      <c r="B1675" s="47">
        <v>105.46</v>
      </c>
      <c r="C1675" s="47">
        <v>103.91</v>
      </c>
      <c r="D1675" s="47">
        <v>104.71</v>
      </c>
      <c r="E1675" s="47">
        <v>10707881</v>
      </c>
      <c r="F1675" s="47" t="s">
        <v>861</v>
      </c>
      <c r="G1675" s="46">
        <f t="shared" si="23"/>
        <v>-6.6851303600412582E-4</v>
      </c>
    </row>
    <row r="1676" spans="1:7">
      <c r="A1676" s="47">
        <v>106.12</v>
      </c>
      <c r="B1676" s="47">
        <v>107.02</v>
      </c>
      <c r="C1676" s="47">
        <v>105.6</v>
      </c>
      <c r="D1676" s="47">
        <v>105.64</v>
      </c>
      <c r="E1676" s="47">
        <v>5247013</v>
      </c>
      <c r="F1676" s="47" t="s">
        <v>860</v>
      </c>
      <c r="G1676" s="46">
        <f t="shared" si="23"/>
        <v>4.5437334343052527E-3</v>
      </c>
    </row>
    <row r="1677" spans="1:7">
      <c r="A1677" s="47">
        <v>105.6</v>
      </c>
      <c r="B1677" s="47">
        <v>107.8</v>
      </c>
      <c r="C1677" s="47">
        <v>103.73</v>
      </c>
      <c r="D1677" s="47">
        <v>107.78</v>
      </c>
      <c r="E1677" s="47">
        <v>6685977</v>
      </c>
      <c r="F1677" s="47" t="s">
        <v>859</v>
      </c>
      <c r="G1677" s="46">
        <f t="shared" si="23"/>
        <v>-2.02263870848024E-2</v>
      </c>
    </row>
    <row r="1678" spans="1:7">
      <c r="A1678" s="47">
        <v>107.5</v>
      </c>
      <c r="B1678" s="47">
        <v>107.89449999999999</v>
      </c>
      <c r="C1678" s="47">
        <v>106.46</v>
      </c>
      <c r="D1678" s="47">
        <v>106.81</v>
      </c>
      <c r="E1678" s="47">
        <v>4115933</v>
      </c>
      <c r="F1678" s="47" t="s">
        <v>858</v>
      </c>
      <c r="G1678" s="46">
        <f t="shared" si="23"/>
        <v>6.4600692819023475E-3</v>
      </c>
    </row>
    <row r="1679" spans="1:7">
      <c r="A1679" s="47">
        <v>106.52</v>
      </c>
      <c r="B1679" s="47">
        <v>108.01</v>
      </c>
      <c r="C1679" s="47">
        <v>105.99</v>
      </c>
      <c r="D1679" s="47">
        <v>106.13</v>
      </c>
      <c r="E1679" s="47">
        <v>5215635</v>
      </c>
      <c r="F1679" s="47" t="s">
        <v>857</v>
      </c>
      <c r="G1679" s="46">
        <f t="shared" si="23"/>
        <v>3.6747385282200895E-3</v>
      </c>
    </row>
    <row r="1680" spans="1:7">
      <c r="A1680" s="47">
        <v>107</v>
      </c>
      <c r="B1680" s="47">
        <v>107.29</v>
      </c>
      <c r="C1680" s="47">
        <v>105.25</v>
      </c>
      <c r="D1680" s="47">
        <v>106.66</v>
      </c>
      <c r="E1680" s="47">
        <v>8390194</v>
      </c>
      <c r="F1680" s="47" t="s">
        <v>856</v>
      </c>
      <c r="G1680" s="46">
        <f t="shared" si="23"/>
        <v>3.1876992312018793E-3</v>
      </c>
    </row>
    <row r="1681" spans="1:7">
      <c r="A1681" s="47">
        <v>107.1</v>
      </c>
      <c r="B1681" s="47">
        <v>107.91500000000001</v>
      </c>
      <c r="C1681" s="47">
        <v>105.49</v>
      </c>
      <c r="D1681" s="47">
        <v>105.71</v>
      </c>
      <c r="E1681" s="47">
        <v>11585351</v>
      </c>
      <c r="F1681" s="47" t="s">
        <v>855</v>
      </c>
      <c r="G1681" s="46">
        <f t="shared" si="23"/>
        <v>1.314918172358337E-2</v>
      </c>
    </row>
    <row r="1682" spans="1:7">
      <c r="A1682" s="47">
        <v>104.02</v>
      </c>
      <c r="B1682" s="47">
        <v>104.48</v>
      </c>
      <c r="C1682" s="47">
        <v>103.11</v>
      </c>
      <c r="D1682" s="47">
        <v>104.15</v>
      </c>
      <c r="E1682" s="47">
        <v>7006282</v>
      </c>
      <c r="F1682" s="47" t="s">
        <v>854</v>
      </c>
      <c r="G1682" s="46">
        <f t="shared" si="23"/>
        <v>-1.2481997119540011E-3</v>
      </c>
    </row>
    <row r="1683" spans="1:7">
      <c r="A1683" s="47">
        <v>103.05</v>
      </c>
      <c r="B1683" s="47">
        <v>104.95</v>
      </c>
      <c r="C1683" s="47">
        <v>101.31</v>
      </c>
      <c r="D1683" s="47">
        <v>104.77</v>
      </c>
      <c r="E1683" s="47">
        <v>13428039</v>
      </c>
      <c r="F1683" s="47" t="s">
        <v>853</v>
      </c>
      <c r="G1683" s="46">
        <f t="shared" si="23"/>
        <v>-1.6416913238522457E-2</v>
      </c>
    </row>
    <row r="1684" spans="1:7">
      <c r="A1684" s="47">
        <v>105.43</v>
      </c>
      <c r="B1684" s="47">
        <v>110.77</v>
      </c>
      <c r="C1684" s="47">
        <v>103.9</v>
      </c>
      <c r="D1684" s="47">
        <v>110.62</v>
      </c>
      <c r="E1684" s="47">
        <v>10958990</v>
      </c>
      <c r="F1684" s="47" t="s">
        <v>852</v>
      </c>
      <c r="G1684" s="46">
        <f t="shared" si="23"/>
        <v>-4.6917374796600964E-2</v>
      </c>
    </row>
    <row r="1685" spans="1:7">
      <c r="A1685" s="47">
        <v>110.05</v>
      </c>
      <c r="B1685" s="47">
        <v>111.67</v>
      </c>
      <c r="C1685" s="47">
        <v>109.62</v>
      </c>
      <c r="D1685" s="47">
        <v>111.66</v>
      </c>
      <c r="E1685" s="47">
        <v>4676035</v>
      </c>
      <c r="F1685" s="47" t="s">
        <v>851</v>
      </c>
      <c r="G1685" s="46">
        <f t="shared" si="23"/>
        <v>-1.4418771269926522E-2</v>
      </c>
    </row>
    <row r="1686" spans="1:7">
      <c r="A1686" s="47">
        <v>111.46</v>
      </c>
      <c r="B1686" s="47">
        <v>111.63</v>
      </c>
      <c r="C1686" s="47">
        <v>109.51</v>
      </c>
      <c r="D1686" s="47">
        <v>110</v>
      </c>
      <c r="E1686" s="47">
        <v>5348782</v>
      </c>
      <c r="F1686" s="47" t="s">
        <v>850</v>
      </c>
      <c r="G1686" s="46">
        <f t="shared" si="23"/>
        <v>1.3272727272727325E-2</v>
      </c>
    </row>
    <row r="1687" spans="1:7">
      <c r="A1687" s="47">
        <v>108.73</v>
      </c>
      <c r="B1687" s="47">
        <v>109.235</v>
      </c>
      <c r="C1687" s="47">
        <v>107.29</v>
      </c>
      <c r="D1687" s="47">
        <v>107.75</v>
      </c>
      <c r="E1687" s="47">
        <v>3691497</v>
      </c>
      <c r="F1687" s="47" t="s">
        <v>849</v>
      </c>
      <c r="G1687" s="46">
        <f t="shared" si="23"/>
        <v>9.0951276102089196E-3</v>
      </c>
    </row>
    <row r="1688" spans="1:7">
      <c r="A1688" s="47">
        <v>106.75</v>
      </c>
      <c r="B1688" s="47">
        <v>108.86</v>
      </c>
      <c r="C1688" s="47">
        <v>106.46</v>
      </c>
      <c r="D1688" s="47">
        <v>107.92</v>
      </c>
      <c r="E1688" s="47">
        <v>4038074</v>
      </c>
      <c r="F1688" s="47" t="s">
        <v>848</v>
      </c>
      <c r="G1688" s="46">
        <f t="shared" si="23"/>
        <v>-1.0841363973313589E-2</v>
      </c>
    </row>
    <row r="1689" spans="1:7">
      <c r="A1689" s="47">
        <v>109.05</v>
      </c>
      <c r="B1689" s="47">
        <v>110.97</v>
      </c>
      <c r="C1689" s="47">
        <v>108.54</v>
      </c>
      <c r="D1689" s="47">
        <v>110.13</v>
      </c>
      <c r="E1689" s="47">
        <v>3958699</v>
      </c>
      <c r="F1689" s="47" t="s">
        <v>847</v>
      </c>
      <c r="G1689" s="46">
        <f t="shared" si="23"/>
        <v>-9.806592209207321E-3</v>
      </c>
    </row>
    <row r="1690" spans="1:7">
      <c r="A1690" s="47">
        <v>109.21</v>
      </c>
      <c r="B1690" s="47">
        <v>109.76</v>
      </c>
      <c r="C1690" s="47">
        <v>108.78</v>
      </c>
      <c r="D1690" s="47">
        <v>108.96</v>
      </c>
      <c r="E1690" s="47">
        <v>3931033</v>
      </c>
      <c r="F1690" s="47" t="s">
        <v>846</v>
      </c>
      <c r="G1690" s="46">
        <f t="shared" si="23"/>
        <v>2.2944199706314006E-3</v>
      </c>
    </row>
    <row r="1691" spans="1:7">
      <c r="A1691" s="47">
        <v>107.47</v>
      </c>
      <c r="B1691" s="47">
        <v>107.63</v>
      </c>
      <c r="C1691" s="47">
        <v>105.35</v>
      </c>
      <c r="D1691" s="47">
        <v>106.71</v>
      </c>
      <c r="E1691" s="47">
        <v>3256235</v>
      </c>
      <c r="F1691" s="47" t="s">
        <v>845</v>
      </c>
      <c r="G1691" s="46">
        <f t="shared" si="23"/>
        <v>7.1221066441757852E-3</v>
      </c>
    </row>
    <row r="1692" spans="1:7">
      <c r="A1692" s="47">
        <v>107.45</v>
      </c>
      <c r="B1692" s="47">
        <v>108.72</v>
      </c>
      <c r="C1692" s="47">
        <v>106.95</v>
      </c>
      <c r="D1692" s="47">
        <v>108.39</v>
      </c>
      <c r="E1692" s="47">
        <v>4938397</v>
      </c>
      <c r="F1692" s="47" t="s">
        <v>844</v>
      </c>
      <c r="G1692" s="46">
        <f t="shared" si="23"/>
        <v>-8.6723867515453579E-3</v>
      </c>
    </row>
    <row r="1693" spans="1:7">
      <c r="A1693" s="47">
        <v>107.66</v>
      </c>
      <c r="B1693" s="47">
        <v>107.83</v>
      </c>
      <c r="C1693" s="47">
        <v>106.29</v>
      </c>
      <c r="D1693" s="47">
        <v>107.11</v>
      </c>
      <c r="E1693" s="47">
        <v>3669041</v>
      </c>
      <c r="F1693" s="47" t="s">
        <v>843</v>
      </c>
      <c r="G1693" s="46">
        <f t="shared" si="23"/>
        <v>5.1349080384650581E-3</v>
      </c>
    </row>
    <row r="1694" spans="1:7">
      <c r="A1694" s="47">
        <v>106.04</v>
      </c>
      <c r="B1694" s="47">
        <v>110.14</v>
      </c>
      <c r="C1694" s="47">
        <v>105.51</v>
      </c>
      <c r="D1694" s="47">
        <v>108.93</v>
      </c>
      <c r="E1694" s="47">
        <v>7457331</v>
      </c>
      <c r="F1694" s="47" t="s">
        <v>842</v>
      </c>
      <c r="G1694" s="46">
        <f t="shared" si="23"/>
        <v>-2.6530799596070853E-2</v>
      </c>
    </row>
    <row r="1695" spans="1:7">
      <c r="A1695" s="47">
        <v>108.77</v>
      </c>
      <c r="B1695" s="47">
        <v>110.29</v>
      </c>
      <c r="C1695" s="47">
        <v>107.65</v>
      </c>
      <c r="D1695" s="47">
        <v>110.08</v>
      </c>
      <c r="E1695" s="47">
        <v>3864359</v>
      </c>
      <c r="F1695" s="47" t="s">
        <v>841</v>
      </c>
      <c r="G1695" s="46">
        <f t="shared" si="23"/>
        <v>-1.1900436046511698E-2</v>
      </c>
    </row>
    <row r="1696" spans="1:7">
      <c r="A1696" s="47">
        <v>109.82</v>
      </c>
      <c r="B1696" s="47">
        <v>110.02</v>
      </c>
      <c r="C1696" s="47">
        <v>108.39749999999999</v>
      </c>
      <c r="D1696" s="47">
        <v>108.54</v>
      </c>
      <c r="E1696" s="47">
        <v>5416562</v>
      </c>
      <c r="F1696" s="47" t="s">
        <v>840</v>
      </c>
      <c r="G1696" s="46">
        <f t="shared" si="23"/>
        <v>1.1792887414777908E-2</v>
      </c>
    </row>
    <row r="1697" spans="1:7">
      <c r="A1697" s="47">
        <v>107.37</v>
      </c>
      <c r="B1697" s="47">
        <v>108.58</v>
      </c>
      <c r="C1697" s="47">
        <v>107.02</v>
      </c>
      <c r="D1697" s="47">
        <v>107.91</v>
      </c>
      <c r="E1697" s="47">
        <v>4359576</v>
      </c>
      <c r="F1697" s="47" t="s">
        <v>839</v>
      </c>
      <c r="G1697" s="46">
        <f t="shared" si="23"/>
        <v>-5.0041701417847806E-3</v>
      </c>
    </row>
    <row r="1698" spans="1:7">
      <c r="A1698" s="47">
        <v>107.67</v>
      </c>
      <c r="B1698" s="47">
        <v>108.44</v>
      </c>
      <c r="C1698" s="47">
        <v>106.83</v>
      </c>
      <c r="D1698" s="47">
        <v>108</v>
      </c>
      <c r="E1698" s="47">
        <v>5721282</v>
      </c>
      <c r="F1698" s="47" t="s">
        <v>838</v>
      </c>
      <c r="G1698" s="46">
        <f t="shared" si="23"/>
        <v>-3.0555555555555891E-3</v>
      </c>
    </row>
    <row r="1699" spans="1:7">
      <c r="A1699" s="47">
        <v>106.16</v>
      </c>
      <c r="B1699" s="47">
        <v>106.61</v>
      </c>
      <c r="C1699" s="47">
        <v>105.55</v>
      </c>
      <c r="D1699" s="47">
        <v>106.08</v>
      </c>
      <c r="E1699" s="47">
        <v>5989174</v>
      </c>
      <c r="F1699" s="47" t="s">
        <v>837</v>
      </c>
      <c r="G1699" s="46">
        <f t="shared" si="23"/>
        <v>7.541478129713397E-4</v>
      </c>
    </row>
    <row r="1700" spans="1:7">
      <c r="A1700" s="47">
        <v>104.95</v>
      </c>
      <c r="B1700" s="47">
        <v>105.79</v>
      </c>
      <c r="C1700" s="47">
        <v>103.13</v>
      </c>
      <c r="D1700" s="47">
        <v>103.9</v>
      </c>
      <c r="E1700" s="47">
        <v>7049233</v>
      </c>
      <c r="F1700" s="47" t="s">
        <v>836</v>
      </c>
      <c r="G1700" s="46">
        <f t="shared" si="23"/>
        <v>1.0105871029836289E-2</v>
      </c>
    </row>
    <row r="1701" spans="1:7">
      <c r="A1701" s="47">
        <v>103.27</v>
      </c>
      <c r="B1701" s="47">
        <v>105.13</v>
      </c>
      <c r="C1701" s="47">
        <v>102.44</v>
      </c>
      <c r="D1701" s="47">
        <v>104.17</v>
      </c>
      <c r="E1701" s="47">
        <v>9538834</v>
      </c>
      <c r="F1701" s="47" t="s">
        <v>835</v>
      </c>
      <c r="G1701" s="46">
        <f t="shared" si="23"/>
        <v>-8.6397235288471208E-3</v>
      </c>
    </row>
    <row r="1702" spans="1:7">
      <c r="A1702" s="47">
        <v>106.04</v>
      </c>
      <c r="B1702" s="47">
        <v>106.7</v>
      </c>
      <c r="C1702" s="47">
        <v>102.6801</v>
      </c>
      <c r="D1702" s="47">
        <v>103.39</v>
      </c>
      <c r="E1702" s="47">
        <v>9909591</v>
      </c>
      <c r="F1702" s="47" t="s">
        <v>834</v>
      </c>
      <c r="G1702" s="46">
        <f t="shared" si="23"/>
        <v>2.5631105522777808E-2</v>
      </c>
    </row>
    <row r="1703" spans="1:7">
      <c r="A1703" s="47">
        <v>102.72</v>
      </c>
      <c r="B1703" s="47">
        <v>105.48</v>
      </c>
      <c r="C1703" s="47">
        <v>102.6801</v>
      </c>
      <c r="D1703" s="47">
        <v>103.39</v>
      </c>
      <c r="E1703" s="47">
        <v>7897875</v>
      </c>
      <c r="F1703" s="47" t="s">
        <v>833</v>
      </c>
      <c r="G1703" s="46">
        <f t="shared" si="23"/>
        <v>-6.4803172453815616E-3</v>
      </c>
    </row>
    <row r="1704" spans="1:7">
      <c r="A1704" s="47">
        <v>104.82</v>
      </c>
      <c r="B1704" s="47">
        <v>106.52</v>
      </c>
      <c r="C1704" s="47">
        <v>104.45</v>
      </c>
      <c r="D1704" s="47">
        <v>106.4</v>
      </c>
      <c r="E1704" s="47">
        <v>7777343</v>
      </c>
      <c r="F1704" s="47" t="s">
        <v>832</v>
      </c>
      <c r="G1704" s="46">
        <f t="shared" si="23"/>
        <v>-1.4849624060150446E-2</v>
      </c>
    </row>
    <row r="1705" spans="1:7">
      <c r="A1705" s="47">
        <v>106.79</v>
      </c>
      <c r="B1705" s="47">
        <v>108.14</v>
      </c>
      <c r="C1705" s="47">
        <v>106.08</v>
      </c>
      <c r="D1705" s="47">
        <v>107.35</v>
      </c>
      <c r="E1705" s="47">
        <v>7814988</v>
      </c>
      <c r="F1705" s="47" t="s">
        <v>831</v>
      </c>
      <c r="G1705" s="46">
        <f t="shared" si="23"/>
        <v>-5.2165812761992836E-3</v>
      </c>
    </row>
    <row r="1706" spans="1:7">
      <c r="A1706" s="47">
        <v>106.63</v>
      </c>
      <c r="B1706" s="47">
        <v>107.16</v>
      </c>
      <c r="C1706" s="47">
        <v>103.3</v>
      </c>
      <c r="D1706" s="47">
        <v>104.06</v>
      </c>
      <c r="E1706" s="47">
        <v>7622015</v>
      </c>
      <c r="F1706" s="47" t="s">
        <v>830</v>
      </c>
      <c r="G1706" s="46">
        <f t="shared" si="23"/>
        <v>2.4697290024985552E-2</v>
      </c>
    </row>
    <row r="1707" spans="1:7">
      <c r="A1707" s="47">
        <v>105.03</v>
      </c>
      <c r="B1707" s="47">
        <v>106</v>
      </c>
      <c r="C1707" s="47">
        <v>104.48</v>
      </c>
      <c r="D1707" s="47">
        <v>105</v>
      </c>
      <c r="E1707" s="47">
        <v>7740468</v>
      </c>
      <c r="F1707" s="47" t="s">
        <v>829</v>
      </c>
      <c r="G1707" s="46">
        <f t="shared" si="23"/>
        <v>2.8571428571422253E-4</v>
      </c>
    </row>
    <row r="1708" spans="1:7">
      <c r="A1708" s="47">
        <v>103.6</v>
      </c>
      <c r="B1708" s="47">
        <v>105.39</v>
      </c>
      <c r="C1708" s="47">
        <v>102.41</v>
      </c>
      <c r="D1708" s="47">
        <v>103.76</v>
      </c>
      <c r="E1708" s="47">
        <v>11745393</v>
      </c>
      <c r="F1708" s="47" t="s">
        <v>828</v>
      </c>
      <c r="G1708" s="46">
        <f t="shared" si="23"/>
        <v>-1.5420200462606948E-3</v>
      </c>
    </row>
    <row r="1709" spans="1:7">
      <c r="A1709" s="47">
        <v>107.09</v>
      </c>
      <c r="B1709" s="47">
        <v>109.65</v>
      </c>
      <c r="C1709" s="47">
        <v>105.83</v>
      </c>
      <c r="D1709" s="47">
        <v>109.47</v>
      </c>
      <c r="E1709" s="47">
        <v>10466910</v>
      </c>
      <c r="F1709" s="47" t="s">
        <v>827</v>
      </c>
      <c r="G1709" s="46">
        <f t="shared" si="23"/>
        <v>-2.1741116287567364E-2</v>
      </c>
    </row>
    <row r="1710" spans="1:7">
      <c r="A1710" s="47">
        <v>110.8</v>
      </c>
      <c r="B1710" s="47">
        <v>112.4496</v>
      </c>
      <c r="C1710" s="47">
        <v>109.66500000000001</v>
      </c>
      <c r="D1710" s="47">
        <v>110.45</v>
      </c>
      <c r="E1710" s="47">
        <v>9436130</v>
      </c>
      <c r="F1710" s="47" t="s">
        <v>826</v>
      </c>
      <c r="G1710" s="46">
        <f t="shared" si="23"/>
        <v>3.1688546853778643E-3</v>
      </c>
    </row>
    <row r="1711" spans="1:7">
      <c r="A1711" s="47">
        <v>110.4</v>
      </c>
      <c r="B1711" s="47">
        <v>112.3</v>
      </c>
      <c r="C1711" s="47">
        <v>109.43</v>
      </c>
      <c r="D1711" s="47">
        <v>112.2</v>
      </c>
      <c r="E1711" s="47">
        <v>10096159</v>
      </c>
      <c r="F1711" s="47" t="s">
        <v>825</v>
      </c>
      <c r="G1711" s="46">
        <f t="shared" si="23"/>
        <v>-1.6042780748663055E-2</v>
      </c>
    </row>
    <row r="1712" spans="1:7">
      <c r="A1712" s="47">
        <v>112.04</v>
      </c>
      <c r="B1712" s="47">
        <v>112.29</v>
      </c>
      <c r="C1712" s="47">
        <v>108.77</v>
      </c>
      <c r="D1712" s="47">
        <v>110.79</v>
      </c>
      <c r="E1712" s="47">
        <v>8456015</v>
      </c>
      <c r="F1712" s="47" t="s">
        <v>824</v>
      </c>
      <c r="G1712" s="46">
        <f t="shared" si="23"/>
        <v>1.128260673345971E-2</v>
      </c>
    </row>
    <row r="1713" spans="1:7">
      <c r="A1713" s="47">
        <v>111.45</v>
      </c>
      <c r="B1713" s="47">
        <v>114.28</v>
      </c>
      <c r="C1713" s="47">
        <v>111.22</v>
      </c>
      <c r="D1713" s="47">
        <v>113.5</v>
      </c>
      <c r="E1713" s="47">
        <v>13820205</v>
      </c>
      <c r="F1713" s="47" t="s">
        <v>823</v>
      </c>
      <c r="G1713" s="46">
        <f t="shared" si="23"/>
        <v>-1.8061674008810535E-2</v>
      </c>
    </row>
    <row r="1714" spans="1:7">
      <c r="A1714" s="47">
        <v>115.49</v>
      </c>
      <c r="B1714" s="47">
        <v>116.35</v>
      </c>
      <c r="C1714" s="47">
        <v>114.34</v>
      </c>
      <c r="D1714" s="47">
        <v>115.71</v>
      </c>
      <c r="E1714" s="47">
        <v>7995933</v>
      </c>
      <c r="F1714" s="47" t="s">
        <v>822</v>
      </c>
      <c r="G1714" s="46">
        <f t="shared" si="23"/>
        <v>-1.9013049866044573E-3</v>
      </c>
    </row>
    <row r="1715" spans="1:7">
      <c r="A1715" s="47">
        <v>115.12</v>
      </c>
      <c r="B1715" s="47">
        <v>117.55</v>
      </c>
      <c r="C1715" s="47">
        <v>113.23</v>
      </c>
      <c r="D1715" s="47">
        <v>116.75</v>
      </c>
      <c r="E1715" s="47">
        <v>19417195</v>
      </c>
      <c r="F1715" s="47" t="s">
        <v>821</v>
      </c>
      <c r="G1715" s="46">
        <f t="shared" si="23"/>
        <v>-1.3961456102783654E-2</v>
      </c>
    </row>
    <row r="1716" spans="1:7">
      <c r="A1716" s="47">
        <v>121.3</v>
      </c>
      <c r="B1716" s="47">
        <v>121.33</v>
      </c>
      <c r="C1716" s="47">
        <v>118.93</v>
      </c>
      <c r="D1716" s="47">
        <v>120</v>
      </c>
      <c r="E1716" s="47">
        <v>8969808</v>
      </c>
      <c r="F1716" s="47" t="s">
        <v>820</v>
      </c>
      <c r="G1716" s="46">
        <f t="shared" si="23"/>
        <v>1.083333333333325E-2</v>
      </c>
    </row>
    <row r="1717" spans="1:7">
      <c r="A1717" s="47">
        <v>120.22</v>
      </c>
      <c r="B1717" s="47">
        <v>120.27</v>
      </c>
      <c r="C1717" s="47">
        <v>118.69499999999999</v>
      </c>
      <c r="D1717" s="47">
        <v>119.42</v>
      </c>
      <c r="E1717" s="47">
        <v>5016048</v>
      </c>
      <c r="F1717" s="47" t="s">
        <v>819</v>
      </c>
      <c r="G1717" s="46">
        <f t="shared" si="23"/>
        <v>6.6990453860324983E-3</v>
      </c>
    </row>
    <row r="1718" spans="1:7">
      <c r="A1718" s="47">
        <v>118.69</v>
      </c>
      <c r="B1718" s="47">
        <v>119.2098</v>
      </c>
      <c r="C1718" s="47">
        <v>118.12</v>
      </c>
      <c r="D1718" s="47">
        <v>118.99</v>
      </c>
      <c r="E1718" s="47">
        <v>5677409</v>
      </c>
      <c r="F1718" s="47" t="s">
        <v>818</v>
      </c>
      <c r="G1718" s="46">
        <f t="shared" si="23"/>
        <v>-2.5212202706109688E-3</v>
      </c>
    </row>
    <row r="1719" spans="1:7">
      <c r="A1719" s="47">
        <v>118.63</v>
      </c>
      <c r="B1719" s="47">
        <v>121.36</v>
      </c>
      <c r="C1719" s="47">
        <v>118.6</v>
      </c>
      <c r="D1719" s="47">
        <v>120.74</v>
      </c>
      <c r="E1719" s="47">
        <v>4916241</v>
      </c>
      <c r="F1719" s="47" t="s">
        <v>817</v>
      </c>
      <c r="G1719" s="46">
        <f t="shared" si="23"/>
        <v>-1.747556733476896E-2</v>
      </c>
    </row>
    <row r="1720" spans="1:7">
      <c r="A1720" s="47">
        <v>119.87</v>
      </c>
      <c r="B1720" s="47">
        <v>120.8</v>
      </c>
      <c r="C1720" s="47">
        <v>118.63</v>
      </c>
      <c r="D1720" s="47">
        <v>118.99</v>
      </c>
      <c r="E1720" s="47">
        <v>4440672</v>
      </c>
      <c r="F1720" s="47" t="s">
        <v>816</v>
      </c>
      <c r="G1720" s="46">
        <f t="shared" si="23"/>
        <v>7.3955794604589897E-3</v>
      </c>
    </row>
    <row r="1721" spans="1:7">
      <c r="A1721" s="47">
        <v>118.81</v>
      </c>
      <c r="B1721" s="47">
        <v>119.99</v>
      </c>
      <c r="C1721" s="47">
        <v>118.8</v>
      </c>
      <c r="D1721" s="47">
        <v>119.65</v>
      </c>
      <c r="E1721" s="47">
        <v>4627478</v>
      </c>
      <c r="F1721" s="47" t="s">
        <v>815</v>
      </c>
      <c r="G1721" s="46">
        <f t="shared" si="23"/>
        <v>-7.0204763894693434E-3</v>
      </c>
    </row>
    <row r="1722" spans="1:7">
      <c r="A1722" s="47">
        <v>119.71</v>
      </c>
      <c r="B1722" s="47">
        <v>121.48</v>
      </c>
      <c r="C1722" s="47">
        <v>119.53</v>
      </c>
      <c r="D1722" s="47">
        <v>121.1</v>
      </c>
      <c r="E1722" s="47">
        <v>4006838</v>
      </c>
      <c r="F1722" s="47" t="s">
        <v>814</v>
      </c>
      <c r="G1722" s="46">
        <f t="shared" ref="G1722:G1785" si="24">A1722/D1722-1</f>
        <v>-1.1478117258464038E-2</v>
      </c>
    </row>
    <row r="1723" spans="1:7">
      <c r="A1723" s="47">
        <v>120.9</v>
      </c>
      <c r="B1723" s="47">
        <v>121.04</v>
      </c>
      <c r="C1723" s="47">
        <v>119.8</v>
      </c>
      <c r="D1723" s="47">
        <v>120.77</v>
      </c>
      <c r="E1723" s="47">
        <v>3721345</v>
      </c>
      <c r="F1723" s="47" t="s">
        <v>813</v>
      </c>
      <c r="G1723" s="46">
        <f t="shared" si="24"/>
        <v>1.0764262648008671E-3</v>
      </c>
    </row>
    <row r="1724" spans="1:7">
      <c r="A1724" s="47">
        <v>120.12</v>
      </c>
      <c r="B1724" s="47">
        <v>121</v>
      </c>
      <c r="C1724" s="47">
        <v>119.31</v>
      </c>
      <c r="D1724" s="47">
        <v>120.92</v>
      </c>
      <c r="E1724" s="47">
        <v>4540257</v>
      </c>
      <c r="F1724" s="47" t="s">
        <v>812</v>
      </c>
      <c r="G1724" s="46">
        <f t="shared" si="24"/>
        <v>-6.6159444260668332E-3</v>
      </c>
    </row>
    <row r="1725" spans="1:7">
      <c r="A1725" s="47">
        <v>120.65</v>
      </c>
      <c r="B1725" s="47">
        <v>120.75</v>
      </c>
      <c r="C1725" s="47">
        <v>119.24</v>
      </c>
      <c r="D1725" s="47">
        <v>120.17</v>
      </c>
      <c r="E1725" s="47">
        <v>4999657</v>
      </c>
      <c r="F1725" s="47" t="s">
        <v>811</v>
      </c>
      <c r="G1725" s="46">
        <f t="shared" si="24"/>
        <v>3.9943413497545155E-3</v>
      </c>
    </row>
    <row r="1726" spans="1:7">
      <c r="A1726" s="47">
        <v>119.64</v>
      </c>
      <c r="B1726" s="47">
        <v>120.2</v>
      </c>
      <c r="C1726" s="47">
        <v>118.78</v>
      </c>
      <c r="D1726" s="47">
        <v>119.11</v>
      </c>
      <c r="E1726" s="47">
        <v>5879661</v>
      </c>
      <c r="F1726" s="47" t="s">
        <v>810</v>
      </c>
      <c r="G1726" s="46">
        <f t="shared" si="24"/>
        <v>4.4496683737722531E-3</v>
      </c>
    </row>
    <row r="1727" spans="1:7">
      <c r="A1727" s="47">
        <v>118.37</v>
      </c>
      <c r="B1727" s="47">
        <v>118.62</v>
      </c>
      <c r="C1727" s="47">
        <v>116.25</v>
      </c>
      <c r="D1727" s="47">
        <v>116.37</v>
      </c>
      <c r="E1727" s="47">
        <v>4739005</v>
      </c>
      <c r="F1727" s="47" t="s">
        <v>809</v>
      </c>
      <c r="G1727" s="46">
        <f t="shared" si="24"/>
        <v>1.7186560109994087E-2</v>
      </c>
    </row>
    <row r="1728" spans="1:7">
      <c r="A1728" s="47">
        <v>116.95</v>
      </c>
      <c r="B1728" s="47">
        <v>117.22499999999999</v>
      </c>
      <c r="C1728" s="47">
        <v>115.1401</v>
      </c>
      <c r="D1728" s="47">
        <v>116.34</v>
      </c>
      <c r="E1728" s="47">
        <v>4983572</v>
      </c>
      <c r="F1728" s="47" t="s">
        <v>808</v>
      </c>
      <c r="G1728" s="46">
        <f t="shared" si="24"/>
        <v>5.2432525356713722E-3</v>
      </c>
    </row>
    <row r="1729" spans="1:7">
      <c r="A1729" s="47">
        <v>117.16</v>
      </c>
      <c r="B1729" s="47">
        <v>117.4</v>
      </c>
      <c r="C1729" s="47">
        <v>114.69</v>
      </c>
      <c r="D1729" s="47">
        <v>116.54</v>
      </c>
      <c r="E1729" s="47">
        <v>3801715</v>
      </c>
      <c r="F1729" s="47" t="s">
        <v>807</v>
      </c>
      <c r="G1729" s="46">
        <f t="shared" si="24"/>
        <v>5.3200617813624618E-3</v>
      </c>
    </row>
    <row r="1730" spans="1:7">
      <c r="A1730" s="47">
        <v>117.68</v>
      </c>
      <c r="B1730" s="47">
        <v>117.72</v>
      </c>
      <c r="C1730" s="47">
        <v>116.06</v>
      </c>
      <c r="D1730" s="47">
        <v>116.88</v>
      </c>
      <c r="E1730" s="47">
        <v>3288929</v>
      </c>
      <c r="F1730" s="47" t="s">
        <v>806</v>
      </c>
      <c r="G1730" s="46">
        <f t="shared" si="24"/>
        <v>6.8446269678303917E-3</v>
      </c>
    </row>
    <row r="1731" spans="1:7">
      <c r="A1731" s="47">
        <v>116.17</v>
      </c>
      <c r="B1731" s="47">
        <v>116.2</v>
      </c>
      <c r="C1731" s="47">
        <v>114.58</v>
      </c>
      <c r="D1731" s="47">
        <v>115.18</v>
      </c>
      <c r="E1731" s="47">
        <v>4155388</v>
      </c>
      <c r="F1731" s="47" t="s">
        <v>805</v>
      </c>
      <c r="G1731" s="46">
        <f t="shared" si="24"/>
        <v>8.5952422295536568E-3</v>
      </c>
    </row>
    <row r="1732" spans="1:7">
      <c r="A1732" s="47">
        <v>115.03</v>
      </c>
      <c r="B1732" s="47">
        <v>116.75</v>
      </c>
      <c r="C1732" s="47">
        <v>114.35</v>
      </c>
      <c r="D1732" s="47">
        <v>116.72</v>
      </c>
      <c r="E1732" s="47">
        <v>5709683</v>
      </c>
      <c r="F1732" s="47" t="s">
        <v>804</v>
      </c>
      <c r="G1732" s="46">
        <f t="shared" si="24"/>
        <v>-1.4479095270733322E-2</v>
      </c>
    </row>
    <row r="1733" spans="1:7">
      <c r="A1733" s="47">
        <v>114.46</v>
      </c>
      <c r="B1733" s="47">
        <v>114.62</v>
      </c>
      <c r="C1733" s="47">
        <v>113.33</v>
      </c>
      <c r="D1733" s="47">
        <v>114.24</v>
      </c>
      <c r="E1733" s="47">
        <v>6679793</v>
      </c>
      <c r="F1733" s="47" t="s">
        <v>803</v>
      </c>
      <c r="G1733" s="46">
        <f t="shared" si="24"/>
        <v>1.9257703081232425E-3</v>
      </c>
    </row>
    <row r="1734" spans="1:7">
      <c r="A1734" s="47">
        <v>113.67</v>
      </c>
      <c r="B1734" s="47">
        <v>114.87</v>
      </c>
      <c r="C1734" s="47">
        <v>113.08</v>
      </c>
      <c r="D1734" s="47">
        <v>114.51</v>
      </c>
      <c r="E1734" s="47">
        <v>5139346</v>
      </c>
      <c r="F1734" s="47" t="s">
        <v>802</v>
      </c>
      <c r="G1734" s="46">
        <f t="shared" si="24"/>
        <v>-7.3356038773906285E-3</v>
      </c>
    </row>
    <row r="1735" spans="1:7">
      <c r="A1735" s="47">
        <v>114.15</v>
      </c>
      <c r="B1735" s="47">
        <v>116.38</v>
      </c>
      <c r="C1735" s="47">
        <v>114.11499999999999</v>
      </c>
      <c r="D1735" s="47">
        <v>115.7</v>
      </c>
      <c r="E1735" s="47">
        <v>4637342</v>
      </c>
      <c r="F1735" s="47" t="s">
        <v>801</v>
      </c>
      <c r="G1735" s="46">
        <f t="shared" si="24"/>
        <v>-1.3396715643906654E-2</v>
      </c>
    </row>
    <row r="1736" spans="1:7">
      <c r="A1736" s="47">
        <v>114.44</v>
      </c>
      <c r="B1736" s="47">
        <v>116.96</v>
      </c>
      <c r="C1736" s="47">
        <v>113.39</v>
      </c>
      <c r="D1736" s="47">
        <v>116.58</v>
      </c>
      <c r="E1736" s="47">
        <v>5395305</v>
      </c>
      <c r="F1736" s="47" t="s">
        <v>800</v>
      </c>
      <c r="G1736" s="46">
        <f t="shared" si="24"/>
        <v>-1.8356493395093487E-2</v>
      </c>
    </row>
    <row r="1737" spans="1:7">
      <c r="A1737" s="47">
        <v>116.5</v>
      </c>
      <c r="B1737" s="47">
        <v>116.7731</v>
      </c>
      <c r="C1737" s="47">
        <v>115.66</v>
      </c>
      <c r="D1737" s="47">
        <v>116.51</v>
      </c>
      <c r="E1737" s="47">
        <v>3369867</v>
      </c>
      <c r="F1737" s="47" t="s">
        <v>799</v>
      </c>
      <c r="G1737" s="46">
        <f t="shared" si="24"/>
        <v>-8.5829542528559344E-5</v>
      </c>
    </row>
    <row r="1738" spans="1:7">
      <c r="A1738" s="47">
        <v>116.21</v>
      </c>
      <c r="B1738" s="47">
        <v>117.28</v>
      </c>
      <c r="C1738" s="47">
        <v>115.97</v>
      </c>
      <c r="D1738" s="47">
        <v>116.08</v>
      </c>
      <c r="E1738" s="47">
        <v>10651525</v>
      </c>
      <c r="F1738" s="47" t="s">
        <v>798</v>
      </c>
      <c r="G1738" s="46">
        <f t="shared" si="24"/>
        <v>1.1199172984148742E-3</v>
      </c>
    </row>
    <row r="1739" spans="1:7">
      <c r="A1739" s="47">
        <v>118.79</v>
      </c>
      <c r="B1739" s="47">
        <v>119.95</v>
      </c>
      <c r="C1739" s="47">
        <v>117.84</v>
      </c>
      <c r="D1739" s="47">
        <v>118.85</v>
      </c>
      <c r="E1739" s="47">
        <v>5437516</v>
      </c>
      <c r="F1739" s="47" t="s">
        <v>797</v>
      </c>
      <c r="G1739" s="46">
        <f t="shared" si="24"/>
        <v>-5.0483803113154924E-4</v>
      </c>
    </row>
    <row r="1740" spans="1:7">
      <c r="A1740" s="47">
        <v>117.14</v>
      </c>
      <c r="B1740" s="47">
        <v>117.34</v>
      </c>
      <c r="C1740" s="47">
        <v>115.22</v>
      </c>
      <c r="D1740" s="47">
        <v>116</v>
      </c>
      <c r="E1740" s="47">
        <v>5165966</v>
      </c>
      <c r="F1740" s="47" t="s">
        <v>796</v>
      </c>
      <c r="G1740" s="46">
        <f t="shared" si="24"/>
        <v>9.8275862068966102E-3</v>
      </c>
    </row>
    <row r="1741" spans="1:7">
      <c r="A1741" s="47">
        <v>115.98</v>
      </c>
      <c r="B1741" s="47">
        <v>118.646</v>
      </c>
      <c r="C1741" s="47">
        <v>115.84</v>
      </c>
      <c r="D1741" s="47">
        <v>118.6</v>
      </c>
      <c r="E1741" s="47">
        <v>6793322</v>
      </c>
      <c r="F1741" s="47" t="s">
        <v>795</v>
      </c>
      <c r="G1741" s="46">
        <f t="shared" si="24"/>
        <v>-2.2091062394603678E-2</v>
      </c>
    </row>
    <row r="1742" spans="1:7">
      <c r="A1742" s="47">
        <v>117.16</v>
      </c>
      <c r="B1742" s="47">
        <v>117.33499999999999</v>
      </c>
      <c r="C1742" s="47">
        <v>116.37</v>
      </c>
      <c r="D1742" s="47">
        <v>116.58</v>
      </c>
      <c r="E1742" s="47">
        <v>4621594</v>
      </c>
      <c r="F1742" s="47" t="s">
        <v>794</v>
      </c>
      <c r="G1742" s="46">
        <f t="shared" si="24"/>
        <v>4.9751243781095411E-3</v>
      </c>
    </row>
    <row r="1743" spans="1:7">
      <c r="A1743" s="47">
        <v>116.17</v>
      </c>
      <c r="B1743" s="47">
        <v>116.73</v>
      </c>
      <c r="C1743" s="47">
        <v>115.27</v>
      </c>
      <c r="D1743" s="47">
        <v>115.91</v>
      </c>
      <c r="E1743" s="47">
        <v>4241994</v>
      </c>
      <c r="F1743" s="47" t="s">
        <v>793</v>
      </c>
      <c r="G1743" s="46">
        <f t="shared" si="24"/>
        <v>2.2431196618066807E-3</v>
      </c>
    </row>
    <row r="1744" spans="1:7">
      <c r="A1744" s="47">
        <v>115.72</v>
      </c>
      <c r="B1744" s="47">
        <v>115.82</v>
      </c>
      <c r="C1744" s="47">
        <v>114.59</v>
      </c>
      <c r="D1744" s="47">
        <v>114.82</v>
      </c>
      <c r="E1744" s="47">
        <v>4089424</v>
      </c>
      <c r="F1744" s="47" t="s">
        <v>792</v>
      </c>
      <c r="G1744" s="46">
        <f t="shared" si="24"/>
        <v>7.8383556871626237E-3</v>
      </c>
    </row>
    <row r="1745" spans="1:7">
      <c r="A1745" s="47">
        <v>114.5</v>
      </c>
      <c r="B1745" s="47">
        <v>114.89</v>
      </c>
      <c r="C1745" s="47">
        <v>113.47020000000001</v>
      </c>
      <c r="D1745" s="47">
        <v>114.59</v>
      </c>
      <c r="E1745" s="47">
        <v>3914615</v>
      </c>
      <c r="F1745" s="47" t="s">
        <v>791</v>
      </c>
      <c r="G1745" s="46">
        <f t="shared" si="24"/>
        <v>-7.8540884893973928E-4</v>
      </c>
    </row>
    <row r="1746" spans="1:7">
      <c r="A1746" s="47">
        <v>114.6</v>
      </c>
      <c r="B1746" s="47">
        <v>117.45</v>
      </c>
      <c r="C1746" s="47">
        <v>113.295</v>
      </c>
      <c r="D1746" s="47">
        <v>116.97</v>
      </c>
      <c r="E1746" s="47">
        <v>5038942</v>
      </c>
      <c r="F1746" s="47" t="s">
        <v>790</v>
      </c>
      <c r="G1746" s="46">
        <f t="shared" si="24"/>
        <v>-2.0261605539882099E-2</v>
      </c>
    </row>
    <row r="1747" spans="1:7">
      <c r="A1747" s="47">
        <v>115.62</v>
      </c>
      <c r="B1747" s="47">
        <v>117.35</v>
      </c>
      <c r="C1747" s="47">
        <v>114.85</v>
      </c>
      <c r="D1747" s="47">
        <v>115.1</v>
      </c>
      <c r="E1747" s="47">
        <v>6483553</v>
      </c>
      <c r="F1747" s="47" t="s">
        <v>789</v>
      </c>
      <c r="G1747" s="46">
        <f t="shared" si="24"/>
        <v>4.5178105994787554E-3</v>
      </c>
    </row>
    <row r="1748" spans="1:7">
      <c r="A1748" s="47">
        <v>114.02</v>
      </c>
      <c r="B1748" s="47">
        <v>115.14</v>
      </c>
      <c r="C1748" s="47">
        <v>112.08</v>
      </c>
      <c r="D1748" s="47">
        <v>112.3</v>
      </c>
      <c r="E1748" s="47">
        <v>5916410</v>
      </c>
      <c r="F1748" s="47" t="s">
        <v>788</v>
      </c>
      <c r="G1748" s="46">
        <f t="shared" si="24"/>
        <v>1.5316117542297336E-2</v>
      </c>
    </row>
    <row r="1749" spans="1:7">
      <c r="A1749" s="47">
        <v>111.78</v>
      </c>
      <c r="B1749" s="47">
        <v>112.04</v>
      </c>
      <c r="C1749" s="47">
        <v>110.27</v>
      </c>
      <c r="D1749" s="47">
        <v>111.11</v>
      </c>
      <c r="E1749" s="47">
        <v>4743958</v>
      </c>
      <c r="F1749" s="47" t="s">
        <v>787</v>
      </c>
      <c r="G1749" s="46">
        <f t="shared" si="24"/>
        <v>6.0300603006029352E-3</v>
      </c>
    </row>
    <row r="1750" spans="1:7">
      <c r="A1750" s="47">
        <v>110.77</v>
      </c>
      <c r="B1750" s="47">
        <v>110.88</v>
      </c>
      <c r="C1750" s="47">
        <v>109.46</v>
      </c>
      <c r="D1750" s="47">
        <v>110.04</v>
      </c>
      <c r="E1750" s="47">
        <v>6220170</v>
      </c>
      <c r="F1750" s="47" t="s">
        <v>786</v>
      </c>
      <c r="G1750" s="46">
        <f t="shared" si="24"/>
        <v>6.6339512904396436E-3</v>
      </c>
    </row>
    <row r="1751" spans="1:7">
      <c r="A1751" s="47">
        <v>108.73</v>
      </c>
      <c r="B1751" s="47">
        <v>108.83</v>
      </c>
      <c r="C1751" s="47">
        <v>105.78</v>
      </c>
      <c r="D1751" s="47">
        <v>106.83</v>
      </c>
      <c r="E1751" s="47">
        <v>7280429</v>
      </c>
      <c r="F1751" s="47" t="s">
        <v>785</v>
      </c>
      <c r="G1751" s="46">
        <f t="shared" si="24"/>
        <v>1.7785266310961445E-2</v>
      </c>
    </row>
    <row r="1752" spans="1:7">
      <c r="A1752" s="47">
        <v>105.52</v>
      </c>
      <c r="B1752" s="47">
        <v>111.09</v>
      </c>
      <c r="C1752" s="47">
        <v>103.96</v>
      </c>
      <c r="D1752" s="47">
        <v>111.09</v>
      </c>
      <c r="E1752" s="47">
        <v>11261210</v>
      </c>
      <c r="F1752" s="47" t="s">
        <v>784</v>
      </c>
      <c r="G1752" s="46">
        <f t="shared" si="24"/>
        <v>-5.0139526510036947E-2</v>
      </c>
    </row>
    <row r="1753" spans="1:7">
      <c r="A1753" s="47">
        <v>109.75</v>
      </c>
      <c r="B1753" s="47">
        <v>110.8</v>
      </c>
      <c r="C1753" s="47">
        <v>108.74</v>
      </c>
      <c r="D1753" s="47">
        <v>110.33</v>
      </c>
      <c r="E1753" s="47">
        <v>4913455</v>
      </c>
      <c r="F1753" s="47" t="s">
        <v>783</v>
      </c>
      <c r="G1753" s="46">
        <f t="shared" si="24"/>
        <v>-5.2569564035167549E-3</v>
      </c>
    </row>
    <row r="1754" spans="1:7">
      <c r="A1754" s="47">
        <v>111.41</v>
      </c>
      <c r="B1754" s="47">
        <v>111.57</v>
      </c>
      <c r="C1754" s="47">
        <v>110.09</v>
      </c>
      <c r="D1754" s="47">
        <v>110.64</v>
      </c>
      <c r="E1754" s="47">
        <v>3871752</v>
      </c>
      <c r="F1754" s="47" t="s">
        <v>782</v>
      </c>
      <c r="G1754" s="46">
        <f t="shared" si="24"/>
        <v>6.9595083152567128E-3</v>
      </c>
    </row>
    <row r="1755" spans="1:7">
      <c r="A1755" s="47">
        <v>110.08</v>
      </c>
      <c r="B1755" s="47">
        <v>110.97</v>
      </c>
      <c r="C1755" s="47">
        <v>109.31</v>
      </c>
      <c r="D1755" s="47">
        <v>110.75</v>
      </c>
      <c r="E1755" s="47">
        <v>8166166</v>
      </c>
      <c r="F1755" s="47" t="s">
        <v>781</v>
      </c>
      <c r="G1755" s="46">
        <f t="shared" si="24"/>
        <v>-6.0496613995485449E-3</v>
      </c>
    </row>
    <row r="1756" spans="1:7">
      <c r="A1756" s="47">
        <v>111.74</v>
      </c>
      <c r="B1756" s="47">
        <v>113.14</v>
      </c>
      <c r="C1756" s="47">
        <v>110.5</v>
      </c>
      <c r="D1756" s="47">
        <v>110.57</v>
      </c>
      <c r="E1756" s="47">
        <v>6568269</v>
      </c>
      <c r="F1756" s="47" t="s">
        <v>780</v>
      </c>
      <c r="G1756" s="46">
        <f t="shared" si="24"/>
        <v>1.0581532061137766E-2</v>
      </c>
    </row>
    <row r="1757" spans="1:7">
      <c r="A1757" s="47">
        <v>109.85</v>
      </c>
      <c r="B1757" s="47">
        <v>111.24</v>
      </c>
      <c r="C1757" s="47">
        <v>109.46</v>
      </c>
      <c r="D1757" s="47">
        <v>110.84</v>
      </c>
      <c r="E1757" s="47">
        <v>4832620</v>
      </c>
      <c r="F1757" s="47" t="s">
        <v>779</v>
      </c>
      <c r="G1757" s="46">
        <f t="shared" si="24"/>
        <v>-8.9317935763263412E-3</v>
      </c>
    </row>
    <row r="1758" spans="1:7">
      <c r="A1758" s="47">
        <v>109.9</v>
      </c>
      <c r="B1758" s="47">
        <v>111.71</v>
      </c>
      <c r="C1758" s="47">
        <v>109.06</v>
      </c>
      <c r="D1758" s="47">
        <v>111.47</v>
      </c>
      <c r="E1758" s="47">
        <v>7183631</v>
      </c>
      <c r="F1758" s="47" t="s">
        <v>778</v>
      </c>
      <c r="G1758" s="46">
        <f t="shared" si="24"/>
        <v>-1.4084507042253502E-2</v>
      </c>
    </row>
    <row r="1759" spans="1:7">
      <c r="A1759" s="47">
        <v>112.47</v>
      </c>
      <c r="B1759" s="47">
        <v>113.96</v>
      </c>
      <c r="C1759" s="47">
        <v>112.21</v>
      </c>
      <c r="D1759" s="47">
        <v>112.28</v>
      </c>
      <c r="E1759" s="47">
        <v>3092002</v>
      </c>
      <c r="F1759" s="47" t="s">
        <v>777</v>
      </c>
      <c r="G1759" s="46">
        <f t="shared" si="24"/>
        <v>1.692198076237883E-3</v>
      </c>
    </row>
    <row r="1760" spans="1:7">
      <c r="A1760" s="47">
        <v>112.43</v>
      </c>
      <c r="B1760" s="47">
        <v>113.12</v>
      </c>
      <c r="C1760" s="47">
        <v>111.6855</v>
      </c>
      <c r="D1760" s="47">
        <v>112.67</v>
      </c>
      <c r="E1760" s="47">
        <v>4001417</v>
      </c>
      <c r="F1760" s="47" t="s">
        <v>776</v>
      </c>
      <c r="G1760" s="46">
        <f t="shared" si="24"/>
        <v>-2.1301144936539673E-3</v>
      </c>
    </row>
    <row r="1761" spans="1:7">
      <c r="A1761" s="47">
        <v>112.15</v>
      </c>
      <c r="B1761" s="47">
        <v>113.31</v>
      </c>
      <c r="C1761" s="47">
        <v>111.23</v>
      </c>
      <c r="D1761" s="47">
        <v>111.97</v>
      </c>
      <c r="E1761" s="47">
        <v>3631596</v>
      </c>
      <c r="F1761" s="47" t="s">
        <v>775</v>
      </c>
      <c r="G1761" s="46">
        <f t="shared" si="24"/>
        <v>1.6075734571761036E-3</v>
      </c>
    </row>
    <row r="1762" spans="1:7">
      <c r="A1762" s="47">
        <v>112.8</v>
      </c>
      <c r="B1762" s="47">
        <v>114.25</v>
      </c>
      <c r="C1762" s="47">
        <v>112.24209999999999</v>
      </c>
      <c r="D1762" s="47">
        <v>113.07</v>
      </c>
      <c r="E1762" s="47">
        <v>4512583</v>
      </c>
      <c r="F1762" s="47" t="s">
        <v>774</v>
      </c>
      <c r="G1762" s="46">
        <f t="shared" si="24"/>
        <v>-2.3879013000795979E-3</v>
      </c>
    </row>
    <row r="1763" spans="1:7">
      <c r="A1763" s="47">
        <v>113.87</v>
      </c>
      <c r="B1763" s="47">
        <v>114.66</v>
      </c>
      <c r="C1763" s="47">
        <v>111.16</v>
      </c>
      <c r="D1763" s="47">
        <v>111.2</v>
      </c>
      <c r="E1763" s="47">
        <v>6031779</v>
      </c>
      <c r="F1763" s="47" t="s">
        <v>773</v>
      </c>
      <c r="G1763" s="46">
        <f t="shared" si="24"/>
        <v>2.4010791366906536E-2</v>
      </c>
    </row>
    <row r="1764" spans="1:7">
      <c r="A1764" s="47">
        <v>111.5</v>
      </c>
      <c r="B1764" s="47">
        <v>111.93</v>
      </c>
      <c r="C1764" s="47">
        <v>108.31</v>
      </c>
      <c r="D1764" s="47">
        <v>108.59</v>
      </c>
      <c r="E1764" s="47">
        <v>5315281</v>
      </c>
      <c r="F1764" s="47" t="s">
        <v>772</v>
      </c>
      <c r="G1764" s="46">
        <f t="shared" si="24"/>
        <v>2.6798047702366601E-2</v>
      </c>
    </row>
    <row r="1765" spans="1:7">
      <c r="A1765" s="47">
        <v>109.09</v>
      </c>
      <c r="B1765" s="47">
        <v>110.4</v>
      </c>
      <c r="C1765" s="47">
        <v>107.35</v>
      </c>
      <c r="D1765" s="47">
        <v>107.56</v>
      </c>
      <c r="E1765" s="47">
        <v>4559662</v>
      </c>
      <c r="F1765" s="47" t="s">
        <v>771</v>
      </c>
      <c r="G1765" s="46">
        <f t="shared" si="24"/>
        <v>1.4224618817404222E-2</v>
      </c>
    </row>
    <row r="1766" spans="1:7">
      <c r="A1766" s="47">
        <v>106.83</v>
      </c>
      <c r="B1766" s="47">
        <v>108.63</v>
      </c>
      <c r="C1766" s="47">
        <v>106.52</v>
      </c>
      <c r="D1766" s="47">
        <v>107.6</v>
      </c>
      <c r="E1766" s="47">
        <v>5657900</v>
      </c>
      <c r="F1766" s="47" t="s">
        <v>770</v>
      </c>
      <c r="G1766" s="46">
        <f t="shared" si="24"/>
        <v>-7.1561338289962695E-3</v>
      </c>
    </row>
    <row r="1767" spans="1:7">
      <c r="A1767" s="47">
        <v>110.41</v>
      </c>
      <c r="B1767" s="47">
        <v>110.68</v>
      </c>
      <c r="C1767" s="47">
        <v>107.46</v>
      </c>
      <c r="D1767" s="47">
        <v>109.22</v>
      </c>
      <c r="E1767" s="47">
        <v>3750890</v>
      </c>
      <c r="F1767" s="47" t="s">
        <v>769</v>
      </c>
      <c r="G1767" s="46">
        <f t="shared" si="24"/>
        <v>1.0895440395531919E-2</v>
      </c>
    </row>
    <row r="1768" spans="1:7">
      <c r="A1768" s="47">
        <v>109.73</v>
      </c>
      <c r="B1768" s="47">
        <v>110.13249999999999</v>
      </c>
      <c r="C1768" s="47">
        <v>107.24760000000001</v>
      </c>
      <c r="D1768" s="47">
        <v>108.1</v>
      </c>
      <c r="E1768" s="47">
        <v>4657418</v>
      </c>
      <c r="F1768" s="47" t="s">
        <v>768</v>
      </c>
      <c r="G1768" s="46">
        <f t="shared" si="24"/>
        <v>1.5078630897317424E-2</v>
      </c>
    </row>
    <row r="1769" spans="1:7">
      <c r="A1769" s="47">
        <v>109.07</v>
      </c>
      <c r="B1769" s="47">
        <v>109.88</v>
      </c>
      <c r="C1769" s="47">
        <v>108.15</v>
      </c>
      <c r="D1769" s="47">
        <v>108.58</v>
      </c>
      <c r="E1769" s="47">
        <v>4118033</v>
      </c>
      <c r="F1769" s="47" t="s">
        <v>767</v>
      </c>
      <c r="G1769" s="46">
        <f t="shared" si="24"/>
        <v>4.5128016209246002E-3</v>
      </c>
    </row>
    <row r="1770" spans="1:7">
      <c r="A1770" s="47">
        <v>108.95</v>
      </c>
      <c r="B1770" s="47">
        <v>110.17</v>
      </c>
      <c r="C1770" s="47">
        <v>107.64</v>
      </c>
      <c r="D1770" s="47">
        <v>110.17</v>
      </c>
      <c r="E1770" s="47">
        <v>6178708</v>
      </c>
      <c r="F1770" s="47" t="s">
        <v>766</v>
      </c>
      <c r="G1770" s="46">
        <f t="shared" si="24"/>
        <v>-1.1073795044022838E-2</v>
      </c>
    </row>
    <row r="1771" spans="1:7">
      <c r="A1771" s="47">
        <v>110.85</v>
      </c>
      <c r="B1771" s="47">
        <v>111.12</v>
      </c>
      <c r="C1771" s="47">
        <v>108.58</v>
      </c>
      <c r="D1771" s="47">
        <v>109.44</v>
      </c>
      <c r="E1771" s="47">
        <v>4722565</v>
      </c>
      <c r="F1771" s="47" t="s">
        <v>765</v>
      </c>
      <c r="G1771" s="46">
        <f t="shared" si="24"/>
        <v>1.2883771929824483E-2</v>
      </c>
    </row>
    <row r="1772" spans="1:7">
      <c r="A1772" s="47">
        <v>111.96</v>
      </c>
      <c r="B1772" s="47">
        <v>112.12</v>
      </c>
      <c r="C1772" s="47">
        <v>110.25</v>
      </c>
      <c r="D1772" s="47">
        <v>110.57</v>
      </c>
      <c r="E1772" s="47">
        <v>4660901</v>
      </c>
      <c r="F1772" s="47" t="s">
        <v>764</v>
      </c>
      <c r="G1772" s="46">
        <f t="shared" si="24"/>
        <v>1.2571221850411485E-2</v>
      </c>
    </row>
    <row r="1773" spans="1:7">
      <c r="A1773" s="47">
        <v>109.7</v>
      </c>
      <c r="B1773" s="47">
        <v>111.16</v>
      </c>
      <c r="C1773" s="47">
        <v>108.91</v>
      </c>
      <c r="D1773" s="47">
        <v>110.6</v>
      </c>
      <c r="E1773" s="47">
        <v>5272425</v>
      </c>
      <c r="F1773" s="47" t="s">
        <v>763</v>
      </c>
      <c r="G1773" s="46">
        <f t="shared" si="24"/>
        <v>-8.1374321880650635E-3</v>
      </c>
    </row>
    <row r="1774" spans="1:7">
      <c r="A1774" s="47">
        <v>110.94</v>
      </c>
      <c r="B1774" s="47">
        <v>113.69</v>
      </c>
      <c r="C1774" s="47">
        <v>110.92</v>
      </c>
      <c r="D1774" s="47">
        <v>113.21</v>
      </c>
      <c r="E1774" s="47">
        <v>5444708</v>
      </c>
      <c r="F1774" s="47" t="s">
        <v>762</v>
      </c>
      <c r="G1774" s="46">
        <f t="shared" si="24"/>
        <v>-2.005123222330174E-2</v>
      </c>
    </row>
    <row r="1775" spans="1:7">
      <c r="A1775" s="47">
        <v>112.77</v>
      </c>
      <c r="B1775" s="47">
        <v>113.22</v>
      </c>
      <c r="C1775" s="47">
        <v>111.2</v>
      </c>
      <c r="D1775" s="47">
        <v>112.44</v>
      </c>
      <c r="E1775" s="47">
        <v>6489380</v>
      </c>
      <c r="F1775" s="47" t="s">
        <v>761</v>
      </c>
      <c r="G1775" s="46">
        <f t="shared" si="24"/>
        <v>2.9348986125934395E-3</v>
      </c>
    </row>
    <row r="1776" spans="1:7">
      <c r="A1776" s="47">
        <v>112.44</v>
      </c>
      <c r="B1776" s="47">
        <v>113</v>
      </c>
      <c r="C1776" s="47">
        <v>110.44</v>
      </c>
      <c r="D1776" s="47">
        <v>110.7</v>
      </c>
      <c r="E1776" s="47">
        <v>6989300</v>
      </c>
      <c r="F1776" s="47" t="s">
        <v>760</v>
      </c>
      <c r="G1776" s="46">
        <f t="shared" si="24"/>
        <v>1.5718157181571879E-2</v>
      </c>
    </row>
    <row r="1777" spans="1:7">
      <c r="A1777" s="47">
        <v>110.56</v>
      </c>
      <c r="B1777" s="47">
        <v>110.57</v>
      </c>
      <c r="C1777" s="47">
        <v>107.88</v>
      </c>
      <c r="D1777" s="47">
        <v>109.72</v>
      </c>
      <c r="E1777" s="47">
        <v>7683160</v>
      </c>
      <c r="F1777" s="47" t="s">
        <v>759</v>
      </c>
      <c r="G1777" s="46">
        <f t="shared" si="24"/>
        <v>7.6558512577469262E-3</v>
      </c>
    </row>
    <row r="1778" spans="1:7">
      <c r="A1778" s="47">
        <v>110.22</v>
      </c>
      <c r="B1778" s="47">
        <v>110.92</v>
      </c>
      <c r="C1778" s="47">
        <v>108.52</v>
      </c>
      <c r="D1778" s="47">
        <v>108.52</v>
      </c>
      <c r="E1778" s="47">
        <v>10959443</v>
      </c>
      <c r="F1778" s="47" t="s">
        <v>758</v>
      </c>
      <c r="G1778" s="46">
        <f t="shared" si="24"/>
        <v>1.5665315149281156E-2</v>
      </c>
    </row>
    <row r="1779" spans="1:7">
      <c r="A1779" s="47">
        <v>107.22</v>
      </c>
      <c r="B1779" s="47">
        <v>108.39</v>
      </c>
      <c r="C1779" s="47">
        <v>106.4196</v>
      </c>
      <c r="D1779" s="47">
        <v>107.11</v>
      </c>
      <c r="E1779" s="47">
        <v>9553117</v>
      </c>
      <c r="F1779" s="47" t="s">
        <v>757</v>
      </c>
      <c r="G1779" s="46">
        <f t="shared" si="24"/>
        <v>1.0269816076931004E-3</v>
      </c>
    </row>
    <row r="1780" spans="1:7">
      <c r="A1780" s="47">
        <v>106.9</v>
      </c>
      <c r="B1780" s="47">
        <v>107.51</v>
      </c>
      <c r="C1780" s="47">
        <v>106.4401</v>
      </c>
      <c r="D1780" s="47">
        <v>107.1</v>
      </c>
      <c r="E1780" s="47">
        <v>8564219</v>
      </c>
      <c r="F1780" s="47" t="s">
        <v>756</v>
      </c>
      <c r="G1780" s="46">
        <f t="shared" si="24"/>
        <v>-1.8674136321193968E-3</v>
      </c>
    </row>
    <row r="1781" spans="1:7">
      <c r="A1781" s="47">
        <v>106.81</v>
      </c>
      <c r="B1781" s="47">
        <v>107.18</v>
      </c>
      <c r="C1781" s="47">
        <v>106.02</v>
      </c>
      <c r="D1781" s="47">
        <v>106.79</v>
      </c>
      <c r="E1781" s="47">
        <v>6408498</v>
      </c>
      <c r="F1781" s="47" t="s">
        <v>755</v>
      </c>
      <c r="G1781" s="46">
        <f t="shared" si="24"/>
        <v>1.8728345350682574E-4</v>
      </c>
    </row>
    <row r="1782" spans="1:7">
      <c r="A1782" s="47">
        <v>107.36</v>
      </c>
      <c r="B1782" s="47">
        <v>108.45</v>
      </c>
      <c r="C1782" s="47">
        <v>105.08</v>
      </c>
      <c r="D1782" s="47">
        <v>108.36</v>
      </c>
      <c r="E1782" s="47">
        <v>10220713</v>
      </c>
      <c r="F1782" s="47" t="s">
        <v>754</v>
      </c>
      <c r="G1782" s="46">
        <f t="shared" si="24"/>
        <v>-9.228497600590635E-3</v>
      </c>
    </row>
    <row r="1783" spans="1:7">
      <c r="A1783" s="47">
        <v>108.81</v>
      </c>
      <c r="B1783" s="47">
        <v>108.86</v>
      </c>
      <c r="C1783" s="47">
        <v>107.25</v>
      </c>
      <c r="D1783" s="47">
        <v>107.80500000000001</v>
      </c>
      <c r="E1783" s="47">
        <v>5354021</v>
      </c>
      <c r="F1783" s="47" t="s">
        <v>753</v>
      </c>
      <c r="G1783" s="46">
        <f t="shared" si="24"/>
        <v>9.3223876443577769E-3</v>
      </c>
    </row>
    <row r="1784" spans="1:7">
      <c r="A1784" s="47">
        <v>108.2</v>
      </c>
      <c r="B1784" s="47">
        <v>108.8</v>
      </c>
      <c r="C1784" s="47">
        <v>107.58</v>
      </c>
      <c r="D1784" s="47">
        <v>108.8</v>
      </c>
      <c r="E1784" s="47">
        <v>3766267</v>
      </c>
      <c r="F1784" s="47" t="s">
        <v>752</v>
      </c>
      <c r="G1784" s="46">
        <f t="shared" si="24"/>
        <v>-5.5147058823529216E-3</v>
      </c>
    </row>
    <row r="1785" spans="1:7">
      <c r="A1785" s="47">
        <v>108.14</v>
      </c>
      <c r="B1785" s="47">
        <v>109</v>
      </c>
      <c r="C1785" s="47">
        <v>107.31</v>
      </c>
      <c r="D1785" s="47">
        <v>108.58</v>
      </c>
      <c r="E1785" s="47">
        <v>4480406</v>
      </c>
      <c r="F1785" s="47" t="s">
        <v>751</v>
      </c>
      <c r="G1785" s="46">
        <f t="shared" si="24"/>
        <v>-4.0523116596058451E-3</v>
      </c>
    </row>
    <row r="1786" spans="1:7">
      <c r="A1786" s="47">
        <v>108.48</v>
      </c>
      <c r="B1786" s="47">
        <v>108.54</v>
      </c>
      <c r="C1786" s="47">
        <v>106.41</v>
      </c>
      <c r="D1786" s="47">
        <v>107.03</v>
      </c>
      <c r="E1786" s="47">
        <v>6998048</v>
      </c>
      <c r="F1786" s="47" t="s">
        <v>750</v>
      </c>
      <c r="G1786" s="46">
        <f t="shared" ref="G1786:G1849" si="25">A1786/D1786-1</f>
        <v>1.3547603475660974E-2</v>
      </c>
    </row>
    <row r="1787" spans="1:7">
      <c r="A1787" s="47">
        <v>106.46</v>
      </c>
      <c r="B1787" s="47">
        <v>107.74</v>
      </c>
      <c r="C1787" s="47">
        <v>105.91</v>
      </c>
      <c r="D1787" s="47">
        <v>107.51</v>
      </c>
      <c r="E1787" s="47">
        <v>7681003</v>
      </c>
      <c r="F1787" s="47" t="s">
        <v>749</v>
      </c>
      <c r="G1787" s="46">
        <f t="shared" si="25"/>
        <v>-9.7665333457354064E-3</v>
      </c>
    </row>
    <row r="1788" spans="1:7">
      <c r="A1788" s="47">
        <v>107.51</v>
      </c>
      <c r="B1788" s="47">
        <v>107.77</v>
      </c>
      <c r="C1788" s="47">
        <v>106.39</v>
      </c>
      <c r="D1788" s="47">
        <v>107.15</v>
      </c>
      <c r="E1788" s="47">
        <v>6561918</v>
      </c>
      <c r="F1788" s="47" t="s">
        <v>748</v>
      </c>
      <c r="G1788" s="46">
        <f t="shared" si="25"/>
        <v>3.3597760149324252E-3</v>
      </c>
    </row>
    <row r="1789" spans="1:7">
      <c r="A1789" s="47">
        <v>106.93</v>
      </c>
      <c r="B1789" s="47">
        <v>107.51</v>
      </c>
      <c r="C1789" s="47">
        <v>105.83</v>
      </c>
      <c r="D1789" s="47">
        <v>106.06</v>
      </c>
      <c r="E1789" s="47">
        <v>7217072</v>
      </c>
      <c r="F1789" s="47" t="s">
        <v>747</v>
      </c>
      <c r="G1789" s="46">
        <f t="shared" si="25"/>
        <v>8.2029040165945144E-3</v>
      </c>
    </row>
    <row r="1790" spans="1:7">
      <c r="A1790" s="47">
        <v>106.57</v>
      </c>
      <c r="B1790" s="47">
        <v>107</v>
      </c>
      <c r="C1790" s="47">
        <v>104.67</v>
      </c>
      <c r="D1790" s="47">
        <v>105.66</v>
      </c>
      <c r="E1790" s="47">
        <v>9261995</v>
      </c>
      <c r="F1790" s="47" t="s">
        <v>746</v>
      </c>
      <c r="G1790" s="46">
        <f t="shared" si="25"/>
        <v>8.6125307590383393E-3</v>
      </c>
    </row>
    <row r="1791" spans="1:7">
      <c r="A1791" s="47">
        <v>105.73</v>
      </c>
      <c r="B1791" s="47">
        <v>105.8</v>
      </c>
      <c r="C1791" s="47">
        <v>104.62</v>
      </c>
      <c r="D1791" s="47">
        <v>104.84</v>
      </c>
      <c r="E1791" s="47">
        <v>8573757</v>
      </c>
      <c r="F1791" s="47" t="s">
        <v>745</v>
      </c>
      <c r="G1791" s="46">
        <f t="shared" si="25"/>
        <v>8.4891262876765072E-3</v>
      </c>
    </row>
    <row r="1792" spans="1:7">
      <c r="A1792" s="47">
        <v>104.46</v>
      </c>
      <c r="B1792" s="47">
        <v>104.97</v>
      </c>
      <c r="C1792" s="47">
        <v>102.65</v>
      </c>
      <c r="D1792" s="47">
        <v>104.7</v>
      </c>
      <c r="E1792" s="47">
        <v>7996830</v>
      </c>
      <c r="F1792" s="47" t="s">
        <v>744</v>
      </c>
      <c r="G1792" s="46">
        <f t="shared" si="25"/>
        <v>-2.2922636103153149E-3</v>
      </c>
    </row>
    <row r="1793" spans="1:7">
      <c r="A1793" s="47">
        <v>104.69</v>
      </c>
      <c r="B1793" s="47">
        <v>105.97</v>
      </c>
      <c r="C1793" s="47">
        <v>104.49</v>
      </c>
      <c r="D1793" s="47">
        <v>105.91</v>
      </c>
      <c r="E1793" s="47">
        <v>5442449</v>
      </c>
      <c r="F1793" s="47" t="s">
        <v>743</v>
      </c>
      <c r="G1793" s="46">
        <f t="shared" si="25"/>
        <v>-1.1519214427343938E-2</v>
      </c>
    </row>
    <row r="1794" spans="1:7">
      <c r="A1794" s="47">
        <v>105.23</v>
      </c>
      <c r="B1794" s="47">
        <v>105.76</v>
      </c>
      <c r="C1794" s="47">
        <v>104.66</v>
      </c>
      <c r="D1794" s="47">
        <v>105.76</v>
      </c>
      <c r="E1794" s="47">
        <v>4177507</v>
      </c>
      <c r="F1794" s="47" t="s">
        <v>742</v>
      </c>
      <c r="G1794" s="46">
        <f t="shared" si="25"/>
        <v>-5.0113464447806289E-3</v>
      </c>
    </row>
    <row r="1795" spans="1:7">
      <c r="A1795" s="47">
        <v>105.55</v>
      </c>
      <c r="B1795" s="47">
        <v>105.76</v>
      </c>
      <c r="C1795" s="47">
        <v>103.85</v>
      </c>
      <c r="D1795" s="47">
        <v>104.99</v>
      </c>
      <c r="E1795" s="47">
        <v>6157204</v>
      </c>
      <c r="F1795" s="47" t="s">
        <v>741</v>
      </c>
      <c r="G1795" s="46">
        <f t="shared" si="25"/>
        <v>5.3338413182208999E-3</v>
      </c>
    </row>
    <row r="1796" spans="1:7">
      <c r="A1796" s="47">
        <v>103.84</v>
      </c>
      <c r="B1796" s="47">
        <v>104.7</v>
      </c>
      <c r="C1796" s="47">
        <v>103.46</v>
      </c>
      <c r="D1796" s="47">
        <v>104.52</v>
      </c>
      <c r="E1796" s="47">
        <v>5625544</v>
      </c>
      <c r="F1796" s="47" t="s">
        <v>740</v>
      </c>
      <c r="G1796" s="46">
        <f t="shared" si="25"/>
        <v>-6.505931879066118E-3</v>
      </c>
    </row>
    <row r="1797" spans="1:7">
      <c r="A1797" s="47">
        <v>103.86</v>
      </c>
      <c r="B1797" s="47">
        <v>104.01</v>
      </c>
      <c r="C1797" s="47">
        <v>102.67</v>
      </c>
      <c r="D1797" s="47">
        <v>103.45</v>
      </c>
      <c r="E1797" s="47">
        <v>4466587</v>
      </c>
      <c r="F1797" s="47" t="s">
        <v>739</v>
      </c>
      <c r="G1797" s="46">
        <f t="shared" si="25"/>
        <v>3.963267278878746E-3</v>
      </c>
    </row>
    <row r="1798" spans="1:7">
      <c r="A1798" s="47">
        <v>103.07</v>
      </c>
      <c r="B1798" s="47">
        <v>104.17</v>
      </c>
      <c r="C1798" s="47">
        <v>101.74</v>
      </c>
      <c r="D1798" s="47">
        <v>103.2</v>
      </c>
      <c r="E1798" s="47">
        <v>5450156</v>
      </c>
      <c r="F1798" s="47" t="s">
        <v>738</v>
      </c>
      <c r="G1798" s="46">
        <f t="shared" si="25"/>
        <v>-1.2596899224807112E-3</v>
      </c>
    </row>
    <row r="1799" spans="1:7">
      <c r="A1799" s="47">
        <v>103.15</v>
      </c>
      <c r="B1799" s="47">
        <v>103.285</v>
      </c>
      <c r="C1799" s="47">
        <v>101.75</v>
      </c>
      <c r="D1799" s="47">
        <v>102.34</v>
      </c>
      <c r="E1799" s="47">
        <v>4498014</v>
      </c>
      <c r="F1799" s="47" t="s">
        <v>737</v>
      </c>
      <c r="G1799" s="46">
        <f t="shared" si="25"/>
        <v>7.9147938245065497E-3</v>
      </c>
    </row>
    <row r="1800" spans="1:7">
      <c r="A1800" s="47">
        <v>101.55</v>
      </c>
      <c r="B1800" s="47">
        <v>102.18</v>
      </c>
      <c r="C1800" s="47">
        <v>100.51</v>
      </c>
      <c r="D1800" s="47">
        <v>100.94</v>
      </c>
      <c r="E1800" s="47">
        <v>5117698</v>
      </c>
      <c r="F1800" s="47" t="s">
        <v>736</v>
      </c>
      <c r="G1800" s="46">
        <f t="shared" si="25"/>
        <v>6.0431939766196763E-3</v>
      </c>
    </row>
    <row r="1801" spans="1:7">
      <c r="A1801" s="47">
        <v>101.27</v>
      </c>
      <c r="B1801" s="47">
        <v>104</v>
      </c>
      <c r="C1801" s="47">
        <v>101.25</v>
      </c>
      <c r="D1801" s="47">
        <v>103.87</v>
      </c>
      <c r="E1801" s="47">
        <v>7194999</v>
      </c>
      <c r="F1801" s="47" t="s">
        <v>735</v>
      </c>
      <c r="G1801" s="46">
        <f t="shared" si="25"/>
        <v>-2.5031289111389299E-2</v>
      </c>
    </row>
    <row r="1802" spans="1:7">
      <c r="A1802" s="47">
        <v>104.15</v>
      </c>
      <c r="B1802" s="47">
        <v>104.56</v>
      </c>
      <c r="C1802" s="47">
        <v>102.08499999999999</v>
      </c>
      <c r="D1802" s="47">
        <v>102.15</v>
      </c>
      <c r="E1802" s="47">
        <v>7216748</v>
      </c>
      <c r="F1802" s="47" t="s">
        <v>734</v>
      </c>
      <c r="G1802" s="46">
        <f t="shared" si="25"/>
        <v>1.9579050416054899E-2</v>
      </c>
    </row>
    <row r="1803" spans="1:7">
      <c r="A1803" s="47">
        <v>102.31</v>
      </c>
      <c r="B1803" s="47">
        <v>103.05</v>
      </c>
      <c r="C1803" s="47">
        <v>100.84</v>
      </c>
      <c r="D1803" s="47">
        <v>101.45</v>
      </c>
      <c r="E1803" s="47">
        <v>6462929</v>
      </c>
      <c r="F1803" s="47" t="s">
        <v>733</v>
      </c>
      <c r="G1803" s="46">
        <f t="shared" si="25"/>
        <v>8.4770823065549727E-3</v>
      </c>
    </row>
    <row r="1804" spans="1:7">
      <c r="A1804" s="47">
        <v>101.54</v>
      </c>
      <c r="B1804" s="47">
        <v>101.685</v>
      </c>
      <c r="C1804" s="47">
        <v>100.6</v>
      </c>
      <c r="D1804" s="47">
        <v>100.6</v>
      </c>
      <c r="E1804" s="47">
        <v>6965119</v>
      </c>
      <c r="F1804" s="47" t="s">
        <v>732</v>
      </c>
      <c r="G1804" s="46">
        <f t="shared" si="25"/>
        <v>9.3439363817098275E-3</v>
      </c>
    </row>
    <row r="1805" spans="1:7">
      <c r="A1805" s="47">
        <v>100.27</v>
      </c>
      <c r="B1805" s="47">
        <v>101.83</v>
      </c>
      <c r="C1805" s="47">
        <v>99.37</v>
      </c>
      <c r="D1805" s="47">
        <v>101.21</v>
      </c>
      <c r="E1805" s="47">
        <v>6454037</v>
      </c>
      <c r="F1805" s="47" t="s">
        <v>731</v>
      </c>
      <c r="G1805" s="46">
        <f t="shared" si="25"/>
        <v>-9.2876198004149257E-3</v>
      </c>
    </row>
    <row r="1806" spans="1:7">
      <c r="A1806" s="47">
        <v>100.73</v>
      </c>
      <c r="B1806" s="47">
        <v>101.2599</v>
      </c>
      <c r="C1806" s="47">
        <v>99.33</v>
      </c>
      <c r="D1806" s="47">
        <v>99.4</v>
      </c>
      <c r="E1806" s="47">
        <v>10960863</v>
      </c>
      <c r="F1806" s="47" t="s">
        <v>730</v>
      </c>
      <c r="G1806" s="46">
        <f t="shared" si="25"/>
        <v>1.3380281690140716E-2</v>
      </c>
    </row>
    <row r="1807" spans="1:7">
      <c r="A1807" s="47">
        <v>99.03</v>
      </c>
      <c r="B1807" s="47">
        <v>99.67</v>
      </c>
      <c r="C1807" s="47">
        <v>98.93</v>
      </c>
      <c r="D1807" s="47">
        <v>99.46</v>
      </c>
      <c r="E1807" s="47">
        <v>5414658</v>
      </c>
      <c r="F1807" s="47" t="s">
        <v>729</v>
      </c>
      <c r="G1807" s="46">
        <f t="shared" si="25"/>
        <v>-4.3233460687712721E-3</v>
      </c>
    </row>
    <row r="1808" spans="1:7">
      <c r="A1808" s="47">
        <v>99.31</v>
      </c>
      <c r="B1808" s="47">
        <v>100.59010000000001</v>
      </c>
      <c r="C1808" s="47">
        <v>98.14</v>
      </c>
      <c r="D1808" s="47">
        <v>98.2</v>
      </c>
      <c r="E1808" s="47">
        <v>9356601</v>
      </c>
      <c r="F1808" s="47" t="s">
        <v>728</v>
      </c>
      <c r="G1808" s="46">
        <f t="shared" si="25"/>
        <v>1.1303462321792246E-2</v>
      </c>
    </row>
    <row r="1809" spans="1:7">
      <c r="A1809" s="47">
        <v>97.5</v>
      </c>
      <c r="B1809" s="47">
        <v>98.08</v>
      </c>
      <c r="C1809" s="47">
        <v>96.9</v>
      </c>
      <c r="D1809" s="47">
        <v>98</v>
      </c>
      <c r="E1809" s="47">
        <v>5624849</v>
      </c>
      <c r="F1809" s="47" t="s">
        <v>727</v>
      </c>
      <c r="G1809" s="46">
        <f t="shared" si="25"/>
        <v>-5.1020408163264808E-3</v>
      </c>
    </row>
    <row r="1810" spans="1:7">
      <c r="A1810" s="47">
        <v>97.45</v>
      </c>
      <c r="B1810" s="47">
        <v>97.57</v>
      </c>
      <c r="C1810" s="47">
        <v>95.953900000000004</v>
      </c>
      <c r="D1810" s="47">
        <v>96.01</v>
      </c>
      <c r="E1810" s="47">
        <v>5387479</v>
      </c>
      <c r="F1810" s="47" t="s">
        <v>726</v>
      </c>
      <c r="G1810" s="46">
        <f t="shared" si="25"/>
        <v>1.4998437662743447E-2</v>
      </c>
    </row>
    <row r="1811" spans="1:7">
      <c r="A1811" s="47">
        <v>95.69</v>
      </c>
      <c r="B1811" s="47">
        <v>95.77</v>
      </c>
      <c r="C1811" s="47">
        <v>94.51</v>
      </c>
      <c r="D1811" s="47">
        <v>95.04</v>
      </c>
      <c r="E1811" s="47">
        <v>4578084</v>
      </c>
      <c r="F1811" s="47" t="s">
        <v>725</v>
      </c>
      <c r="G1811" s="46">
        <f t="shared" si="25"/>
        <v>6.8392255892255616E-3</v>
      </c>
    </row>
    <row r="1812" spans="1:7">
      <c r="A1812" s="47">
        <v>96.21</v>
      </c>
      <c r="B1812" s="47">
        <v>96.75</v>
      </c>
      <c r="C1812" s="47">
        <v>95.3</v>
      </c>
      <c r="D1812" s="47">
        <v>96.17</v>
      </c>
      <c r="E1812" s="47">
        <v>6170276</v>
      </c>
      <c r="F1812" s="47" t="s">
        <v>724</v>
      </c>
      <c r="G1812" s="46">
        <f t="shared" si="25"/>
        <v>4.1593012373919436E-4</v>
      </c>
    </row>
    <row r="1813" spans="1:7">
      <c r="A1813" s="47">
        <v>96.46</v>
      </c>
      <c r="B1813" s="47">
        <v>97.28</v>
      </c>
      <c r="C1813" s="47">
        <v>95.91</v>
      </c>
      <c r="D1813" s="47">
        <v>96.52</v>
      </c>
      <c r="E1813" s="47">
        <v>3226530</v>
      </c>
      <c r="F1813" s="47" t="s">
        <v>723</v>
      </c>
      <c r="G1813" s="46">
        <f t="shared" si="25"/>
        <v>-6.2163282221305849E-4</v>
      </c>
    </row>
    <row r="1814" spans="1:7">
      <c r="A1814" s="47">
        <v>96.53</v>
      </c>
      <c r="B1814" s="47">
        <v>97.14</v>
      </c>
      <c r="C1814" s="47">
        <v>96.15</v>
      </c>
      <c r="D1814" s="47">
        <v>96.65</v>
      </c>
      <c r="E1814" s="47">
        <v>6321889</v>
      </c>
      <c r="F1814" s="47" t="s">
        <v>722</v>
      </c>
      <c r="G1814" s="46">
        <f t="shared" si="25"/>
        <v>-1.2415933781686483E-3</v>
      </c>
    </row>
    <row r="1815" spans="1:7">
      <c r="A1815" s="47">
        <v>96.57</v>
      </c>
      <c r="B1815" s="47">
        <v>98.5</v>
      </c>
      <c r="C1815" s="47">
        <v>95.34</v>
      </c>
      <c r="D1815" s="47">
        <v>98.03</v>
      </c>
      <c r="E1815" s="47">
        <v>7855772</v>
      </c>
      <c r="F1815" s="47" t="s">
        <v>721</v>
      </c>
      <c r="G1815" s="46">
        <f t="shared" si="25"/>
        <v>-1.4893399979598154E-2</v>
      </c>
    </row>
    <row r="1816" spans="1:7">
      <c r="A1816" s="47">
        <v>98.8</v>
      </c>
      <c r="B1816" s="47">
        <v>99.45</v>
      </c>
      <c r="C1816" s="47">
        <v>98.34</v>
      </c>
      <c r="D1816" s="47">
        <v>98.92</v>
      </c>
      <c r="E1816" s="47">
        <v>5434436</v>
      </c>
      <c r="F1816" s="47" t="s">
        <v>720</v>
      </c>
      <c r="G1816" s="46">
        <f t="shared" si="25"/>
        <v>-1.2131014961586084E-3</v>
      </c>
    </row>
    <row r="1817" spans="1:7">
      <c r="A1817" s="47">
        <v>98.07</v>
      </c>
      <c r="B1817" s="47">
        <v>98.525000000000006</v>
      </c>
      <c r="C1817" s="47">
        <v>97.08</v>
      </c>
      <c r="D1817" s="47">
        <v>97.66</v>
      </c>
      <c r="E1817" s="47">
        <v>6151847</v>
      </c>
      <c r="F1817" s="47" t="s">
        <v>719</v>
      </c>
      <c r="G1817" s="46">
        <f t="shared" si="25"/>
        <v>4.1982387876304816E-3</v>
      </c>
    </row>
    <row r="1818" spans="1:7">
      <c r="A1818" s="47">
        <v>97.86</v>
      </c>
      <c r="B1818" s="47">
        <v>98.04</v>
      </c>
      <c r="C1818" s="47">
        <v>95.93</v>
      </c>
      <c r="D1818" s="47">
        <v>96.11</v>
      </c>
      <c r="E1818" s="47">
        <v>5565391</v>
      </c>
      <c r="F1818" s="47" t="s">
        <v>718</v>
      </c>
      <c r="G1818" s="46">
        <f t="shared" si="25"/>
        <v>1.8208302986161717E-2</v>
      </c>
    </row>
    <row r="1819" spans="1:7">
      <c r="A1819" s="47">
        <v>96.59</v>
      </c>
      <c r="B1819" s="47">
        <v>96.82</v>
      </c>
      <c r="C1819" s="47">
        <v>95.53</v>
      </c>
      <c r="D1819" s="47">
        <v>96.34</v>
      </c>
      <c r="E1819" s="47">
        <v>5906401</v>
      </c>
      <c r="F1819" s="47" t="s">
        <v>717</v>
      </c>
      <c r="G1819" s="46">
        <f t="shared" si="25"/>
        <v>2.5949761262196169E-3</v>
      </c>
    </row>
    <row r="1820" spans="1:7">
      <c r="A1820" s="47">
        <v>96.7</v>
      </c>
      <c r="B1820" s="47">
        <v>97.303799999999995</v>
      </c>
      <c r="C1820" s="47">
        <v>96</v>
      </c>
      <c r="D1820" s="47">
        <v>96.07</v>
      </c>
      <c r="E1820" s="47">
        <v>7470730</v>
      </c>
      <c r="F1820" s="47" t="s">
        <v>716</v>
      </c>
      <c r="G1820" s="46">
        <f t="shared" si="25"/>
        <v>6.5577183303842101E-3</v>
      </c>
    </row>
    <row r="1821" spans="1:7">
      <c r="A1821" s="47">
        <v>95.98</v>
      </c>
      <c r="B1821" s="47">
        <v>96</v>
      </c>
      <c r="C1821" s="47">
        <v>95.07</v>
      </c>
      <c r="D1821" s="47">
        <v>95.24</v>
      </c>
      <c r="E1821" s="47">
        <v>4898247</v>
      </c>
      <c r="F1821" s="47" t="s">
        <v>715</v>
      </c>
      <c r="G1821" s="46">
        <f t="shared" si="25"/>
        <v>7.7698446031080337E-3</v>
      </c>
    </row>
    <row r="1822" spans="1:7">
      <c r="A1822" s="47">
        <v>94.96</v>
      </c>
      <c r="B1822" s="47">
        <v>95.51</v>
      </c>
      <c r="C1822" s="47">
        <v>94.33</v>
      </c>
      <c r="D1822" s="47">
        <v>94.72</v>
      </c>
      <c r="E1822" s="47">
        <v>6410003</v>
      </c>
      <c r="F1822" s="47" t="s">
        <v>714</v>
      </c>
      <c r="G1822" s="46">
        <f t="shared" si="25"/>
        <v>2.5337837837837718E-3</v>
      </c>
    </row>
    <row r="1823" spans="1:7">
      <c r="A1823" s="47">
        <v>94.73</v>
      </c>
      <c r="B1823" s="47">
        <v>95.72</v>
      </c>
      <c r="C1823" s="47">
        <v>93.98</v>
      </c>
      <c r="D1823" s="47">
        <v>95</v>
      </c>
      <c r="E1823" s="47">
        <v>8154094</v>
      </c>
      <c r="F1823" s="47" t="s">
        <v>713</v>
      </c>
      <c r="G1823" s="46">
        <f t="shared" si="25"/>
        <v>-2.842105263157868E-3</v>
      </c>
    </row>
    <row r="1824" spans="1:7">
      <c r="A1824" s="47">
        <v>95.02</v>
      </c>
      <c r="B1824" s="47">
        <v>95.3</v>
      </c>
      <c r="C1824" s="47">
        <v>94.06</v>
      </c>
      <c r="D1824" s="47">
        <v>94.45</v>
      </c>
      <c r="E1824" s="47">
        <v>8092379</v>
      </c>
      <c r="F1824" s="47" t="s">
        <v>712</v>
      </c>
      <c r="G1824" s="46">
        <f t="shared" si="25"/>
        <v>6.034939121227989E-3</v>
      </c>
    </row>
    <row r="1825" spans="1:7">
      <c r="A1825" s="47">
        <v>94.91</v>
      </c>
      <c r="B1825" s="47">
        <v>95.43</v>
      </c>
      <c r="C1825" s="47">
        <v>94.45</v>
      </c>
      <c r="D1825" s="47">
        <v>95</v>
      </c>
      <c r="E1825" s="47">
        <v>6080181</v>
      </c>
      <c r="F1825" s="47" t="s">
        <v>711</v>
      </c>
      <c r="G1825" s="46">
        <f t="shared" si="25"/>
        <v>-9.473684210526967E-4</v>
      </c>
    </row>
    <row r="1826" spans="1:7">
      <c r="A1826" s="47">
        <v>94.42</v>
      </c>
      <c r="B1826" s="47">
        <v>94.99</v>
      </c>
      <c r="C1826" s="47">
        <v>93.1</v>
      </c>
      <c r="D1826" s="47">
        <v>93.65</v>
      </c>
      <c r="E1826" s="47">
        <v>6579170</v>
      </c>
      <c r="F1826" s="47" t="s">
        <v>710</v>
      </c>
      <c r="G1826" s="46">
        <f t="shared" si="25"/>
        <v>8.2221035771488094E-3</v>
      </c>
    </row>
    <row r="1827" spans="1:7">
      <c r="A1827" s="47">
        <v>94.01</v>
      </c>
      <c r="B1827" s="47">
        <v>96.04</v>
      </c>
      <c r="C1827" s="47">
        <v>93.843999999999994</v>
      </c>
      <c r="D1827" s="47">
        <v>94.59</v>
      </c>
      <c r="E1827" s="47">
        <v>8577942</v>
      </c>
      <c r="F1827" s="47" t="s">
        <v>709</v>
      </c>
      <c r="G1827" s="46">
        <f t="shared" si="25"/>
        <v>-6.1317263981393033E-3</v>
      </c>
    </row>
    <row r="1828" spans="1:7">
      <c r="A1828" s="47">
        <v>94.38</v>
      </c>
      <c r="B1828" s="47">
        <v>94.51</v>
      </c>
      <c r="C1828" s="47">
        <v>93.2</v>
      </c>
      <c r="D1828" s="47">
        <v>93.44</v>
      </c>
      <c r="E1828" s="47">
        <v>7497035</v>
      </c>
      <c r="F1828" s="47" t="s">
        <v>708</v>
      </c>
      <c r="G1828" s="46">
        <f t="shared" si="25"/>
        <v>1.0059931506849251E-2</v>
      </c>
    </row>
    <row r="1829" spans="1:7">
      <c r="A1829" s="47">
        <v>92.69</v>
      </c>
      <c r="B1829" s="47">
        <v>93.75</v>
      </c>
      <c r="C1829" s="47">
        <v>92.15</v>
      </c>
      <c r="D1829" s="47">
        <v>92.25</v>
      </c>
      <c r="E1829" s="47">
        <v>6455938</v>
      </c>
      <c r="F1829" s="47" t="s">
        <v>707</v>
      </c>
      <c r="G1829" s="46">
        <f t="shared" si="25"/>
        <v>4.7696476964769197E-3</v>
      </c>
    </row>
    <row r="1830" spans="1:7">
      <c r="A1830" s="47">
        <v>91.87</v>
      </c>
      <c r="B1830" s="47">
        <v>91.91</v>
      </c>
      <c r="C1830" s="47">
        <v>90</v>
      </c>
      <c r="D1830" s="47">
        <v>90.02</v>
      </c>
      <c r="E1830" s="47">
        <v>7642107</v>
      </c>
      <c r="F1830" s="47" t="s">
        <v>706</v>
      </c>
      <c r="G1830" s="46">
        <f t="shared" si="25"/>
        <v>2.0550988669184811E-2</v>
      </c>
    </row>
    <row r="1831" spans="1:7">
      <c r="A1831" s="47">
        <v>90.85</v>
      </c>
      <c r="B1831" s="47">
        <v>91.71</v>
      </c>
      <c r="C1831" s="47">
        <v>90.01</v>
      </c>
      <c r="D1831" s="47">
        <v>91.11</v>
      </c>
      <c r="E1831" s="47">
        <v>7283827</v>
      </c>
      <c r="F1831" s="47" t="s">
        <v>705</v>
      </c>
      <c r="G1831" s="46">
        <f t="shared" si="25"/>
        <v>-2.8536933377236728E-3</v>
      </c>
    </row>
    <row r="1832" spans="1:7">
      <c r="A1832" s="47">
        <v>92.25</v>
      </c>
      <c r="B1832" s="47">
        <v>92.29</v>
      </c>
      <c r="C1832" s="47">
        <v>90.19</v>
      </c>
      <c r="D1832" s="47">
        <v>90.8</v>
      </c>
      <c r="E1832" s="47">
        <v>5939421</v>
      </c>
      <c r="F1832" s="47" t="s">
        <v>704</v>
      </c>
      <c r="G1832" s="46">
        <f t="shared" si="25"/>
        <v>1.5969162995594699E-2</v>
      </c>
    </row>
    <row r="1833" spans="1:7">
      <c r="A1833" s="47">
        <v>92.27</v>
      </c>
      <c r="B1833" s="47">
        <v>92.35</v>
      </c>
      <c r="C1833" s="47">
        <v>91.36</v>
      </c>
      <c r="D1833" s="47">
        <v>91.91</v>
      </c>
      <c r="E1833" s="47">
        <v>5591260</v>
      </c>
      <c r="F1833" s="47" t="s">
        <v>703</v>
      </c>
      <c r="G1833" s="46">
        <f t="shared" si="25"/>
        <v>3.9168752040039667E-3</v>
      </c>
    </row>
    <row r="1834" spans="1:7">
      <c r="A1834" s="47">
        <v>91.66</v>
      </c>
      <c r="B1834" s="47">
        <v>92.12</v>
      </c>
      <c r="C1834" s="47">
        <v>89.71</v>
      </c>
      <c r="D1834" s="47">
        <v>89.88</v>
      </c>
      <c r="E1834" s="47">
        <v>7084477</v>
      </c>
      <c r="F1834" s="47" t="s">
        <v>702</v>
      </c>
      <c r="G1834" s="46">
        <f t="shared" si="25"/>
        <v>1.9804183355585314E-2</v>
      </c>
    </row>
    <row r="1835" spans="1:7">
      <c r="A1835" s="47">
        <v>90.01</v>
      </c>
      <c r="B1835" s="47">
        <v>90.5</v>
      </c>
      <c r="C1835" s="47">
        <v>88.25</v>
      </c>
      <c r="D1835" s="47">
        <v>88.36</v>
      </c>
      <c r="E1835" s="47">
        <v>10514645</v>
      </c>
      <c r="F1835" s="47" t="s">
        <v>701</v>
      </c>
      <c r="G1835" s="46">
        <f t="shared" si="25"/>
        <v>1.8673607967406136E-2</v>
      </c>
    </row>
    <row r="1836" spans="1:7">
      <c r="A1836" s="47">
        <v>88.76</v>
      </c>
      <c r="B1836" s="47">
        <v>90.09</v>
      </c>
      <c r="C1836" s="47">
        <v>86.62</v>
      </c>
      <c r="D1836" s="47">
        <v>89.02</v>
      </c>
      <c r="E1836" s="47">
        <v>23729880</v>
      </c>
      <c r="F1836" s="47" t="s">
        <v>700</v>
      </c>
      <c r="G1836" s="46">
        <f t="shared" si="25"/>
        <v>-2.9206919793304253E-3</v>
      </c>
    </row>
    <row r="1837" spans="1:7">
      <c r="A1837" s="47">
        <v>92.42</v>
      </c>
      <c r="B1837" s="47">
        <v>93.34</v>
      </c>
      <c r="C1837" s="47">
        <v>90.9</v>
      </c>
      <c r="D1837" s="47">
        <v>92.02</v>
      </c>
      <c r="E1837" s="47">
        <v>11622819</v>
      </c>
      <c r="F1837" s="47" t="s">
        <v>699</v>
      </c>
      <c r="G1837" s="46">
        <f t="shared" si="25"/>
        <v>4.3468811128015705E-3</v>
      </c>
    </row>
    <row r="1838" spans="1:7">
      <c r="A1838" s="47">
        <v>91.12</v>
      </c>
      <c r="B1838" s="47">
        <v>92.85</v>
      </c>
      <c r="C1838" s="47">
        <v>90.57</v>
      </c>
      <c r="D1838" s="47">
        <v>92.33</v>
      </c>
      <c r="E1838" s="47">
        <v>6399936</v>
      </c>
      <c r="F1838" s="47" t="s">
        <v>698</v>
      </c>
      <c r="G1838" s="46">
        <f t="shared" si="25"/>
        <v>-1.3105166251489164E-2</v>
      </c>
    </row>
    <row r="1839" spans="1:7">
      <c r="A1839" s="47">
        <v>92.3</v>
      </c>
      <c r="B1839" s="47">
        <v>93.42</v>
      </c>
      <c r="C1839" s="47">
        <v>90.69</v>
      </c>
      <c r="D1839" s="47">
        <v>93.3</v>
      </c>
      <c r="E1839" s="47">
        <v>7361144</v>
      </c>
      <c r="F1839" s="47" t="s">
        <v>697</v>
      </c>
      <c r="G1839" s="46">
        <f t="shared" si="25"/>
        <v>-1.0718113612004254E-2</v>
      </c>
    </row>
    <row r="1840" spans="1:7">
      <c r="A1840" s="47">
        <v>94.28</v>
      </c>
      <c r="B1840" s="47">
        <v>94.58</v>
      </c>
      <c r="C1840" s="47">
        <v>92.69</v>
      </c>
      <c r="D1840" s="47">
        <v>93.05</v>
      </c>
      <c r="E1840" s="47">
        <v>11664736</v>
      </c>
      <c r="F1840" s="47" t="s">
        <v>696</v>
      </c>
      <c r="G1840" s="46">
        <f t="shared" si="25"/>
        <v>1.3218699623858132E-2</v>
      </c>
    </row>
    <row r="1841" spans="1:7">
      <c r="A1841" s="47">
        <v>92.2</v>
      </c>
      <c r="B1841" s="47">
        <v>92.99</v>
      </c>
      <c r="C1841" s="47">
        <v>90.55</v>
      </c>
      <c r="D1841" s="47">
        <v>90.67</v>
      </c>
      <c r="E1841" s="47">
        <v>9749072</v>
      </c>
      <c r="F1841" s="47" t="s">
        <v>695</v>
      </c>
      <c r="G1841" s="46">
        <f t="shared" si="25"/>
        <v>1.6874379618396329E-2</v>
      </c>
    </row>
    <row r="1842" spans="1:7">
      <c r="A1842" s="47">
        <v>90.5</v>
      </c>
      <c r="B1842" s="47">
        <v>91.17</v>
      </c>
      <c r="C1842" s="47">
        <v>89.57</v>
      </c>
      <c r="D1842" s="47">
        <v>90.74</v>
      </c>
      <c r="E1842" s="47">
        <v>5596051</v>
      </c>
      <c r="F1842" s="47" t="s">
        <v>694</v>
      </c>
      <c r="G1842" s="46">
        <f t="shared" si="25"/>
        <v>-2.6449195503636114E-3</v>
      </c>
    </row>
    <row r="1843" spans="1:7">
      <c r="A1843" s="47">
        <v>89.94</v>
      </c>
      <c r="B1843" s="47">
        <v>90.97</v>
      </c>
      <c r="C1843" s="47">
        <v>89.09</v>
      </c>
      <c r="D1843" s="47">
        <v>90.33</v>
      </c>
      <c r="E1843" s="47">
        <v>7890273</v>
      </c>
      <c r="F1843" s="47" t="s">
        <v>693</v>
      </c>
      <c r="G1843" s="46">
        <f t="shared" si="25"/>
        <v>-4.3175024908668203E-3</v>
      </c>
    </row>
    <row r="1844" spans="1:7">
      <c r="A1844" s="47">
        <v>91.12</v>
      </c>
      <c r="B1844" s="47">
        <v>91.44</v>
      </c>
      <c r="C1844" s="47">
        <v>89.78</v>
      </c>
      <c r="D1844" s="47">
        <v>91.35</v>
      </c>
      <c r="E1844" s="47">
        <v>11958388</v>
      </c>
      <c r="F1844" s="47" t="s">
        <v>692</v>
      </c>
      <c r="G1844" s="46">
        <f t="shared" si="25"/>
        <v>-2.5177887246851105E-3</v>
      </c>
    </row>
    <row r="1845" spans="1:7">
      <c r="A1845" s="47">
        <v>90.4</v>
      </c>
      <c r="B1845" s="47">
        <v>90.87</v>
      </c>
      <c r="C1845" s="47">
        <v>89.81</v>
      </c>
      <c r="D1845" s="47">
        <v>90.25</v>
      </c>
      <c r="E1845" s="47">
        <v>10254547</v>
      </c>
      <c r="F1845" s="47" t="s">
        <v>691</v>
      </c>
      <c r="G1845" s="46">
        <f t="shared" si="25"/>
        <v>1.6620498614958734E-3</v>
      </c>
    </row>
    <row r="1846" spans="1:7">
      <c r="A1846" s="47">
        <v>90.55</v>
      </c>
      <c r="B1846" s="47">
        <v>92.35</v>
      </c>
      <c r="C1846" s="47">
        <v>90.21</v>
      </c>
      <c r="D1846" s="47">
        <v>91.72</v>
      </c>
      <c r="E1846" s="47">
        <v>8475025</v>
      </c>
      <c r="F1846" s="47" t="s">
        <v>690</v>
      </c>
      <c r="G1846" s="46">
        <f t="shared" si="25"/>
        <v>-1.2756214566070678E-2</v>
      </c>
    </row>
    <row r="1847" spans="1:7">
      <c r="A1847" s="47">
        <v>91.6</v>
      </c>
      <c r="B1847" s="47">
        <v>91.91</v>
      </c>
      <c r="C1847" s="47">
        <v>90.19</v>
      </c>
      <c r="D1847" s="47">
        <v>90.64</v>
      </c>
      <c r="E1847" s="47">
        <v>10377929</v>
      </c>
      <c r="F1847" s="47" t="s">
        <v>689</v>
      </c>
      <c r="G1847" s="46">
        <f t="shared" si="25"/>
        <v>1.0591350397175514E-2</v>
      </c>
    </row>
    <row r="1848" spans="1:7">
      <c r="A1848" s="47">
        <v>90.43</v>
      </c>
      <c r="B1848" s="47">
        <v>90.81</v>
      </c>
      <c r="C1848" s="47">
        <v>89.55</v>
      </c>
      <c r="D1848" s="47">
        <v>89.96</v>
      </c>
      <c r="E1848" s="47">
        <v>6084735</v>
      </c>
      <c r="F1848" s="47" t="s">
        <v>688</v>
      </c>
      <c r="G1848" s="46">
        <f t="shared" si="25"/>
        <v>5.2245442418854537E-3</v>
      </c>
    </row>
    <row r="1849" spans="1:7">
      <c r="A1849" s="47">
        <v>90.65</v>
      </c>
      <c r="B1849" s="47">
        <v>91.144199999999998</v>
      </c>
      <c r="C1849" s="47">
        <v>90.1</v>
      </c>
      <c r="D1849" s="47">
        <v>90.11</v>
      </c>
      <c r="E1849" s="47">
        <v>7398181</v>
      </c>
      <c r="F1849" s="47" t="s">
        <v>687</v>
      </c>
      <c r="G1849" s="46">
        <f t="shared" si="25"/>
        <v>5.9926756186883257E-3</v>
      </c>
    </row>
    <row r="1850" spans="1:7">
      <c r="A1850" s="47">
        <v>90.7</v>
      </c>
      <c r="B1850" s="47">
        <v>90.79</v>
      </c>
      <c r="C1850" s="47">
        <v>87.918000000000006</v>
      </c>
      <c r="D1850" s="47">
        <v>89.1</v>
      </c>
      <c r="E1850" s="47">
        <v>7478123</v>
      </c>
      <c r="F1850" s="47" t="s">
        <v>686</v>
      </c>
      <c r="G1850" s="46">
        <f t="shared" ref="G1850:G1913" si="26">A1850/D1850-1</f>
        <v>1.7957351290684764E-2</v>
      </c>
    </row>
    <row r="1851" spans="1:7">
      <c r="A1851" s="47">
        <v>89.55</v>
      </c>
      <c r="B1851" s="47">
        <v>90.314999999999998</v>
      </c>
      <c r="C1851" s="47">
        <v>88.5</v>
      </c>
      <c r="D1851" s="47">
        <v>88.81</v>
      </c>
      <c r="E1851" s="47">
        <v>9578323</v>
      </c>
      <c r="F1851" s="47" t="s">
        <v>685</v>
      </c>
      <c r="G1851" s="46">
        <f t="shared" si="26"/>
        <v>8.332395000562931E-3</v>
      </c>
    </row>
    <row r="1852" spans="1:7">
      <c r="A1852" s="47">
        <v>88.7</v>
      </c>
      <c r="B1852" s="47">
        <v>88.894999999999996</v>
      </c>
      <c r="C1852" s="47">
        <v>87.69</v>
      </c>
      <c r="D1852" s="47">
        <v>88.11</v>
      </c>
      <c r="E1852" s="47">
        <v>8307637</v>
      </c>
      <c r="F1852" s="47" t="s">
        <v>684</v>
      </c>
      <c r="G1852" s="46">
        <f t="shared" si="26"/>
        <v>6.696175235501034E-3</v>
      </c>
    </row>
    <row r="1853" spans="1:7">
      <c r="A1853" s="47">
        <v>86.93</v>
      </c>
      <c r="B1853" s="47">
        <v>87.55</v>
      </c>
      <c r="C1853" s="47">
        <v>86.02</v>
      </c>
      <c r="D1853" s="47">
        <v>86.42</v>
      </c>
      <c r="E1853" s="47">
        <v>11094140</v>
      </c>
      <c r="F1853" s="47" t="s">
        <v>683</v>
      </c>
      <c r="G1853" s="46">
        <f t="shared" si="26"/>
        <v>5.901411710252269E-3</v>
      </c>
    </row>
    <row r="1854" spans="1:7">
      <c r="A1854" s="47">
        <v>86.27</v>
      </c>
      <c r="B1854" s="47">
        <v>86.91</v>
      </c>
      <c r="C1854" s="47">
        <v>83.37</v>
      </c>
      <c r="D1854" s="47">
        <v>83.71</v>
      </c>
      <c r="E1854" s="47">
        <v>9234825</v>
      </c>
      <c r="F1854" s="47" t="s">
        <v>682</v>
      </c>
      <c r="G1854" s="46">
        <f t="shared" si="26"/>
        <v>3.0581770397801966E-2</v>
      </c>
    </row>
    <row r="1855" spans="1:7">
      <c r="A1855" s="47">
        <v>82.09</v>
      </c>
      <c r="B1855" s="47">
        <v>84.75</v>
      </c>
      <c r="C1855" s="47">
        <v>81.91</v>
      </c>
      <c r="D1855" s="47">
        <v>84.36</v>
      </c>
      <c r="E1855" s="47">
        <v>9650676</v>
      </c>
      <c r="F1855" s="47" t="s">
        <v>681</v>
      </c>
      <c r="G1855" s="46">
        <f t="shared" si="26"/>
        <v>-2.690848743480323E-2</v>
      </c>
    </row>
    <row r="1856" spans="1:7">
      <c r="A1856" s="47">
        <v>85.75</v>
      </c>
      <c r="B1856" s="47">
        <v>86.2</v>
      </c>
      <c r="C1856" s="47">
        <v>82.24</v>
      </c>
      <c r="D1856" s="47">
        <v>82.38</v>
      </c>
      <c r="E1856" s="47">
        <v>10146197</v>
      </c>
      <c r="F1856" s="47" t="s">
        <v>680</v>
      </c>
      <c r="G1856" s="46">
        <f t="shared" si="26"/>
        <v>4.090798737557666E-2</v>
      </c>
    </row>
    <row r="1857" spans="1:7">
      <c r="A1857" s="47">
        <v>84.09</v>
      </c>
      <c r="B1857" s="47">
        <v>84.48</v>
      </c>
      <c r="C1857" s="47">
        <v>82.55</v>
      </c>
      <c r="D1857" s="47">
        <v>84.24</v>
      </c>
      <c r="E1857" s="47">
        <v>7247755</v>
      </c>
      <c r="F1857" s="47" t="s">
        <v>679</v>
      </c>
      <c r="G1857" s="46">
        <f t="shared" si="26"/>
        <v>-1.7806267806266263E-3</v>
      </c>
    </row>
    <row r="1858" spans="1:7">
      <c r="A1858" s="47">
        <v>83.26</v>
      </c>
      <c r="B1858" s="47">
        <v>85.23</v>
      </c>
      <c r="C1858" s="47">
        <v>82.34</v>
      </c>
      <c r="D1858" s="47">
        <v>85</v>
      </c>
      <c r="E1858" s="47">
        <v>6850418</v>
      </c>
      <c r="F1858" s="47" t="s">
        <v>678</v>
      </c>
      <c r="G1858" s="46">
        <f t="shared" si="26"/>
        <v>-2.0470588235294018E-2</v>
      </c>
    </row>
    <row r="1859" spans="1:7">
      <c r="A1859" s="47">
        <v>84.31</v>
      </c>
      <c r="B1859" s="47">
        <v>84.36</v>
      </c>
      <c r="C1859" s="47">
        <v>80.239999999999995</v>
      </c>
      <c r="D1859" s="47">
        <v>81.33</v>
      </c>
      <c r="E1859" s="47">
        <v>7849070</v>
      </c>
      <c r="F1859" s="47" t="s">
        <v>677</v>
      </c>
      <c r="G1859" s="46">
        <f t="shared" si="26"/>
        <v>3.6640845936309008E-2</v>
      </c>
    </row>
    <row r="1860" spans="1:7">
      <c r="A1860" s="47">
        <v>82.8</v>
      </c>
      <c r="B1860" s="47">
        <v>82.8</v>
      </c>
      <c r="C1860" s="47">
        <v>77.650000000000006</v>
      </c>
      <c r="D1860" s="47">
        <v>77.7</v>
      </c>
      <c r="E1860" s="47">
        <v>10994728</v>
      </c>
      <c r="F1860" s="47" t="s">
        <v>676</v>
      </c>
      <c r="G1860" s="46">
        <f t="shared" si="26"/>
        <v>6.5637065637065506E-2</v>
      </c>
    </row>
    <row r="1861" spans="1:7">
      <c r="A1861" s="47">
        <v>77.06</v>
      </c>
      <c r="B1861" s="47">
        <v>79.319900000000004</v>
      </c>
      <c r="C1861" s="47">
        <v>76.7</v>
      </c>
      <c r="D1861" s="47">
        <v>77.48</v>
      </c>
      <c r="E1861" s="47">
        <v>6800483</v>
      </c>
      <c r="F1861" s="47" t="s">
        <v>675</v>
      </c>
      <c r="G1861" s="46">
        <f t="shared" si="26"/>
        <v>-5.4207537429014074E-3</v>
      </c>
    </row>
    <row r="1862" spans="1:7">
      <c r="A1862" s="47">
        <v>78.14</v>
      </c>
      <c r="B1862" s="47">
        <v>83.77</v>
      </c>
      <c r="C1862" s="47">
        <v>77.69</v>
      </c>
      <c r="D1862" s="47">
        <v>82.81</v>
      </c>
      <c r="E1862" s="47">
        <v>17704936</v>
      </c>
      <c r="F1862" s="47" t="s">
        <v>674</v>
      </c>
      <c r="G1862" s="46">
        <f t="shared" si="26"/>
        <v>-5.6394155295254267E-2</v>
      </c>
    </row>
    <row r="1863" spans="1:7">
      <c r="A1863" s="47">
        <v>82.44</v>
      </c>
      <c r="B1863" s="47">
        <v>84.87</v>
      </c>
      <c r="C1863" s="47">
        <v>80.819999999999993</v>
      </c>
      <c r="D1863" s="47">
        <v>83.78</v>
      </c>
      <c r="E1863" s="47">
        <v>12532882</v>
      </c>
      <c r="F1863" s="47" t="s">
        <v>673</v>
      </c>
      <c r="G1863" s="46">
        <f t="shared" si="26"/>
        <v>-1.5994270708999836E-2</v>
      </c>
    </row>
    <row r="1864" spans="1:7">
      <c r="A1864" s="47">
        <v>84.03</v>
      </c>
      <c r="B1864" s="47">
        <v>87.8</v>
      </c>
      <c r="C1864" s="47">
        <v>82.93</v>
      </c>
      <c r="D1864" s="47">
        <v>85.63</v>
      </c>
      <c r="E1864" s="47">
        <v>11258380</v>
      </c>
      <c r="F1864" s="47" t="s">
        <v>672</v>
      </c>
      <c r="G1864" s="46">
        <f t="shared" si="26"/>
        <v>-1.8685040289618038E-2</v>
      </c>
    </row>
    <row r="1865" spans="1:7">
      <c r="A1865" s="47">
        <v>85.51</v>
      </c>
      <c r="B1865" s="47">
        <v>86.37</v>
      </c>
      <c r="C1865" s="47">
        <v>84.62</v>
      </c>
      <c r="D1865" s="47">
        <v>84.7</v>
      </c>
      <c r="E1865" s="47">
        <v>9573004</v>
      </c>
      <c r="F1865" s="47" t="s">
        <v>671</v>
      </c>
      <c r="G1865" s="46">
        <f t="shared" si="26"/>
        <v>9.5631641086186825E-3</v>
      </c>
    </row>
    <row r="1866" spans="1:7">
      <c r="A1866" s="47">
        <v>84.1</v>
      </c>
      <c r="B1866" s="47">
        <v>86.3</v>
      </c>
      <c r="C1866" s="47">
        <v>83.350800000000007</v>
      </c>
      <c r="D1866" s="47">
        <v>85.69</v>
      </c>
      <c r="E1866" s="47">
        <v>8368108</v>
      </c>
      <c r="F1866" s="47" t="s">
        <v>670</v>
      </c>
      <c r="G1866" s="46">
        <f t="shared" si="26"/>
        <v>-1.8555257322908192E-2</v>
      </c>
    </row>
    <row r="1867" spans="1:7">
      <c r="A1867" s="47">
        <v>85.92</v>
      </c>
      <c r="B1867" s="47">
        <v>87.94</v>
      </c>
      <c r="C1867" s="47">
        <v>85.42</v>
      </c>
      <c r="D1867" s="47">
        <v>86.38</v>
      </c>
      <c r="E1867" s="47">
        <v>6869115</v>
      </c>
      <c r="F1867" s="47" t="s">
        <v>669</v>
      </c>
      <c r="G1867" s="46">
        <f t="shared" si="26"/>
        <v>-5.3253067839776902E-3</v>
      </c>
    </row>
    <row r="1868" spans="1:7">
      <c r="A1868" s="47">
        <v>87.56</v>
      </c>
      <c r="B1868" s="47">
        <v>88.71</v>
      </c>
      <c r="C1868" s="47">
        <v>86.41</v>
      </c>
      <c r="D1868" s="47">
        <v>87.73</v>
      </c>
      <c r="E1868" s="47">
        <v>8877266</v>
      </c>
      <c r="F1868" s="47" t="s">
        <v>668</v>
      </c>
      <c r="G1868" s="46">
        <f t="shared" si="26"/>
        <v>-1.9377635928417014E-3</v>
      </c>
    </row>
    <row r="1869" spans="1:7">
      <c r="A1869" s="47">
        <v>86.5</v>
      </c>
      <c r="B1869" s="47">
        <v>88.46</v>
      </c>
      <c r="C1869" s="47">
        <v>86.5</v>
      </c>
      <c r="D1869" s="47">
        <v>86.84</v>
      </c>
      <c r="E1869" s="47">
        <v>10306780</v>
      </c>
      <c r="F1869" s="47" t="s">
        <v>667</v>
      </c>
      <c r="G1869" s="46">
        <f t="shared" si="26"/>
        <v>-3.9152464302165679E-3</v>
      </c>
    </row>
    <row r="1870" spans="1:7">
      <c r="A1870" s="47">
        <v>85.51</v>
      </c>
      <c r="B1870" s="47">
        <v>86.9</v>
      </c>
      <c r="C1870" s="47">
        <v>84.56</v>
      </c>
      <c r="D1870" s="47">
        <v>86.01</v>
      </c>
      <c r="E1870" s="47">
        <v>8159070</v>
      </c>
      <c r="F1870" s="47" t="s">
        <v>666</v>
      </c>
      <c r="G1870" s="46">
        <f t="shared" si="26"/>
        <v>-5.8132775258691316E-3</v>
      </c>
    </row>
    <row r="1871" spans="1:7">
      <c r="A1871" s="47">
        <v>84.93</v>
      </c>
      <c r="B1871" s="47">
        <v>85.5</v>
      </c>
      <c r="C1871" s="47">
        <v>82.76</v>
      </c>
      <c r="D1871" s="47">
        <v>83.25</v>
      </c>
      <c r="E1871" s="47">
        <v>9348154</v>
      </c>
      <c r="F1871" s="47" t="s">
        <v>665</v>
      </c>
      <c r="G1871" s="46">
        <f t="shared" si="26"/>
        <v>2.0180180180180196E-2</v>
      </c>
    </row>
    <row r="1872" spans="1:7">
      <c r="A1872" s="47">
        <v>82.77</v>
      </c>
      <c r="B1872" s="47">
        <v>85.99</v>
      </c>
      <c r="C1872" s="47">
        <v>81.97</v>
      </c>
      <c r="D1872" s="47">
        <v>84.96</v>
      </c>
      <c r="E1872" s="47">
        <v>8419488</v>
      </c>
      <c r="F1872" s="47" t="s">
        <v>664</v>
      </c>
      <c r="G1872" s="46">
        <f t="shared" si="26"/>
        <v>-2.577683615819204E-2</v>
      </c>
    </row>
    <row r="1873" spans="1:7">
      <c r="A1873" s="47">
        <v>85.82</v>
      </c>
      <c r="B1873" s="47">
        <v>85.86</v>
      </c>
      <c r="C1873" s="47">
        <v>81.290000000000006</v>
      </c>
      <c r="D1873" s="47">
        <v>81.819999999999993</v>
      </c>
      <c r="E1873" s="47">
        <v>10197740</v>
      </c>
      <c r="F1873" s="47" t="s">
        <v>663</v>
      </c>
      <c r="G1873" s="46">
        <f t="shared" si="26"/>
        <v>4.8887802493277954E-2</v>
      </c>
    </row>
    <row r="1874" spans="1:7">
      <c r="A1874" s="47">
        <v>84.19</v>
      </c>
      <c r="B1874" s="47">
        <v>88.47</v>
      </c>
      <c r="C1874" s="47">
        <v>84.02</v>
      </c>
      <c r="D1874" s="47">
        <v>87.24</v>
      </c>
      <c r="E1874" s="47">
        <v>8251093</v>
      </c>
      <c r="F1874" s="47" t="s">
        <v>662</v>
      </c>
      <c r="G1874" s="46">
        <f t="shared" si="26"/>
        <v>-3.4961027051811033E-2</v>
      </c>
    </row>
    <row r="1875" spans="1:7">
      <c r="A1875" s="47">
        <v>87.98</v>
      </c>
      <c r="B1875" s="47">
        <v>88.84</v>
      </c>
      <c r="C1875" s="47">
        <v>87.19</v>
      </c>
      <c r="D1875" s="47">
        <v>87.29</v>
      </c>
      <c r="E1875" s="47">
        <v>10822485</v>
      </c>
      <c r="F1875" s="47" t="s">
        <v>661</v>
      </c>
      <c r="G1875" s="46">
        <f t="shared" si="26"/>
        <v>7.9046855309885533E-3</v>
      </c>
    </row>
    <row r="1876" spans="1:7">
      <c r="A1876" s="47">
        <v>85.81</v>
      </c>
      <c r="B1876" s="47">
        <v>85.86</v>
      </c>
      <c r="C1876" s="47">
        <v>83.66</v>
      </c>
      <c r="D1876" s="47">
        <v>84.39</v>
      </c>
      <c r="E1876" s="47">
        <v>11273280</v>
      </c>
      <c r="F1876" s="47" t="s">
        <v>660</v>
      </c>
      <c r="G1876" s="46">
        <f t="shared" si="26"/>
        <v>1.6826638227278146E-2</v>
      </c>
    </row>
    <row r="1877" spans="1:7">
      <c r="A1877" s="47">
        <v>84.26</v>
      </c>
      <c r="B1877" s="47">
        <v>85.674999999999997</v>
      </c>
      <c r="C1877" s="47">
        <v>83.79</v>
      </c>
      <c r="D1877" s="47">
        <v>85.37</v>
      </c>
      <c r="E1877" s="47">
        <v>6516560</v>
      </c>
      <c r="F1877" s="47" t="s">
        <v>659</v>
      </c>
      <c r="G1877" s="46">
        <f t="shared" si="26"/>
        <v>-1.3002225606184803E-2</v>
      </c>
    </row>
    <row r="1878" spans="1:7">
      <c r="A1878" s="47">
        <v>85.98</v>
      </c>
      <c r="B1878" s="47">
        <v>86</v>
      </c>
      <c r="C1878" s="47">
        <v>81.949600000000004</v>
      </c>
      <c r="D1878" s="47">
        <v>82.27</v>
      </c>
      <c r="E1878" s="47">
        <v>9341953</v>
      </c>
      <c r="F1878" s="47" t="s">
        <v>658</v>
      </c>
      <c r="G1878" s="46">
        <f t="shared" si="26"/>
        <v>4.5095417527653003E-2</v>
      </c>
    </row>
    <row r="1879" spans="1:7">
      <c r="A1879" s="47">
        <v>81.97</v>
      </c>
      <c r="B1879" s="47">
        <v>82</v>
      </c>
      <c r="C1879" s="47">
        <v>80.204999999999998</v>
      </c>
      <c r="D1879" s="47">
        <v>81</v>
      </c>
      <c r="E1879" s="47">
        <v>5335151</v>
      </c>
      <c r="F1879" s="47" t="s">
        <v>657</v>
      </c>
      <c r="G1879" s="46">
        <f t="shared" si="26"/>
        <v>1.197530864197538E-2</v>
      </c>
    </row>
    <row r="1880" spans="1:7">
      <c r="A1880" s="47">
        <v>80.86</v>
      </c>
      <c r="B1880" s="47">
        <v>80.98</v>
      </c>
      <c r="C1880" s="47">
        <v>78.86</v>
      </c>
      <c r="D1880" s="47">
        <v>78.97</v>
      </c>
      <c r="E1880" s="47">
        <v>9292903</v>
      </c>
      <c r="F1880" s="47" t="s">
        <v>656</v>
      </c>
      <c r="G1880" s="46">
        <f t="shared" si="26"/>
        <v>2.393313916677231E-2</v>
      </c>
    </row>
    <row r="1881" spans="1:7">
      <c r="A1881" s="47">
        <v>77.95</v>
      </c>
      <c r="B1881" s="47">
        <v>79.709999999999994</v>
      </c>
      <c r="C1881" s="47">
        <v>77.900000000000006</v>
      </c>
      <c r="D1881" s="47">
        <v>78.09</v>
      </c>
      <c r="E1881" s="47">
        <v>3066853</v>
      </c>
      <c r="F1881" s="47" t="s">
        <v>655</v>
      </c>
      <c r="G1881" s="46">
        <f t="shared" si="26"/>
        <v>-1.7928031758227547E-3</v>
      </c>
    </row>
    <row r="1882" spans="1:7">
      <c r="A1882" s="47">
        <v>79.12</v>
      </c>
      <c r="B1882" s="47">
        <v>79.89</v>
      </c>
      <c r="C1882" s="47">
        <v>77.635000000000005</v>
      </c>
      <c r="D1882" s="47">
        <v>79.09</v>
      </c>
      <c r="E1882" s="47">
        <v>8522932</v>
      </c>
      <c r="F1882" s="47" t="s">
        <v>654</v>
      </c>
      <c r="G1882" s="46">
        <f t="shared" si="26"/>
        <v>3.7931470476681994E-4</v>
      </c>
    </row>
    <row r="1883" spans="1:7">
      <c r="A1883" s="47">
        <v>77.760000000000005</v>
      </c>
      <c r="B1883" s="47">
        <v>79.08</v>
      </c>
      <c r="C1883" s="47">
        <v>75.47</v>
      </c>
      <c r="D1883" s="47">
        <v>77</v>
      </c>
      <c r="E1883" s="47">
        <v>14202099</v>
      </c>
      <c r="F1883" s="47" t="s">
        <v>653</v>
      </c>
      <c r="G1883" s="46">
        <f t="shared" si="26"/>
        <v>9.8701298701300288E-3</v>
      </c>
    </row>
    <row r="1884" spans="1:7">
      <c r="A1884" s="47">
        <v>80.13</v>
      </c>
      <c r="B1884" s="47">
        <v>85.19</v>
      </c>
      <c r="C1884" s="47">
        <v>79.900000000000006</v>
      </c>
      <c r="D1884" s="47">
        <v>84.77</v>
      </c>
      <c r="E1884" s="47">
        <v>11455289</v>
      </c>
      <c r="F1884" s="47" t="s">
        <v>652</v>
      </c>
      <c r="G1884" s="46">
        <f t="shared" si="26"/>
        <v>-5.4736345405214104E-2</v>
      </c>
    </row>
    <row r="1885" spans="1:7">
      <c r="A1885" s="47">
        <v>85.06</v>
      </c>
      <c r="B1885" s="47">
        <v>86.72</v>
      </c>
      <c r="C1885" s="47">
        <v>84.83</v>
      </c>
      <c r="D1885" s="47">
        <v>86</v>
      </c>
      <c r="E1885" s="47">
        <v>7580987</v>
      </c>
      <c r="F1885" s="47" t="s">
        <v>651</v>
      </c>
      <c r="G1885" s="46">
        <f t="shared" si="26"/>
        <v>-1.0930232558139519E-2</v>
      </c>
    </row>
    <row r="1886" spans="1:7">
      <c r="A1886" s="47">
        <v>86.74</v>
      </c>
      <c r="B1886" s="47">
        <v>87.09</v>
      </c>
      <c r="C1886" s="47">
        <v>83.6</v>
      </c>
      <c r="D1886" s="47">
        <v>83.79</v>
      </c>
      <c r="E1886" s="47">
        <v>10001248</v>
      </c>
      <c r="F1886" s="47" t="s">
        <v>650</v>
      </c>
      <c r="G1886" s="46">
        <f t="shared" si="26"/>
        <v>3.5207065282253147E-2</v>
      </c>
    </row>
    <row r="1887" spans="1:7">
      <c r="A1887" s="47">
        <v>84.05</v>
      </c>
      <c r="B1887" s="47">
        <v>85.14</v>
      </c>
      <c r="C1887" s="47">
        <v>83.07</v>
      </c>
      <c r="D1887" s="47">
        <v>84.98</v>
      </c>
      <c r="E1887" s="47">
        <v>6678468</v>
      </c>
      <c r="F1887" s="47" t="s">
        <v>649</v>
      </c>
      <c r="G1887" s="46">
        <f t="shared" si="26"/>
        <v>-1.0943751470934404E-2</v>
      </c>
    </row>
    <row r="1888" spans="1:7">
      <c r="A1888" s="47">
        <v>83.78</v>
      </c>
      <c r="B1888" s="47">
        <v>85.228999999999999</v>
      </c>
      <c r="C1888" s="47">
        <v>83.16</v>
      </c>
      <c r="D1888" s="47">
        <v>84.12</v>
      </c>
      <c r="E1888" s="47">
        <v>4731289</v>
      </c>
      <c r="F1888" s="47" t="s">
        <v>648</v>
      </c>
      <c r="G1888" s="46">
        <f t="shared" si="26"/>
        <v>-4.0418449833571346E-3</v>
      </c>
    </row>
    <row r="1889" spans="1:7">
      <c r="A1889" s="47">
        <v>83.78</v>
      </c>
      <c r="B1889" s="47">
        <v>86.65</v>
      </c>
      <c r="C1889" s="47">
        <v>83.3</v>
      </c>
      <c r="D1889" s="47">
        <v>86.17</v>
      </c>
      <c r="E1889" s="47">
        <v>6278185</v>
      </c>
      <c r="F1889" s="47" t="s">
        <v>647</v>
      </c>
      <c r="G1889" s="46">
        <f t="shared" si="26"/>
        <v>-2.7735870952767749E-2</v>
      </c>
    </row>
    <row r="1890" spans="1:7">
      <c r="A1890" s="47">
        <v>86.76</v>
      </c>
      <c r="B1890" s="47">
        <v>88.45</v>
      </c>
      <c r="C1890" s="47">
        <v>85.55</v>
      </c>
      <c r="D1890" s="47">
        <v>88.45</v>
      </c>
      <c r="E1890" s="47">
        <v>9105908</v>
      </c>
      <c r="F1890" s="47" t="s">
        <v>646</v>
      </c>
      <c r="G1890" s="46">
        <f t="shared" si="26"/>
        <v>-1.9106840022611649E-2</v>
      </c>
    </row>
    <row r="1891" spans="1:7">
      <c r="A1891" s="47">
        <v>89.04</v>
      </c>
      <c r="B1891" s="47">
        <v>89.06</v>
      </c>
      <c r="C1891" s="47">
        <v>87.68</v>
      </c>
      <c r="D1891" s="47">
        <v>87.7</v>
      </c>
      <c r="E1891" s="47">
        <v>7539282</v>
      </c>
      <c r="F1891" s="47" t="s">
        <v>645</v>
      </c>
      <c r="G1891" s="46">
        <f t="shared" si="26"/>
        <v>1.5279361459521024E-2</v>
      </c>
    </row>
    <row r="1892" spans="1:7">
      <c r="A1892" s="47">
        <v>88.23</v>
      </c>
      <c r="B1892" s="47">
        <v>88.49</v>
      </c>
      <c r="C1892" s="47">
        <v>85.73</v>
      </c>
      <c r="D1892" s="47">
        <v>85.86</v>
      </c>
      <c r="E1892" s="47">
        <v>8672013</v>
      </c>
      <c r="F1892" s="47" t="s">
        <v>644</v>
      </c>
      <c r="G1892" s="46">
        <f t="shared" si="26"/>
        <v>2.7603074772886149E-2</v>
      </c>
    </row>
    <row r="1893" spans="1:7">
      <c r="A1893" s="47">
        <v>84.69</v>
      </c>
      <c r="B1893" s="47">
        <v>85.31</v>
      </c>
      <c r="C1893" s="47">
        <v>83.72</v>
      </c>
      <c r="D1893" s="47">
        <v>84.1</v>
      </c>
      <c r="E1893" s="47">
        <v>4662485</v>
      </c>
      <c r="F1893" s="47" t="s">
        <v>643</v>
      </c>
      <c r="G1893" s="46">
        <f t="shared" si="26"/>
        <v>7.0154577883472236E-3</v>
      </c>
    </row>
    <row r="1894" spans="1:7">
      <c r="A1894" s="47">
        <v>84.05</v>
      </c>
      <c r="B1894" s="47">
        <v>84.25</v>
      </c>
      <c r="C1894" s="47">
        <v>82.25</v>
      </c>
      <c r="D1894" s="47">
        <v>83.33</v>
      </c>
      <c r="E1894" s="47">
        <v>4622289</v>
      </c>
      <c r="F1894" s="47" t="s">
        <v>642</v>
      </c>
      <c r="G1894" s="46">
        <f t="shared" si="26"/>
        <v>8.6403456138244294E-3</v>
      </c>
    </row>
    <row r="1895" spans="1:7">
      <c r="A1895" s="47">
        <v>83.51</v>
      </c>
      <c r="B1895" s="47">
        <v>86.103999999999999</v>
      </c>
      <c r="C1895" s="47">
        <v>82.65</v>
      </c>
      <c r="D1895" s="47">
        <v>85.46</v>
      </c>
      <c r="E1895" s="47">
        <v>7014351</v>
      </c>
      <c r="F1895" s="47" t="s">
        <v>641</v>
      </c>
      <c r="G1895" s="46">
        <f t="shared" si="26"/>
        <v>-2.281769248771337E-2</v>
      </c>
    </row>
    <row r="1896" spans="1:7">
      <c r="A1896" s="47">
        <v>85.04</v>
      </c>
      <c r="B1896" s="47">
        <v>85.15</v>
      </c>
      <c r="C1896" s="47">
        <v>83.57</v>
      </c>
      <c r="D1896" s="47">
        <v>84.18</v>
      </c>
      <c r="E1896" s="47">
        <v>5952606</v>
      </c>
      <c r="F1896" s="47" t="s">
        <v>640</v>
      </c>
      <c r="G1896" s="46">
        <f t="shared" si="26"/>
        <v>1.0216203373722976E-2</v>
      </c>
    </row>
    <row r="1897" spans="1:7">
      <c r="A1897" s="47">
        <v>84.19</v>
      </c>
      <c r="B1897" s="47">
        <v>85.35</v>
      </c>
      <c r="C1897" s="47">
        <v>82.3</v>
      </c>
      <c r="D1897" s="47">
        <v>82.37</v>
      </c>
      <c r="E1897" s="47">
        <v>11191843</v>
      </c>
      <c r="F1897" s="47" t="s">
        <v>639</v>
      </c>
      <c r="G1897" s="46">
        <f t="shared" si="26"/>
        <v>2.2095423090931154E-2</v>
      </c>
    </row>
    <row r="1898" spans="1:7">
      <c r="A1898" s="47">
        <v>80.900000000000006</v>
      </c>
      <c r="B1898" s="47">
        <v>81.96</v>
      </c>
      <c r="C1898" s="47">
        <v>79.42</v>
      </c>
      <c r="D1898" s="47">
        <v>80.33</v>
      </c>
      <c r="E1898" s="47">
        <v>13100808</v>
      </c>
      <c r="F1898" s="47" t="s">
        <v>638</v>
      </c>
      <c r="G1898" s="46">
        <f t="shared" si="26"/>
        <v>7.0957301132827943E-3</v>
      </c>
    </row>
    <row r="1899" spans="1:7">
      <c r="A1899" s="47">
        <v>81.150000000000006</v>
      </c>
      <c r="B1899" s="47">
        <v>85.24</v>
      </c>
      <c r="C1899" s="47">
        <v>78.989999999999995</v>
      </c>
      <c r="D1899" s="47">
        <v>84.74</v>
      </c>
      <c r="E1899" s="47">
        <v>12918820</v>
      </c>
      <c r="F1899" s="47" t="s">
        <v>637</v>
      </c>
      <c r="G1899" s="46">
        <f t="shared" si="26"/>
        <v>-4.2364880811895045E-2</v>
      </c>
    </row>
    <row r="1900" spans="1:7">
      <c r="A1900" s="47">
        <v>83.37</v>
      </c>
      <c r="B1900" s="47">
        <v>85.66</v>
      </c>
      <c r="C1900" s="47">
        <v>82.18</v>
      </c>
      <c r="D1900" s="47">
        <v>83.22</v>
      </c>
      <c r="E1900" s="47">
        <v>13969414</v>
      </c>
      <c r="F1900" s="47" t="s">
        <v>636</v>
      </c>
      <c r="G1900" s="46">
        <f t="shared" si="26"/>
        <v>1.8024513338139592E-3</v>
      </c>
    </row>
    <row r="1901" spans="1:7">
      <c r="A1901" s="47">
        <v>85.96</v>
      </c>
      <c r="B1901" s="47">
        <v>86.51</v>
      </c>
      <c r="C1901" s="47">
        <v>83.56</v>
      </c>
      <c r="D1901" s="47">
        <v>84.24</v>
      </c>
      <c r="E1901" s="47">
        <v>9267622</v>
      </c>
      <c r="F1901" s="47" t="s">
        <v>635</v>
      </c>
      <c r="G1901" s="46">
        <f t="shared" si="26"/>
        <v>2.0417853751186987E-2</v>
      </c>
    </row>
    <row r="1902" spans="1:7">
      <c r="A1902" s="47">
        <v>83.09</v>
      </c>
      <c r="B1902" s="47">
        <v>87.69</v>
      </c>
      <c r="C1902" s="47">
        <v>83.01</v>
      </c>
      <c r="D1902" s="47">
        <v>87.04</v>
      </c>
      <c r="E1902" s="47">
        <v>14754551</v>
      </c>
      <c r="F1902" s="47" t="s">
        <v>634</v>
      </c>
      <c r="G1902" s="46">
        <f t="shared" si="26"/>
        <v>-4.5381433823529438E-2</v>
      </c>
    </row>
    <row r="1903" spans="1:7">
      <c r="A1903" s="47">
        <v>87.57</v>
      </c>
      <c r="B1903" s="47">
        <v>87.8</v>
      </c>
      <c r="C1903" s="47">
        <v>82.99</v>
      </c>
      <c r="D1903" s="47">
        <v>83.2</v>
      </c>
      <c r="E1903" s="47">
        <v>14753761</v>
      </c>
      <c r="F1903" s="47" t="s">
        <v>633</v>
      </c>
      <c r="G1903" s="46">
        <f t="shared" si="26"/>
        <v>5.2524038461538414E-2</v>
      </c>
    </row>
    <row r="1904" spans="1:7">
      <c r="A1904" s="47">
        <v>85.43</v>
      </c>
      <c r="B1904" s="47">
        <v>86.23</v>
      </c>
      <c r="C1904" s="47">
        <v>83.571100000000001</v>
      </c>
      <c r="D1904" s="47">
        <v>84.86</v>
      </c>
      <c r="E1904" s="47">
        <v>11254755</v>
      </c>
      <c r="F1904" s="47" t="s">
        <v>632</v>
      </c>
      <c r="G1904" s="46">
        <f t="shared" si="26"/>
        <v>6.716945557388776E-3</v>
      </c>
    </row>
    <row r="1905" spans="1:7">
      <c r="A1905" s="47">
        <v>84.78</v>
      </c>
      <c r="B1905" s="47">
        <v>86.17</v>
      </c>
      <c r="C1905" s="47">
        <v>82.92</v>
      </c>
      <c r="D1905" s="47">
        <v>83.75</v>
      </c>
      <c r="E1905" s="47">
        <v>34211905</v>
      </c>
      <c r="F1905" s="47" t="s">
        <v>631</v>
      </c>
      <c r="G1905" s="46">
        <f t="shared" si="26"/>
        <v>1.2298507462686681E-2</v>
      </c>
    </row>
    <row r="1906" spans="1:7">
      <c r="A1906" s="47">
        <v>77.48</v>
      </c>
      <c r="B1906" s="47">
        <v>80.44</v>
      </c>
      <c r="C1906" s="47">
        <v>77.36</v>
      </c>
      <c r="D1906" s="47">
        <v>80.17</v>
      </c>
      <c r="E1906" s="47">
        <v>19748527</v>
      </c>
      <c r="F1906" s="47" t="s">
        <v>630</v>
      </c>
      <c r="G1906" s="46">
        <f t="shared" si="26"/>
        <v>-3.3553698390919262E-2</v>
      </c>
    </row>
    <row r="1907" spans="1:7">
      <c r="A1907" s="47">
        <v>80.09</v>
      </c>
      <c r="B1907" s="47">
        <v>81.39</v>
      </c>
      <c r="C1907" s="47">
        <v>79.5</v>
      </c>
      <c r="D1907" s="47">
        <v>81.19</v>
      </c>
      <c r="E1907" s="47">
        <v>10022637</v>
      </c>
      <c r="F1907" s="47" t="s">
        <v>629</v>
      </c>
      <c r="G1907" s="46">
        <f t="shared" si="26"/>
        <v>-1.3548466559921146E-2</v>
      </c>
    </row>
    <row r="1908" spans="1:7">
      <c r="A1908" s="47">
        <v>80.61</v>
      </c>
      <c r="B1908" s="47">
        <v>80.91</v>
      </c>
      <c r="C1908" s="47">
        <v>78.459999999999994</v>
      </c>
      <c r="D1908" s="47">
        <v>78.849999999999994</v>
      </c>
      <c r="E1908" s="47">
        <v>10059964</v>
      </c>
      <c r="F1908" s="47" t="s">
        <v>628</v>
      </c>
      <c r="G1908" s="46">
        <f t="shared" si="26"/>
        <v>2.2320862396956409E-2</v>
      </c>
    </row>
    <row r="1909" spans="1:7">
      <c r="A1909" s="47">
        <v>77.23</v>
      </c>
      <c r="B1909" s="47">
        <v>79.14</v>
      </c>
      <c r="C1909" s="47">
        <v>77.22</v>
      </c>
      <c r="D1909" s="47">
        <v>78.88</v>
      </c>
      <c r="E1909" s="47">
        <v>8481098</v>
      </c>
      <c r="F1909" s="47" t="s">
        <v>627</v>
      </c>
      <c r="G1909" s="46">
        <f t="shared" si="26"/>
        <v>-2.0917849898580032E-2</v>
      </c>
    </row>
    <row r="1910" spans="1:7">
      <c r="A1910" s="47">
        <v>79.03</v>
      </c>
      <c r="B1910" s="47">
        <v>79.599999999999994</v>
      </c>
      <c r="C1910" s="47">
        <v>77.790000000000006</v>
      </c>
      <c r="D1910" s="47">
        <v>79.12</v>
      </c>
      <c r="E1910" s="47">
        <v>14131406</v>
      </c>
      <c r="F1910" s="47" t="s">
        <v>626</v>
      </c>
      <c r="G1910" s="46">
        <f t="shared" si="26"/>
        <v>-1.1375126390293921E-3</v>
      </c>
    </row>
    <row r="1911" spans="1:7">
      <c r="A1911" s="47">
        <v>75.900000000000006</v>
      </c>
      <c r="B1911" s="47">
        <v>77.784999999999997</v>
      </c>
      <c r="C1911" s="47">
        <v>74.66</v>
      </c>
      <c r="D1911" s="47">
        <v>76.81</v>
      </c>
      <c r="E1911" s="47">
        <v>21010646</v>
      </c>
      <c r="F1911" s="47" t="s">
        <v>625</v>
      </c>
      <c r="G1911" s="46">
        <f t="shared" si="26"/>
        <v>-1.1847415701080499E-2</v>
      </c>
    </row>
    <row r="1912" spans="1:7">
      <c r="A1912" s="47">
        <v>75.45</v>
      </c>
      <c r="B1912" s="47">
        <v>79.91</v>
      </c>
      <c r="C1912" s="47">
        <v>75.319999999999993</v>
      </c>
      <c r="D1912" s="47">
        <v>79.61</v>
      </c>
      <c r="E1912" s="47">
        <v>16920253</v>
      </c>
      <c r="F1912" s="47" t="s">
        <v>624</v>
      </c>
      <c r="G1912" s="46">
        <f t="shared" si="26"/>
        <v>-5.2254741866599619E-2</v>
      </c>
    </row>
    <row r="1913" spans="1:7">
      <c r="A1913" s="47">
        <v>80.03</v>
      </c>
      <c r="B1913" s="47">
        <v>81.84</v>
      </c>
      <c r="C1913" s="47">
        <v>79.44</v>
      </c>
      <c r="D1913" s="47">
        <v>80.650000000000006</v>
      </c>
      <c r="E1913" s="47">
        <v>9332600</v>
      </c>
      <c r="F1913" s="47" t="s">
        <v>623</v>
      </c>
      <c r="G1913" s="46">
        <f t="shared" si="26"/>
        <v>-7.6875387476752488E-3</v>
      </c>
    </row>
    <row r="1914" spans="1:7">
      <c r="A1914" s="47">
        <v>80.55</v>
      </c>
      <c r="B1914" s="47">
        <v>82.89</v>
      </c>
      <c r="C1914" s="47">
        <v>78.650000000000006</v>
      </c>
      <c r="D1914" s="47">
        <v>82.62</v>
      </c>
      <c r="E1914" s="47">
        <v>16872156</v>
      </c>
      <c r="F1914" s="47" t="s">
        <v>622</v>
      </c>
      <c r="G1914" s="46">
        <f t="shared" ref="G1914:G1977" si="27">A1914/D1914-1</f>
        <v>-2.5054466230936878E-2</v>
      </c>
    </row>
    <row r="1915" spans="1:7">
      <c r="A1915" s="47">
        <v>83.18</v>
      </c>
      <c r="B1915" s="47">
        <v>84.84</v>
      </c>
      <c r="C1915" s="47">
        <v>82.32</v>
      </c>
      <c r="D1915" s="47">
        <v>84.21</v>
      </c>
      <c r="E1915" s="47">
        <v>10735779</v>
      </c>
      <c r="F1915" s="47" t="s">
        <v>621</v>
      </c>
      <c r="G1915" s="46">
        <f t="shared" si="27"/>
        <v>-1.2231326445790169E-2</v>
      </c>
    </row>
    <row r="1916" spans="1:7">
      <c r="A1916" s="47">
        <v>84.34</v>
      </c>
      <c r="B1916" s="47">
        <v>86.5</v>
      </c>
      <c r="C1916" s="47">
        <v>83.54</v>
      </c>
      <c r="D1916" s="47">
        <v>86.39</v>
      </c>
      <c r="E1916" s="47">
        <v>9078341</v>
      </c>
      <c r="F1916" s="47" t="s">
        <v>620</v>
      </c>
      <c r="G1916" s="46">
        <f t="shared" si="27"/>
        <v>-2.3729598333140367E-2</v>
      </c>
    </row>
    <row r="1917" spans="1:7">
      <c r="A1917" s="47">
        <v>87.15</v>
      </c>
      <c r="B1917" s="47">
        <v>87.95</v>
      </c>
      <c r="C1917" s="47">
        <v>86.37</v>
      </c>
      <c r="D1917" s="47">
        <v>87.4</v>
      </c>
      <c r="E1917" s="47">
        <v>6625013</v>
      </c>
      <c r="F1917" s="47" t="s">
        <v>619</v>
      </c>
      <c r="G1917" s="46">
        <f t="shared" si="27"/>
        <v>-2.8604118993135197E-3</v>
      </c>
    </row>
    <row r="1918" spans="1:7">
      <c r="A1918" s="47">
        <v>86.68</v>
      </c>
      <c r="B1918" s="47">
        <v>87.35</v>
      </c>
      <c r="C1918" s="47">
        <v>85.83</v>
      </c>
      <c r="D1918" s="47">
        <v>87.27</v>
      </c>
      <c r="E1918" s="47">
        <v>6488198</v>
      </c>
      <c r="F1918" s="47" t="s">
        <v>618</v>
      </c>
      <c r="G1918" s="46">
        <f t="shared" si="27"/>
        <v>-6.7606279362895094E-3</v>
      </c>
    </row>
    <row r="1919" spans="1:7">
      <c r="A1919" s="47">
        <v>87.55</v>
      </c>
      <c r="B1919" s="47">
        <v>88.8</v>
      </c>
      <c r="C1919" s="47">
        <v>87.4</v>
      </c>
      <c r="D1919" s="47">
        <v>88.13</v>
      </c>
      <c r="E1919" s="47">
        <v>9260577</v>
      </c>
      <c r="F1919" s="47" t="s">
        <v>617</v>
      </c>
      <c r="G1919" s="46">
        <f t="shared" si="27"/>
        <v>-6.5811868830136788E-3</v>
      </c>
    </row>
    <row r="1920" spans="1:7">
      <c r="A1920" s="47">
        <v>87.84</v>
      </c>
      <c r="B1920" s="47">
        <v>89.045000000000002</v>
      </c>
      <c r="C1920" s="47">
        <v>87.6</v>
      </c>
      <c r="D1920" s="47">
        <v>88.79</v>
      </c>
      <c r="E1920" s="47">
        <v>7920916</v>
      </c>
      <c r="F1920" s="47" t="s">
        <v>616</v>
      </c>
      <c r="G1920" s="46">
        <f t="shared" si="27"/>
        <v>-1.069940308593309E-2</v>
      </c>
    </row>
    <row r="1921" spans="1:7">
      <c r="A1921" s="47">
        <v>88.99</v>
      </c>
      <c r="B1921" s="47">
        <v>90.7</v>
      </c>
      <c r="C1921" s="47">
        <v>88.86</v>
      </c>
      <c r="D1921" s="47">
        <v>90.61</v>
      </c>
      <c r="E1921" s="47">
        <v>6996564</v>
      </c>
      <c r="F1921" s="47" t="s">
        <v>615</v>
      </c>
      <c r="G1921" s="46">
        <f t="shared" si="27"/>
        <v>-1.7878821322149907E-2</v>
      </c>
    </row>
    <row r="1922" spans="1:7">
      <c r="A1922" s="47">
        <v>89.85</v>
      </c>
      <c r="B1922" s="47">
        <v>90.93</v>
      </c>
      <c r="C1922" s="47">
        <v>89.7</v>
      </c>
      <c r="D1922" s="47">
        <v>90.34</v>
      </c>
      <c r="E1922" s="47">
        <v>5936191</v>
      </c>
      <c r="F1922" s="47" t="s">
        <v>614</v>
      </c>
      <c r="G1922" s="46">
        <f t="shared" si="27"/>
        <v>-5.4239539517380031E-3</v>
      </c>
    </row>
    <row r="1923" spans="1:7">
      <c r="A1923" s="47">
        <v>90.04</v>
      </c>
      <c r="B1923" s="47">
        <v>90.38</v>
      </c>
      <c r="C1923" s="47">
        <v>89.274799999999999</v>
      </c>
      <c r="D1923" s="47">
        <v>89.62</v>
      </c>
      <c r="E1923" s="47">
        <v>5953397</v>
      </c>
      <c r="F1923" s="47" t="s">
        <v>613</v>
      </c>
      <c r="G1923" s="46">
        <f t="shared" si="27"/>
        <v>4.6864539165365482E-3</v>
      </c>
    </row>
    <row r="1924" spans="1:7">
      <c r="A1924" s="47">
        <v>89.62</v>
      </c>
      <c r="B1924" s="47">
        <v>90.26</v>
      </c>
      <c r="C1924" s="47">
        <v>88.26</v>
      </c>
      <c r="D1924" s="47">
        <v>89.95</v>
      </c>
      <c r="E1924" s="47">
        <v>8303272</v>
      </c>
      <c r="F1924" s="47" t="s">
        <v>612</v>
      </c>
      <c r="G1924" s="46">
        <f t="shared" si="27"/>
        <v>-3.6687048360199981E-3</v>
      </c>
    </row>
    <row r="1925" spans="1:7">
      <c r="A1925" s="47">
        <v>90.62</v>
      </c>
      <c r="B1925" s="47">
        <v>92</v>
      </c>
      <c r="C1925" s="47">
        <v>90.42</v>
      </c>
      <c r="D1925" s="47">
        <v>91.05</v>
      </c>
      <c r="E1925" s="47">
        <v>25379398</v>
      </c>
      <c r="F1925" s="47" t="s">
        <v>611</v>
      </c>
      <c r="G1925" s="46">
        <f t="shared" si="27"/>
        <v>-4.722679846238198E-3</v>
      </c>
    </row>
    <row r="1926" spans="1:7">
      <c r="A1926" s="47">
        <v>90.6</v>
      </c>
      <c r="B1926" s="47">
        <v>90.78</v>
      </c>
      <c r="C1926" s="47">
        <v>89.185000000000002</v>
      </c>
      <c r="D1926" s="47">
        <v>89.84</v>
      </c>
      <c r="E1926" s="47">
        <v>6562065</v>
      </c>
      <c r="F1926" s="47" t="s">
        <v>610</v>
      </c>
      <c r="G1926" s="46">
        <f t="shared" si="27"/>
        <v>8.4594835262687962E-3</v>
      </c>
    </row>
    <row r="1927" spans="1:7">
      <c r="A1927" s="47">
        <v>89.31</v>
      </c>
      <c r="B1927" s="47">
        <v>90.739900000000006</v>
      </c>
      <c r="C1927" s="47">
        <v>88.238200000000006</v>
      </c>
      <c r="D1927" s="47">
        <v>90.1</v>
      </c>
      <c r="E1927" s="47">
        <v>5495100</v>
      </c>
      <c r="F1927" s="47" t="s">
        <v>609</v>
      </c>
      <c r="G1927" s="46">
        <f t="shared" si="27"/>
        <v>-8.7680355160931756E-3</v>
      </c>
    </row>
    <row r="1928" spans="1:7">
      <c r="A1928" s="47">
        <v>89.72</v>
      </c>
      <c r="B1928" s="47">
        <v>90.09</v>
      </c>
      <c r="C1928" s="47">
        <v>88.71</v>
      </c>
      <c r="D1928" s="47">
        <v>88.71</v>
      </c>
      <c r="E1928" s="47">
        <v>5690149</v>
      </c>
      <c r="F1928" s="47" t="s">
        <v>608</v>
      </c>
      <c r="G1928" s="46">
        <f t="shared" si="27"/>
        <v>1.1385413143952361E-2</v>
      </c>
    </row>
    <row r="1929" spans="1:7">
      <c r="A1929" s="47">
        <v>88.68</v>
      </c>
      <c r="B1929" s="47">
        <v>91.3</v>
      </c>
      <c r="C1929" s="47">
        <v>88.51</v>
      </c>
      <c r="D1929" s="47">
        <v>90.66</v>
      </c>
      <c r="E1929" s="47">
        <v>9254520</v>
      </c>
      <c r="F1929" s="47" t="s">
        <v>607</v>
      </c>
      <c r="G1929" s="46">
        <f t="shared" si="27"/>
        <v>-2.1839841164791429E-2</v>
      </c>
    </row>
    <row r="1930" spans="1:7">
      <c r="A1930" s="47">
        <v>90.78</v>
      </c>
      <c r="B1930" s="47">
        <v>92.68</v>
      </c>
      <c r="C1930" s="47">
        <v>90.68</v>
      </c>
      <c r="D1930" s="47">
        <v>92.25</v>
      </c>
      <c r="E1930" s="47">
        <v>9145211</v>
      </c>
      <c r="F1930" s="47" t="s">
        <v>606</v>
      </c>
      <c r="G1930" s="46">
        <f t="shared" si="27"/>
        <v>-1.5934959349593436E-2</v>
      </c>
    </row>
    <row r="1931" spans="1:7">
      <c r="A1931" s="47">
        <v>92.19</v>
      </c>
      <c r="B1931" s="47">
        <v>93.7</v>
      </c>
      <c r="C1931" s="47">
        <v>92.06</v>
      </c>
      <c r="D1931" s="47">
        <v>92.6</v>
      </c>
      <c r="E1931" s="47">
        <v>7995183</v>
      </c>
      <c r="F1931" s="47" t="s">
        <v>605</v>
      </c>
      <c r="G1931" s="46">
        <f t="shared" si="27"/>
        <v>-4.4276457883368758E-3</v>
      </c>
    </row>
    <row r="1932" spans="1:7">
      <c r="A1932" s="47">
        <v>92.4</v>
      </c>
      <c r="B1932" s="47">
        <v>92.46</v>
      </c>
      <c r="C1932" s="47">
        <v>90.21</v>
      </c>
      <c r="D1932" s="47">
        <v>91.53</v>
      </c>
      <c r="E1932" s="47">
        <v>7158201</v>
      </c>
      <c r="F1932" s="47" t="s">
        <v>604</v>
      </c>
      <c r="G1932" s="46">
        <f t="shared" si="27"/>
        <v>9.5050803015406249E-3</v>
      </c>
    </row>
    <row r="1933" spans="1:7">
      <c r="A1933" s="47">
        <v>91.43</v>
      </c>
      <c r="B1933" s="47">
        <v>91.71</v>
      </c>
      <c r="C1933" s="47">
        <v>89.034999999999997</v>
      </c>
      <c r="D1933" s="47">
        <v>89.83</v>
      </c>
      <c r="E1933" s="47">
        <v>7276925</v>
      </c>
      <c r="F1933" s="47" t="s">
        <v>603</v>
      </c>
      <c r="G1933" s="46">
        <f t="shared" si="27"/>
        <v>1.7811421574084552E-2</v>
      </c>
    </row>
    <row r="1934" spans="1:7">
      <c r="A1934" s="47">
        <v>89.8</v>
      </c>
      <c r="B1934" s="47">
        <v>89.99</v>
      </c>
      <c r="C1934" s="47">
        <v>88.56</v>
      </c>
      <c r="D1934" s="47">
        <v>89.43</v>
      </c>
      <c r="E1934" s="47">
        <v>5465965</v>
      </c>
      <c r="F1934" s="47" t="s">
        <v>602</v>
      </c>
      <c r="G1934" s="46">
        <f t="shared" si="27"/>
        <v>4.1373141004135139E-3</v>
      </c>
    </row>
    <row r="1935" spans="1:7">
      <c r="A1935" s="47">
        <v>88.82</v>
      </c>
      <c r="B1935" s="47">
        <v>89.68</v>
      </c>
      <c r="C1935" s="47">
        <v>87.39</v>
      </c>
      <c r="D1935" s="47">
        <v>88.13</v>
      </c>
      <c r="E1935" s="47">
        <v>5679468</v>
      </c>
      <c r="F1935" s="47" t="s">
        <v>601</v>
      </c>
      <c r="G1935" s="46">
        <f t="shared" si="27"/>
        <v>7.829343015999024E-3</v>
      </c>
    </row>
    <row r="1936" spans="1:7">
      <c r="A1936" s="47">
        <v>89</v>
      </c>
      <c r="B1936" s="47">
        <v>89.555000000000007</v>
      </c>
      <c r="C1936" s="47">
        <v>88.06</v>
      </c>
      <c r="D1936" s="47">
        <v>89.18</v>
      </c>
      <c r="E1936" s="47">
        <v>6840606</v>
      </c>
      <c r="F1936" s="47" t="s">
        <v>600</v>
      </c>
      <c r="G1936" s="46">
        <f t="shared" si="27"/>
        <v>-2.018389773491891E-3</v>
      </c>
    </row>
    <row r="1937" spans="1:7">
      <c r="A1937" s="47">
        <v>89.05</v>
      </c>
      <c r="B1937" s="47">
        <v>93</v>
      </c>
      <c r="C1937" s="47">
        <v>88.7</v>
      </c>
      <c r="D1937" s="47">
        <v>92.98</v>
      </c>
      <c r="E1937" s="47">
        <v>10202178</v>
      </c>
      <c r="F1937" s="47" t="s">
        <v>599</v>
      </c>
      <c r="G1937" s="46">
        <f t="shared" si="27"/>
        <v>-4.2267154226715453E-2</v>
      </c>
    </row>
    <row r="1938" spans="1:7">
      <c r="A1938" s="47">
        <v>93.07</v>
      </c>
      <c r="B1938" s="47">
        <v>93.44</v>
      </c>
      <c r="C1938" s="47">
        <v>91.62</v>
      </c>
      <c r="D1938" s="47">
        <v>91.94</v>
      </c>
      <c r="E1938" s="47">
        <v>6466717</v>
      </c>
      <c r="F1938" s="47" t="s">
        <v>598</v>
      </c>
      <c r="G1938" s="46">
        <f t="shared" si="27"/>
        <v>1.2290624320208776E-2</v>
      </c>
    </row>
    <row r="1939" spans="1:7">
      <c r="A1939" s="47">
        <v>92.33</v>
      </c>
      <c r="B1939" s="47">
        <v>92.74</v>
      </c>
      <c r="C1939" s="47">
        <v>91.8</v>
      </c>
      <c r="D1939" s="47">
        <v>91.84</v>
      </c>
      <c r="E1939" s="47">
        <v>4874378</v>
      </c>
      <c r="F1939" s="47" t="s">
        <v>597</v>
      </c>
      <c r="G1939" s="46">
        <f t="shared" si="27"/>
        <v>5.3353658536585691E-3</v>
      </c>
    </row>
    <row r="1940" spans="1:7">
      <c r="A1940" s="47">
        <v>92.09</v>
      </c>
      <c r="B1940" s="47">
        <v>93.01</v>
      </c>
      <c r="C1940" s="47">
        <v>91.71</v>
      </c>
      <c r="D1940" s="47">
        <v>92.29</v>
      </c>
      <c r="E1940" s="47">
        <v>7146558</v>
      </c>
      <c r="F1940" s="47" t="s">
        <v>596</v>
      </c>
      <c r="G1940" s="46">
        <f t="shared" si="27"/>
        <v>-2.1670820240546895E-3</v>
      </c>
    </row>
    <row r="1941" spans="1:7">
      <c r="A1941" s="47">
        <v>92.62</v>
      </c>
      <c r="B1941" s="47">
        <v>92.94</v>
      </c>
      <c r="C1941" s="47">
        <v>90.78</v>
      </c>
      <c r="D1941" s="47">
        <v>90.78</v>
      </c>
      <c r="E1941" s="47">
        <v>7929101</v>
      </c>
      <c r="F1941" s="47" t="s">
        <v>595</v>
      </c>
      <c r="G1941" s="46">
        <f t="shared" si="27"/>
        <v>2.026878166997137E-2</v>
      </c>
    </row>
    <row r="1942" spans="1:7">
      <c r="A1942" s="47">
        <v>90.61</v>
      </c>
      <c r="B1942" s="47">
        <v>90.85</v>
      </c>
      <c r="C1942" s="47">
        <v>89.68</v>
      </c>
      <c r="D1942" s="47">
        <v>90.1</v>
      </c>
      <c r="E1942" s="47">
        <v>4643751</v>
      </c>
      <c r="F1942" s="47" t="s">
        <v>594</v>
      </c>
      <c r="G1942" s="46">
        <f t="shared" si="27"/>
        <v>5.6603773584906758E-3</v>
      </c>
    </row>
    <row r="1943" spans="1:7">
      <c r="A1943" s="47">
        <v>89.97</v>
      </c>
      <c r="B1943" s="47">
        <v>91.32</v>
      </c>
      <c r="C1943" s="47">
        <v>89.78</v>
      </c>
      <c r="D1943" s="47">
        <v>90.68</v>
      </c>
      <c r="E1943" s="47">
        <v>5466661</v>
      </c>
      <c r="F1943" s="47" t="s">
        <v>593</v>
      </c>
      <c r="G1943" s="46">
        <f t="shared" si="27"/>
        <v>-7.8297309219232947E-3</v>
      </c>
    </row>
    <row r="1944" spans="1:7">
      <c r="A1944" s="47">
        <v>90.1</v>
      </c>
      <c r="B1944" s="47">
        <v>90.13</v>
      </c>
      <c r="C1944" s="47">
        <v>87.95</v>
      </c>
      <c r="D1944" s="47">
        <v>87.95</v>
      </c>
      <c r="E1944" s="47">
        <v>7403855</v>
      </c>
      <c r="F1944" s="47" t="s">
        <v>592</v>
      </c>
      <c r="G1944" s="46">
        <f t="shared" si="27"/>
        <v>2.4445707788516069E-2</v>
      </c>
    </row>
    <row r="1945" spans="1:7">
      <c r="A1945" s="47">
        <v>87.38</v>
      </c>
      <c r="B1945" s="47">
        <v>88.174999999999997</v>
      </c>
      <c r="C1945" s="47">
        <v>86.67</v>
      </c>
      <c r="D1945" s="47">
        <v>86.72</v>
      </c>
      <c r="E1945" s="47">
        <v>4310036</v>
      </c>
      <c r="F1945" s="47" t="s">
        <v>591</v>
      </c>
      <c r="G1945" s="46">
        <f t="shared" si="27"/>
        <v>7.6107011070110087E-3</v>
      </c>
    </row>
    <row r="1946" spans="1:7">
      <c r="A1946" s="47">
        <v>86.95</v>
      </c>
      <c r="B1946" s="47">
        <v>87.16</v>
      </c>
      <c r="C1946" s="47">
        <v>85.63</v>
      </c>
      <c r="D1946" s="47">
        <v>86</v>
      </c>
      <c r="E1946" s="47">
        <v>4265905</v>
      </c>
      <c r="F1946" s="47" t="s">
        <v>590</v>
      </c>
      <c r="G1946" s="46">
        <f t="shared" si="27"/>
        <v>1.1046511627907041E-2</v>
      </c>
    </row>
    <row r="1947" spans="1:7">
      <c r="A1947" s="47">
        <v>86.22</v>
      </c>
      <c r="B1947" s="47">
        <v>87.38</v>
      </c>
      <c r="C1947" s="47">
        <v>85.82</v>
      </c>
      <c r="D1947" s="47">
        <v>85.82</v>
      </c>
      <c r="E1947" s="47">
        <v>5389566</v>
      </c>
      <c r="F1947" s="47" t="s">
        <v>589</v>
      </c>
      <c r="G1947" s="46">
        <f t="shared" si="27"/>
        <v>4.6609182008856553E-3</v>
      </c>
    </row>
    <row r="1948" spans="1:7">
      <c r="A1948" s="47">
        <v>85.75</v>
      </c>
      <c r="B1948" s="47">
        <v>86</v>
      </c>
      <c r="C1948" s="47">
        <v>84.9</v>
      </c>
      <c r="D1948" s="47">
        <v>85.74</v>
      </c>
      <c r="E1948" s="47">
        <v>4102976</v>
      </c>
      <c r="F1948" s="47" t="s">
        <v>588</v>
      </c>
      <c r="G1948" s="46">
        <f t="shared" si="27"/>
        <v>1.1663167716347012E-4</v>
      </c>
    </row>
    <row r="1949" spans="1:7">
      <c r="A1949" s="47">
        <v>85.45</v>
      </c>
      <c r="B1949" s="47">
        <v>85.77</v>
      </c>
      <c r="C1949" s="47">
        <v>84.22</v>
      </c>
      <c r="D1949" s="47">
        <v>85.1</v>
      </c>
      <c r="E1949" s="47">
        <v>6245013</v>
      </c>
      <c r="F1949" s="47" t="s">
        <v>587</v>
      </c>
      <c r="G1949" s="46">
        <f t="shared" si="27"/>
        <v>4.1128084606345539E-3</v>
      </c>
    </row>
    <row r="1950" spans="1:7">
      <c r="A1950" s="47">
        <v>85.32</v>
      </c>
      <c r="B1950" s="47">
        <v>85.9</v>
      </c>
      <c r="C1950" s="47">
        <v>84.87</v>
      </c>
      <c r="D1950" s="47">
        <v>85.85</v>
      </c>
      <c r="E1950" s="47">
        <v>5967213</v>
      </c>
      <c r="F1950" s="47" t="s">
        <v>586</v>
      </c>
      <c r="G1950" s="46">
        <f t="shared" si="27"/>
        <v>-6.1735585323238196E-3</v>
      </c>
    </row>
    <row r="1951" spans="1:7">
      <c r="A1951" s="47">
        <v>85.19</v>
      </c>
      <c r="B1951" s="47">
        <v>87.25</v>
      </c>
      <c r="C1951" s="47">
        <v>84.61</v>
      </c>
      <c r="D1951" s="47">
        <v>86.78</v>
      </c>
      <c r="E1951" s="47">
        <v>8742930</v>
      </c>
      <c r="F1951" s="47" t="s">
        <v>585</v>
      </c>
      <c r="G1951" s="46">
        <f t="shared" si="27"/>
        <v>-1.8322194053929541E-2</v>
      </c>
    </row>
    <row r="1952" spans="1:7">
      <c r="A1952" s="47">
        <v>87.73</v>
      </c>
      <c r="B1952" s="47">
        <v>87.83</v>
      </c>
      <c r="C1952" s="47">
        <v>86.48</v>
      </c>
      <c r="D1952" s="47">
        <v>87.37</v>
      </c>
      <c r="E1952" s="47">
        <v>6107398</v>
      </c>
      <c r="F1952" s="47" t="s">
        <v>584</v>
      </c>
      <c r="G1952" s="46">
        <f t="shared" si="27"/>
        <v>4.1204074625156295E-3</v>
      </c>
    </row>
    <row r="1953" spans="1:7">
      <c r="A1953" s="47">
        <v>87.01</v>
      </c>
      <c r="B1953" s="47">
        <v>88.5</v>
      </c>
      <c r="C1953" s="47">
        <v>86.96</v>
      </c>
      <c r="D1953" s="47">
        <v>87.42</v>
      </c>
      <c r="E1953" s="47">
        <v>6040062</v>
      </c>
      <c r="F1953" s="47" t="s">
        <v>583</v>
      </c>
      <c r="G1953" s="46">
        <f t="shared" si="27"/>
        <v>-4.6900022878059167E-3</v>
      </c>
    </row>
    <row r="1954" spans="1:7">
      <c r="A1954" s="47">
        <v>87.01</v>
      </c>
      <c r="B1954" s="47">
        <v>88.03</v>
      </c>
      <c r="C1954" s="47">
        <v>86.01</v>
      </c>
      <c r="D1954" s="47">
        <v>86.55</v>
      </c>
      <c r="E1954" s="47">
        <v>5796458</v>
      </c>
      <c r="F1954" s="47" t="s">
        <v>582</v>
      </c>
      <c r="G1954" s="46">
        <f t="shared" si="27"/>
        <v>5.3148469093011741E-3</v>
      </c>
    </row>
    <row r="1955" spans="1:7">
      <c r="A1955" s="47">
        <v>87.17</v>
      </c>
      <c r="B1955" s="47">
        <v>88.09</v>
      </c>
      <c r="C1955" s="47">
        <v>86.48</v>
      </c>
      <c r="D1955" s="47">
        <v>86.91</v>
      </c>
      <c r="E1955" s="47">
        <v>5507014</v>
      </c>
      <c r="F1955" s="47" t="s">
        <v>581</v>
      </c>
      <c r="G1955" s="46">
        <f t="shared" si="27"/>
        <v>2.9916005062708972E-3</v>
      </c>
    </row>
    <row r="1956" spans="1:7">
      <c r="A1956" s="47">
        <v>86.74</v>
      </c>
      <c r="B1956" s="47">
        <v>87.094999999999999</v>
      </c>
      <c r="C1956" s="47">
        <v>85.86</v>
      </c>
      <c r="D1956" s="47">
        <v>86.23</v>
      </c>
      <c r="E1956" s="47">
        <v>3889380</v>
      </c>
      <c r="F1956" s="47" t="s">
        <v>580</v>
      </c>
      <c r="G1956" s="46">
        <f t="shared" si="27"/>
        <v>5.9144149367968968E-3</v>
      </c>
    </row>
    <row r="1957" spans="1:7">
      <c r="A1957" s="47">
        <v>86.3</v>
      </c>
      <c r="B1957" s="47">
        <v>86.99</v>
      </c>
      <c r="C1957" s="47">
        <v>85.95</v>
      </c>
      <c r="D1957" s="47">
        <v>86.3</v>
      </c>
      <c r="E1957" s="47">
        <v>4951217</v>
      </c>
      <c r="F1957" s="47" t="s">
        <v>579</v>
      </c>
      <c r="G1957" s="46">
        <f t="shared" si="27"/>
        <v>0</v>
      </c>
    </row>
    <row r="1958" spans="1:7">
      <c r="A1958" s="47">
        <v>85.77</v>
      </c>
      <c r="B1958" s="47">
        <v>86.1</v>
      </c>
      <c r="C1958" s="47">
        <v>84.9</v>
      </c>
      <c r="D1958" s="47">
        <v>85.19</v>
      </c>
      <c r="E1958" s="47">
        <v>5702760</v>
      </c>
      <c r="F1958" s="47" t="s">
        <v>578</v>
      </c>
      <c r="G1958" s="46">
        <f t="shared" si="27"/>
        <v>6.8083108346050913E-3</v>
      </c>
    </row>
    <row r="1959" spans="1:7">
      <c r="A1959" s="47">
        <v>85.19</v>
      </c>
      <c r="B1959" s="47">
        <v>86.2</v>
      </c>
      <c r="C1959" s="47">
        <v>84.15</v>
      </c>
      <c r="D1959" s="47">
        <v>85.99</v>
      </c>
      <c r="E1959" s="47">
        <v>6216575</v>
      </c>
      <c r="F1959" s="47" t="s">
        <v>577</v>
      </c>
      <c r="G1959" s="46">
        <f t="shared" si="27"/>
        <v>-9.3034073729503231E-3</v>
      </c>
    </row>
    <row r="1960" spans="1:7">
      <c r="A1960" s="47">
        <v>85.53</v>
      </c>
      <c r="B1960" s="47">
        <v>85.59</v>
      </c>
      <c r="C1960" s="47">
        <v>82.85</v>
      </c>
      <c r="D1960" s="47">
        <v>82.95</v>
      </c>
      <c r="E1960" s="47">
        <v>8327178</v>
      </c>
      <c r="F1960" s="47" t="s">
        <v>576</v>
      </c>
      <c r="G1960" s="46">
        <f t="shared" si="27"/>
        <v>3.1103074141048737E-2</v>
      </c>
    </row>
    <row r="1961" spans="1:7">
      <c r="A1961" s="47">
        <v>83.46</v>
      </c>
      <c r="B1961" s="47">
        <v>83.98</v>
      </c>
      <c r="C1961" s="47">
        <v>82.009699999999995</v>
      </c>
      <c r="D1961" s="47">
        <v>82.24</v>
      </c>
      <c r="E1961" s="47">
        <v>11160356</v>
      </c>
      <c r="F1961" s="47" t="s">
        <v>575</v>
      </c>
      <c r="G1961" s="46">
        <f t="shared" si="27"/>
        <v>1.48346303501945E-2</v>
      </c>
    </row>
    <row r="1962" spans="1:7">
      <c r="A1962" s="47">
        <v>82.14</v>
      </c>
      <c r="B1962" s="47">
        <v>83.32</v>
      </c>
      <c r="C1962" s="47">
        <v>81.3</v>
      </c>
      <c r="D1962" s="47">
        <v>82.51</v>
      </c>
      <c r="E1962" s="47">
        <v>13462210</v>
      </c>
      <c r="F1962" s="47" t="s">
        <v>574</v>
      </c>
      <c r="G1962" s="46">
        <f t="shared" si="27"/>
        <v>-4.484304932735439E-3</v>
      </c>
    </row>
    <row r="1963" spans="1:7">
      <c r="A1963" s="47">
        <v>82.39</v>
      </c>
      <c r="B1963" s="47">
        <v>85.5</v>
      </c>
      <c r="C1963" s="47">
        <v>81.849999999999994</v>
      </c>
      <c r="D1963" s="47">
        <v>85.5</v>
      </c>
      <c r="E1963" s="47">
        <v>13501510</v>
      </c>
      <c r="F1963" s="47" t="s">
        <v>573</v>
      </c>
      <c r="G1963" s="46">
        <f t="shared" si="27"/>
        <v>-3.6374269005847948E-2</v>
      </c>
    </row>
    <row r="1964" spans="1:7">
      <c r="A1964" s="47">
        <v>85.46</v>
      </c>
      <c r="B1964" s="47">
        <v>90.28</v>
      </c>
      <c r="C1964" s="47">
        <v>84.75</v>
      </c>
      <c r="D1964" s="47">
        <v>89.5</v>
      </c>
      <c r="E1964" s="47">
        <v>14903397</v>
      </c>
      <c r="F1964" s="47" t="s">
        <v>572</v>
      </c>
      <c r="G1964" s="46">
        <f t="shared" si="27"/>
        <v>-4.5139664804469293E-2</v>
      </c>
    </row>
    <row r="1965" spans="1:7">
      <c r="A1965" s="47">
        <v>89.14</v>
      </c>
      <c r="B1965" s="47">
        <v>90.68</v>
      </c>
      <c r="C1965" s="47">
        <v>87.25</v>
      </c>
      <c r="D1965" s="47">
        <v>88.51</v>
      </c>
      <c r="E1965" s="47">
        <v>14505569</v>
      </c>
      <c r="F1965" s="47" t="s">
        <v>571</v>
      </c>
      <c r="G1965" s="46">
        <f t="shared" si="27"/>
        <v>7.1178397921138892E-3</v>
      </c>
    </row>
    <row r="1966" spans="1:7">
      <c r="A1966" s="47">
        <v>91.37</v>
      </c>
      <c r="B1966" s="47">
        <v>92.35</v>
      </c>
      <c r="C1966" s="47">
        <v>91.01</v>
      </c>
      <c r="D1966" s="47">
        <v>91.13</v>
      </c>
      <c r="E1966" s="47">
        <v>12050439</v>
      </c>
      <c r="F1966" s="47" t="s">
        <v>570</v>
      </c>
      <c r="G1966" s="46">
        <f t="shared" si="27"/>
        <v>2.6336003511469031E-3</v>
      </c>
    </row>
    <row r="1967" spans="1:7">
      <c r="A1967" s="47">
        <v>91.41</v>
      </c>
      <c r="B1967" s="47">
        <v>92.35</v>
      </c>
      <c r="C1967" s="47">
        <v>90.413300000000007</v>
      </c>
      <c r="D1967" s="47">
        <v>90.6</v>
      </c>
      <c r="E1967" s="47">
        <v>13369404</v>
      </c>
      <c r="F1967" s="47" t="s">
        <v>569</v>
      </c>
      <c r="G1967" s="46">
        <f t="shared" si="27"/>
        <v>8.9403973509933898E-3</v>
      </c>
    </row>
    <row r="1968" spans="1:7">
      <c r="A1968" s="47">
        <v>89.24</v>
      </c>
      <c r="B1968" s="47">
        <v>89.6</v>
      </c>
      <c r="C1968" s="47">
        <v>85.82</v>
      </c>
      <c r="D1968" s="47">
        <v>87.14</v>
      </c>
      <c r="E1968" s="47">
        <v>11759671</v>
      </c>
      <c r="F1968" s="47" t="s">
        <v>568</v>
      </c>
      <c r="G1968" s="46">
        <f t="shared" si="27"/>
        <v>2.4099150791829116E-2</v>
      </c>
    </row>
    <row r="1969" spans="1:7">
      <c r="A1969" s="47">
        <v>87.47</v>
      </c>
      <c r="B1969" s="47">
        <v>88</v>
      </c>
      <c r="C1969" s="47">
        <v>87.14</v>
      </c>
      <c r="D1969" s="47">
        <v>87.32</v>
      </c>
      <c r="E1969" s="47">
        <v>7554139</v>
      </c>
      <c r="F1969" s="47" t="s">
        <v>567</v>
      </c>
      <c r="G1969" s="46">
        <f t="shared" si="27"/>
        <v>1.7178195144298414E-3</v>
      </c>
    </row>
    <row r="1970" spans="1:7">
      <c r="A1970" s="47">
        <v>87.38</v>
      </c>
      <c r="B1970" s="47">
        <v>88.59</v>
      </c>
      <c r="C1970" s="47">
        <v>87.16</v>
      </c>
      <c r="D1970" s="47">
        <v>88</v>
      </c>
      <c r="E1970" s="47">
        <v>5612878</v>
      </c>
      <c r="F1970" s="47" t="s">
        <v>566</v>
      </c>
      <c r="G1970" s="46">
        <f t="shared" si="27"/>
        <v>-7.0454545454545769E-3</v>
      </c>
    </row>
    <row r="1971" spans="1:7">
      <c r="A1971" s="47">
        <v>88.22</v>
      </c>
      <c r="B1971" s="47">
        <v>88.93</v>
      </c>
      <c r="C1971" s="47">
        <v>87.68</v>
      </c>
      <c r="D1971" s="47">
        <v>88.7</v>
      </c>
      <c r="E1971" s="47">
        <v>4797062</v>
      </c>
      <c r="F1971" s="47" t="s">
        <v>565</v>
      </c>
      <c r="G1971" s="46">
        <f t="shared" si="27"/>
        <v>-5.4114994363021474E-3</v>
      </c>
    </row>
    <row r="1972" spans="1:7">
      <c r="A1972" s="47">
        <v>88.58</v>
      </c>
      <c r="B1972" s="47">
        <v>88.72</v>
      </c>
      <c r="C1972" s="47">
        <v>86.59</v>
      </c>
      <c r="D1972" s="47">
        <v>87.25</v>
      </c>
      <c r="E1972" s="47">
        <v>5086126</v>
      </c>
      <c r="F1972" s="47" t="s">
        <v>564</v>
      </c>
      <c r="G1972" s="46">
        <f t="shared" si="27"/>
        <v>1.5243553008595923E-2</v>
      </c>
    </row>
    <row r="1973" spans="1:7">
      <c r="A1973" s="47">
        <v>87.77</v>
      </c>
      <c r="B1973" s="47">
        <v>88.341300000000004</v>
      </c>
      <c r="C1973" s="47">
        <v>87.48</v>
      </c>
      <c r="D1973" s="47">
        <v>88.26</v>
      </c>
      <c r="E1973" s="47">
        <v>4452265</v>
      </c>
      <c r="F1973" s="47" t="s">
        <v>563</v>
      </c>
      <c r="G1973" s="46">
        <f t="shared" si="27"/>
        <v>-5.5517788352595909E-3</v>
      </c>
    </row>
    <row r="1974" spans="1:7">
      <c r="A1974" s="47">
        <v>87.99</v>
      </c>
      <c r="B1974" s="47">
        <v>89.1</v>
      </c>
      <c r="C1974" s="47">
        <v>86.83</v>
      </c>
      <c r="D1974" s="47">
        <v>89</v>
      </c>
      <c r="E1974" s="47">
        <v>6110637</v>
      </c>
      <c r="F1974" s="47" t="s">
        <v>562</v>
      </c>
      <c r="G1974" s="46">
        <f t="shared" si="27"/>
        <v>-1.1348314606741683E-2</v>
      </c>
    </row>
    <row r="1975" spans="1:7">
      <c r="A1975" s="47">
        <v>89.13</v>
      </c>
      <c r="B1975" s="47">
        <v>89.19</v>
      </c>
      <c r="C1975" s="47">
        <v>86.8</v>
      </c>
      <c r="D1975" s="47">
        <v>87.2</v>
      </c>
      <c r="E1975" s="47">
        <v>6912332</v>
      </c>
      <c r="F1975" s="47" t="s">
        <v>561</v>
      </c>
      <c r="G1975" s="46">
        <f t="shared" si="27"/>
        <v>2.2133027522935667E-2</v>
      </c>
    </row>
    <row r="1976" spans="1:7">
      <c r="A1976" s="47">
        <v>86.25</v>
      </c>
      <c r="B1976" s="47">
        <v>86.86</v>
      </c>
      <c r="C1976" s="47">
        <v>85.07</v>
      </c>
      <c r="D1976" s="47">
        <v>85.47</v>
      </c>
      <c r="E1976" s="47">
        <v>4153183</v>
      </c>
      <c r="F1976" s="47" t="s">
        <v>560</v>
      </c>
      <c r="G1976" s="46">
        <f t="shared" si="27"/>
        <v>9.1260091260092491E-3</v>
      </c>
    </row>
    <row r="1977" spans="1:7">
      <c r="A1977" s="47">
        <v>86.17</v>
      </c>
      <c r="B1977" s="47">
        <v>86.72</v>
      </c>
      <c r="C1977" s="47">
        <v>85.77</v>
      </c>
      <c r="D1977" s="47">
        <v>86.72</v>
      </c>
      <c r="E1977" s="47">
        <v>3723180</v>
      </c>
      <c r="F1977" s="47" t="s">
        <v>559</v>
      </c>
      <c r="G1977" s="46">
        <f t="shared" si="27"/>
        <v>-6.3422509225091739E-3</v>
      </c>
    </row>
    <row r="1978" spans="1:7">
      <c r="A1978" s="47">
        <v>86.23</v>
      </c>
      <c r="B1978" s="47">
        <v>86.9</v>
      </c>
      <c r="C1978" s="47">
        <v>85.3476</v>
      </c>
      <c r="D1978" s="47">
        <v>86.6</v>
      </c>
      <c r="E1978" s="47">
        <v>5683472</v>
      </c>
      <c r="F1978" s="47" t="s">
        <v>558</v>
      </c>
      <c r="G1978" s="46">
        <f t="shared" ref="G1978:G2006" si="28">A1978/D1978-1</f>
        <v>-4.2725173210160783E-3</v>
      </c>
    </row>
    <row r="1979" spans="1:7">
      <c r="A1979" s="47">
        <v>85.94</v>
      </c>
      <c r="B1979" s="47">
        <v>86</v>
      </c>
      <c r="C1979" s="47">
        <v>83.94</v>
      </c>
      <c r="D1979" s="47">
        <v>84.41</v>
      </c>
      <c r="E1979" s="47">
        <v>5095457</v>
      </c>
      <c r="F1979" s="47" t="s">
        <v>557</v>
      </c>
      <c r="G1979" s="46">
        <f t="shared" si="28"/>
        <v>1.8125814476957824E-2</v>
      </c>
    </row>
    <row r="1980" spans="1:7">
      <c r="A1980" s="47">
        <v>84.59</v>
      </c>
      <c r="B1980" s="47">
        <v>84.64</v>
      </c>
      <c r="C1980" s="47">
        <v>83.3</v>
      </c>
      <c r="D1980" s="47">
        <v>83.64</v>
      </c>
      <c r="E1980" s="47">
        <v>5287716</v>
      </c>
      <c r="F1980" s="47" t="s">
        <v>556</v>
      </c>
      <c r="G1980" s="46">
        <f t="shared" si="28"/>
        <v>1.1358201817312397E-2</v>
      </c>
    </row>
    <row r="1981" spans="1:7">
      <c r="A1981" s="47">
        <v>83.27</v>
      </c>
      <c r="B1981" s="47">
        <v>84.9</v>
      </c>
      <c r="C1981" s="47">
        <v>83.15</v>
      </c>
      <c r="D1981" s="47">
        <v>84.36</v>
      </c>
      <c r="E1981" s="47">
        <v>3644133</v>
      </c>
      <c r="F1981" s="47" t="s">
        <v>555</v>
      </c>
      <c r="G1981" s="46">
        <f t="shared" si="28"/>
        <v>-1.2920815552394549E-2</v>
      </c>
    </row>
    <row r="1982" spans="1:7">
      <c r="A1982" s="47">
        <v>83.89</v>
      </c>
      <c r="B1982" s="47">
        <v>83.96</v>
      </c>
      <c r="C1982" s="47">
        <v>82.062100000000001</v>
      </c>
      <c r="D1982" s="47">
        <v>82.75</v>
      </c>
      <c r="E1982" s="47">
        <v>4929447</v>
      </c>
      <c r="F1982" s="47" t="s">
        <v>554</v>
      </c>
      <c r="G1982" s="46">
        <f t="shared" si="28"/>
        <v>1.3776435045317337E-2</v>
      </c>
    </row>
    <row r="1983" spans="1:7">
      <c r="A1983" s="47">
        <v>83.27</v>
      </c>
      <c r="B1983" s="47">
        <v>83.66</v>
      </c>
      <c r="C1983" s="47">
        <v>82.61</v>
      </c>
      <c r="D1983" s="47">
        <v>82.75</v>
      </c>
      <c r="E1983" s="47">
        <v>6816964</v>
      </c>
      <c r="F1983" s="47" t="s">
        <v>553</v>
      </c>
      <c r="G1983" s="46">
        <f t="shared" si="28"/>
        <v>6.2839879154077405E-3</v>
      </c>
    </row>
    <row r="1984" spans="1:7">
      <c r="A1984" s="47">
        <v>82.48</v>
      </c>
      <c r="B1984" s="47">
        <v>82.83</v>
      </c>
      <c r="C1984" s="47">
        <v>80.16</v>
      </c>
      <c r="D1984" s="47">
        <v>80.39</v>
      </c>
      <c r="E1984" s="47">
        <v>7374725</v>
      </c>
      <c r="F1984" s="47" t="s">
        <v>552</v>
      </c>
      <c r="G1984" s="46">
        <f t="shared" si="28"/>
        <v>2.5998258489861925E-2</v>
      </c>
    </row>
    <row r="1985" spans="1:7">
      <c r="A1985" s="47">
        <v>80.67</v>
      </c>
      <c r="B1985" s="47">
        <v>82.97</v>
      </c>
      <c r="C1985" s="47">
        <v>80.453299999999999</v>
      </c>
      <c r="D1985" s="47">
        <v>82.55</v>
      </c>
      <c r="E1985" s="47">
        <v>8974510</v>
      </c>
      <c r="F1985" s="47" t="s">
        <v>551</v>
      </c>
      <c r="G1985" s="46">
        <f t="shared" si="28"/>
        <v>-2.2774076317383374E-2</v>
      </c>
    </row>
    <row r="1986" spans="1:7">
      <c r="A1986" s="47">
        <v>82.32</v>
      </c>
      <c r="B1986" s="47">
        <v>83.21</v>
      </c>
      <c r="C1986" s="47">
        <v>81.77</v>
      </c>
      <c r="D1986" s="47">
        <v>82.68</v>
      </c>
      <c r="E1986" s="47">
        <v>6742177</v>
      </c>
      <c r="F1986" s="47" t="s">
        <v>550</v>
      </c>
      <c r="G1986" s="46">
        <f t="shared" si="28"/>
        <v>-4.3541364296082463E-3</v>
      </c>
    </row>
    <row r="1987" spans="1:7">
      <c r="A1987" s="47">
        <v>82.19</v>
      </c>
      <c r="B1987" s="47">
        <v>84.47</v>
      </c>
      <c r="C1987" s="47">
        <v>81.209999999999994</v>
      </c>
      <c r="D1987" s="47">
        <v>84.08</v>
      </c>
      <c r="E1987" s="47">
        <v>10780118</v>
      </c>
      <c r="F1987" s="47" t="s">
        <v>549</v>
      </c>
      <c r="G1987" s="46">
        <f t="shared" si="28"/>
        <v>-2.2478591817316818E-2</v>
      </c>
    </row>
    <row r="1988" spans="1:7">
      <c r="A1988" s="47">
        <v>85.12</v>
      </c>
      <c r="B1988" s="47">
        <v>86.56</v>
      </c>
      <c r="C1988" s="47">
        <v>84.61</v>
      </c>
      <c r="D1988" s="47">
        <v>86.32</v>
      </c>
      <c r="E1988" s="47">
        <v>7503397</v>
      </c>
      <c r="F1988" s="47" t="s">
        <v>548</v>
      </c>
      <c r="G1988" s="46">
        <f t="shared" si="28"/>
        <v>-1.3901760889712511E-2</v>
      </c>
    </row>
    <row r="1989" spans="1:7">
      <c r="A1989" s="47">
        <v>85.97</v>
      </c>
      <c r="B1989" s="47">
        <v>87.55</v>
      </c>
      <c r="C1989" s="47">
        <v>85.45</v>
      </c>
      <c r="D1989" s="47">
        <v>86.5</v>
      </c>
      <c r="E1989" s="47">
        <v>8101290</v>
      </c>
      <c r="F1989" s="47" t="s">
        <v>547</v>
      </c>
      <c r="G1989" s="46">
        <f t="shared" si="28"/>
        <v>-6.1271676300578282E-3</v>
      </c>
    </row>
    <row r="1990" spans="1:7">
      <c r="A1990" s="47">
        <v>85.95</v>
      </c>
      <c r="B1990" s="47">
        <v>86.97</v>
      </c>
      <c r="C1990" s="47">
        <v>84.82</v>
      </c>
      <c r="D1990" s="47">
        <v>84.86</v>
      </c>
      <c r="E1990" s="47">
        <v>9174942</v>
      </c>
      <c r="F1990" s="47" t="s">
        <v>546</v>
      </c>
      <c r="G1990" s="46">
        <f t="shared" si="28"/>
        <v>1.2844685364129305E-2</v>
      </c>
    </row>
    <row r="1991" spans="1:7">
      <c r="A1991" s="47">
        <v>84.52</v>
      </c>
      <c r="B1991" s="47">
        <v>84.96</v>
      </c>
      <c r="C1991" s="47">
        <v>83.43</v>
      </c>
      <c r="D1991" s="47">
        <v>84.64</v>
      </c>
      <c r="E1991" s="47">
        <v>6245114</v>
      </c>
      <c r="F1991" s="47" t="s">
        <v>545</v>
      </c>
      <c r="G1991" s="46">
        <f t="shared" si="28"/>
        <v>-1.4177693761815435E-3</v>
      </c>
    </row>
    <row r="1992" spans="1:7">
      <c r="A1992" s="47">
        <v>85.85</v>
      </c>
      <c r="B1992" s="47">
        <v>86.2</v>
      </c>
      <c r="C1992" s="47">
        <v>84.44</v>
      </c>
      <c r="D1992" s="47">
        <v>84.84</v>
      </c>
      <c r="E1992" s="47">
        <v>5579359</v>
      </c>
      <c r="F1992" s="47" t="s">
        <v>544</v>
      </c>
      <c r="G1992" s="46">
        <f t="shared" si="28"/>
        <v>1.1904761904761862E-2</v>
      </c>
    </row>
    <row r="1993" spans="1:7">
      <c r="A1993" s="47">
        <v>85.31</v>
      </c>
      <c r="B1993" s="47">
        <v>85.69</v>
      </c>
      <c r="C1993" s="47">
        <v>84.1</v>
      </c>
      <c r="D1993" s="47">
        <v>85.33</v>
      </c>
      <c r="E1993" s="47">
        <v>8710787</v>
      </c>
      <c r="F1993" s="47" t="s">
        <v>543</v>
      </c>
      <c r="G1993" s="46">
        <f t="shared" si="28"/>
        <v>-2.3438415563103998E-4</v>
      </c>
    </row>
    <row r="1994" spans="1:7">
      <c r="A1994" s="47">
        <v>85.61</v>
      </c>
      <c r="B1994" s="47">
        <v>86.295000000000002</v>
      </c>
      <c r="C1994" s="47">
        <v>85.21</v>
      </c>
      <c r="D1994" s="47">
        <v>85.5</v>
      </c>
      <c r="E1994" s="47">
        <v>6643352</v>
      </c>
      <c r="F1994" s="47" t="s">
        <v>542</v>
      </c>
      <c r="G1994" s="46">
        <f t="shared" si="28"/>
        <v>1.2865497076022248E-3</v>
      </c>
    </row>
    <row r="1995" spans="1:7">
      <c r="A1995" s="47">
        <v>85.27</v>
      </c>
      <c r="B1995" s="47">
        <v>86</v>
      </c>
      <c r="C1995" s="47">
        <v>84.68</v>
      </c>
      <c r="D1995" s="47">
        <v>85.5</v>
      </c>
      <c r="E1995" s="47">
        <v>7510276</v>
      </c>
      <c r="F1995" s="47" t="s">
        <v>541</v>
      </c>
      <c r="G1995" s="46">
        <f t="shared" si="28"/>
        <v>-2.6900584795321869E-3</v>
      </c>
    </row>
    <row r="1996" spans="1:7">
      <c r="A1996" s="47">
        <v>85.02</v>
      </c>
      <c r="B1996" s="47">
        <v>86.2</v>
      </c>
      <c r="C1996" s="47">
        <v>83.875</v>
      </c>
      <c r="D1996" s="47">
        <v>83.93</v>
      </c>
      <c r="E1996" s="47">
        <v>9216898</v>
      </c>
      <c r="F1996" s="47" t="s">
        <v>540</v>
      </c>
      <c r="G1996" s="46">
        <f t="shared" si="28"/>
        <v>1.298701298701288E-2</v>
      </c>
    </row>
    <row r="1997" spans="1:7">
      <c r="A1997" s="47">
        <v>83.89</v>
      </c>
      <c r="B1997" s="47">
        <v>84.59</v>
      </c>
      <c r="C1997" s="47">
        <v>83.79</v>
      </c>
      <c r="D1997" s="47">
        <v>84.45</v>
      </c>
      <c r="E1997" s="47">
        <v>4870444</v>
      </c>
      <c r="F1997" s="47" t="s">
        <v>539</v>
      </c>
      <c r="G1997" s="46">
        <f t="shared" si="28"/>
        <v>-6.6311426879810398E-3</v>
      </c>
    </row>
    <row r="1998" spans="1:7">
      <c r="A1998" s="47">
        <v>84.34</v>
      </c>
      <c r="B1998" s="47">
        <v>84.49</v>
      </c>
      <c r="C1998" s="47">
        <v>83.15</v>
      </c>
      <c r="D1998" s="47">
        <v>83.23</v>
      </c>
      <c r="E1998" s="47">
        <v>7430930</v>
      </c>
      <c r="F1998" s="47" t="s">
        <v>538</v>
      </c>
      <c r="G1998" s="46">
        <f t="shared" si="28"/>
        <v>1.3336537306259721E-2</v>
      </c>
    </row>
    <row r="1999" spans="1:7">
      <c r="A1999" s="47">
        <v>83.27</v>
      </c>
      <c r="B1999" s="47">
        <v>85.3</v>
      </c>
      <c r="C1999" s="47">
        <v>82.31</v>
      </c>
      <c r="D1999" s="47">
        <v>85.21</v>
      </c>
      <c r="E1999" s="47">
        <v>7838563</v>
      </c>
      <c r="F1999" s="47" t="s">
        <v>537</v>
      </c>
      <c r="G1999" s="46">
        <f t="shared" si="28"/>
        <v>-2.2767280835582659E-2</v>
      </c>
    </row>
    <row r="2000" spans="1:7">
      <c r="A2000" s="47">
        <v>85.21</v>
      </c>
      <c r="B2000" s="47">
        <v>85.61</v>
      </c>
      <c r="C2000" s="47">
        <v>84.5</v>
      </c>
      <c r="D2000" s="47">
        <v>85.05</v>
      </c>
      <c r="E2000" s="47">
        <v>7867161</v>
      </c>
      <c r="F2000" s="47" t="s">
        <v>536</v>
      </c>
      <c r="G2000" s="46">
        <f t="shared" si="28"/>
        <v>1.8812463256907552E-3</v>
      </c>
    </row>
    <row r="2001" spans="1:7">
      <c r="A2001" s="47">
        <v>85.05</v>
      </c>
      <c r="B2001" s="47">
        <v>85.2</v>
      </c>
      <c r="C2001" s="47">
        <v>84.01</v>
      </c>
      <c r="D2001" s="47">
        <v>84.5</v>
      </c>
      <c r="E2001" s="47">
        <v>9033556</v>
      </c>
      <c r="F2001" s="47" t="s">
        <v>535</v>
      </c>
      <c r="G2001" s="46">
        <f t="shared" si="28"/>
        <v>6.5088757396449815E-3</v>
      </c>
    </row>
    <row r="2002" spans="1:7">
      <c r="A2002" s="47">
        <v>84.57</v>
      </c>
      <c r="B2002" s="47">
        <v>84.8</v>
      </c>
      <c r="C2002" s="47">
        <v>82.77</v>
      </c>
      <c r="D2002" s="47">
        <v>83.23</v>
      </c>
      <c r="E2002" s="47">
        <v>7423686</v>
      </c>
      <c r="F2002" s="47" t="s">
        <v>534</v>
      </c>
      <c r="G2002" s="46">
        <f t="shared" si="28"/>
        <v>1.6099963955304553E-2</v>
      </c>
    </row>
    <row r="2003" spans="1:7">
      <c r="A2003" s="47">
        <v>83.25</v>
      </c>
      <c r="B2003" s="47">
        <v>83.46</v>
      </c>
      <c r="C2003" s="47">
        <v>81.849999999999994</v>
      </c>
      <c r="D2003" s="47">
        <v>82.549700000000001</v>
      </c>
      <c r="E2003" s="47">
        <v>7092081</v>
      </c>
      <c r="F2003" s="47" t="s">
        <v>533</v>
      </c>
      <c r="G2003" s="46">
        <f t="shared" si="28"/>
        <v>8.4833742581742477E-3</v>
      </c>
    </row>
    <row r="2004" spans="1:7">
      <c r="A2004" s="47">
        <v>82.07</v>
      </c>
      <c r="B2004" s="47">
        <v>82.83</v>
      </c>
      <c r="C2004" s="47">
        <v>81.55</v>
      </c>
      <c r="D2004" s="47">
        <v>81.81</v>
      </c>
      <c r="E2004" s="47">
        <v>8250136</v>
      </c>
      <c r="F2004" s="47" t="s">
        <v>532</v>
      </c>
      <c r="G2004" s="46">
        <f t="shared" si="28"/>
        <v>3.1780955873363936E-3</v>
      </c>
    </row>
    <row r="2005" spans="1:7">
      <c r="A2005" s="47">
        <v>81.599999999999994</v>
      </c>
      <c r="B2005" s="47">
        <v>82.06</v>
      </c>
      <c r="C2005" s="47">
        <v>80.900000000000006</v>
      </c>
      <c r="D2005" s="47">
        <v>81.161299999999997</v>
      </c>
      <c r="E2005" s="47">
        <v>5516230</v>
      </c>
      <c r="F2005" s="47" t="s">
        <v>531</v>
      </c>
      <c r="G2005" s="46">
        <f t="shared" si="28"/>
        <v>5.4052855240120934E-3</v>
      </c>
    </row>
    <row r="2006" spans="1:7">
      <c r="A2006" s="47">
        <v>80.73</v>
      </c>
      <c r="B2006" s="47">
        <v>81.34</v>
      </c>
      <c r="C2006" s="47">
        <v>80.2</v>
      </c>
      <c r="D2006" s="47">
        <v>80.709999999999994</v>
      </c>
      <c r="E2006" s="47">
        <v>6924208</v>
      </c>
      <c r="F2006" s="47" t="s">
        <v>530</v>
      </c>
      <c r="G2006" s="46">
        <f t="shared" si="28"/>
        <v>2.4780076818253782E-4</v>
      </c>
    </row>
  </sheetData>
  <sortState xmlns:xlrd2="http://schemas.microsoft.com/office/spreadsheetml/2017/richdata2" ref="I214:I264">
    <sortCondition ref="I214"/>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RowHeight="14.25"/>
  <cols>
    <col min="1" max="1" width="3.140625" style="1" customWidth="1"/>
    <col min="2" max="16384" width="9.140625" style="1"/>
  </cols>
  <sheetData>
    <row r="2" spans="2:26" ht="15">
      <c r="B2" s="3" t="s">
        <v>12</v>
      </c>
      <c r="C2" s="4"/>
      <c r="D2" s="4"/>
      <c r="E2" s="4"/>
      <c r="F2" s="4"/>
      <c r="G2" s="3" t="s">
        <v>12</v>
      </c>
      <c r="H2" s="5"/>
      <c r="I2" s="5"/>
      <c r="J2" s="5"/>
      <c r="K2" s="5"/>
      <c r="L2" s="5"/>
      <c r="M2" s="5"/>
      <c r="N2" s="5"/>
      <c r="O2" s="5"/>
      <c r="P2" s="5"/>
      <c r="Q2" s="5"/>
      <c r="R2" s="5"/>
      <c r="S2" s="5"/>
      <c r="T2" s="5"/>
      <c r="U2" s="5"/>
      <c r="V2" s="5"/>
      <c r="W2" s="5"/>
      <c r="X2" s="5"/>
      <c r="Y2" s="5"/>
      <c r="Z2" s="6"/>
    </row>
    <row r="3" spans="2:26" ht="15">
      <c r="B3" s="7" t="s">
        <v>13</v>
      </c>
      <c r="C3" s="8"/>
      <c r="D3" s="8"/>
      <c r="E3" s="8"/>
      <c r="F3" s="9"/>
      <c r="G3" s="10" t="s">
        <v>14</v>
      </c>
      <c r="H3" s="10"/>
      <c r="I3" s="10"/>
      <c r="J3" s="10"/>
      <c r="K3" s="10"/>
      <c r="L3" s="10"/>
      <c r="M3" s="10"/>
      <c r="N3" s="10"/>
      <c r="O3" s="10"/>
      <c r="P3" s="10"/>
      <c r="Q3" s="10"/>
      <c r="R3" s="10"/>
      <c r="S3" s="10"/>
      <c r="T3" s="10"/>
      <c r="U3" s="10"/>
      <c r="V3" s="10"/>
      <c r="W3" s="10"/>
      <c r="X3" s="10"/>
      <c r="Y3" s="10"/>
      <c r="Z3" s="11"/>
    </row>
    <row r="4" spans="2:26" ht="15">
      <c r="B4" s="12" t="s">
        <v>13</v>
      </c>
      <c r="C4" s="13"/>
      <c r="D4" s="13"/>
      <c r="E4" s="13"/>
      <c r="F4" s="14"/>
      <c r="G4" s="15" t="s">
        <v>15</v>
      </c>
      <c r="H4" s="15"/>
      <c r="I4" s="15"/>
      <c r="J4" s="15"/>
      <c r="K4" s="15"/>
      <c r="L4" s="15"/>
      <c r="M4" s="15"/>
      <c r="N4" s="15"/>
      <c r="O4" s="15"/>
      <c r="P4" s="15"/>
      <c r="Q4" s="15"/>
      <c r="R4" s="15"/>
      <c r="S4" s="15"/>
      <c r="T4" s="15"/>
      <c r="U4" s="15"/>
      <c r="V4" s="15"/>
      <c r="W4" s="15"/>
      <c r="X4" s="15"/>
      <c r="Y4" s="15"/>
      <c r="Z4" s="16"/>
    </row>
    <row r="5" spans="2:26" ht="15">
      <c r="B5" s="12" t="s">
        <v>13</v>
      </c>
      <c r="C5" s="13"/>
      <c r="D5" s="13"/>
      <c r="E5" s="13"/>
      <c r="F5" s="14"/>
      <c r="G5" s="17" t="s">
        <v>14</v>
      </c>
      <c r="H5" s="17"/>
      <c r="I5" s="17"/>
      <c r="J5" s="17"/>
      <c r="K5" s="17"/>
      <c r="L5" s="17"/>
      <c r="M5" s="17"/>
      <c r="N5" s="17"/>
      <c r="O5" s="17"/>
      <c r="P5" s="17"/>
      <c r="Q5" s="17"/>
      <c r="R5" s="17"/>
      <c r="S5" s="17"/>
      <c r="T5" s="17"/>
      <c r="U5" s="17"/>
      <c r="V5" s="17"/>
      <c r="W5" s="17"/>
      <c r="X5" s="17"/>
      <c r="Y5" s="17"/>
      <c r="Z5" s="18"/>
    </row>
    <row r="6" spans="2:26" ht="15">
      <c r="B6" s="12" t="s">
        <v>13</v>
      </c>
      <c r="C6" s="13"/>
      <c r="D6" s="13"/>
      <c r="E6" s="13"/>
      <c r="F6" s="14"/>
      <c r="G6" s="15" t="s">
        <v>15</v>
      </c>
      <c r="H6" s="15"/>
      <c r="I6" s="15"/>
      <c r="J6" s="15"/>
      <c r="K6" s="15"/>
      <c r="L6" s="15"/>
      <c r="M6" s="15"/>
      <c r="N6" s="15"/>
      <c r="O6" s="15"/>
      <c r="P6" s="15"/>
      <c r="Q6" s="15"/>
      <c r="R6" s="15"/>
      <c r="S6" s="15"/>
      <c r="T6" s="15"/>
      <c r="U6" s="15"/>
      <c r="V6" s="15"/>
      <c r="W6" s="15"/>
      <c r="X6" s="15"/>
      <c r="Y6" s="15"/>
      <c r="Z6" s="16"/>
    </row>
    <row r="7" spans="2:26" ht="15">
      <c r="B7" s="12" t="s">
        <v>13</v>
      </c>
      <c r="C7" s="13"/>
      <c r="D7" s="13"/>
      <c r="E7" s="13"/>
      <c r="F7" s="14"/>
      <c r="G7" s="17" t="s">
        <v>14</v>
      </c>
      <c r="H7" s="17"/>
      <c r="I7" s="17"/>
      <c r="J7" s="17"/>
      <c r="K7" s="17"/>
      <c r="L7" s="17"/>
      <c r="M7" s="17"/>
      <c r="N7" s="17"/>
      <c r="O7" s="17"/>
      <c r="P7" s="17"/>
      <c r="Q7" s="17"/>
      <c r="R7" s="17"/>
      <c r="S7" s="17"/>
      <c r="T7" s="17"/>
      <c r="U7" s="17"/>
      <c r="V7" s="17"/>
      <c r="W7" s="17"/>
      <c r="X7" s="17"/>
      <c r="Y7" s="17"/>
      <c r="Z7" s="18"/>
    </row>
    <row r="8" spans="2:26" ht="15">
      <c r="B8" s="19" t="s">
        <v>13</v>
      </c>
      <c r="C8" s="20"/>
      <c r="D8" s="20"/>
      <c r="E8" s="20"/>
      <c r="F8" s="21"/>
      <c r="G8" s="22" t="s">
        <v>15</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2026-01-10T12:13:02Z</dcterms:modified>
</cp:coreProperties>
</file>