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7FCD60CA-D7FA-4CCB-813F-A137B4D8724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9" i="2" l="1"/>
  <c r="C6" i="1" l="1"/>
  <c r="AD52" i="2"/>
  <c r="Y68" i="2" l="1"/>
  <c r="Y57" i="2"/>
  <c r="V51" i="2" l="1"/>
  <c r="W51" i="2"/>
  <c r="U26" i="2"/>
  <c r="T32" i="2"/>
  <c r="S65" i="2"/>
  <c r="S64" i="2"/>
  <c r="S63" i="2"/>
  <c r="S62" i="2"/>
  <c r="S61" i="2"/>
  <c r="S60" i="2"/>
  <c r="S59" i="2"/>
  <c r="S58" i="2"/>
  <c r="S56" i="2"/>
  <c r="S55" i="2"/>
  <c r="S54" i="2"/>
  <c r="S53" i="2"/>
  <c r="S52" i="2"/>
  <c r="S51" i="2"/>
  <c r="S50" i="2"/>
  <c r="S49" i="2"/>
  <c r="S48" i="2"/>
  <c r="S47" i="2"/>
  <c r="S46" i="2"/>
  <c r="S71" i="2"/>
  <c r="S70" i="2"/>
  <c r="S69" i="2"/>
  <c r="S68" i="2"/>
  <c r="S67" i="2"/>
  <c r="T71" i="2"/>
  <c r="T70" i="2"/>
  <c r="T69" i="2"/>
  <c r="T68" i="2"/>
  <c r="T67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J71" i="2"/>
  <c r="J70" i="2"/>
  <c r="J68" i="2"/>
  <c r="J67" i="2"/>
  <c r="T240" i="3" l="1"/>
  <c r="T241" i="3" s="1"/>
  <c r="T242" i="3" s="1"/>
  <c r="T243" i="3" s="1"/>
  <c r="T244" i="3" s="1"/>
  <c r="T245" i="3" s="1"/>
  <c r="T246" i="3" s="1"/>
  <c r="T247" i="3" s="1"/>
  <c r="T248" i="3" s="1"/>
  <c r="T249" i="3" s="1"/>
  <c r="T250" i="3" s="1"/>
  <c r="T251" i="3" s="1"/>
  <c r="T252" i="3" s="1"/>
  <c r="T253" i="3" s="1"/>
  <c r="T254" i="3" s="1"/>
  <c r="T255" i="3" s="1"/>
  <c r="T256" i="3" s="1"/>
  <c r="T257" i="3" s="1"/>
  <c r="T258" i="3" s="1"/>
  <c r="T259" i="3" s="1"/>
  <c r="T260" i="3" s="1"/>
  <c r="T261" i="3" s="1"/>
  <c r="T262" i="3" s="1"/>
  <c r="T263" i="3" s="1"/>
  <c r="T264" i="3" s="1"/>
  <c r="T265" i="3" s="1"/>
  <c r="T266" i="3" s="1"/>
  <c r="T267" i="3" s="1"/>
  <c r="T268" i="3" s="1"/>
  <c r="T269" i="3" s="1"/>
  <c r="T270" i="3" s="1"/>
  <c r="T271" i="3" s="1"/>
  <c r="T272" i="3" s="1"/>
  <c r="T273" i="3" s="1"/>
  <c r="T274" i="3" s="1"/>
  <c r="T275" i="3" s="1"/>
  <c r="T276" i="3" s="1"/>
  <c r="T277" i="3" s="1"/>
  <c r="T278" i="3" s="1"/>
  <c r="T279" i="3" s="1"/>
  <c r="T280" i="3" s="1"/>
  <c r="T281" i="3" s="1"/>
  <c r="T282" i="3" s="1"/>
  <c r="T283" i="3" s="1"/>
  <c r="T284" i="3" s="1"/>
  <c r="T285" i="3" s="1"/>
  <c r="T286" i="3" s="1"/>
  <c r="T287" i="3" s="1"/>
  <c r="T288" i="3" s="1"/>
  <c r="T289" i="3" s="1"/>
  <c r="T290" i="3" s="1"/>
  <c r="T291" i="3" s="1"/>
  <c r="T292" i="3" s="1"/>
  <c r="T293" i="3" s="1"/>
  <c r="T294" i="3" s="1"/>
  <c r="T295" i="3" s="1"/>
  <c r="T238" i="3"/>
  <c r="T237" i="3" s="1"/>
  <c r="T236" i="3" s="1"/>
  <c r="T235" i="3" s="1"/>
  <c r="T234" i="3" s="1"/>
  <c r="T233" i="3" s="1"/>
  <c r="T232" i="3" s="1"/>
  <c r="T231" i="3" s="1"/>
  <c r="T230" i="3" s="1"/>
  <c r="T229" i="3" s="1"/>
  <c r="T228" i="3" s="1"/>
  <c r="T227" i="3" s="1"/>
  <c r="T226" i="3" s="1"/>
  <c r="T225" i="3" s="1"/>
  <c r="T224" i="3" s="1"/>
  <c r="T223" i="3" s="1"/>
  <c r="T222" i="3" s="1"/>
  <c r="T221" i="3" s="1"/>
  <c r="T220" i="3" s="1"/>
  <c r="T219" i="3" s="1"/>
  <c r="T218" i="3" s="1"/>
  <c r="T217" i="3" s="1"/>
  <c r="T216" i="3" s="1"/>
  <c r="T215" i="3" s="1"/>
  <c r="T214" i="3" s="1"/>
  <c r="T213" i="3" s="1"/>
  <c r="T212" i="3" s="1"/>
  <c r="T211" i="3" s="1"/>
  <c r="T210" i="3" s="1"/>
  <c r="T209" i="3" s="1"/>
  <c r="T208" i="3" s="1"/>
  <c r="T207" i="3" s="1"/>
  <c r="T206" i="3" s="1"/>
  <c r="T205" i="3" s="1"/>
  <c r="T204" i="3" s="1"/>
  <c r="T203" i="3" s="1"/>
  <c r="T202" i="3" s="1"/>
  <c r="T201" i="3" s="1"/>
  <c r="T200" i="3" s="1"/>
  <c r="T199" i="3" s="1"/>
  <c r="T198" i="3" s="1"/>
  <c r="T197" i="3" s="1"/>
  <c r="T196" i="3" s="1"/>
  <c r="T195" i="3" s="1"/>
  <c r="T194" i="3" s="1"/>
  <c r="T193" i="3" s="1"/>
  <c r="T192" i="3" s="1"/>
  <c r="T191" i="3" s="1"/>
  <c r="T190" i="3" s="1"/>
  <c r="T189" i="3" s="1"/>
  <c r="T188" i="3" s="1"/>
  <c r="T187" i="3" s="1"/>
  <c r="T186" i="3" s="1"/>
  <c r="T185" i="3" s="1"/>
  <c r="T184" i="3" s="1"/>
  <c r="T183" i="3" s="1"/>
  <c r="T296" i="3" l="1"/>
  <c r="T297" i="3" s="1"/>
  <c r="T182" i="3"/>
  <c r="T181" i="3" l="1"/>
  <c r="G155" i="3" l="1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S173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S174" i="3" s="1"/>
  <c r="S175" i="3" s="1"/>
  <c r="O331" i="3"/>
  <c r="G75" i="2"/>
  <c r="G56" i="2"/>
  <c r="G63" i="2"/>
  <c r="G65" i="2" s="1"/>
  <c r="F63" i="2"/>
  <c r="F65" i="2" s="1"/>
  <c r="F56" i="2"/>
  <c r="I74" i="2"/>
  <c r="J74" i="2" s="1"/>
  <c r="J77" i="2"/>
  <c r="I77" i="2"/>
  <c r="H77" i="2"/>
  <c r="G77" i="2"/>
  <c r="I65" i="2"/>
  <c r="H65" i="2"/>
  <c r="T64" i="2"/>
  <c r="J63" i="2"/>
  <c r="J65" i="2" s="1"/>
  <c r="T65" i="2" s="1"/>
  <c r="I63" i="2"/>
  <c r="H63" i="2"/>
  <c r="T62" i="2"/>
  <c r="T61" i="2"/>
  <c r="T60" i="2"/>
  <c r="T59" i="2"/>
  <c r="T58" i="2"/>
  <c r="AD57" i="2"/>
  <c r="J56" i="2"/>
  <c r="I56" i="2"/>
  <c r="H56" i="2"/>
  <c r="T55" i="2"/>
  <c r="T54" i="2"/>
  <c r="T53" i="2"/>
  <c r="T52" i="2"/>
  <c r="T51" i="2"/>
  <c r="Y51" i="2"/>
  <c r="T50" i="2"/>
  <c r="T49" i="2"/>
  <c r="T48" i="2"/>
  <c r="T47" i="2"/>
  <c r="T46" i="2"/>
  <c r="S32" i="2"/>
  <c r="T30" i="2"/>
  <c r="F30" i="2"/>
  <c r="S30" i="2" s="1"/>
  <c r="T28" i="2"/>
  <c r="F28" i="2"/>
  <c r="T26" i="2"/>
  <c r="F26" i="2"/>
  <c r="S26" i="2" s="1"/>
  <c r="J24" i="2"/>
  <c r="I24" i="2"/>
  <c r="H24" i="2"/>
  <c r="G24" i="2"/>
  <c r="E24" i="2"/>
  <c r="D24" i="2"/>
  <c r="C24" i="2"/>
  <c r="T23" i="2"/>
  <c r="F23" i="2"/>
  <c r="T22" i="2"/>
  <c r="F22" i="2"/>
  <c r="T21" i="2"/>
  <c r="F21" i="2"/>
  <c r="S21" i="2" s="1"/>
  <c r="T20" i="2"/>
  <c r="F20" i="2"/>
  <c r="S20" i="2" s="1"/>
  <c r="T19" i="2"/>
  <c r="F19" i="2"/>
  <c r="T18" i="2"/>
  <c r="F18" i="2"/>
  <c r="S18" i="2" s="1"/>
  <c r="T16" i="2"/>
  <c r="F16" i="2"/>
  <c r="S16" i="2" s="1"/>
  <c r="D12" i="2"/>
  <c r="C12" i="2"/>
  <c r="I9" i="2"/>
  <c r="H9" i="2"/>
  <c r="G9" i="2"/>
  <c r="I8" i="2"/>
  <c r="H8" i="2"/>
  <c r="G8" i="2"/>
  <c r="J6" i="2"/>
  <c r="J12" i="2" s="1"/>
  <c r="I6" i="2"/>
  <c r="I13" i="2" s="1"/>
  <c r="H6" i="2"/>
  <c r="H13" i="2" s="1"/>
  <c r="G6" i="2"/>
  <c r="G13" i="2" s="1"/>
  <c r="E6" i="2"/>
  <c r="E15" i="2" s="1"/>
  <c r="D6" i="2"/>
  <c r="D15" i="2" s="1"/>
  <c r="C6" i="2"/>
  <c r="T5" i="2"/>
  <c r="F5" i="2"/>
  <c r="J9" i="2" s="1"/>
  <c r="T4" i="2"/>
  <c r="U4" i="2" s="1"/>
  <c r="F4" i="2"/>
  <c r="U3" i="2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G154" i="3"/>
  <c r="C5" i="1"/>
  <c r="Y54" i="2" s="1"/>
  <c r="S176" i="3" l="1"/>
  <c r="AD53" i="2" s="1"/>
  <c r="Y61" i="2" s="1"/>
  <c r="Y63" i="2" s="1"/>
  <c r="Y56" i="2"/>
  <c r="Y55" i="2"/>
  <c r="S5" i="2"/>
  <c r="G10" i="2"/>
  <c r="G15" i="2"/>
  <c r="G17" i="2" s="1"/>
  <c r="G25" i="2" s="1"/>
  <c r="G76" i="2"/>
  <c r="G78" i="2" s="1"/>
  <c r="H75" i="2"/>
  <c r="F6" i="2"/>
  <c r="F15" i="2" s="1"/>
  <c r="F39" i="2" s="1"/>
  <c r="T24" i="2"/>
  <c r="D13" i="2"/>
  <c r="T56" i="2"/>
  <c r="T77" i="2"/>
  <c r="J13" i="2"/>
  <c r="I10" i="2"/>
  <c r="J15" i="2"/>
  <c r="J69" i="2" s="1"/>
  <c r="T63" i="2"/>
  <c r="S170" i="3"/>
  <c r="S171" i="3"/>
  <c r="S172" i="3"/>
  <c r="T74" i="2"/>
  <c r="V4" i="2"/>
  <c r="D39" i="2"/>
  <c r="D38" i="2"/>
  <c r="D17" i="2"/>
  <c r="D41" i="2"/>
  <c r="D37" i="2"/>
  <c r="D36" i="2"/>
  <c r="D40" i="2"/>
  <c r="E38" i="2"/>
  <c r="E17" i="2"/>
  <c r="E39" i="2"/>
  <c r="E41" i="2"/>
  <c r="E37" i="2"/>
  <c r="E40" i="2"/>
  <c r="E36" i="2"/>
  <c r="S4" i="2"/>
  <c r="J8" i="2"/>
  <c r="H10" i="2"/>
  <c r="E12" i="2"/>
  <c r="C13" i="2"/>
  <c r="I15" i="2"/>
  <c r="J17" i="2"/>
  <c r="S22" i="2"/>
  <c r="F24" i="2"/>
  <c r="S24" i="2" s="1"/>
  <c r="G39" i="2"/>
  <c r="H15" i="2"/>
  <c r="T15" i="2" s="1"/>
  <c r="T38" i="2" s="1"/>
  <c r="S28" i="2"/>
  <c r="F12" i="2"/>
  <c r="J38" i="2"/>
  <c r="T6" i="2"/>
  <c r="G12" i="2"/>
  <c r="E13" i="2"/>
  <c r="C15" i="2"/>
  <c r="G36" i="2"/>
  <c r="G40" i="2"/>
  <c r="S19" i="2"/>
  <c r="H12" i="2"/>
  <c r="S23" i="2"/>
  <c r="J39" i="2"/>
  <c r="T9" i="2"/>
  <c r="G38" i="2"/>
  <c r="I12" i="2"/>
  <c r="G37" i="2"/>
  <c r="G41" i="2"/>
  <c r="U5" i="2"/>
  <c r="V5" i="2" s="1"/>
  <c r="W5" i="2" s="1"/>
  <c r="X5" i="2" s="1"/>
  <c r="Y5" i="2" s="1"/>
  <c r="Z5" i="2" s="1"/>
  <c r="AA5" i="2" s="1"/>
  <c r="AB5" i="2" s="1"/>
  <c r="AC5" i="2" s="1"/>
  <c r="AD5" i="2" s="1"/>
  <c r="J36" i="2"/>
  <c r="C8" i="1"/>
  <c r="AD54" i="2" l="1"/>
  <c r="X192" i="3"/>
  <c r="U239" i="3"/>
  <c r="U183" i="3"/>
  <c r="U276" i="3"/>
  <c r="U241" i="3"/>
  <c r="U263" i="3"/>
  <c r="U282" i="3"/>
  <c r="U258" i="3"/>
  <c r="U261" i="3"/>
  <c r="U197" i="3"/>
  <c r="U186" i="3"/>
  <c r="U201" i="3"/>
  <c r="U240" i="3"/>
  <c r="U227" i="3"/>
  <c r="U199" i="3"/>
  <c r="U198" i="3"/>
  <c r="U231" i="3"/>
  <c r="U285" i="3"/>
  <c r="U200" i="3"/>
  <c r="U196" i="3"/>
  <c r="U214" i="3"/>
  <c r="U274" i="3"/>
  <c r="U248" i="3"/>
  <c r="U295" i="3"/>
  <c r="U244" i="3"/>
  <c r="U278" i="3"/>
  <c r="U252" i="3"/>
  <c r="U270" i="3"/>
  <c r="U247" i="3"/>
  <c r="U253" i="3"/>
  <c r="U189" i="3"/>
  <c r="U211" i="3"/>
  <c r="U185" i="3"/>
  <c r="U193" i="3"/>
  <c r="U232" i="3"/>
  <c r="U203" i="3"/>
  <c r="U191" i="3"/>
  <c r="U190" i="3"/>
  <c r="U245" i="3"/>
  <c r="U234" i="3"/>
  <c r="U219" i="3"/>
  <c r="U288" i="3"/>
  <c r="U287" i="3"/>
  <c r="U294" i="3"/>
  <c r="U220" i="3"/>
  <c r="U195" i="3"/>
  <c r="U216" i="3"/>
  <c r="U238" i="3"/>
  <c r="U283" i="3"/>
  <c r="U293" i="3"/>
  <c r="U212" i="3"/>
  <c r="U272" i="3"/>
  <c r="U230" i="3"/>
  <c r="U204" i="3"/>
  <c r="U225" i="3"/>
  <c r="U222" i="3"/>
  <c r="U256" i="3"/>
  <c r="U246" i="3"/>
  <c r="U194" i="3"/>
  <c r="U284" i="3"/>
  <c r="U289" i="3"/>
  <c r="U257" i="3"/>
  <c r="U242" i="3"/>
  <c r="U259" i="3"/>
  <c r="U235" i="3"/>
  <c r="U228" i="3"/>
  <c r="U224" i="3"/>
  <c r="U266" i="3"/>
  <c r="U218" i="3"/>
  <c r="U221" i="3"/>
  <c r="U264" i="3"/>
  <c r="U202" i="3"/>
  <c r="U215" i="3"/>
  <c r="U262" i="3"/>
  <c r="U275" i="3"/>
  <c r="U290" i="3"/>
  <c r="U260" i="3"/>
  <c r="U249" i="3"/>
  <c r="U187" i="3"/>
  <c r="U237" i="3"/>
  <c r="U226" i="3"/>
  <c r="U280" i="3"/>
  <c r="U279" i="3"/>
  <c r="U265" i="3"/>
  <c r="U236" i="3"/>
  <c r="U229" i="3"/>
  <c r="U233" i="3"/>
  <c r="U208" i="3"/>
  <c r="U271" i="3"/>
  <c r="U223" i="3"/>
  <c r="U192" i="3"/>
  <c r="U273" i="3"/>
  <c r="U188" i="3"/>
  <c r="U206" i="3"/>
  <c r="U251" i="3"/>
  <c r="U205" i="3"/>
  <c r="U207" i="3"/>
  <c r="U291" i="3"/>
  <c r="U254" i="3"/>
  <c r="U255" i="3"/>
  <c r="U292" i="3"/>
  <c r="U210" i="3"/>
  <c r="U269" i="3"/>
  <c r="U184" i="3"/>
  <c r="U267" i="3"/>
  <c r="U243" i="3"/>
  <c r="U286" i="3"/>
  <c r="U250" i="3"/>
  <c r="U281" i="3"/>
  <c r="U277" i="3"/>
  <c r="U213" i="3"/>
  <c r="U217" i="3"/>
  <c r="U268" i="3"/>
  <c r="U209" i="3"/>
  <c r="U297" i="3"/>
  <c r="U296" i="3"/>
  <c r="U182" i="3"/>
  <c r="U181" i="3"/>
  <c r="Y70" i="2"/>
  <c r="U6" i="2"/>
  <c r="U10" i="2" s="1"/>
  <c r="F36" i="2"/>
  <c r="F17" i="2"/>
  <c r="F41" i="2"/>
  <c r="F38" i="2"/>
  <c r="F40" i="2"/>
  <c r="S6" i="2"/>
  <c r="S13" i="2" s="1"/>
  <c r="G35" i="2"/>
  <c r="J10" i="2"/>
  <c r="F13" i="2"/>
  <c r="I75" i="2"/>
  <c r="J75" i="2" s="1"/>
  <c r="J76" i="2" s="1"/>
  <c r="J78" i="2" s="1"/>
  <c r="F37" i="2"/>
  <c r="J40" i="2"/>
  <c r="J41" i="2"/>
  <c r="J37" i="2"/>
  <c r="H76" i="2"/>
  <c r="H78" i="2" s="1"/>
  <c r="T39" i="2"/>
  <c r="T12" i="2"/>
  <c r="T36" i="2"/>
  <c r="T41" i="2"/>
  <c r="T37" i="2"/>
  <c r="T40" i="2"/>
  <c r="E25" i="2"/>
  <c r="E35" i="2"/>
  <c r="J35" i="2"/>
  <c r="J25" i="2"/>
  <c r="T13" i="2"/>
  <c r="G42" i="2"/>
  <c r="G27" i="2"/>
  <c r="I40" i="2"/>
  <c r="I36" i="2"/>
  <c r="I41" i="2"/>
  <c r="I39" i="2"/>
  <c r="I38" i="2"/>
  <c r="I17" i="2"/>
  <c r="I37" i="2"/>
  <c r="V6" i="2"/>
  <c r="W4" i="2"/>
  <c r="C39" i="2"/>
  <c r="C17" i="2"/>
  <c r="C36" i="2"/>
  <c r="C38" i="2"/>
  <c r="S15" i="2"/>
  <c r="S37" i="2" s="1"/>
  <c r="C40" i="2"/>
  <c r="C41" i="2"/>
  <c r="C37" i="2"/>
  <c r="T8" i="2"/>
  <c r="H41" i="2"/>
  <c r="H37" i="2"/>
  <c r="H40" i="2"/>
  <c r="H36" i="2"/>
  <c r="H39" i="2"/>
  <c r="H38" i="2"/>
  <c r="H17" i="2"/>
  <c r="D35" i="2"/>
  <c r="D25" i="2"/>
  <c r="F25" i="2"/>
  <c r="F35" i="2"/>
  <c r="X182" i="3"/>
  <c r="X181" i="3"/>
  <c r="X184" i="3"/>
  <c r="X191" i="3"/>
  <c r="X183" i="3"/>
  <c r="X194" i="3"/>
  <c r="X190" i="3"/>
  <c r="X186" i="3"/>
  <c r="X189" i="3"/>
  <c r="X193" i="3"/>
  <c r="X188" i="3"/>
  <c r="X185" i="3"/>
  <c r="X187" i="3"/>
  <c r="U15" i="2" l="1"/>
  <c r="U23" i="2"/>
  <c r="U22" i="2"/>
  <c r="U16" i="2"/>
  <c r="U17" i="2" s="1"/>
  <c r="U21" i="2"/>
  <c r="U18" i="2"/>
  <c r="U20" i="2"/>
  <c r="U19" i="2"/>
  <c r="S40" i="2"/>
  <c r="S12" i="2"/>
  <c r="T10" i="2"/>
  <c r="S41" i="2"/>
  <c r="I76" i="2"/>
  <c r="T75" i="2"/>
  <c r="J27" i="2"/>
  <c r="J42" i="2"/>
  <c r="H25" i="2"/>
  <c r="H35" i="2"/>
  <c r="T17" i="2"/>
  <c r="T35" i="2" s="1"/>
  <c r="W6" i="2"/>
  <c r="X4" i="2"/>
  <c r="C35" i="2"/>
  <c r="C25" i="2"/>
  <c r="S17" i="2"/>
  <c r="S35" i="2" s="1"/>
  <c r="E42" i="2"/>
  <c r="E27" i="2"/>
  <c r="F42" i="2"/>
  <c r="F27" i="2"/>
  <c r="I25" i="2"/>
  <c r="I35" i="2"/>
  <c r="V15" i="2"/>
  <c r="V10" i="2"/>
  <c r="G29" i="2"/>
  <c r="G43" i="2"/>
  <c r="S39" i="2"/>
  <c r="S36" i="2"/>
  <c r="D27" i="2"/>
  <c r="D42" i="2"/>
  <c r="S38" i="2"/>
  <c r="U24" i="2" l="1"/>
  <c r="U25" i="2" s="1"/>
  <c r="V16" i="2"/>
  <c r="V17" i="2" s="1"/>
  <c r="V20" i="2"/>
  <c r="V23" i="2"/>
  <c r="V22" i="2"/>
  <c r="V19" i="2"/>
  <c r="V21" i="2"/>
  <c r="V18" i="2"/>
  <c r="I78" i="2"/>
  <c r="T78" i="2" s="1"/>
  <c r="T76" i="2"/>
  <c r="E29" i="2"/>
  <c r="E43" i="2"/>
  <c r="D43" i="2"/>
  <c r="D29" i="2"/>
  <c r="G31" i="2"/>
  <c r="G73" i="2"/>
  <c r="G33" i="2"/>
  <c r="H27" i="2"/>
  <c r="H42" i="2"/>
  <c r="T25" i="2"/>
  <c r="T42" i="2" s="1"/>
  <c r="X6" i="2"/>
  <c r="Y4" i="2"/>
  <c r="W10" i="2"/>
  <c r="W15" i="2"/>
  <c r="I27" i="2"/>
  <c r="I42" i="2"/>
  <c r="F29" i="2"/>
  <c r="F43" i="2"/>
  <c r="S25" i="2"/>
  <c r="S42" i="2" s="1"/>
  <c r="C27" i="2"/>
  <c r="C42" i="2"/>
  <c r="J43" i="2"/>
  <c r="J29" i="2"/>
  <c r="AA51" i="2" l="1"/>
  <c r="AA52" i="2" s="1"/>
  <c r="U42" i="2"/>
  <c r="U27" i="2"/>
  <c r="V24" i="2"/>
  <c r="V25" i="2" s="1"/>
  <c r="V42" i="2" s="1"/>
  <c r="W23" i="2"/>
  <c r="W19" i="2"/>
  <c r="W22" i="2"/>
  <c r="W21" i="2"/>
  <c r="W16" i="2"/>
  <c r="W17" i="2" s="1"/>
  <c r="W20" i="2"/>
  <c r="W18" i="2"/>
  <c r="J31" i="2"/>
  <c r="J44" i="2" s="1"/>
  <c r="J73" i="2"/>
  <c r="J33" i="2"/>
  <c r="I43" i="2"/>
  <c r="I29" i="2"/>
  <c r="C43" i="2"/>
  <c r="S27" i="2"/>
  <c r="S43" i="2" s="1"/>
  <c r="C29" i="2"/>
  <c r="Y6" i="2"/>
  <c r="Z4" i="2"/>
  <c r="G44" i="2"/>
  <c r="X15" i="2"/>
  <c r="X10" i="2"/>
  <c r="D31" i="2"/>
  <c r="D44" i="2" s="1"/>
  <c r="D33" i="2"/>
  <c r="F33" i="2"/>
  <c r="F31" i="2"/>
  <c r="F44" i="2" s="1"/>
  <c r="H29" i="2"/>
  <c r="H43" i="2"/>
  <c r="T27" i="2"/>
  <c r="T43" i="2" s="1"/>
  <c r="E33" i="2"/>
  <c r="E31" i="2"/>
  <c r="E44" i="2" s="1"/>
  <c r="U28" i="2" l="1"/>
  <c r="U29" i="2" s="1"/>
  <c r="W24" i="2"/>
  <c r="W25" i="2" s="1"/>
  <c r="W42" i="2" s="1"/>
  <c r="X23" i="2"/>
  <c r="X22" i="2"/>
  <c r="X21" i="2"/>
  <c r="X20" i="2"/>
  <c r="X18" i="2"/>
  <c r="X16" i="2"/>
  <c r="X17" i="2" s="1"/>
  <c r="X19" i="2"/>
  <c r="S29" i="2"/>
  <c r="C31" i="2"/>
  <c r="C33" i="2"/>
  <c r="S33" i="2" s="1"/>
  <c r="I31" i="2"/>
  <c r="I44" i="2" s="1"/>
  <c r="I73" i="2"/>
  <c r="I33" i="2"/>
  <c r="Z6" i="2"/>
  <c r="AA4" i="2"/>
  <c r="H31" i="2"/>
  <c r="H33" i="2"/>
  <c r="H73" i="2"/>
  <c r="T29" i="2"/>
  <c r="T73" i="2" s="1"/>
  <c r="Y15" i="2"/>
  <c r="Y10" i="2"/>
  <c r="U46" i="2" l="1"/>
  <c r="V26" i="2" s="1"/>
  <c r="V27" i="2" s="1"/>
  <c r="V28" i="2" s="1"/>
  <c r="V29" i="2" s="1"/>
  <c r="V46" i="2" s="1"/>
  <c r="W26" i="2" s="1"/>
  <c r="W27" i="2" s="1"/>
  <c r="W28" i="2" s="1"/>
  <c r="W29" i="2" s="1"/>
  <c r="Y22" i="2"/>
  <c r="Y16" i="2"/>
  <c r="Y17" i="2" s="1"/>
  <c r="Y21" i="2"/>
  <c r="Y23" i="2"/>
  <c r="Y20" i="2"/>
  <c r="Y19" i="2"/>
  <c r="Y18" i="2"/>
  <c r="X24" i="2"/>
  <c r="X25" i="2" s="1"/>
  <c r="X42" i="2" s="1"/>
  <c r="Z10" i="2"/>
  <c r="Z15" i="2"/>
  <c r="AA6" i="2"/>
  <c r="AB4" i="2"/>
  <c r="T33" i="2"/>
  <c r="S31" i="2"/>
  <c r="S44" i="2" s="1"/>
  <c r="C44" i="2"/>
  <c r="H44" i="2"/>
  <c r="T31" i="2"/>
  <c r="T44" i="2" s="1"/>
  <c r="W46" i="2" l="1"/>
  <c r="X26" i="2" s="1"/>
  <c r="Y24" i="2"/>
  <c r="Y25" i="2" s="1"/>
  <c r="Y42" i="2" s="1"/>
  <c r="X27" i="2"/>
  <c r="X28" i="2" s="1"/>
  <c r="X29" i="2" s="1"/>
  <c r="X46" i="2" s="1"/>
  <c r="Y26" i="2" s="1"/>
  <c r="Z21" i="2"/>
  <c r="Z20" i="2"/>
  <c r="Z19" i="2"/>
  <c r="Z18" i="2"/>
  <c r="Z22" i="2"/>
  <c r="Z16" i="2"/>
  <c r="Z17" i="2" s="1"/>
  <c r="Z23" i="2"/>
  <c r="AB6" i="2"/>
  <c r="AC4" i="2"/>
  <c r="AA15" i="2"/>
  <c r="AA10" i="2"/>
  <c r="Y27" i="2" l="1"/>
  <c r="Y28" i="2" s="1"/>
  <c r="Y29" i="2" s="1"/>
  <c r="Y46" i="2" s="1"/>
  <c r="Z26" i="2" s="1"/>
  <c r="Z24" i="2"/>
  <c r="Z25" i="2" s="1"/>
  <c r="AA20" i="2"/>
  <c r="AA21" i="2"/>
  <c r="AA19" i="2"/>
  <c r="AA23" i="2"/>
  <c r="AA18" i="2"/>
  <c r="AA16" i="2"/>
  <c r="AA17" i="2" s="1"/>
  <c r="AA22" i="2"/>
  <c r="AC6" i="2"/>
  <c r="AD4" i="2"/>
  <c r="AD6" i="2" s="1"/>
  <c r="AB15" i="2"/>
  <c r="AB10" i="2"/>
  <c r="Z27" i="2" l="1"/>
  <c r="Z28" i="2" s="1"/>
  <c r="Z29" i="2" s="1"/>
  <c r="Z42" i="2"/>
  <c r="AA24" i="2"/>
  <c r="AA25" i="2" s="1"/>
  <c r="AB19" i="2"/>
  <c r="AB18" i="2"/>
  <c r="AB16" i="2"/>
  <c r="AB17" i="2" s="1"/>
  <c r="AB22" i="2"/>
  <c r="AB23" i="2"/>
  <c r="AB20" i="2"/>
  <c r="AB21" i="2"/>
  <c r="AD15" i="2"/>
  <c r="AD10" i="2"/>
  <c r="AC15" i="2"/>
  <c r="AC10" i="2"/>
  <c r="Z46" i="2" l="1"/>
  <c r="AA26" i="2" s="1"/>
  <c r="AA27" i="2" s="1"/>
  <c r="AA28" i="2" s="1"/>
  <c r="AA29" i="2" s="1"/>
  <c r="AA46" i="2" s="1"/>
  <c r="AB26" i="2" s="1"/>
  <c r="AA42" i="2"/>
  <c r="AC18" i="2"/>
  <c r="AC16" i="2"/>
  <c r="AC17" i="2" s="1"/>
  <c r="AC20" i="2"/>
  <c r="AC21" i="2"/>
  <c r="AC23" i="2"/>
  <c r="AC22" i="2"/>
  <c r="AC19" i="2"/>
  <c r="AB24" i="2"/>
  <c r="AB25" i="2" s="1"/>
  <c r="AD16" i="2"/>
  <c r="AD17" i="2" s="1"/>
  <c r="AD20" i="2"/>
  <c r="AD18" i="2"/>
  <c r="AD23" i="2"/>
  <c r="AD19" i="2"/>
  <c r="AD22" i="2"/>
  <c r="AD21" i="2"/>
  <c r="AB27" i="2" l="1"/>
  <c r="AB28" i="2" s="1"/>
  <c r="AB29" i="2" s="1"/>
  <c r="AB42" i="2"/>
  <c r="AD24" i="2"/>
  <c r="AD25" i="2" s="1"/>
  <c r="AD42" i="2" s="1"/>
  <c r="AC24" i="2"/>
  <c r="AC25" i="2" s="1"/>
  <c r="AC42" i="2" s="1"/>
  <c r="AB46" i="2" l="1"/>
  <c r="AC26" i="2" s="1"/>
  <c r="AC27" i="2"/>
  <c r="AC28" i="2" s="1"/>
  <c r="AC29" i="2" s="1"/>
  <c r="AC46" i="2" s="1"/>
  <c r="AD26" i="2" s="1"/>
  <c r="AD27" i="2" s="1"/>
  <c r="AD28" i="2" s="1"/>
  <c r="AD29" i="2" s="1"/>
  <c r="AD46" i="2" l="1"/>
  <c r="AE29" i="2"/>
  <c r="AF29" i="2" s="1"/>
  <c r="AG29" i="2" s="1"/>
  <c r="AH29" i="2" s="1"/>
  <c r="AI29" i="2" s="1"/>
  <c r="AJ29" i="2" s="1"/>
  <c r="AK29" i="2" s="1"/>
  <c r="AL29" i="2" s="1"/>
  <c r="AM29" i="2" s="1"/>
  <c r="AN29" i="2" s="1"/>
  <c r="AO29" i="2" s="1"/>
  <c r="AP29" i="2" s="1"/>
  <c r="AQ29" i="2" s="1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AD56" i="2" l="1"/>
  <c r="AD58" i="2" s="1"/>
  <c r="AD60" i="2" l="1"/>
  <c r="AE60" i="2"/>
  <c r="AC61" i="2" a="1"/>
  <c r="AC6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<sst xmlns="http://schemas.openxmlformats.org/spreadsheetml/2006/main" count="1191" uniqueCount="962">
  <si>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</si>
  <si>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</si>
  <si>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</si>
  <si>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</si>
  <si>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</si>
  <si>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</si>
  <si>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</si>
  <si>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</si>
  <si>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</si>
  <si>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</si>
  <si>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</si>
  <si>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</si>
  <si>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</si>
  <si>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</si>
  <si>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</si>
  <si>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</si>
  <si>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</si>
  <si>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</si>
  <si>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</si>
  <si>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</si>
  <si>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</si>
  <si>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</si>
  <si>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</si>
  <si>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</si>
  <si>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</si>
  <si>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</si>
  <si>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# of Trading Days? (From: </t>
    </r>
    <r>
      <rPr>
        <i/>
        <sz val="11"/>
        <color theme="1"/>
        <rFont val="Calibre"/>
      </rPr>
      <t>date the data snapshot was collected</t>
    </r>
    <r>
      <rPr>
        <sz val="11"/>
        <color theme="1"/>
        <rFont val="Calibre"/>
      </rPr>
      <t>)</t>
    </r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</si>
  <si>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</si>
  <si>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</si>
  <si>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</si>
  <si>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</si>
  <si>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</si>
  <si>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</si>
  <si>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</si>
  <si>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</si>
  <si>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</si>
  <si>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</si>
  <si>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</si>
  <si>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</si>
  <si>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</si>
  <si>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</si>
  <si>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</si>
  <si>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</si>
  <si>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</si>
  <si>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</si>
  <si>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</si>
  <si>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</si>
  <si>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</si>
  <si>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</si>
  <si>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</si>
  <si>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</si>
  <si>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</si>
  <si>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</si>
  <si>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</si>
  <si>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</si>
  <si>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</si>
  <si>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</si>
  <si>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</si>
  <si>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</si>
  <si>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</si>
  <si>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</si>
  <si>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</si>
  <si>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</si>
  <si>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</si>
  <si>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Operating Profit Margin</t>
  </si>
  <si>
    <t>Effective Tax Rate</t>
  </si>
  <si>
    <t>Net Profit Margin</t>
  </si>
  <si>
    <t xml:space="preserve">Cash &amp; CEs </t>
  </si>
  <si>
    <t>Marketable Securities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</si>
  <si>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</si>
  <si>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</si>
  <si>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</si>
  <si>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</si>
  <si>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</si>
  <si>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</si>
  <si>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</si>
  <si>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</si>
  <si>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</si>
  <si>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</si>
  <si>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</si>
  <si>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</si>
  <si>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</si>
  <si>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</si>
  <si>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</si>
  <si>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</si>
  <si>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</si>
  <si>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</si>
  <si>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</si>
  <si>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</si>
  <si>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</si>
  <si>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</si>
  <si>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</si>
  <si>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</si>
  <si>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</si>
  <si>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</si>
  <si>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</si>
  <si>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</si>
  <si>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</si>
  <si>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</si>
  <si>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</si>
  <si>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</si>
  <si>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Q/q Total Revenues, Net Income, FCF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</si>
  <si>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</si>
  <si>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</si>
  <si>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</si>
  <si>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</si>
  <si>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</si>
  <si>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</si>
  <si>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</si>
  <si>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ROIC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</si>
  <si>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</si>
  <si>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</si>
  <si>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</si>
  <si>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</si>
  <si>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</si>
  <si>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</si>
  <si>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</si>
  <si>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</si>
  <si>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</t>
  </si>
  <si>
    <t>VOO Historical Returns</t>
  </si>
  <si>
    <t>CHYM</t>
  </si>
  <si>
    <t>Chime Financial, Inc. (CHYM)</t>
  </si>
  <si>
    <t>Payments Revenues</t>
  </si>
  <si>
    <t>Platform-related Revenues</t>
  </si>
  <si>
    <t>Payments Revenue Growth Y/y</t>
  </si>
  <si>
    <t>Platform-related Revenues Growth Y/y</t>
  </si>
  <si>
    <t>Payments % of Ttl Revenues</t>
  </si>
  <si>
    <t>Platform-related % of Ttl Revenues</t>
  </si>
  <si>
    <t>Transaction and Risk Losses</t>
  </si>
  <si>
    <t>Member Support &amp; Operations</t>
  </si>
  <si>
    <t>Sales &amp; Marketing</t>
  </si>
  <si>
    <t>Technology and Development</t>
  </si>
  <si>
    <t>General &amp; Administrative</t>
  </si>
  <si>
    <t>Depreciation &amp; Amortization</t>
  </si>
  <si>
    <t>Ttl Operating Expenses</t>
  </si>
  <si>
    <t>Operating Income</t>
  </si>
  <si>
    <t>Other Income</t>
  </si>
  <si>
    <t>Pretax Income</t>
  </si>
  <si>
    <t>Taxes</t>
  </si>
  <si>
    <t>EPS</t>
  </si>
  <si>
    <t>Restricted Cash</t>
  </si>
  <si>
    <t>Product Collateral</t>
  </si>
  <si>
    <t>A/R</t>
  </si>
  <si>
    <t>ST Loans Held for Investment</t>
  </si>
  <si>
    <t>Prepaid ST Expenses</t>
  </si>
  <si>
    <t>PP&amp;E</t>
  </si>
  <si>
    <t>LT Operating Lease Assets</t>
  </si>
  <si>
    <t>Other LT Assets</t>
  </si>
  <si>
    <t>Ttl Assets</t>
  </si>
  <si>
    <t>A/P</t>
  </si>
  <si>
    <t>ST Liabilities</t>
  </si>
  <si>
    <t>ST Product Obligations</t>
  </si>
  <si>
    <t>LT Operating Lease Liabilities</t>
  </si>
  <si>
    <t>Other LT Liabilities</t>
  </si>
  <si>
    <t>Ttl Liabilities</t>
  </si>
  <si>
    <t>Ttl SE</t>
  </si>
  <si>
    <t>Ttl L + SE</t>
  </si>
  <si>
    <t>Distribution to Preferred Stock</t>
  </si>
  <si>
    <t>Net Income to Common Stock</t>
  </si>
  <si>
    <t>Current CEO: Christopher Britt</t>
  </si>
  <si>
    <t>Employees: 1,228 (Q3'25)</t>
  </si>
  <si>
    <t>Founder(s): Chris Britt &amp; Ryan King</t>
  </si>
  <si>
    <t>Founded: 2012</t>
  </si>
  <si>
    <t>Headquarters: San Francisco, CA</t>
  </si>
  <si>
    <t xml:space="preserve">Industry: Software - Financial Application </t>
  </si>
  <si>
    <t>Sector: Technology</t>
  </si>
  <si>
    <t>IPO: June 12th, 2025 -- $11.6B valuation</t>
  </si>
  <si>
    <t>Fiscal Year: [January - December]</t>
  </si>
  <si>
    <t>Registered Exchange: NASDAQ</t>
  </si>
  <si>
    <t>Address: 101 California Street, San Francisco, CA 94111 U.S.</t>
  </si>
  <si>
    <t>(844) 244 - 6363</t>
  </si>
  <si>
    <t>Chime Financial, Inc., a financial technology company, provides digital consumer banking and payment solutions</t>
  </si>
  <si>
    <t>Chime Financial, Inc. was formerly known as 1Debit Inc. and changed its name to Chime Financial, Inc. in June 2019</t>
  </si>
  <si>
    <t>Chime Financial, Inc. was incorporated in 2012 and is based in San Francisco, California</t>
  </si>
  <si>
    <t>Thu, 26 Feb 2026 00:00:00 GMT</t>
  </si>
  <si>
    <t>Wed, 25 Feb 2026 00:00:00 GMT</t>
  </si>
  <si>
    <t>Tue, 24 Feb 2026 00:00:00 GMT</t>
  </si>
  <si>
    <t>Mon, 23 Feb 2026 00:00:00 GMT</t>
  </si>
  <si>
    <t>Fri, 20 Feb 2026 00:00:00 GMT</t>
  </si>
  <si>
    <t>Thu, 19 Feb 2026 00:00:00 GMT</t>
  </si>
  <si>
    <t>Wed, 18 Feb 2026 00:00:00 GMT</t>
  </si>
  <si>
    <t>Tue, 17 Feb 2026 00:00:00 GMT</t>
  </si>
  <si>
    <t>Fri, 13 Feb 2026 00:00:00 GMT</t>
  </si>
  <si>
    <t>Thu, 12 Feb 2026 00:00:00 GMT</t>
  </si>
  <si>
    <t>Wed, 11 Feb 2026 00:00:00 GMT</t>
  </si>
  <si>
    <t>Tue, 10 Feb 2026 00:00:00 GMT</t>
  </si>
  <si>
    <t>Mon, 09 Feb 2026 00:00:00 GMT</t>
  </si>
  <si>
    <t>Fri, 06 Feb 2026 00:00:00 GMT</t>
  </si>
  <si>
    <t>Thu, 05 Feb 2026 00:00:00 GMT</t>
  </si>
  <si>
    <t>Wed, 04 Feb 2026 00:00:00 GMT</t>
  </si>
  <si>
    <t>Tue, 03 Feb 2026 00:00:00 GMT</t>
  </si>
  <si>
    <t>Mon, 02 Feb 2026 00:00:00 GMT</t>
  </si>
  <si>
    <t>Fri, 30 Jan 2026 00:00:00 GMT</t>
  </si>
  <si>
    <t>Thu, 29 Jan 2026 00:00:00 GMT</t>
  </si>
  <si>
    <t>Wed, 28 Jan 2026 00:00:00 GMT</t>
  </si>
  <si>
    <t>Tue, 27 Jan 2026 00:00:00 GMT</t>
  </si>
  <si>
    <t>Mon, 26 Jan 2026 00:00:00 GMT</t>
  </si>
  <si>
    <t>Fri, 23 Jan 2026 00:00:00 GMT</t>
  </si>
  <si>
    <t>Thu, 22 Jan 2026 00:00:00 GMT</t>
  </si>
  <si>
    <t>Wed, 21 Jan 2026 00:00:00 GMT</t>
  </si>
  <si>
    <t>Tue, 20 Jan 2026 00:00:00 GMT</t>
  </si>
  <si>
    <t>Fri, 16 Jan 2026 00:00:00 GMT</t>
  </si>
  <si>
    <t>Thu, 15 Jan 2026 00:00:00 GMT</t>
  </si>
  <si>
    <t>Wed, 14 Jan 2026 00:00:00 GMT</t>
  </si>
  <si>
    <t>Tue, 13 Jan 2026 00:00:00 GMT</t>
  </si>
  <si>
    <t>Mon, 12 Jan 2026 00:00:00 GMT</t>
  </si>
  <si>
    <t>Fri, 09 Jan 2026 00:00:00 GMT</t>
  </si>
  <si>
    <t>Thu, 08 Jan 2026 00:00:00 GMT</t>
  </si>
  <si>
    <t>Wed, 07 Jan 2026 00:00:00 GMT</t>
  </si>
  <si>
    <t>Tue, 06 Jan 2026 00:00:00 GMT</t>
  </si>
  <si>
    <t>Mon, 05 Jan 2026 00:00:00 GMT</t>
  </si>
  <si>
    <t>Fri, 02 Jan 2026 00:00:00 GMT</t>
  </si>
  <si>
    <t>Wed, 31 Dec 2025 00:00:00 GMT</t>
  </si>
  <si>
    <t>Tue, 30 Dec 2025 00:00:00 GMT</t>
  </si>
  <si>
    <t>Mon, 29 Dec 2025 00:00:00 GMT</t>
  </si>
  <si>
    <t>Fri, 26 Dec 2025 00:00:00 GMT</t>
  </si>
  <si>
    <t>Wed, 24 Dec 2025 00:00:00 GMT</t>
  </si>
  <si>
    <t>Tue, 23 Dec 2025 00:00:00 GMT</t>
  </si>
  <si>
    <t>Mon, 22 Dec 2025 00:00:00 GMT</t>
  </si>
  <si>
    <t>Fri, 19 Dec 2025 00:00:00 GMT</t>
  </si>
  <si>
    <t>Thu, 18 Dec 2025 00:00:00 GMT</t>
  </si>
  <si>
    <t>Wed, 17 Dec 2025 00:00:00 GMT</t>
  </si>
  <si>
    <t>Tue, 16 Dec 2025 00:00:00 GMT</t>
  </si>
  <si>
    <t>Mon, 15 Dec 2025 00:00:00 GMT</t>
  </si>
  <si>
    <t>Fri, 12 Dec 2025 00:00:00 GMT</t>
  </si>
  <si>
    <t>Thu, 11 Dec 2025 00:00:00 GMT</t>
  </si>
  <si>
    <t>Wed, 10 Dec 2025 00:00:00 GMT</t>
  </si>
  <si>
    <t>Tue, 09 Dec 2025 00:00:00 GMT</t>
  </si>
  <si>
    <t>Mon, 08 Dec 2025 00:00:00 GMT</t>
  </si>
  <si>
    <t>Fri, 05 Dec 2025 00:00:00 GMT</t>
  </si>
  <si>
    <t>Thu, 04 Dec 2025 00:00:00 GMT</t>
  </si>
  <si>
    <t>Wed, 03 Dec 2025 00:00:00 GMT</t>
  </si>
  <si>
    <t>Tue, 02 Dec 2025 00:00:00 GMT</t>
  </si>
  <si>
    <t>Mon, 01 Dec 2025 00:00:00 GMT</t>
  </si>
  <si>
    <t>Fri, 28 Nov 2025 00:00:00 GMT</t>
  </si>
  <si>
    <t>Wed, 26 Nov 2025 00:00:00 GMT</t>
  </si>
  <si>
    <t>Tue, 25 Nov 2025 00:00:00 GMT</t>
  </si>
  <si>
    <t>Mon, 24 Nov 2025 00:00:00 GMT</t>
  </si>
  <si>
    <t>Fri, 21 Nov 2025 00:00:00 GMT</t>
  </si>
  <si>
    <t>Thu, 20 Nov 2025 00:00:00 GMT</t>
  </si>
  <si>
    <t>Wed, 19 Nov 2025 00:00:00 GMT</t>
  </si>
  <si>
    <t>Tue, 18 Nov 2025 00:00:00 GMT</t>
  </si>
  <si>
    <t>Mon, 17 Nov 2025 00:00:00 GMT</t>
  </si>
  <si>
    <t>Fri, 14 Nov 2025 00:00:00 GMT</t>
  </si>
  <si>
    <t>Thu, 13 Nov 2025 00:00:00 GMT</t>
  </si>
  <si>
    <t>Wed, 12 Nov 2025 00:00:00 GMT</t>
  </si>
  <si>
    <t>Tue, 11 Nov 2025 00:00:00 GMT</t>
  </si>
  <si>
    <t>Mon, 10 Nov 2025 00:00:00 GMT</t>
  </si>
  <si>
    <t>Fri, 07 Nov 2025 00:00:00 GMT</t>
  </si>
  <si>
    <t>Thu, 06 Nov 2025 00:00:00 GMT</t>
  </si>
  <si>
    <t>Wed, 05 Nov 2025 00:00:00 GMT</t>
  </si>
  <si>
    <t>Tue, 04 Nov 2025 00:00:00 GMT</t>
  </si>
  <si>
    <t>Mon, 03 Nov 2025 00:00:00 GMT</t>
  </si>
  <si>
    <t>Fri, 31 Oct 2025 00:00:00 GMT</t>
  </si>
  <si>
    <t>Thu, 30 Oct 2025 00:00:00 GMT</t>
  </si>
  <si>
    <t>Wed, 29 Oct 2025 00:00:00 GMT</t>
  </si>
  <si>
    <t>Tue, 28 Oct 2025 00:00:00 GMT</t>
  </si>
  <si>
    <t>Mon, 27 Oct 2025 00:00:00 GMT</t>
  </si>
  <si>
    <t>Fri, 24 Oct 2025 00:00:00 GMT</t>
  </si>
  <si>
    <t>Thu, 23 Oct 2025 00:00:00 GMT</t>
  </si>
  <si>
    <t>Wed, 22 Oct 2025 00:00:00 GMT</t>
  </si>
  <si>
    <t>Tue, 21 Oct 2025 00:00:00 GMT</t>
  </si>
  <si>
    <t>Mon, 20 Oct 2025 00:00:00 GMT</t>
  </si>
  <si>
    <t>Fri, 17 Oct 2025 00:00:00 GMT</t>
  </si>
  <si>
    <t>Thu, 16 Oct 2025 00:00:00 GMT</t>
  </si>
  <si>
    <t>Wed, 15 Oct 2025 00:00:00 GMT</t>
  </si>
  <si>
    <t>Tue, 14 Oct 2025 00:00:00 GMT</t>
  </si>
  <si>
    <t>Mon, 13 Oct 2025 00:00:00 GMT</t>
  </si>
  <si>
    <t>Fri, 10 Oct 2025 00:00:00 GMT</t>
  </si>
  <si>
    <t>Thu, 09 Oct 2025 00:00:00 GMT</t>
  </si>
  <si>
    <t>Wed, 08 Oct 2025 00:00:00 GMT</t>
  </si>
  <si>
    <t>Tue, 07 Oct 2025 00:00:00 GMT</t>
  </si>
  <si>
    <t>Mon, 06 Oct 2025 00:00:00 GMT</t>
  </si>
  <si>
    <t>Fri, 03 Oct 2025 00:00:00 GMT</t>
  </si>
  <si>
    <t>Thu, 02 Oct 2025 00:00:00 GMT</t>
  </si>
  <si>
    <t>Wed, 01 Oct 2025 00:00:00 GMT</t>
  </si>
  <si>
    <t>Tue, 30 Sep 2025 00:00:00 GMT</t>
  </si>
  <si>
    <t>Mon, 29 Sep 2025 00:00:00 GMT</t>
  </si>
  <si>
    <t>Fri, 26 Sep 2025 00:00:00 GMT</t>
  </si>
  <si>
    <t>Thu, 25 Sep 2025 00:00:00 GMT</t>
  </si>
  <si>
    <t>Wed, 24 Sep 2025 00:00:00 GMT</t>
  </si>
  <si>
    <t>Tue, 23 Sep 2025 00:00:00 GMT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</si>
  <si>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</si>
  <si>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</si>
  <si>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</si>
  <si>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</si>
  <si>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</si>
  <si>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</si>
  <si>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</si>
  <si>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</si>
  <si>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</si>
  <si>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</si>
  <si>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</si>
  <si>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</si>
  <si>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</si>
  <si>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</si>
  <si>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</si>
  <si>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</si>
  <si>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</si>
  <si>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</si>
  <si>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</si>
  <si>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</si>
  <si>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</si>
  <si>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</si>
  <si>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</si>
  <si>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</si>
  <si>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</si>
  <si>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</si>
  <si>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</si>
  <si>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</si>
  <si>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</si>
  <si>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</si>
  <si>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</si>
  <si>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</si>
  <si>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</si>
  <si>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</si>
  <si>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</si>
  <si>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</si>
  <si>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</si>
  <si>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</si>
  <si>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</si>
  <si>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</si>
  <si>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</si>
  <si>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</si>
  <si>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</si>
  <si>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</si>
  <si>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</si>
  <si>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</si>
  <si>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</si>
  <si>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</si>
  <si>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</si>
  <si>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</si>
  <si>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</si>
  <si>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</si>
  <si>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</si>
  <si>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</si>
  <si>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</si>
  <si>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</si>
  <si>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</si>
  <si>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</si>
  <si>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</si>
  <si>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</si>
  <si>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</si>
  <si>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</si>
  <si>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</si>
  <si>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</si>
  <si>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</si>
  <si>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</si>
  <si>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</si>
  <si>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</si>
  <si>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</si>
  <si>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</si>
  <si>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</si>
  <si>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</si>
  <si>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</si>
  <si>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</si>
  <si>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</si>
  <si>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</si>
  <si>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</si>
  <si>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</si>
  <si>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</si>
  <si>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</si>
  <si>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</si>
  <si>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</si>
  <si>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</si>
  <si>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</si>
  <si>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</si>
  <si>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</si>
  <si>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</si>
  <si>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</si>
  <si>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</si>
  <si>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</si>
  <si>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</si>
  <si>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</si>
  <si>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</si>
  <si>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</si>
  <si>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</si>
  <si>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</si>
  <si>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</si>
  <si>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</si>
  <si>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</si>
  <si>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</si>
  <si>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</si>
  <si>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</si>
  <si>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</si>
  <si>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</si>
  <si>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</si>
  <si>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</si>
  <si>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</si>
  <si>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</si>
  <si>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</si>
  <si>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</si>
  <si>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</si>
  <si>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</si>
  <si>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</si>
  <si>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</si>
  <si>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</si>
  <si>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</si>
  <si>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</si>
  <si>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</si>
  <si>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</si>
  <si>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</si>
  <si>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</si>
  <si>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</si>
  <si>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</si>
  <si>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</si>
  <si>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</si>
  <si>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</si>
  <si>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</si>
  <si>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</si>
  <si>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</si>
  <si>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</si>
  <si>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</si>
  <si>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</si>
  <si>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</si>
  <si>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</si>
  <si>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</si>
  <si>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</si>
  <si>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</si>
  <si>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</si>
  <si>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</si>
  <si>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</si>
  <si>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</si>
  <si>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</si>
  <si>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</si>
  <si>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</si>
  <si>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</si>
  <si>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</si>
  <si>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</si>
  <si>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</si>
  <si>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</si>
  <si>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</si>
  <si>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</si>
  <si>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</si>
  <si>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</si>
  <si>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</si>
  <si>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</si>
  <si>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</si>
  <si>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</si>
  <si>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</si>
  <si>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</si>
  <si>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</si>
  <si>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</si>
  <si>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</si>
  <si>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</si>
  <si>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</si>
  <si>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</si>
  <si>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</si>
  <si>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</si>
  <si>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</si>
  <si>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</si>
  <si>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</si>
  <si>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</si>
  <si>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</si>
  <si>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</si>
  <si>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</si>
  <si>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</si>
  <si>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</si>
  <si>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</si>
  <si>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</si>
  <si>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</si>
  <si>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</si>
  <si>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</si>
  <si>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</si>
  <si>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</si>
  <si>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</si>
  <si>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</si>
  <si>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</si>
  <si>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</si>
  <si>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</si>
  <si>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</si>
  <si>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</si>
  <si>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</si>
  <si>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</si>
  <si>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</si>
  <si>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</si>
  <si>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</si>
  <si>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</si>
  <si>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</si>
  <si>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</si>
  <si>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</si>
  <si>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</si>
  <si>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</si>
  <si>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</si>
  <si>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</si>
  <si>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</si>
  <si>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</si>
  <si>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</si>
  <si>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</si>
  <si>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</si>
  <si>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</si>
  <si>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</si>
  <si>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</si>
  <si>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</si>
  <si>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</si>
  <si>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</si>
  <si>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</si>
  <si>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</si>
  <si>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</si>
  <si>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</si>
  <si>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</si>
  <si>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</si>
  <si>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</si>
  <si>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</si>
  <si>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</si>
  <si>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</si>
  <si>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</si>
  <si>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</si>
  <si>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</si>
  <si>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</si>
  <si>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</si>
  <si>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</si>
  <si>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</si>
  <si>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</si>
  <si>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</si>
  <si>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</si>
  <si>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</si>
  <si>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</si>
  <si>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</si>
  <si>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</si>
  <si>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</si>
  <si>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</si>
  <si>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</si>
  <si>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</si>
  <si>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</si>
  <si>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</si>
  <si>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</si>
  <si>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</si>
  <si>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</si>
  <si>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</si>
  <si>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</si>
  <si>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</si>
  <si>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</si>
  <si>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</si>
  <si>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</si>
  <si>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</si>
  <si>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</si>
  <si>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</si>
  <si>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</si>
  <si>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</si>
  <si>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</si>
  <si>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</si>
  <si>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</si>
  <si>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</si>
  <si>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</si>
  <si>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</si>
  <si>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</si>
  <si>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</si>
  <si>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</si>
  <si>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</si>
  <si>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</si>
  <si>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</si>
  <si>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</si>
  <si>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</si>
  <si>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</si>
  <si>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</si>
  <si>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</si>
  <si>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</si>
  <si>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</si>
  <si>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</si>
  <si>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</si>
  <si>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</si>
  <si>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</si>
  <si>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</si>
  <si>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</si>
  <si>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</si>
  <si>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</si>
  <si>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</si>
  <si>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</si>
  <si>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</si>
  <si>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</si>
  <si>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</si>
  <si>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</si>
  <si>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</si>
  <si>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</si>
  <si>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</si>
  <si>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</si>
  <si>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</si>
  <si>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</si>
  <si>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</si>
  <si>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</si>
  <si>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</si>
  <si>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</si>
  <si>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</si>
  <si>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</si>
  <si>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</si>
  <si>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</si>
  <si>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</si>
  <si>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</si>
  <si>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</si>
  <si>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</si>
  <si>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</si>
  <si>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</si>
  <si>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</si>
  <si>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</si>
  <si>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</si>
  <si>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</si>
  <si>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</si>
  <si>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</si>
  <si>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</si>
  <si>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</si>
  <si>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</si>
  <si>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</si>
  <si>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</si>
  <si>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</si>
  <si>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</si>
  <si>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</si>
  <si>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</si>
  <si>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</si>
  <si>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</si>
  <si>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</si>
  <si>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</si>
  <si>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</si>
  <si>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</si>
  <si>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</si>
  <si>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</si>
  <si>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</si>
  <si>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</si>
  <si>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</si>
  <si>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</si>
  <si>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</si>
  <si>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</si>
  <si>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</si>
  <si>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</si>
  <si>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</si>
  <si>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</si>
  <si>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</si>
  <si>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</si>
  <si>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</si>
  <si>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</si>
  <si>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</si>
  <si>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</si>
  <si>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</si>
  <si>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</si>
  <si>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</si>
  <si>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</si>
  <si>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</si>
  <si>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</si>
  <si>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</si>
  <si>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</si>
  <si>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</si>
  <si>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</si>
  <si>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</si>
  <si>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</si>
  <si>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</si>
  <si>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</si>
  <si>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</si>
  <si>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</si>
  <si>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</si>
  <si>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</si>
  <si>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</si>
  <si>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</si>
  <si>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</si>
  <si>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</si>
  <si>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</si>
  <si>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</si>
  <si>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</si>
  <si>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</si>
  <si>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</si>
  <si>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</si>
  <si>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</si>
  <si>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</si>
  <si>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</si>
  <si>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</si>
  <si>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</si>
  <si>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</si>
  <si>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</si>
  <si>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</si>
  <si>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</si>
  <si>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</si>
  <si>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</si>
  <si>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</si>
  <si>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</si>
  <si>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</si>
  <si>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</si>
  <si>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</si>
  <si>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</si>
  <si>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</si>
  <si>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</si>
  <si>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</si>
  <si>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</si>
  <si>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</si>
  <si>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</si>
  <si>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</si>
  <si>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</si>
  <si>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</si>
  <si>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</si>
  <si>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</si>
  <si>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</si>
  <si>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</si>
  <si>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</si>
  <si>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</si>
  <si>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</si>
  <si>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</si>
  <si>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</si>
  <si>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</si>
  <si>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</si>
  <si>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</si>
  <si>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</si>
  <si>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</si>
  <si>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</si>
  <si>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</si>
  <si>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</si>
  <si>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</si>
  <si>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</si>
  <si>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</si>
  <si>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</si>
  <si>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</si>
  <si>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</si>
  <si>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</si>
  <si>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</si>
  <si>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</si>
  <si>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</si>
  <si>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</si>
  <si>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</si>
  <si>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</si>
  <si>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</si>
  <si>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</si>
  <si>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</si>
  <si>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</si>
  <si>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</si>
  <si>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</si>
  <si>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</si>
  <si>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</si>
  <si>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</si>
  <si>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</si>
  <si>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</si>
  <si>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</si>
  <si>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</si>
  <si>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</si>
  <si>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</si>
  <si>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</si>
  <si>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</si>
  <si>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</si>
  <si>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</si>
  <si>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</si>
  <si>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</si>
  <si>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</si>
  <si>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</si>
  <si>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</si>
  <si>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</si>
  <si>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</si>
  <si>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</si>
  <si>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</si>
  <si>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</si>
  <si>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</si>
  <si>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</si>
  <si>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</si>
  <si>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</si>
  <si>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</si>
  <si>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</si>
  <si>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</si>
  <si>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</si>
  <si>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</si>
  <si>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</si>
  <si>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</si>
  <si>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</si>
  <si>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</si>
  <si>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</si>
  <si>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</si>
  <si>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</si>
  <si>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</si>
  <si>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</si>
  <si>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</si>
  <si>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</si>
  <si>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</si>
  <si>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</si>
  <si>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</si>
  <si>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</si>
  <si>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</si>
  <si>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</si>
  <si>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</si>
  <si>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</si>
  <si>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</si>
  <si>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</si>
  <si>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</si>
  <si>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</si>
  <si>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</si>
  <si>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</si>
  <si>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</si>
  <si>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</si>
  <si>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</si>
  <si>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</si>
  <si>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</si>
  <si>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</si>
  <si>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</si>
  <si>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</si>
  <si>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</si>
  <si>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</si>
  <si>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</si>
  <si>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</si>
  <si>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</si>
  <si>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</si>
  <si>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</si>
  <si>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</si>
  <si>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</si>
  <si>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</si>
  <si>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</si>
  <si>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</si>
  <si>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</si>
  <si>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</si>
  <si>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</si>
  <si>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</si>
  <si>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</si>
  <si>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</si>
  <si>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</si>
  <si>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</si>
  <si>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</si>
  <si>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</si>
  <si>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</si>
  <si>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</si>
  <si>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</si>
  <si>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</si>
  <si>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</si>
  <si>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</si>
  <si>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</si>
  <si>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</si>
  <si>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</si>
  <si>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</si>
  <si>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</si>
  <si>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</si>
  <si>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</si>
  <si>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</si>
  <si>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</si>
  <si>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</si>
  <si>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</si>
  <si>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</si>
  <si>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</si>
  <si>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</si>
  <si>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</si>
  <si>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</si>
  <si>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</si>
  <si>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</si>
  <si>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</si>
  <si>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</si>
  <si>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</si>
  <si>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</si>
  <si>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</si>
  <si>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</si>
  <si>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</si>
  <si>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</si>
  <si>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</si>
  <si>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</si>
  <si>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</si>
  <si>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</si>
  <si>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</si>
  <si>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</si>
  <si>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</si>
  <si>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</si>
  <si>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</si>
  <si>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</si>
  <si>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</si>
  <si>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</si>
  <si>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</si>
  <si>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</si>
  <si>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</si>
  <si>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</si>
  <si>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</si>
  <si>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</si>
  <si>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</si>
  <si>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</si>
  <si>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</si>
  <si>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</si>
  <si>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</si>
  <si>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</si>
  <si>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</si>
  <si>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</si>
  <si>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</si>
  <si>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</si>
  <si>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</si>
  <si>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</si>
  <si>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</si>
  <si>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</si>
  <si>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</si>
  <si>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</si>
  <si>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</si>
  <si>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</si>
  <si>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</si>
  <si>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</si>
  <si>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</si>
  <si>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</si>
  <si>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</si>
  <si>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</si>
  <si>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</si>
  <si>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</si>
  <si>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</si>
  <si>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</si>
  <si>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</si>
  <si>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</si>
  <si>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</si>
  <si>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</si>
  <si>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</si>
  <si>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</si>
  <si>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</si>
  <si>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</si>
  <si>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</si>
  <si>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</si>
  <si>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</si>
  <si>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</si>
  <si>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</si>
  <si>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</si>
  <si>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</si>
  <si>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</si>
  <si>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</si>
  <si>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</si>
  <si>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</si>
  <si>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</si>
  <si>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</si>
  <si>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</si>
  <si>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</si>
  <si>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</si>
  <si>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</si>
  <si>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</si>
  <si>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</si>
  <si>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</si>
  <si>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</si>
  <si>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</si>
  <si>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</si>
  <si>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</si>
  <si>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</si>
  <si>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</si>
  <si>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</si>
  <si>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</si>
  <si>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</si>
  <si>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</si>
  <si>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</si>
  <si>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</si>
  <si>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More</t>
  </si>
  <si>
    <t>2024-2025</t>
  </si>
  <si>
    <r>
      <rPr>
        <b/>
        <sz val="11"/>
        <color rgb="FF0070C0"/>
        <rFont val="Calibre"/>
      </rPr>
      <t>Avg.</t>
    </r>
    <r>
      <rPr>
        <sz val="11"/>
        <color rgb="FF0070C0"/>
        <rFont val="Calibre"/>
      </rPr>
      <t xml:space="preserve"> (2024-2025)</t>
    </r>
  </si>
  <si>
    <t>Capital Structure</t>
  </si>
  <si>
    <t>Mkt Cap</t>
  </si>
  <si>
    <t>Debt to Ttl Mkt Cap</t>
  </si>
  <si>
    <t>Mkt Equity to Ttl Mkt Cap</t>
  </si>
  <si>
    <t>LT Debt / Equity</t>
  </si>
  <si>
    <t>Cost of Equity</t>
  </si>
  <si>
    <t>Market Return(1-year avg.)</t>
  </si>
  <si>
    <t xml:space="preserve">Cost of Equity </t>
  </si>
  <si>
    <t>Cost of Debt</t>
  </si>
  <si>
    <t>Tax Rate</t>
  </si>
  <si>
    <t>After Tax Cost of Debt</t>
  </si>
  <si>
    <t>WACC</t>
  </si>
  <si>
    <t>2/27/2026</t>
  </si>
  <si>
    <t>Q4'25</t>
  </si>
  <si>
    <t>The Company operates a leading U.S. neobank and fintech platform offering fee‑free digital banking services targeted at underserved consumers, particularly younger and lower-income Americans who rely on debit rather than credit</t>
  </si>
  <si>
    <t>The Company offers Chime, a mobile banking app that provides mobile banking services to address the needs of users … Offers tools for their spending, saving, accessing liquidity, building credit, savings and perks, community, and support and security</t>
  </si>
  <si>
    <t>Chime's app‑centric platform focuses on checking/savings accounts, debit/credit cards, and embedded finance</t>
  </si>
  <si>
    <t>Chime Checking Account: No fees, instant transfers, SpotMe (overdraft up to $200 fee‑free)</t>
  </si>
  <si>
    <t>Chime Savings Account: Automated round‑ups, 2%+ APY on savings goals</t>
  </si>
  <si>
    <t>Chime Credit Builder: Secured credit card alternative (no credit check, no interest) to build credit via responsible debit use</t>
  </si>
  <si>
    <t>MyPay (Instant Loans): Small‑dollar loans based on direct deposit history (up to $500, repaid automatically)</t>
  </si>
  <si>
    <t>Upcoming: Credit cards, investments (per S‑1 roadmap)</t>
  </si>
  <si>
    <t>Institutional Ownership Snapshot Q4'25</t>
  </si>
  <si>
    <t>General Notes/Observations (Updated Q4'25)</t>
  </si>
  <si>
    <t>Financial Stmts. Notes/Observations (Updated Q4'25)</t>
  </si>
  <si>
    <t>https://www.sec.gov/edgar/browse/?CIK=1795586&amp;owner=exclude</t>
  </si>
  <si>
    <t>https://www.chime.com/</t>
  </si>
  <si>
    <t>https://investors.chime.com/</t>
  </si>
  <si>
    <t>https://seekingalpha.com/symbol/CHYM/earnings/transcripts</t>
  </si>
  <si>
    <t>https://stockanalysis.com/stocks/chym/</t>
  </si>
  <si>
    <t>https://www.macrotrends.net/stocks/charts/CHYM/chime-financial/income-statement</t>
  </si>
  <si>
    <t>https://www.gurufocus.com/term/wacc/CHYM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</si>
</sst>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2" fontId="8" fillId="5" borderId="0" xfId="0" applyNumberFormat="1" applyFont="1" applyFill="1" applyAlignment="1">
      <alignment horizontal="center" vertical="center"/>
    </xf>
    <xf numFmtId="165" fontId="2" fillId="0" borderId="0" xfId="0" applyNumberFormat="1" applyFont="1"/>
    <xf numFmtId="165" fontId="3" fillId="0" borderId="0" xfId="0" applyNumberFormat="1" applyFont="1"/>
    <xf numFmtId="166" fontId="2" fillId="0" borderId="0" xfId="1" applyNumberFormat="1" applyFont="1"/>
    <xf numFmtId="166" fontId="3" fillId="0" borderId="0" xfId="1" applyNumberFormat="1" applyFont="1"/>
    <xf numFmtId="165" fontId="13" fillId="0" borderId="0" xfId="0" applyNumberFormat="1" applyFont="1"/>
    <xf numFmtId="165" fontId="12" fillId="0" borderId="0" xfId="0" applyNumberFormat="1" applyFont="1"/>
    <xf numFmtId="166" fontId="13" fillId="0" borderId="0" xfId="0" applyNumberFormat="1" applyFont="1"/>
    <xf numFmtId="166" fontId="12" fillId="0" borderId="0" xfId="0" applyNumberFormat="1" applyFont="1"/>
    <xf numFmtId="166" fontId="13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2" fontId="13" fillId="0" borderId="0" xfId="0" applyNumberFormat="1" applyFont="1"/>
    <xf numFmtId="1" fontId="13" fillId="0" borderId="0" xfId="0" applyNumberFormat="1" applyFont="1"/>
    <xf numFmtId="0" fontId="12" fillId="0" borderId="0" xfId="0" applyFont="1" applyAlignment="1">
      <alignment horizontal="left" vertical="top" indent="1"/>
    </xf>
    <xf numFmtId="0" fontId="12" fillId="0" borderId="0" xfId="0" applyFont="1" applyAlignment="1">
      <alignment horizontal="right" vertical="center"/>
    </xf>
    <xf numFmtId="10" fontId="13" fillId="0" borderId="0" xfId="1" applyNumberFormat="1" applyFont="1"/>
    <xf numFmtId="10" fontId="13" fillId="0" borderId="0" xfId="0" applyNumberFormat="1" applyFont="1"/>
    <xf numFmtId="0" fontId="13" fillId="0" borderId="0" xfId="0" applyFont="1" applyAlignment="1">
      <alignment horizontal="left" indent="1"/>
    </xf>
    <xf numFmtId="0" fontId="12" fillId="0" borderId="0" xfId="0" applyFont="1" applyAlignment="1">
      <alignment horizontal="left" indent="1"/>
    </xf>
    <xf numFmtId="10" fontId="12" fillId="0" borderId="0" xfId="1" applyNumberFormat="1" applyFont="1"/>
    <xf numFmtId="14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 indent="1"/>
    </xf>
    <xf numFmtId="9" fontId="13" fillId="0" borderId="0" xfId="1" applyFont="1"/>
    <xf numFmtId="10" fontId="13" fillId="0" borderId="0" xfId="1" applyNumberFormat="1" applyFont="1" applyAlignment="1">
      <alignment horizontal="left" indent="1"/>
    </xf>
    <xf numFmtId="10" fontId="13" fillId="0" borderId="0" xfId="1" applyNumberFormat="1" applyFont="1" applyAlignment="1">
      <alignment horizontal="right"/>
    </xf>
    <xf numFmtId="0" fontId="13" fillId="0" borderId="0" xfId="0" applyFont="1" applyAlignment="1">
      <alignment horizontal="center"/>
    </xf>
    <xf numFmtId="1" fontId="12" fillId="0" borderId="0" xfId="0" applyNumberFormat="1" applyFont="1" applyAlignment="1">
      <alignment horizontal="left" indent="1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6CE1B5"/>
      <color rgb="FFA9D1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(CHYM)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Payments Revenues</c:v>
                </c:pt>
              </c:strCache>
            </c:strRef>
          </c:tx>
          <c:spPr>
            <a:solidFill>
              <a:srgbClr val="6CE1B5"/>
            </a:solidFill>
            <a:ln>
              <a:noFill/>
            </a:ln>
            <a:effectLst/>
          </c:spPr>
          <c:invertIfNegative val="0"/>
          <c:cat>
            <c:strRef>
              <c:f>Model!$C$1:$J$1</c:f>
              <c:strCache>
                <c:ptCount val="5"/>
                <c:pt idx="0">
                  <c:v>Q1 2024</c:v>
                </c:pt>
                <c:pt idx="4">
                  <c:v>Q1 2025</c:v>
                </c:pt>
              </c:strCache>
            </c:strRef>
          </c:cat>
          <c:val>
            <c:numRef>
              <c:f>Model!$C$4:$J$4</c:f>
              <c:numCache>
                <c:formatCode>0.0</c:formatCode>
                <c:ptCount val="8"/>
                <c:pt idx="0">
                  <c:v>317.31</c:v>
                </c:pt>
                <c:pt idx="1">
                  <c:v>307.96300000000002</c:v>
                </c:pt>
                <c:pt idx="2">
                  <c:v>312.25</c:v>
                </c:pt>
                <c:pt idx="3">
                  <c:v>357.97699999999998</c:v>
                </c:pt>
                <c:pt idx="4">
                  <c:v>375.31</c:v>
                </c:pt>
                <c:pt idx="5">
                  <c:v>366.101</c:v>
                </c:pt>
                <c:pt idx="6">
                  <c:v>363.15600000000001</c:v>
                </c:pt>
                <c:pt idx="7">
                  <c:v>396.1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Platform-related Revenues</c:v>
                </c:pt>
              </c:strCache>
            </c:strRef>
          </c:tx>
          <c:spPr>
            <a:solidFill>
              <a:srgbClr val="A5A5A5">
                <a:lumMod val="20000"/>
                <a:lumOff val="8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Model!$C$1:$J$1</c:f>
              <c:strCache>
                <c:ptCount val="5"/>
                <c:pt idx="0">
                  <c:v>Q1 2024</c:v>
                </c:pt>
                <c:pt idx="4">
                  <c:v>Q1 2025</c:v>
                </c:pt>
              </c:strCache>
            </c:strRef>
          </c:cat>
          <c:val>
            <c:numRef>
              <c:f>Model!$C$5:$J$5</c:f>
              <c:numCache>
                <c:formatCode>0.0</c:formatCode>
                <c:ptCount val="8"/>
                <c:pt idx="0">
                  <c:v>74.66</c:v>
                </c:pt>
                <c:pt idx="1">
                  <c:v>76.25</c:v>
                </c:pt>
                <c:pt idx="2">
                  <c:v>109.621</c:v>
                </c:pt>
                <c:pt idx="3">
                  <c:v>117.26900000000001</c:v>
                </c:pt>
                <c:pt idx="4">
                  <c:v>143.43</c:v>
                </c:pt>
                <c:pt idx="5">
                  <c:v>162.048</c:v>
                </c:pt>
                <c:pt idx="6">
                  <c:v>180.363</c:v>
                </c:pt>
                <c:pt idx="7">
                  <c:v>200.3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(CHYM)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Model!$C$29:$J$29</c:f>
              <c:numCache>
                <c:formatCode>0.0</c:formatCode>
                <c:ptCount val="8"/>
                <c:pt idx="0">
                  <c:v>15.924000000000069</c:v>
                </c:pt>
                <c:pt idx="1">
                  <c:v>0.38700000000005491</c:v>
                </c:pt>
                <c:pt idx="2">
                  <c:v>-22.017000000000039</c:v>
                </c:pt>
                <c:pt idx="3">
                  <c:v>-19.58499999999998</c:v>
                </c:pt>
                <c:pt idx="4">
                  <c:v>12.961000000000057</c:v>
                </c:pt>
                <c:pt idx="5">
                  <c:v>-923.35800000000017</c:v>
                </c:pt>
                <c:pt idx="6">
                  <c:v>-54.708999999999968</c:v>
                </c:pt>
                <c:pt idx="7">
                  <c:v>-44.696999999999875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Model!$G$76:$J$76</c:f>
              <c:numCache>
                <c:formatCode>0.0</c:formatCode>
                <c:ptCount val="4"/>
                <c:pt idx="0">
                  <c:v>1.9119999999999999</c:v>
                </c:pt>
                <c:pt idx="1">
                  <c:v>-8.532</c:v>
                </c:pt>
                <c:pt idx="2">
                  <c:v>13.113000000000001</c:v>
                </c:pt>
                <c:pt idx="3">
                  <c:v>17.569999999999997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Model!$C$15:$J$15</c:f>
              <c:numCache>
                <c:formatCode>0.0</c:formatCode>
                <c:ptCount val="8"/>
                <c:pt idx="0">
                  <c:v>391.97</c:v>
                </c:pt>
                <c:pt idx="1">
                  <c:v>384.21300000000002</c:v>
                </c:pt>
                <c:pt idx="2">
                  <c:v>421.87099999999998</c:v>
                </c:pt>
                <c:pt idx="3">
                  <c:v>475.24599999999998</c:v>
                </c:pt>
                <c:pt idx="4">
                  <c:v>518.74</c:v>
                </c:pt>
                <c:pt idx="5">
                  <c:v>528.149</c:v>
                </c:pt>
                <c:pt idx="6">
                  <c:v>543.51900000000001</c:v>
                </c:pt>
                <c:pt idx="7">
                  <c:v>596.40000000000009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(CHYM) 1-Day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Analysis'!$Q$179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524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Analysis'!$Q$181:$Q$293</c:f>
              <c:numCache>
                <c:formatCode>0.00%</c:formatCode>
                <c:ptCount val="113"/>
                <c:pt idx="0">
                  <c:v>-0.14000000000000007</c:v>
                </c:pt>
                <c:pt idx="1">
                  <c:v>-0.13750000000000007</c:v>
                </c:pt>
                <c:pt idx="2">
                  <c:v>-0.13500000000000006</c:v>
                </c:pt>
                <c:pt idx="3">
                  <c:v>-0.13250000000000006</c:v>
                </c:pt>
                <c:pt idx="4">
                  <c:v>-0.13000000000000006</c:v>
                </c:pt>
                <c:pt idx="5">
                  <c:v>-0.12750000000000006</c:v>
                </c:pt>
                <c:pt idx="6">
                  <c:v>-0.12500000000000006</c:v>
                </c:pt>
                <c:pt idx="7">
                  <c:v>-0.12250000000000007</c:v>
                </c:pt>
                <c:pt idx="8">
                  <c:v>-0.12000000000000006</c:v>
                </c:pt>
                <c:pt idx="9">
                  <c:v>-0.11750000000000006</c:v>
                </c:pt>
                <c:pt idx="10">
                  <c:v>-0.11500000000000006</c:v>
                </c:pt>
                <c:pt idx="11">
                  <c:v>-0.11250000000000006</c:v>
                </c:pt>
                <c:pt idx="12">
                  <c:v>-0.11000000000000006</c:v>
                </c:pt>
                <c:pt idx="13">
                  <c:v>-0.10750000000000005</c:v>
                </c:pt>
                <c:pt idx="14">
                  <c:v>-0.10500000000000005</c:v>
                </c:pt>
                <c:pt idx="15">
                  <c:v>-0.10250000000000005</c:v>
                </c:pt>
                <c:pt idx="16">
                  <c:v>-0.10000000000000005</c:v>
                </c:pt>
                <c:pt idx="17">
                  <c:v>-9.7500000000000045E-2</c:v>
                </c:pt>
                <c:pt idx="18">
                  <c:v>-9.5000000000000043E-2</c:v>
                </c:pt>
                <c:pt idx="19">
                  <c:v>-9.2500000000000041E-2</c:v>
                </c:pt>
                <c:pt idx="20">
                  <c:v>-9.0000000000000038E-2</c:v>
                </c:pt>
                <c:pt idx="21">
                  <c:v>-8.7500000000000036E-2</c:v>
                </c:pt>
                <c:pt idx="22">
                  <c:v>-8.5000000000000034E-2</c:v>
                </c:pt>
                <c:pt idx="23">
                  <c:v>-8.2500000000000032E-2</c:v>
                </c:pt>
                <c:pt idx="24">
                  <c:v>-8.0000000000000029E-2</c:v>
                </c:pt>
                <c:pt idx="25">
                  <c:v>-7.7500000000000027E-2</c:v>
                </c:pt>
                <c:pt idx="26">
                  <c:v>-7.5000000000000025E-2</c:v>
                </c:pt>
                <c:pt idx="27">
                  <c:v>-7.2500000000000023E-2</c:v>
                </c:pt>
                <c:pt idx="28">
                  <c:v>-7.0000000000000021E-2</c:v>
                </c:pt>
                <c:pt idx="29">
                  <c:v>-6.7500000000000018E-2</c:v>
                </c:pt>
                <c:pt idx="30">
                  <c:v>-6.5000000000000016E-2</c:v>
                </c:pt>
                <c:pt idx="31">
                  <c:v>-6.2500000000000014E-2</c:v>
                </c:pt>
                <c:pt idx="32">
                  <c:v>-6.0000000000000019E-2</c:v>
                </c:pt>
                <c:pt idx="33">
                  <c:v>-5.7500000000000016E-2</c:v>
                </c:pt>
                <c:pt idx="34">
                  <c:v>-5.5000000000000014E-2</c:v>
                </c:pt>
                <c:pt idx="35">
                  <c:v>-5.2500000000000012E-2</c:v>
                </c:pt>
                <c:pt idx="36">
                  <c:v>-5.000000000000001E-2</c:v>
                </c:pt>
                <c:pt idx="37">
                  <c:v>-4.7500000000000007E-2</c:v>
                </c:pt>
                <c:pt idx="38">
                  <c:v>-4.5000000000000005E-2</c:v>
                </c:pt>
                <c:pt idx="39">
                  <c:v>-4.2500000000000003E-2</c:v>
                </c:pt>
                <c:pt idx="40">
                  <c:v>-0.04</c:v>
                </c:pt>
                <c:pt idx="41">
                  <c:v>-3.7499999999999999E-2</c:v>
                </c:pt>
                <c:pt idx="42">
                  <c:v>-3.4999999999999996E-2</c:v>
                </c:pt>
                <c:pt idx="43">
                  <c:v>-3.2499999999999994E-2</c:v>
                </c:pt>
                <c:pt idx="44">
                  <c:v>-2.9999999999999995E-2</c:v>
                </c:pt>
                <c:pt idx="45">
                  <c:v>-2.7499999999999997E-2</c:v>
                </c:pt>
                <c:pt idx="46">
                  <c:v>-2.4999999999999998E-2</c:v>
                </c:pt>
                <c:pt idx="47">
                  <c:v>-2.2499999999999999E-2</c:v>
                </c:pt>
                <c:pt idx="48">
                  <c:v>-0.02</c:v>
                </c:pt>
                <c:pt idx="49">
                  <c:v>-1.7500000000000002E-2</c:v>
                </c:pt>
                <c:pt idx="50">
                  <c:v>-1.5000000000000001E-2</c:v>
                </c:pt>
                <c:pt idx="51">
                  <c:v>-1.2500000000000001E-2</c:v>
                </c:pt>
                <c:pt idx="52">
                  <c:v>-0.01</c:v>
                </c:pt>
                <c:pt idx="53">
                  <c:v>-7.4999999999999997E-3</c:v>
                </c:pt>
                <c:pt idx="54">
                  <c:v>-5.0000000000000001E-3</c:v>
                </c:pt>
                <c:pt idx="55">
                  <c:v>-2.5000000000000001E-3</c:v>
                </c:pt>
                <c:pt idx="56">
                  <c:v>0</c:v>
                </c:pt>
                <c:pt idx="57">
                  <c:v>2.5000000000000001E-3</c:v>
                </c:pt>
                <c:pt idx="58">
                  <c:v>5.0000000000000001E-3</c:v>
                </c:pt>
                <c:pt idx="59">
                  <c:v>7.4999999999999997E-3</c:v>
                </c:pt>
                <c:pt idx="60">
                  <c:v>0.01</c:v>
                </c:pt>
                <c:pt idx="61">
                  <c:v>1.2500000000000001E-2</c:v>
                </c:pt>
                <c:pt idx="62">
                  <c:v>1.5000000000000001E-2</c:v>
                </c:pt>
                <c:pt idx="63">
                  <c:v>1.7500000000000002E-2</c:v>
                </c:pt>
                <c:pt idx="64">
                  <c:v>0.02</c:v>
                </c:pt>
                <c:pt idx="65">
                  <c:v>2.2499999999999999E-2</c:v>
                </c:pt>
                <c:pt idx="66">
                  <c:v>2.4999999999999998E-2</c:v>
                </c:pt>
                <c:pt idx="67">
                  <c:v>2.7499999999999997E-2</c:v>
                </c:pt>
                <c:pt idx="68">
                  <c:v>2.9999999999999995E-2</c:v>
                </c:pt>
                <c:pt idx="69">
                  <c:v>3.2499999999999994E-2</c:v>
                </c:pt>
                <c:pt idx="70">
                  <c:v>3.4999999999999996E-2</c:v>
                </c:pt>
                <c:pt idx="71">
                  <c:v>3.7499999999999999E-2</c:v>
                </c:pt>
                <c:pt idx="72">
                  <c:v>0.04</c:v>
                </c:pt>
                <c:pt idx="73">
                  <c:v>4.2500000000000003E-2</c:v>
                </c:pt>
                <c:pt idx="74">
                  <c:v>4.5000000000000005E-2</c:v>
                </c:pt>
                <c:pt idx="75">
                  <c:v>4.7500000000000007E-2</c:v>
                </c:pt>
                <c:pt idx="76">
                  <c:v>5.000000000000001E-2</c:v>
                </c:pt>
                <c:pt idx="77">
                  <c:v>5.2500000000000012E-2</c:v>
                </c:pt>
                <c:pt idx="78">
                  <c:v>5.5000000000000014E-2</c:v>
                </c:pt>
                <c:pt idx="79">
                  <c:v>5.7500000000000016E-2</c:v>
                </c:pt>
                <c:pt idx="80">
                  <c:v>6.0000000000000019E-2</c:v>
                </c:pt>
                <c:pt idx="81">
                  <c:v>6.2500000000000014E-2</c:v>
                </c:pt>
                <c:pt idx="82">
                  <c:v>6.5000000000000016E-2</c:v>
                </c:pt>
                <c:pt idx="83">
                  <c:v>6.7500000000000018E-2</c:v>
                </c:pt>
                <c:pt idx="84">
                  <c:v>7.0000000000000021E-2</c:v>
                </c:pt>
                <c:pt idx="85">
                  <c:v>7.2500000000000023E-2</c:v>
                </c:pt>
                <c:pt idx="86">
                  <c:v>7.5000000000000025E-2</c:v>
                </c:pt>
                <c:pt idx="87">
                  <c:v>7.7500000000000027E-2</c:v>
                </c:pt>
                <c:pt idx="88">
                  <c:v>8.0000000000000029E-2</c:v>
                </c:pt>
                <c:pt idx="89">
                  <c:v>8.2500000000000032E-2</c:v>
                </c:pt>
                <c:pt idx="90">
                  <c:v>8.5000000000000034E-2</c:v>
                </c:pt>
                <c:pt idx="91">
                  <c:v>8.7500000000000036E-2</c:v>
                </c:pt>
                <c:pt idx="92">
                  <c:v>9.0000000000000038E-2</c:v>
                </c:pt>
                <c:pt idx="93">
                  <c:v>9.2500000000000041E-2</c:v>
                </c:pt>
                <c:pt idx="94">
                  <c:v>9.5000000000000043E-2</c:v>
                </c:pt>
                <c:pt idx="95">
                  <c:v>9.7500000000000045E-2</c:v>
                </c:pt>
                <c:pt idx="96">
                  <c:v>0.10000000000000005</c:v>
                </c:pt>
                <c:pt idx="97">
                  <c:v>0.10250000000000005</c:v>
                </c:pt>
                <c:pt idx="98">
                  <c:v>0.10500000000000005</c:v>
                </c:pt>
                <c:pt idx="99">
                  <c:v>0.10750000000000005</c:v>
                </c:pt>
                <c:pt idx="100">
                  <c:v>0.11000000000000006</c:v>
                </c:pt>
                <c:pt idx="101">
                  <c:v>0.11250000000000006</c:v>
                </c:pt>
                <c:pt idx="102">
                  <c:v>0.11500000000000006</c:v>
                </c:pt>
                <c:pt idx="103">
                  <c:v>0.11750000000000006</c:v>
                </c:pt>
                <c:pt idx="104">
                  <c:v>0.12000000000000006</c:v>
                </c:pt>
                <c:pt idx="105">
                  <c:v>0.12250000000000007</c:v>
                </c:pt>
                <c:pt idx="106">
                  <c:v>0.12500000000000006</c:v>
                </c:pt>
                <c:pt idx="107">
                  <c:v>0.12750000000000006</c:v>
                </c:pt>
                <c:pt idx="108">
                  <c:v>0.13000000000000006</c:v>
                </c:pt>
                <c:pt idx="109">
                  <c:v>0.13250000000000006</c:v>
                </c:pt>
                <c:pt idx="110">
                  <c:v>0.13500000000000006</c:v>
                </c:pt>
                <c:pt idx="111">
                  <c:v>0.13750000000000007</c:v>
                </c:pt>
                <c:pt idx="112">
                  <c:v>0.14000000000000007</c:v>
                </c:pt>
              </c:numCache>
            </c:numRef>
          </c:xVal>
          <c:yVal>
            <c:numRef>
              <c:f>'Notes | Quant Analysis'!$R$181:$R$293</c:f>
              <c:numCache>
                <c:formatCode>General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2</c:v>
                </c:pt>
                <c:pt idx="28">
                  <c:v>1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3</c:v>
                </c:pt>
                <c:pt idx="38">
                  <c:v>4</c:v>
                </c:pt>
                <c:pt idx="39">
                  <c:v>2</c:v>
                </c:pt>
                <c:pt idx="40">
                  <c:v>1</c:v>
                </c:pt>
                <c:pt idx="41">
                  <c:v>4</c:v>
                </c:pt>
                <c:pt idx="42">
                  <c:v>4</c:v>
                </c:pt>
                <c:pt idx="43">
                  <c:v>5</c:v>
                </c:pt>
                <c:pt idx="44">
                  <c:v>7</c:v>
                </c:pt>
                <c:pt idx="45">
                  <c:v>2</c:v>
                </c:pt>
                <c:pt idx="46">
                  <c:v>4</c:v>
                </c:pt>
                <c:pt idx="47">
                  <c:v>2</c:v>
                </c:pt>
                <c:pt idx="48">
                  <c:v>2</c:v>
                </c:pt>
                <c:pt idx="49">
                  <c:v>4</c:v>
                </c:pt>
                <c:pt idx="50">
                  <c:v>6</c:v>
                </c:pt>
                <c:pt idx="51">
                  <c:v>4</c:v>
                </c:pt>
                <c:pt idx="52">
                  <c:v>2</c:v>
                </c:pt>
                <c:pt idx="53">
                  <c:v>3</c:v>
                </c:pt>
                <c:pt idx="54">
                  <c:v>2</c:v>
                </c:pt>
                <c:pt idx="55">
                  <c:v>5</c:v>
                </c:pt>
                <c:pt idx="56">
                  <c:v>7</c:v>
                </c:pt>
                <c:pt idx="57">
                  <c:v>9</c:v>
                </c:pt>
                <c:pt idx="58">
                  <c:v>4</c:v>
                </c:pt>
                <c:pt idx="59">
                  <c:v>8</c:v>
                </c:pt>
                <c:pt idx="60">
                  <c:v>3</c:v>
                </c:pt>
                <c:pt idx="61">
                  <c:v>4</c:v>
                </c:pt>
                <c:pt idx="62">
                  <c:v>3</c:v>
                </c:pt>
                <c:pt idx="63">
                  <c:v>2</c:v>
                </c:pt>
                <c:pt idx="64">
                  <c:v>8</c:v>
                </c:pt>
                <c:pt idx="65">
                  <c:v>3</c:v>
                </c:pt>
                <c:pt idx="66">
                  <c:v>4</c:v>
                </c:pt>
                <c:pt idx="67">
                  <c:v>5</c:v>
                </c:pt>
                <c:pt idx="68">
                  <c:v>1</c:v>
                </c:pt>
                <c:pt idx="69">
                  <c:v>2</c:v>
                </c:pt>
                <c:pt idx="70">
                  <c:v>5</c:v>
                </c:pt>
                <c:pt idx="71">
                  <c:v>2</c:v>
                </c:pt>
                <c:pt idx="72">
                  <c:v>4</c:v>
                </c:pt>
                <c:pt idx="73">
                  <c:v>2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0</c:v>
                </c:pt>
                <c:pt idx="78">
                  <c:v>4</c:v>
                </c:pt>
                <c:pt idx="79">
                  <c:v>3</c:v>
                </c:pt>
                <c:pt idx="80">
                  <c:v>1</c:v>
                </c:pt>
                <c:pt idx="81">
                  <c:v>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Analysis'!$T$179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Analysis'!$T$181:$T$297</c:f>
              <c:numCache>
                <c:formatCode>0.00%</c:formatCode>
                <c:ptCount val="117"/>
                <c:pt idx="0">
                  <c:v>-0.14500000000000007</c:v>
                </c:pt>
                <c:pt idx="1">
                  <c:v>-0.14250000000000007</c:v>
                </c:pt>
                <c:pt idx="2">
                  <c:v>-0.14000000000000007</c:v>
                </c:pt>
                <c:pt idx="3">
                  <c:v>-0.13750000000000007</c:v>
                </c:pt>
                <c:pt idx="4">
                  <c:v>-0.13500000000000006</c:v>
                </c:pt>
                <c:pt idx="5">
                  <c:v>-0.13250000000000006</c:v>
                </c:pt>
                <c:pt idx="6">
                  <c:v>-0.13000000000000006</c:v>
                </c:pt>
                <c:pt idx="7">
                  <c:v>-0.12750000000000006</c:v>
                </c:pt>
                <c:pt idx="8">
                  <c:v>-0.12500000000000006</c:v>
                </c:pt>
                <c:pt idx="9">
                  <c:v>-0.12250000000000007</c:v>
                </c:pt>
                <c:pt idx="10">
                  <c:v>-0.12000000000000006</c:v>
                </c:pt>
                <c:pt idx="11">
                  <c:v>-0.11750000000000006</c:v>
                </c:pt>
                <c:pt idx="12">
                  <c:v>-0.11500000000000006</c:v>
                </c:pt>
                <c:pt idx="13">
                  <c:v>-0.11250000000000006</c:v>
                </c:pt>
                <c:pt idx="14">
                  <c:v>-0.11000000000000006</c:v>
                </c:pt>
                <c:pt idx="15">
                  <c:v>-0.10750000000000005</c:v>
                </c:pt>
                <c:pt idx="16">
                  <c:v>-0.10500000000000005</c:v>
                </c:pt>
                <c:pt idx="17">
                  <c:v>-0.10250000000000005</c:v>
                </c:pt>
                <c:pt idx="18">
                  <c:v>-0.10000000000000005</c:v>
                </c:pt>
                <c:pt idx="19">
                  <c:v>-9.7500000000000045E-2</c:v>
                </c:pt>
                <c:pt idx="20">
                  <c:v>-9.5000000000000043E-2</c:v>
                </c:pt>
                <c:pt idx="21">
                  <c:v>-9.2500000000000041E-2</c:v>
                </c:pt>
                <c:pt idx="22">
                  <c:v>-9.0000000000000038E-2</c:v>
                </c:pt>
                <c:pt idx="23">
                  <c:v>-8.7500000000000036E-2</c:v>
                </c:pt>
                <c:pt idx="24">
                  <c:v>-8.5000000000000034E-2</c:v>
                </c:pt>
                <c:pt idx="25">
                  <c:v>-8.2500000000000032E-2</c:v>
                </c:pt>
                <c:pt idx="26">
                  <c:v>-8.0000000000000029E-2</c:v>
                </c:pt>
                <c:pt idx="27">
                  <c:v>-7.7500000000000027E-2</c:v>
                </c:pt>
                <c:pt idx="28">
                  <c:v>-7.5000000000000025E-2</c:v>
                </c:pt>
                <c:pt idx="29">
                  <c:v>-7.2500000000000023E-2</c:v>
                </c:pt>
                <c:pt idx="30">
                  <c:v>-7.0000000000000021E-2</c:v>
                </c:pt>
                <c:pt idx="31">
                  <c:v>-6.7500000000000018E-2</c:v>
                </c:pt>
                <c:pt idx="32">
                  <c:v>-6.5000000000000016E-2</c:v>
                </c:pt>
                <c:pt idx="33">
                  <c:v>-6.2500000000000014E-2</c:v>
                </c:pt>
                <c:pt idx="34">
                  <c:v>-6.0000000000000019E-2</c:v>
                </c:pt>
                <c:pt idx="35">
                  <c:v>-5.7500000000000016E-2</c:v>
                </c:pt>
                <c:pt idx="36">
                  <c:v>-5.5000000000000014E-2</c:v>
                </c:pt>
                <c:pt idx="37">
                  <c:v>-5.2500000000000012E-2</c:v>
                </c:pt>
                <c:pt idx="38">
                  <c:v>-5.000000000000001E-2</c:v>
                </c:pt>
                <c:pt idx="39">
                  <c:v>-4.7500000000000007E-2</c:v>
                </c:pt>
                <c:pt idx="40">
                  <c:v>-4.5000000000000005E-2</c:v>
                </c:pt>
                <c:pt idx="41">
                  <c:v>-4.2500000000000003E-2</c:v>
                </c:pt>
                <c:pt idx="42">
                  <c:v>-0.04</c:v>
                </c:pt>
                <c:pt idx="43">
                  <c:v>-3.7499999999999999E-2</c:v>
                </c:pt>
                <c:pt idx="44">
                  <c:v>-3.4999999999999996E-2</c:v>
                </c:pt>
                <c:pt idx="45">
                  <c:v>-3.2499999999999994E-2</c:v>
                </c:pt>
                <c:pt idx="46">
                  <c:v>-2.9999999999999995E-2</c:v>
                </c:pt>
                <c:pt idx="47">
                  <c:v>-2.7499999999999997E-2</c:v>
                </c:pt>
                <c:pt idx="48">
                  <c:v>-2.4999999999999998E-2</c:v>
                </c:pt>
                <c:pt idx="49">
                  <c:v>-2.2499999999999999E-2</c:v>
                </c:pt>
                <c:pt idx="50">
                  <c:v>-0.02</c:v>
                </c:pt>
                <c:pt idx="51">
                  <c:v>-1.7500000000000002E-2</c:v>
                </c:pt>
                <c:pt idx="52">
                  <c:v>-1.5000000000000001E-2</c:v>
                </c:pt>
                <c:pt idx="53">
                  <c:v>-1.2500000000000001E-2</c:v>
                </c:pt>
                <c:pt idx="54">
                  <c:v>-0.01</c:v>
                </c:pt>
                <c:pt idx="55">
                  <c:v>-7.4999999999999997E-3</c:v>
                </c:pt>
                <c:pt idx="56">
                  <c:v>-5.0000000000000001E-3</c:v>
                </c:pt>
                <c:pt idx="57">
                  <c:v>-2.5000000000000001E-3</c:v>
                </c:pt>
                <c:pt idx="58">
                  <c:v>0</c:v>
                </c:pt>
                <c:pt idx="59">
                  <c:v>2.5000000000000001E-3</c:v>
                </c:pt>
                <c:pt idx="60">
                  <c:v>5.0000000000000001E-3</c:v>
                </c:pt>
                <c:pt idx="61">
                  <c:v>7.4999999999999997E-3</c:v>
                </c:pt>
                <c:pt idx="62">
                  <c:v>0.01</c:v>
                </c:pt>
                <c:pt idx="63">
                  <c:v>1.2500000000000001E-2</c:v>
                </c:pt>
                <c:pt idx="64">
                  <c:v>1.5000000000000001E-2</c:v>
                </c:pt>
                <c:pt idx="65">
                  <c:v>1.7500000000000002E-2</c:v>
                </c:pt>
                <c:pt idx="66">
                  <c:v>0.02</c:v>
                </c:pt>
                <c:pt idx="67">
                  <c:v>2.2499999999999999E-2</c:v>
                </c:pt>
                <c:pt idx="68">
                  <c:v>2.4999999999999998E-2</c:v>
                </c:pt>
                <c:pt idx="69">
                  <c:v>2.7499999999999997E-2</c:v>
                </c:pt>
                <c:pt idx="70">
                  <c:v>2.9999999999999995E-2</c:v>
                </c:pt>
                <c:pt idx="71">
                  <c:v>3.2499999999999994E-2</c:v>
                </c:pt>
                <c:pt idx="72">
                  <c:v>3.4999999999999996E-2</c:v>
                </c:pt>
                <c:pt idx="73">
                  <c:v>3.7499999999999999E-2</c:v>
                </c:pt>
                <c:pt idx="74">
                  <c:v>0.04</c:v>
                </c:pt>
                <c:pt idx="75">
                  <c:v>4.2500000000000003E-2</c:v>
                </c:pt>
                <c:pt idx="76">
                  <c:v>4.5000000000000005E-2</c:v>
                </c:pt>
                <c:pt idx="77">
                  <c:v>4.7500000000000007E-2</c:v>
                </c:pt>
                <c:pt idx="78">
                  <c:v>5.000000000000001E-2</c:v>
                </c:pt>
                <c:pt idx="79">
                  <c:v>5.2500000000000012E-2</c:v>
                </c:pt>
                <c:pt idx="80">
                  <c:v>5.5000000000000014E-2</c:v>
                </c:pt>
                <c:pt idx="81">
                  <c:v>5.7500000000000016E-2</c:v>
                </c:pt>
                <c:pt idx="82">
                  <c:v>6.0000000000000019E-2</c:v>
                </c:pt>
                <c:pt idx="83">
                  <c:v>6.2500000000000014E-2</c:v>
                </c:pt>
                <c:pt idx="84">
                  <c:v>6.5000000000000016E-2</c:v>
                </c:pt>
                <c:pt idx="85">
                  <c:v>6.7500000000000018E-2</c:v>
                </c:pt>
                <c:pt idx="86">
                  <c:v>7.0000000000000021E-2</c:v>
                </c:pt>
                <c:pt idx="87">
                  <c:v>7.2500000000000023E-2</c:v>
                </c:pt>
                <c:pt idx="88">
                  <c:v>7.5000000000000025E-2</c:v>
                </c:pt>
                <c:pt idx="89">
                  <c:v>7.7500000000000027E-2</c:v>
                </c:pt>
                <c:pt idx="90">
                  <c:v>8.0000000000000029E-2</c:v>
                </c:pt>
                <c:pt idx="91">
                  <c:v>8.2500000000000032E-2</c:v>
                </c:pt>
                <c:pt idx="92">
                  <c:v>8.5000000000000034E-2</c:v>
                </c:pt>
                <c:pt idx="93">
                  <c:v>8.7500000000000036E-2</c:v>
                </c:pt>
                <c:pt idx="94">
                  <c:v>9.0000000000000038E-2</c:v>
                </c:pt>
                <c:pt idx="95">
                  <c:v>9.2500000000000041E-2</c:v>
                </c:pt>
                <c:pt idx="96">
                  <c:v>9.5000000000000043E-2</c:v>
                </c:pt>
                <c:pt idx="97">
                  <c:v>9.7500000000000045E-2</c:v>
                </c:pt>
                <c:pt idx="98">
                  <c:v>0.10000000000000005</c:v>
                </c:pt>
                <c:pt idx="99">
                  <c:v>0.10250000000000005</c:v>
                </c:pt>
                <c:pt idx="100">
                  <c:v>0.10500000000000005</c:v>
                </c:pt>
                <c:pt idx="101">
                  <c:v>0.10750000000000005</c:v>
                </c:pt>
                <c:pt idx="102">
                  <c:v>0.11000000000000006</c:v>
                </c:pt>
                <c:pt idx="103">
                  <c:v>0.11250000000000006</c:v>
                </c:pt>
                <c:pt idx="104">
                  <c:v>0.11500000000000006</c:v>
                </c:pt>
                <c:pt idx="105">
                  <c:v>0.11750000000000006</c:v>
                </c:pt>
                <c:pt idx="106">
                  <c:v>0.12000000000000006</c:v>
                </c:pt>
                <c:pt idx="107">
                  <c:v>0.12250000000000007</c:v>
                </c:pt>
                <c:pt idx="108">
                  <c:v>0.12500000000000006</c:v>
                </c:pt>
                <c:pt idx="109">
                  <c:v>0.12750000000000006</c:v>
                </c:pt>
                <c:pt idx="110">
                  <c:v>0.13000000000000006</c:v>
                </c:pt>
                <c:pt idx="111">
                  <c:v>0.13250000000000006</c:v>
                </c:pt>
                <c:pt idx="112">
                  <c:v>0.13500000000000006</c:v>
                </c:pt>
                <c:pt idx="113">
                  <c:v>0.13750000000000007</c:v>
                </c:pt>
                <c:pt idx="114">
                  <c:v>0.14000000000000007</c:v>
                </c:pt>
                <c:pt idx="115">
                  <c:v>0.14250000000000007</c:v>
                </c:pt>
                <c:pt idx="116">
                  <c:v>0.14500000000000007</c:v>
                </c:pt>
              </c:numCache>
            </c:numRef>
          </c:xVal>
          <c:yVal>
            <c:numRef>
              <c:f>'Notes | Quant Analysis'!$U$181:$U$297</c:f>
              <c:numCache>
                <c:formatCode>General</c:formatCode>
                <c:ptCount val="117"/>
                <c:pt idx="0">
                  <c:v>6.130890782697531E-2</c:v>
                </c:pt>
                <c:pt idx="1">
                  <c:v>7.2500351894275547E-2</c:v>
                </c:pt>
                <c:pt idx="2">
                  <c:v>8.548697635775572E-2</c:v>
                </c:pt>
                <c:pt idx="3">
                  <c:v>0.10050857267386507</c:v>
                </c:pt>
                <c:pt idx="4">
                  <c:v>0.11782828641268271</c:v>
                </c:pt>
                <c:pt idx="5">
                  <c:v>0.1377334179553556</c:v>
                </c:pt>
                <c:pt idx="6">
                  <c:v>0.16053598431442967</c:v>
                </c:pt>
                <c:pt idx="7">
                  <c:v>0.18657299043981182</c:v>
                </c:pt>
                <c:pt idx="8">
                  <c:v>0.21620635592801968</c:v>
                </c:pt>
                <c:pt idx="9">
                  <c:v>0.24982244154430652</c:v>
                </c:pt>
                <c:pt idx="10">
                  <c:v>0.28783111959483054</c:v>
                </c:pt>
                <c:pt idx="11">
                  <c:v>0.33066433314532662</c:v>
                </c:pt>
                <c:pt idx="12">
                  <c:v>0.37877409156020581</c:v>
                </c:pt>
                <c:pt idx="13">
                  <c:v>0.43262985400051951</c:v>
                </c:pt>
                <c:pt idx="14">
                  <c:v>0.49271525851364256</c:v>
                </c:pt>
                <c:pt idx="15">
                  <c:v>0.55952416227977086</c:v>
                </c:pt>
                <c:pt idx="16">
                  <c:v>0.63355596851447993</c:v>
                </c:pt>
                <c:pt idx="17">
                  <c:v>0.71531022747438955</c:v>
                </c:pt>
                <c:pt idx="18">
                  <c:v>0.80528051292572955</c:v>
                </c:pt>
                <c:pt idx="19">
                  <c:v>0.90394759119755064</c:v>
                </c:pt>
                <c:pt idx="20">
                  <c:v>1.0117719173642128</c:v>
                </c:pt>
                <c:pt idx="21">
                  <c:v>1.1291855119217056</c:v>
                </c:pt>
                <c:pt idx="22">
                  <c:v>1.2565832911985606</c:v>
                </c:pt>
                <c:pt idx="23">
                  <c:v>1.3943139452589102</c:v>
                </c:pt>
                <c:pt idx="24">
                  <c:v>1.5426704777265461</c:v>
                </c:pt>
                <c:pt idx="25">
                  <c:v>1.7018805422360404</c:v>
                </c:pt>
                <c:pt idx="26">
                  <c:v>1.8720967294999529</c:v>
                </c:pt>
                <c:pt idx="27">
                  <c:v>2.0533869766323951</c:v>
                </c:pt>
                <c:pt idx="28">
                  <c:v>2.2457252857312038</c:v>
                </c:pt>
                <c:pt idx="29">
                  <c:v>2.4489829511354007</c:v>
                </c:pt>
                <c:pt idx="30">
                  <c:v>2.6629205036050547</c:v>
                </c:pt>
                <c:pt idx="31">
                  <c:v>2.8871805843248768</c:v>
                </c:pt>
                <c:pt idx="32">
                  <c:v>3.1212819615879561</c:v>
                </c:pt>
                <c:pt idx="33">
                  <c:v>3.3646148978412347</c:v>
                </c:pt>
                <c:pt idx="34">
                  <c:v>3.6164380641545519</c:v>
                </c:pt>
                <c:pt idx="35">
                  <c:v>3.875877182931323</c:v>
                </c:pt>
                <c:pt idx="36">
                  <c:v>4.1419255577853544</c:v>
                </c:pt>
                <c:pt idx="37">
                  <c:v>4.4134466221069282</c:v>
                </c:pt>
                <c:pt idx="38">
                  <c:v>4.6891786052487552</c:v>
                </c:pt>
                <c:pt idx="39">
                  <c:v>4.9677413779751776</c:v>
                </c:pt>
                <c:pt idx="40">
                  <c:v>5.2476454975068547</c:v>
                </c:pt>
                <c:pt idx="41">
                  <c:v>5.5273034279955633</c:v>
                </c:pt>
                <c:pt idx="42">
                  <c:v>5.8050428655657837</c:v>
                </c:pt>
                <c:pt idx="43">
                  <c:v>6.0791220492750373</c:v>
                </c:pt>
                <c:pt idx="44">
                  <c:v>6.3477468916845856</c:v>
                </c:pt>
                <c:pt idx="45">
                  <c:v>6.6090897164722557</c:v>
                </c:pt>
                <c:pt idx="46">
                  <c:v>6.8613093469618116</c:v>
                </c:pt>
                <c:pt idx="47">
                  <c:v>7.1025722498764967</c:v>
                </c:pt>
                <c:pt idx="48">
                  <c:v>7.3310744042788993</c:v>
                </c:pt>
                <c:pt idx="49">
                  <c:v>7.5450635376666586</c:v>
                </c:pt>
                <c:pt idx="50">
                  <c:v>7.7428613505453141</c:v>
                </c:pt>
                <c:pt idx="51">
                  <c:v>7.9228853383091122</c:v>
                </c:pt>
                <c:pt idx="52">
                  <c:v>8.0836698155315254</c:v>
                </c:pt>
                <c:pt idx="53">
                  <c:v>8.2238857531655096</c:v>
                </c:pt>
                <c:pt idx="54">
                  <c:v>8.3423590537899326</c:v>
                </c:pt>
                <c:pt idx="55">
                  <c:v>8.4380869137567256</c:v>
                </c:pt>
                <c:pt idx="56">
                  <c:v>8.5102519534690124</c:v>
                </c:pt>
                <c:pt idx="57">
                  <c:v>8.5582338373693965</c:v>
                </c:pt>
                <c:pt idx="58">
                  <c:v>8.5816181526111777</c:v>
                </c:pt>
                <c:pt idx="59">
                  <c:v>8.580202368678691</c:v>
                </c:pt>
                <c:pt idx="60">
                  <c:v>8.5539987580860721</c:v>
                </c:pt>
                <c:pt idx="61">
                  <c:v>8.5032342192439021</c:v>
                </c:pt>
                <c:pt idx="62">
                  <c:v>8.4283470050695506</c:v>
                </c:pt>
                <c:pt idx="63">
                  <c:v>8.3299804233107171</c:v>
                </c:pt>
                <c:pt idx="64">
                  <c:v>8.2089736352365712</c:v>
                </c:pt>
                <c:pt idx="65">
                  <c:v>8.0663497367650088</c:v>
                </c:pt>
                <c:pt idx="66">
                  <c:v>7.903301358779145</c:v>
                </c:pt>
                <c:pt idx="67">
                  <c:v>7.7211740700305329</c:v>
                </c:pt>
                <c:pt idx="68">
                  <c:v>7.5214479055087651</c:v>
                </c:pt>
                <c:pt idx="69">
                  <c:v>7.3057173745752797</c:v>
                </c:pt>
                <c:pt idx="70">
                  <c:v>7.0756703258581721</c:v>
                </c:pt>
                <c:pt idx="71">
                  <c:v>6.8330660594905188</c:v>
                </c:pt>
                <c:pt idx="72">
                  <c:v>6.5797130816216338</c:v>
                </c:pt>
                <c:pt idx="73">
                  <c:v>6.3174468913793032</c:v>
                </c:pt>
                <c:pt idx="74">
                  <c:v>6.0481081770056759</c:v>
                </c:pt>
                <c:pt idx="75">
                  <c:v>5.7735217763588569</c:v>
                </c:pt>
                <c:pt idx="76">
                  <c:v>5.4954767282022168</c:v>
                </c:pt>
                <c:pt idx="77">
                  <c:v>5.2157077057030401</c:v>
                </c:pt>
                <c:pt idx="78">
                  <c:v>4.9358780834766955</c:v>
                </c:pt>
                <c:pt idx="79">
                  <c:v>4.6575648455812715</c:v>
                </c:pt>
                <c:pt idx="80">
                  <c:v>4.3822454953823842</c:v>
                </c:pt>
                <c:pt idx="81">
                  <c:v>4.1112870804698334</c:v>
                </c:pt>
                <c:pt idx="82">
                  <c:v>3.8459373980872589</c:v>
                </c:pt>
                <c:pt idx="83">
                  <c:v>3.5873184000349809</c:v>
                </c:pt>
                <c:pt idx="84">
                  <c:v>3.3364217718245919</c:v>
                </c:pt>
                <c:pt idx="85">
                  <c:v>3.0941066199724787</c:v>
                </c:pt>
                <c:pt idx="86">
                  <c:v>2.8610991645367654</c:v>
                </c:pt>
                <c:pt idx="87">
                  <c:v>2.6379943019800787</c:v>
                </c:pt>
                <c:pt idx="88">
                  <c:v>2.4252588766544347</c:v>
                </c:pt>
                <c:pt idx="89">
                  <c:v>2.2232364779514673</c:v>
                </c:pt>
                <c:pt idx="90">
                  <c:v>2.0321535645630533</c:v>
                </c:pt>
                <c:pt idx="91">
                  <c:v>1.8521267073103129</c:v>
                </c:pt>
                <c:pt idx="92">
                  <c:v>1.6831707374274949</c:v>
                </c:pt>
                <c:pt idx="93">
                  <c:v>1.525207587701811</c:v>
                </c:pt>
                <c:pt idx="94">
                  <c:v>1.3780756190287871</c:v>
                </c:pt>
                <c:pt idx="95">
                  <c:v>1.2415392342126981</c:v>
                </c:pt>
                <c:pt idx="96">
                  <c:v>1.1152985936250639</c:v>
                </c:pt>
                <c:pt idx="97">
                  <c:v>0.99899926299059294</c:v>
                </c:pt>
                <c:pt idx="98">
                  <c:v>0.89224164144032481</c:v>
                </c:pt>
                <c:pt idx="99">
                  <c:v>0.79459003739968614</c:v>
                </c:pt>
                <c:pt idx="100">
                  <c:v>0.70558128023081668</c:v>
                </c:pt>
                <c:pt idx="101">
                  <c:v>0.6247327762288033</c:v>
                </c:pt>
                <c:pt idx="102">
                  <c:v>0.55154993803849783</c:v>
                </c:pt>
                <c:pt idx="103">
                  <c:v>0.48553293633399219</c:v>
                </c:pt>
                <c:pt idx="104">
                  <c:v>0.4261827412791705</c:v>
                </c:pt>
                <c:pt idx="105">
                  <c:v>0.37300643853316212</c:v>
                </c:pt>
                <c:pt idx="106">
                  <c:v>0.32552182012367958</c:v>
                </c:pt>
                <c:pt idx="107">
                  <c:v>0.28326126420445835</c:v>
                </c:pt>
                <c:pt idx="108">
                  <c:v>0.24577492943241605</c:v>
                </c:pt>
                <c:pt idx="109">
                  <c:v>0.21263329940437062</c:v>
                </c:pt>
                <c:pt idx="110">
                  <c:v>0.18342912030028921</c:v>
                </c:pt>
                <c:pt idx="111">
                  <c:v>0.15777878065956052</c:v>
                </c:pt>
                <c:pt idx="112">
                  <c:v>0.13532318618115607</c:v>
                </c:pt>
                <c:pt idx="113">
                  <c:v>0.1157281847339327</c:v>
                </c:pt>
                <c:pt idx="114">
                  <c:v>9.8684597561090076E-2</c:v>
                </c:pt>
                <c:pt idx="115">
                  <c:v>8.3907912150860173E-2</c:v>
                </c:pt>
                <c:pt idx="116">
                  <c:v>7.113769062056273E-2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Analysis'!$W$181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2908613149057033E-2"/>
                  <c:y val="-2.963297534876355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235129465497139"/>
                      <c:h val="7.238884235498935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Analysis'!$X$181:$X$182</c:f>
              <c:numCache>
                <c:formatCode>0.00%</c:formatCode>
                <c:ptCount val="2"/>
                <c:pt idx="0">
                  <c:v>1.1074527751189691E-3</c:v>
                </c:pt>
                <c:pt idx="1">
                  <c:v>1.1074527751189691E-3</c:v>
                </c:pt>
              </c:numCache>
            </c:numRef>
          </c:xVal>
          <c:yVal>
            <c:numRef>
              <c:f>'Notes | Quant Analysis'!$Y$181:$Y$182</c:f>
              <c:numCache>
                <c:formatCode>General</c:formatCode>
                <c:ptCount val="2"/>
                <c:pt idx="0">
                  <c:v>0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Analysis'!$W$183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Analysis'!$X$183:$X$184</c:f>
              <c:numCache>
                <c:formatCode>0.00%</c:formatCode>
                <c:ptCount val="2"/>
                <c:pt idx="0">
                  <c:v>-0.13831696269732108</c:v>
                </c:pt>
                <c:pt idx="1">
                  <c:v>-0.13831696269732108</c:v>
                </c:pt>
              </c:numCache>
            </c:numRef>
          </c:xVal>
          <c:yVal>
            <c:numRef>
              <c:f>'Notes | Quant Analysis'!$Y$183:$Y$184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Analysis'!$W$185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3.739825861686296E-2"/>
                  <c:y val="-6.877531293888902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Analysis'!$X$185:$X$186</c:f>
              <c:numCache>
                <c:formatCode>0.00%</c:formatCode>
                <c:ptCount val="2"/>
                <c:pt idx="0">
                  <c:v>-9.1842157539841068E-2</c:v>
                </c:pt>
                <c:pt idx="1">
                  <c:v>-9.1842157539841068E-2</c:v>
                </c:pt>
              </c:numCache>
            </c:numRef>
          </c:xVal>
          <c:yVal>
            <c:numRef>
              <c:f>'Notes | Quant Analysis'!$Y$185:$Y$186</c:f>
              <c:numCache>
                <c:formatCode>General</c:formatCode>
                <c:ptCount val="2"/>
                <c:pt idx="0">
                  <c:v>0</c:v>
                </c:pt>
                <c:pt idx="1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Analysis'!$W$187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Analysis'!$X$187:$X$188</c:f>
              <c:numCache>
                <c:formatCode>0.00%</c:formatCode>
                <c:ptCount val="2"/>
                <c:pt idx="0">
                  <c:v>-4.5367352382361045E-2</c:v>
                </c:pt>
                <c:pt idx="1">
                  <c:v>-4.5367352382361045E-2</c:v>
                </c:pt>
              </c:numCache>
            </c:numRef>
          </c:xVal>
          <c:yVal>
            <c:numRef>
              <c:f>'Notes | Quant Analysis'!$Y$187:$Y$188</c:f>
              <c:numCache>
                <c:formatCode>General</c:formatCode>
                <c:ptCount val="2"/>
                <c:pt idx="0">
                  <c:v>0</c:v>
                </c:pt>
                <c:pt idx="1">
                  <c:v>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Analysis'!$W$189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Analysis'!$X$189:$X$190</c:f>
              <c:numCache>
                <c:formatCode>0.00%</c:formatCode>
                <c:ptCount val="2"/>
                <c:pt idx="0">
                  <c:v>4.7582257932598987E-2</c:v>
                </c:pt>
                <c:pt idx="1">
                  <c:v>4.7582257932598987E-2</c:v>
                </c:pt>
              </c:numCache>
            </c:numRef>
          </c:xVal>
          <c:yVal>
            <c:numRef>
              <c:f>'Notes | Quant Analysis'!$Y$189:$Y$190</c:f>
              <c:numCache>
                <c:formatCode>General</c:formatCode>
                <c:ptCount val="2"/>
                <c:pt idx="0">
                  <c:v>0</c:v>
                </c:pt>
                <c:pt idx="1">
                  <c:v>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Analysis'!$W$191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1034437194905201E-2"/>
                  <c:y val="-6.8922436424287067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Analysis'!$X$191:$X$192</c:f>
              <c:numCache>
                <c:formatCode>0.00%</c:formatCode>
                <c:ptCount val="2"/>
                <c:pt idx="0">
                  <c:v>9.4057063090078996E-2</c:v>
                </c:pt>
                <c:pt idx="1">
                  <c:v>9.4057063090078996E-2</c:v>
                </c:pt>
              </c:numCache>
            </c:numRef>
          </c:xVal>
          <c:yVal>
            <c:numRef>
              <c:f>'Notes | Quant Analysis'!$Y$191:$Y$192</c:f>
              <c:numCache>
                <c:formatCode>General</c:formatCode>
                <c:ptCount val="2"/>
                <c:pt idx="0">
                  <c:v>0</c:v>
                </c:pt>
                <c:pt idx="1">
                  <c:v>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Analysis'!$W$193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Analysis'!$X$193:$X$194</c:f>
              <c:numCache>
                <c:formatCode>0.00%</c:formatCode>
                <c:ptCount val="2"/>
                <c:pt idx="0">
                  <c:v>0.14053186824755903</c:v>
                </c:pt>
                <c:pt idx="1">
                  <c:v>0.14053186824755903</c:v>
                </c:pt>
              </c:numCache>
            </c:numRef>
          </c:xVal>
          <c:yVal>
            <c:numRef>
              <c:f>'Notes | Quant Analysis'!$Y$193:$Y$194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6000000000000003"/>
          <c:min val="-0.16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2.0000000000000004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9523</xdr:colOff>
      <xdr:row>2</xdr:row>
      <xdr:rowOff>9525</xdr:rowOff>
    </xdr:from>
    <xdr:to>
      <xdr:col>8</xdr:col>
      <xdr:colOff>255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135EC4-744A-6FA3-0EF3-7E0053127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8448" y="381000"/>
          <a:ext cx="1819532" cy="1066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</xdr:colOff>
      <xdr:row>0</xdr:row>
      <xdr:rowOff>0</xdr:rowOff>
    </xdr:from>
    <xdr:to>
      <xdr:col>10</xdr:col>
      <xdr:colOff>2</xdr:colOff>
      <xdr:row>86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D6C19637-5B38-4C25-9E88-32E865088D17}"/>
            </a:ext>
          </a:extLst>
        </xdr:cNvPr>
        <xdr:cNvCxnSpPr/>
      </xdr:nvCxnSpPr>
      <xdr:spPr>
        <a:xfrm>
          <a:off x="7515227" y="0"/>
          <a:ext cx="0" cy="1599247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</xdr:colOff>
      <xdr:row>0</xdr:row>
      <xdr:rowOff>0</xdr:rowOff>
    </xdr:from>
    <xdr:to>
      <xdr:col>20</xdr:col>
      <xdr:colOff>1</xdr:colOff>
      <xdr:row>85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DC612A6-90CB-4F16-9404-F66207887508}"/>
            </a:ext>
          </a:extLst>
        </xdr:cNvPr>
        <xdr:cNvCxnSpPr/>
      </xdr:nvCxnSpPr>
      <xdr:spPr>
        <a:xfrm>
          <a:off x="13611226" y="0"/>
          <a:ext cx="0" cy="157353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68</xdr:row>
      <xdr:rowOff>190499</xdr:rowOff>
    </xdr:from>
    <xdr:to>
      <xdr:col>31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105</xdr:row>
      <xdr:rowOff>0</xdr:rowOff>
    </xdr:from>
    <xdr:to>
      <xdr:col>31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210206</xdr:colOff>
      <xdr:row>137</xdr:row>
      <xdr:rowOff>0</xdr:rowOff>
    </xdr:from>
    <xdr:to>
      <xdr:col>32</xdr:col>
      <xdr:colOff>0</xdr:colOff>
      <xdr:row>165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BE575E-CEAA-4E28-8C7A-F2D60A96D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9525</xdr:colOff>
      <xdr:row>2</xdr:row>
      <xdr:rowOff>17318</xdr:rowOff>
    </xdr:from>
    <xdr:to>
      <xdr:col>26</xdr:col>
      <xdr:colOff>606135</xdr:colOff>
      <xdr:row>31</xdr:row>
      <xdr:rowOff>121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736321F-8A7B-72EC-A5FB-CCCDBF8220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9075" y="388793"/>
          <a:ext cx="6692610" cy="5231078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35</xdr:row>
      <xdr:rowOff>190499</xdr:rowOff>
    </xdr:from>
    <xdr:to>
      <xdr:col>25</xdr:col>
      <xdr:colOff>13607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B5DB0AF-AB0F-BE40-D7B0-E458D0B7B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4107" y="6408963"/>
          <a:ext cx="5524500" cy="496660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Excel\CHYM_Model%20(version%201).xlsb" TargetMode="External"/><Relationship Id="rId1" Type="http://schemas.openxmlformats.org/officeDocument/2006/relationships/externalLinkPath" Target="file:///C:\Users\User\AppData\Roaming\Microsoft\Excel\CHYM_Model%20(version%201)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Product Lines"/>
      <sheetName val="Management"/>
      <sheetName val="Table Formatting"/>
    </sheetNames>
    <sheetDataSet>
      <sheetData sheetId="0">
        <row r="3">
          <cell r="C3">
            <v>25.69</v>
          </cell>
        </row>
        <row r="4">
          <cell r="C4">
            <v>374.57</v>
          </cell>
        </row>
      </sheetData>
      <sheetData sheetId="1" refreshError="1"/>
      <sheetData sheetId="2">
        <row r="215">
          <cell r="S215" t="e">
            <v>#DIV/0!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chime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35"/>
  <sheetViews>
    <sheetView workbookViewId="0">
      <selection activeCell="P20" sqref="P20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7" ht="15">
      <c r="B2" s="2" t="s">
        <v>120</v>
      </c>
    </row>
    <row r="3" spans="2:17">
      <c r="B3" s="1" t="s">
        <v>0</v>
      </c>
      <c r="C3" s="43">
        <v>23.82</v>
      </c>
      <c r="D3" s="42" t="s">
        <v>942</v>
      </c>
    </row>
    <row r="4" spans="2:17">
      <c r="B4" s="1" t="s">
        <v>1</v>
      </c>
      <c r="C4" s="44">
        <v>375.86</v>
      </c>
      <c r="D4" s="1" t="s">
        <v>943</v>
      </c>
    </row>
    <row r="5" spans="2:17">
      <c r="B5" s="1" t="s">
        <v>2</v>
      </c>
      <c r="C5" s="60">
        <f>C3*C4</f>
        <v>8952.985200000001</v>
      </c>
    </row>
    <row r="6" spans="2:17">
      <c r="B6" s="1" t="s">
        <v>3</v>
      </c>
      <c r="C6" s="61">
        <f>466.252</f>
        <v>466.25200000000001</v>
      </c>
      <c r="D6" s="1" t="s">
        <v>943</v>
      </c>
    </row>
    <row r="7" spans="2:17">
      <c r="B7" s="1" t="s">
        <v>4</v>
      </c>
      <c r="C7" s="61">
        <v>0</v>
      </c>
      <c r="D7" s="1" t="s">
        <v>943</v>
      </c>
    </row>
    <row r="8" spans="2:17">
      <c r="B8" s="1" t="s">
        <v>5</v>
      </c>
      <c r="C8" s="61">
        <f>C5-C6+C7</f>
        <v>8486.7332000000006</v>
      </c>
    </row>
    <row r="10" spans="2:17" ht="15">
      <c r="B10" s="2" t="s">
        <v>121</v>
      </c>
    </row>
    <row r="12" spans="2:17" ht="15">
      <c r="B12" s="1" t="s">
        <v>161</v>
      </c>
      <c r="F12" s="1" t="s">
        <v>168</v>
      </c>
      <c r="M12" s="1" t="s">
        <v>100</v>
      </c>
      <c r="P12" s="2"/>
    </row>
    <row r="13" spans="2:17">
      <c r="B13" s="1" t="s">
        <v>162</v>
      </c>
      <c r="F13" s="1" t="s">
        <v>169</v>
      </c>
      <c r="M13" s="1" t="s">
        <v>7</v>
      </c>
      <c r="P13" s="45" t="s">
        <v>955</v>
      </c>
    </row>
    <row r="14" spans="2:17">
      <c r="B14" s="1" t="s">
        <v>163</v>
      </c>
      <c r="F14" s="1" t="s">
        <v>6</v>
      </c>
      <c r="M14" s="1" t="s">
        <v>103</v>
      </c>
      <c r="P14" s="45" t="s">
        <v>956</v>
      </c>
    </row>
    <row r="15" spans="2:17">
      <c r="B15" s="1" t="s">
        <v>159</v>
      </c>
      <c r="F15" s="1" t="s">
        <v>97</v>
      </c>
      <c r="N15" s="1" t="s">
        <v>102</v>
      </c>
      <c r="Q15" s="45" t="s">
        <v>957</v>
      </c>
    </row>
    <row r="16" spans="2:17">
      <c r="B16" s="1" t="s">
        <v>160</v>
      </c>
      <c r="F16" s="1" t="s">
        <v>91</v>
      </c>
      <c r="G16" s="1" t="s">
        <v>170</v>
      </c>
      <c r="I16" s="1" t="s">
        <v>92</v>
      </c>
      <c r="M16" s="1" t="s">
        <v>94</v>
      </c>
      <c r="P16" s="45" t="s">
        <v>958</v>
      </c>
    </row>
    <row r="17" spans="1:17">
      <c r="B17" s="1" t="s">
        <v>164</v>
      </c>
      <c r="M17" s="1" t="s">
        <v>95</v>
      </c>
      <c r="P17" s="45" t="s">
        <v>959</v>
      </c>
    </row>
    <row r="18" spans="1:17">
      <c r="B18" s="1" t="s">
        <v>165</v>
      </c>
      <c r="M18" s="1" t="s">
        <v>104</v>
      </c>
      <c r="P18" s="45" t="s">
        <v>960</v>
      </c>
    </row>
    <row r="19" spans="1:17">
      <c r="B19" s="1" t="s">
        <v>166</v>
      </c>
      <c r="M19" s="1" t="s">
        <v>105</v>
      </c>
      <c r="P19" s="45" t="s">
        <v>961</v>
      </c>
    </row>
    <row r="20" spans="1:17">
      <c r="B20" s="1" t="s">
        <v>167</v>
      </c>
      <c r="M20" s="1" t="s">
        <v>8</v>
      </c>
      <c r="P20" s="45" t="s">
        <v>96</v>
      </c>
    </row>
    <row r="21" spans="1:17">
      <c r="Q21" s="45"/>
    </row>
    <row r="22" spans="1:17" ht="15">
      <c r="A22" s="2" t="s">
        <v>9</v>
      </c>
      <c r="N22" s="2"/>
    </row>
    <row r="23" spans="1:17">
      <c r="B23" s="1" t="s">
        <v>171</v>
      </c>
    </row>
    <row r="24" spans="1:17">
      <c r="B24" s="1" t="s">
        <v>944</v>
      </c>
    </row>
    <row r="25" spans="1:17">
      <c r="C25" s="1" t="s">
        <v>945</v>
      </c>
    </row>
    <row r="26" spans="1:17">
      <c r="C26" s="1" t="s">
        <v>946</v>
      </c>
    </row>
    <row r="27" spans="1:17">
      <c r="D27" s="1" t="s">
        <v>947</v>
      </c>
    </row>
    <row r="28" spans="1:17">
      <c r="D28" s="1" t="s">
        <v>948</v>
      </c>
    </row>
    <row r="29" spans="1:17">
      <c r="D29" s="1" t="s">
        <v>949</v>
      </c>
    </row>
    <row r="30" spans="1:17">
      <c r="D30" s="1" t="s">
        <v>950</v>
      </c>
    </row>
    <row r="31" spans="1:17">
      <c r="D31" s="1" t="s">
        <v>951</v>
      </c>
    </row>
    <row r="32" spans="1:17">
      <c r="B32" s="1" t="s">
        <v>172</v>
      </c>
    </row>
    <row r="33" spans="1:3">
      <c r="C33" s="1" t="s">
        <v>173</v>
      </c>
    </row>
    <row r="35" spans="1:3" ht="15">
      <c r="A35" s="2" t="s">
        <v>98</v>
      </c>
    </row>
  </sheetData>
  <hyperlinks>
    <hyperlink ref="P20" r:id="rId1" xr:uid="{14375537-5C3D-4253-9650-337AB6789785}"/>
    <hyperlink ref="P14" r:id="rId2" xr:uid="{14DD1A99-8A18-411F-A3E5-FFB9A3A375B5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E78"/>
  <sheetViews>
    <sheetView tabSelected="1" zoomScale="85" zoomScaleNormal="85" workbookViewId="0">
      <pane xSplit="2" ySplit="3" topLeftCell="M30" activePane="bottomRight" state="frozen"/>
      <selection pane="topRight" activeCell="C1" sqref="C1"/>
      <selection pane="bottomLeft" activeCell="A4" sqref="A4"/>
      <selection pane="bottomRight" activeCell="F67" sqref="F67:J67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10" width="9.140625" style="1"/>
    <col min="11" max="14" width="9.140625" style="35"/>
    <col min="15" max="20" width="9.140625" style="1"/>
    <col min="21" max="82" width="9.140625" style="35"/>
    <col min="83" max="16384" width="9.140625" style="1"/>
  </cols>
  <sheetData>
    <row r="1" spans="2:83" ht="15">
      <c r="B1" s="1" t="s">
        <v>57</v>
      </c>
      <c r="C1" s="33" t="s">
        <v>45</v>
      </c>
      <c r="G1" s="33" t="s">
        <v>49</v>
      </c>
    </row>
    <row r="2" spans="2:83">
      <c r="B2" s="1" t="s">
        <v>58</v>
      </c>
    </row>
    <row r="3" spans="2:83" ht="15">
      <c r="B3" s="2" t="s">
        <v>59</v>
      </c>
      <c r="C3" s="33" t="s">
        <v>45</v>
      </c>
      <c r="D3" s="33" t="s">
        <v>46</v>
      </c>
      <c r="E3" s="33" t="s">
        <v>47</v>
      </c>
      <c r="F3" s="33" t="s">
        <v>48</v>
      </c>
      <c r="G3" s="33" t="s">
        <v>49</v>
      </c>
      <c r="H3" s="2" t="s">
        <v>50</v>
      </c>
      <c r="I3" s="2" t="s">
        <v>51</v>
      </c>
      <c r="J3" s="2" t="s">
        <v>52</v>
      </c>
      <c r="K3" s="34" t="s">
        <v>53</v>
      </c>
      <c r="L3" s="34" t="s">
        <v>54</v>
      </c>
      <c r="M3" s="34" t="s">
        <v>55</v>
      </c>
      <c r="N3" s="34" t="s">
        <v>56</v>
      </c>
      <c r="S3" s="2">
        <v>2024</v>
      </c>
      <c r="T3" s="2">
        <v>2025</v>
      </c>
      <c r="U3" s="34">
        <f>T3+1</f>
        <v>2026</v>
      </c>
      <c r="V3" s="34">
        <f t="shared" ref="V3:CB3" si="0">U3+1</f>
        <v>2027</v>
      </c>
      <c r="W3" s="34">
        <f t="shared" si="0"/>
        <v>2028</v>
      </c>
      <c r="X3" s="34">
        <f t="shared" si="0"/>
        <v>2029</v>
      </c>
      <c r="Y3" s="34">
        <f t="shared" si="0"/>
        <v>2030</v>
      </c>
      <c r="Z3" s="34">
        <f t="shared" si="0"/>
        <v>2031</v>
      </c>
      <c r="AA3" s="34">
        <f t="shared" si="0"/>
        <v>2032</v>
      </c>
      <c r="AB3" s="34">
        <f t="shared" si="0"/>
        <v>2033</v>
      </c>
      <c r="AC3" s="34">
        <f t="shared" si="0"/>
        <v>2034</v>
      </c>
      <c r="AD3" s="34">
        <f t="shared" si="0"/>
        <v>2035</v>
      </c>
      <c r="AE3" s="34">
        <f t="shared" si="0"/>
        <v>2036</v>
      </c>
      <c r="AF3" s="34">
        <f t="shared" si="0"/>
        <v>2037</v>
      </c>
      <c r="AG3" s="34">
        <f t="shared" si="0"/>
        <v>2038</v>
      </c>
      <c r="AH3" s="34">
        <f t="shared" si="0"/>
        <v>2039</v>
      </c>
      <c r="AI3" s="34">
        <f t="shared" si="0"/>
        <v>2040</v>
      </c>
      <c r="AJ3" s="34">
        <f t="shared" si="0"/>
        <v>2041</v>
      </c>
      <c r="AK3" s="34">
        <f t="shared" si="0"/>
        <v>2042</v>
      </c>
      <c r="AL3" s="34">
        <f t="shared" si="0"/>
        <v>2043</v>
      </c>
      <c r="AM3" s="34">
        <f t="shared" si="0"/>
        <v>2044</v>
      </c>
      <c r="AN3" s="34">
        <f t="shared" si="0"/>
        <v>2045</v>
      </c>
      <c r="AO3" s="34">
        <f t="shared" si="0"/>
        <v>2046</v>
      </c>
      <c r="AP3" s="34">
        <f t="shared" si="0"/>
        <v>2047</v>
      </c>
      <c r="AQ3" s="34">
        <f t="shared" si="0"/>
        <v>2048</v>
      </c>
      <c r="AR3" s="34">
        <f t="shared" si="0"/>
        <v>2049</v>
      </c>
      <c r="AS3" s="34">
        <f t="shared" si="0"/>
        <v>2050</v>
      </c>
      <c r="AT3" s="34">
        <f t="shared" si="0"/>
        <v>2051</v>
      </c>
      <c r="AU3" s="34">
        <f t="shared" si="0"/>
        <v>2052</v>
      </c>
      <c r="AV3" s="34">
        <f t="shared" si="0"/>
        <v>2053</v>
      </c>
      <c r="AW3" s="34">
        <f t="shared" si="0"/>
        <v>2054</v>
      </c>
      <c r="AX3" s="34">
        <f t="shared" si="0"/>
        <v>2055</v>
      </c>
      <c r="AY3" s="34">
        <f t="shared" si="0"/>
        <v>2056</v>
      </c>
      <c r="AZ3" s="34">
        <f t="shared" si="0"/>
        <v>2057</v>
      </c>
      <c r="BA3" s="34">
        <f t="shared" si="0"/>
        <v>2058</v>
      </c>
      <c r="BB3" s="34">
        <f t="shared" si="0"/>
        <v>2059</v>
      </c>
      <c r="BC3" s="34">
        <f t="shared" si="0"/>
        <v>2060</v>
      </c>
      <c r="BD3" s="34">
        <f t="shared" si="0"/>
        <v>2061</v>
      </c>
      <c r="BE3" s="34">
        <f t="shared" si="0"/>
        <v>2062</v>
      </c>
      <c r="BF3" s="34">
        <f t="shared" si="0"/>
        <v>2063</v>
      </c>
      <c r="BG3" s="34">
        <f t="shared" si="0"/>
        <v>2064</v>
      </c>
      <c r="BH3" s="34">
        <f t="shared" si="0"/>
        <v>2065</v>
      </c>
      <c r="BI3" s="34">
        <f t="shared" si="0"/>
        <v>2066</v>
      </c>
      <c r="BJ3" s="34">
        <f t="shared" si="0"/>
        <v>2067</v>
      </c>
      <c r="BK3" s="34">
        <f t="shared" si="0"/>
        <v>2068</v>
      </c>
      <c r="BL3" s="34">
        <f t="shared" si="0"/>
        <v>2069</v>
      </c>
      <c r="BM3" s="34">
        <f t="shared" si="0"/>
        <v>2070</v>
      </c>
      <c r="BN3" s="34">
        <f t="shared" si="0"/>
        <v>2071</v>
      </c>
      <c r="BO3" s="34">
        <f t="shared" si="0"/>
        <v>2072</v>
      </c>
      <c r="BP3" s="34">
        <f t="shared" si="0"/>
        <v>2073</v>
      </c>
      <c r="BQ3" s="34">
        <f t="shared" si="0"/>
        <v>2074</v>
      </c>
      <c r="BR3" s="34">
        <f t="shared" si="0"/>
        <v>2075</v>
      </c>
      <c r="BS3" s="34">
        <f t="shared" si="0"/>
        <v>2076</v>
      </c>
      <c r="BT3" s="34">
        <f t="shared" si="0"/>
        <v>2077</v>
      </c>
      <c r="BU3" s="34">
        <f t="shared" si="0"/>
        <v>2078</v>
      </c>
      <c r="BV3" s="34">
        <f t="shared" si="0"/>
        <v>2079</v>
      </c>
      <c r="BW3" s="34">
        <f t="shared" si="0"/>
        <v>2080</v>
      </c>
      <c r="BX3" s="34">
        <f t="shared" si="0"/>
        <v>2081</v>
      </c>
      <c r="BY3" s="34">
        <f t="shared" si="0"/>
        <v>2082</v>
      </c>
      <c r="BZ3" s="34">
        <f t="shared" si="0"/>
        <v>2083</v>
      </c>
      <c r="CA3" s="34">
        <f t="shared" si="0"/>
        <v>2084</v>
      </c>
      <c r="CB3" s="34">
        <f t="shared" si="0"/>
        <v>2085</v>
      </c>
      <c r="CC3" s="34"/>
      <c r="CD3" s="34"/>
      <c r="CE3" s="2"/>
    </row>
    <row r="4" spans="2:83">
      <c r="B4" s="36" t="s">
        <v>122</v>
      </c>
      <c r="C4" s="63">
        <v>317.31</v>
      </c>
      <c r="D4" s="63">
        <v>307.96300000000002</v>
      </c>
      <c r="E4" s="63">
        <v>312.25</v>
      </c>
      <c r="F4" s="63">
        <f>1295.5-SUM(C4:E4)</f>
        <v>357.97699999999998</v>
      </c>
      <c r="G4" s="63">
        <v>375.31</v>
      </c>
      <c r="H4" s="63">
        <v>366.101</v>
      </c>
      <c r="I4" s="63">
        <v>363.15600000000001</v>
      </c>
      <c r="J4" s="63">
        <v>396.1</v>
      </c>
      <c r="S4" s="1">
        <f>SUM(C4:F4)</f>
        <v>1295.5</v>
      </c>
      <c r="T4" s="63">
        <f>SUM(G4:J4)</f>
        <v>1500.6669999999999</v>
      </c>
      <c r="U4" s="67">
        <f t="shared" ref="U4:AD5" si="1">T4*(1+U8)</f>
        <v>1770.7870599999999</v>
      </c>
      <c r="V4" s="67">
        <f t="shared" si="1"/>
        <v>2160.3602131999996</v>
      </c>
      <c r="W4" s="67">
        <f t="shared" si="1"/>
        <v>2614.0358579719996</v>
      </c>
      <c r="X4" s="67">
        <f t="shared" si="1"/>
        <v>3136.8430295663993</v>
      </c>
      <c r="Y4" s="67">
        <f t="shared" si="1"/>
        <v>3732.843205184015</v>
      </c>
      <c r="Z4" s="67">
        <f t="shared" si="1"/>
        <v>4404.7549821171378</v>
      </c>
      <c r="AA4" s="67">
        <f t="shared" si="1"/>
        <v>5153.5633290770511</v>
      </c>
      <c r="AB4" s="67">
        <f t="shared" si="1"/>
        <v>5978.1334617293787</v>
      </c>
      <c r="AC4" s="67">
        <f t="shared" si="1"/>
        <v>6874.8534809887851</v>
      </c>
      <c r="AD4" s="67">
        <f t="shared" si="1"/>
        <v>7837.3329683272159</v>
      </c>
    </row>
    <row r="5" spans="2:83">
      <c r="B5" s="36" t="s">
        <v>123</v>
      </c>
      <c r="C5" s="63">
        <v>74.66</v>
      </c>
      <c r="D5" s="63">
        <v>76.25</v>
      </c>
      <c r="E5" s="63">
        <v>109.621</v>
      </c>
      <c r="F5" s="63">
        <f>377.8-SUM(C5:E5)</f>
        <v>117.26900000000001</v>
      </c>
      <c r="G5" s="63">
        <v>143.43</v>
      </c>
      <c r="H5" s="63">
        <v>162.048</v>
      </c>
      <c r="I5" s="63">
        <v>180.363</v>
      </c>
      <c r="J5" s="63">
        <v>200.3</v>
      </c>
      <c r="S5" s="1">
        <f>SUM(C5:F5)</f>
        <v>377.8</v>
      </c>
      <c r="T5" s="63">
        <f>SUM(G5:J5)</f>
        <v>686.14100000000008</v>
      </c>
      <c r="U5" s="67">
        <f t="shared" si="1"/>
        <v>912.56753000000015</v>
      </c>
      <c r="V5" s="67">
        <f t="shared" si="1"/>
        <v>1204.5891396000002</v>
      </c>
      <c r="W5" s="67">
        <f t="shared" si="1"/>
        <v>1578.0117728760004</v>
      </c>
      <c r="X5" s="67">
        <f t="shared" si="1"/>
        <v>2051.4153047388004</v>
      </c>
      <c r="Y5" s="67">
        <f t="shared" si="1"/>
        <v>2646.3257431130528</v>
      </c>
      <c r="Z5" s="67">
        <f t="shared" si="1"/>
        <v>3387.2969511847077</v>
      </c>
      <c r="AA5" s="67">
        <f t="shared" si="1"/>
        <v>4301.8671280045792</v>
      </c>
      <c r="AB5" s="67">
        <f t="shared" si="1"/>
        <v>5420.3525812857697</v>
      </c>
      <c r="AC5" s="67">
        <f t="shared" si="1"/>
        <v>6775.4407266072121</v>
      </c>
      <c r="AD5" s="67">
        <f t="shared" si="1"/>
        <v>8469.3009082590142</v>
      </c>
    </row>
    <row r="6" spans="2:83" s="2" customFormat="1" ht="15">
      <c r="B6" s="33" t="s">
        <v>60</v>
      </c>
      <c r="C6" s="64">
        <f t="shared" ref="C6:I6" si="2">SUM(C4:C5)</f>
        <v>391.97</v>
      </c>
      <c r="D6" s="64">
        <f t="shared" si="2"/>
        <v>384.21300000000002</v>
      </c>
      <c r="E6" s="64">
        <f t="shared" si="2"/>
        <v>421.87099999999998</v>
      </c>
      <c r="F6" s="64">
        <f t="shared" si="2"/>
        <v>475.24599999999998</v>
      </c>
      <c r="G6" s="64">
        <f t="shared" si="2"/>
        <v>518.74</v>
      </c>
      <c r="H6" s="64">
        <f t="shared" si="2"/>
        <v>528.149</v>
      </c>
      <c r="I6" s="64">
        <f t="shared" si="2"/>
        <v>543.51900000000001</v>
      </c>
      <c r="J6" s="64">
        <f>SUM(J4:J5)</f>
        <v>596.40000000000009</v>
      </c>
      <c r="K6" s="34"/>
      <c r="L6" s="34"/>
      <c r="M6" s="34"/>
      <c r="N6" s="34"/>
      <c r="S6" s="2">
        <f>SUM(C6:F6)</f>
        <v>1673.3000000000002</v>
      </c>
      <c r="T6" s="64">
        <f>SUM(G6:J6)</f>
        <v>2186.808</v>
      </c>
      <c r="U6" s="68">
        <f>SUM(U4:U5)</f>
        <v>2683.3545899999999</v>
      </c>
      <c r="V6" s="68">
        <f t="shared" ref="V6:AD6" si="3">SUM(V4:V5)</f>
        <v>3364.9493527999998</v>
      </c>
      <c r="W6" s="68">
        <f t="shared" si="3"/>
        <v>4192.0476308480002</v>
      </c>
      <c r="X6" s="68">
        <f t="shared" si="3"/>
        <v>5188.2583343051992</v>
      </c>
      <c r="Y6" s="68">
        <f t="shared" si="3"/>
        <v>6379.1689482970678</v>
      </c>
      <c r="Z6" s="68">
        <f t="shared" si="3"/>
        <v>7792.0519333018456</v>
      </c>
      <c r="AA6" s="68">
        <f t="shared" si="3"/>
        <v>9455.4304570816312</v>
      </c>
      <c r="AB6" s="68">
        <f t="shared" si="3"/>
        <v>11398.486043015149</v>
      </c>
      <c r="AC6" s="68">
        <f t="shared" si="3"/>
        <v>13650.294207595998</v>
      </c>
      <c r="AD6" s="68">
        <f t="shared" si="3"/>
        <v>16306.633876586231</v>
      </c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</row>
    <row r="7" spans="2:83">
      <c r="B7" s="36"/>
    </row>
    <row r="8" spans="2:83">
      <c r="B8" s="37" t="s">
        <v>124</v>
      </c>
      <c r="C8" s="65"/>
      <c r="D8" s="65"/>
      <c r="E8" s="65"/>
      <c r="F8" s="65"/>
      <c r="G8" s="65">
        <f t="shared" ref="G8:J10" si="4">G4/C4-1</f>
        <v>0.18278654943115558</v>
      </c>
      <c r="H8" s="65">
        <f t="shared" si="4"/>
        <v>0.18878241866717738</v>
      </c>
      <c r="I8" s="65">
        <f t="shared" si="4"/>
        <v>0.16302962369895924</v>
      </c>
      <c r="J8" s="65">
        <f t="shared" si="4"/>
        <v>0.10649566871614669</v>
      </c>
      <c r="T8" s="65">
        <f>T4/S4-1</f>
        <v>0.15836896950984181</v>
      </c>
      <c r="U8" s="69">
        <v>0.18</v>
      </c>
      <c r="V8" s="69">
        <v>0.22</v>
      </c>
      <c r="W8" s="69">
        <v>0.21</v>
      </c>
      <c r="X8" s="69">
        <v>0.2</v>
      </c>
      <c r="Y8" s="69">
        <v>0.19</v>
      </c>
      <c r="Z8" s="69">
        <v>0.18</v>
      </c>
      <c r="AA8" s="69">
        <v>0.17</v>
      </c>
      <c r="AB8" s="69">
        <v>0.16</v>
      </c>
      <c r="AC8" s="69">
        <v>0.15</v>
      </c>
      <c r="AD8" s="69">
        <v>0.14000000000000001</v>
      </c>
    </row>
    <row r="9" spans="2:83">
      <c r="B9" s="37" t="s">
        <v>125</v>
      </c>
      <c r="C9" s="65"/>
      <c r="D9" s="65"/>
      <c r="E9" s="65"/>
      <c r="F9" s="65"/>
      <c r="G9" s="65">
        <f t="shared" si="4"/>
        <v>0.92110902759174951</v>
      </c>
      <c r="H9" s="65">
        <f t="shared" si="4"/>
        <v>1.1252196721311476</v>
      </c>
      <c r="I9" s="65">
        <f t="shared" si="4"/>
        <v>0.64533255489367924</v>
      </c>
      <c r="J9" s="65">
        <f t="shared" si="4"/>
        <v>0.70803878262797504</v>
      </c>
      <c r="T9" s="65">
        <f>T5/S5-1</f>
        <v>0.81614875595553227</v>
      </c>
      <c r="U9" s="69">
        <v>0.33</v>
      </c>
      <c r="V9" s="69">
        <v>0.32</v>
      </c>
      <c r="W9" s="69">
        <v>0.31</v>
      </c>
      <c r="X9" s="69">
        <v>0.3</v>
      </c>
      <c r="Y9" s="69">
        <v>0.28999999999999998</v>
      </c>
      <c r="Z9" s="69">
        <v>0.28000000000000003</v>
      </c>
      <c r="AA9" s="69">
        <v>0.27</v>
      </c>
      <c r="AB9" s="69">
        <v>0.26</v>
      </c>
      <c r="AC9" s="69">
        <v>0.25</v>
      </c>
      <c r="AD9" s="69">
        <v>0.25</v>
      </c>
    </row>
    <row r="10" spans="2:83" s="2" customFormat="1" ht="15">
      <c r="B10" s="33" t="s">
        <v>106</v>
      </c>
      <c r="C10" s="66"/>
      <c r="D10" s="66"/>
      <c r="E10" s="66"/>
      <c r="F10" s="66"/>
      <c r="G10" s="66">
        <f t="shared" si="4"/>
        <v>0.32341760849044565</v>
      </c>
      <c r="H10" s="66">
        <f t="shared" si="4"/>
        <v>0.37462553323286807</v>
      </c>
      <c r="I10" s="66">
        <f t="shared" si="4"/>
        <v>0.28835354883364817</v>
      </c>
      <c r="J10" s="66">
        <f t="shared" si="4"/>
        <v>0.25492902623062608</v>
      </c>
      <c r="K10" s="34"/>
      <c r="L10" s="34"/>
      <c r="M10" s="34"/>
      <c r="N10" s="34"/>
      <c r="T10" s="66">
        <f>T6/S6-1</f>
        <v>0.30688340405187331</v>
      </c>
      <c r="U10" s="70">
        <f t="shared" ref="U10:AD10" si="5">U6/T6-1</f>
        <v>0.22706455710789419</v>
      </c>
      <c r="V10" s="70">
        <f t="shared" si="5"/>
        <v>0.25400845841995112</v>
      </c>
      <c r="W10" s="70">
        <f t="shared" si="5"/>
        <v>0.24579813582031051</v>
      </c>
      <c r="X10" s="70">
        <f t="shared" si="5"/>
        <v>0.23764298290085928</v>
      </c>
      <c r="Y10" s="70">
        <f t="shared" si="5"/>
        <v>0.22953957518218937</v>
      </c>
      <c r="Z10" s="70">
        <f t="shared" si="5"/>
        <v>0.22148386356532379</v>
      </c>
      <c r="AA10" s="70">
        <f t="shared" si="5"/>
        <v>0.21347118037943269</v>
      </c>
      <c r="AB10" s="70">
        <f t="shared" si="5"/>
        <v>0.20549625897552559</v>
      </c>
      <c r="AC10" s="70">
        <f t="shared" si="5"/>
        <v>0.1975532676956453</v>
      </c>
      <c r="AD10" s="70">
        <f t="shared" si="5"/>
        <v>0.19459944442164878</v>
      </c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</row>
    <row r="11" spans="2:83">
      <c r="C11" s="65"/>
      <c r="D11" s="65"/>
      <c r="E11" s="65"/>
      <c r="F11" s="65"/>
      <c r="G11" s="65"/>
      <c r="H11" s="65"/>
      <c r="I11" s="65"/>
      <c r="J11" s="65"/>
    </row>
    <row r="12" spans="2:83">
      <c r="B12" s="37" t="s">
        <v>126</v>
      </c>
      <c r="C12" s="65">
        <f t="shared" ref="C12:H12" si="6">C4/C6</f>
        <v>0.80952623925300404</v>
      </c>
      <c r="D12" s="65">
        <f t="shared" si="6"/>
        <v>0.8015423736312931</v>
      </c>
      <c r="E12" s="65">
        <f t="shared" si="6"/>
        <v>0.74015516591564723</v>
      </c>
      <c r="F12" s="65">
        <f t="shared" si="6"/>
        <v>0.75324568749658072</v>
      </c>
      <c r="G12" s="65">
        <f t="shared" si="6"/>
        <v>0.72350310367428772</v>
      </c>
      <c r="H12" s="65">
        <f t="shared" si="6"/>
        <v>0.69317749347248603</v>
      </c>
      <c r="I12" s="65">
        <f>I4/I6</f>
        <v>0.66815695495465666</v>
      </c>
      <c r="J12" s="65">
        <f>J4/J6</f>
        <v>0.66415157612340703</v>
      </c>
      <c r="S12" s="65">
        <f>S4/S6</f>
        <v>0.77421860993246872</v>
      </c>
      <c r="T12" s="65">
        <f>T4/T6</f>
        <v>0.68623628594737163</v>
      </c>
    </row>
    <row r="13" spans="2:83">
      <c r="B13" s="37" t="s">
        <v>127</v>
      </c>
      <c r="C13" s="65">
        <f t="shared" ref="C13:H13" si="7">C5/C6</f>
        <v>0.19047376074699593</v>
      </c>
      <c r="D13" s="65">
        <f t="shared" si="7"/>
        <v>0.19845762636870692</v>
      </c>
      <c r="E13" s="65">
        <f t="shared" si="7"/>
        <v>0.25984483408435283</v>
      </c>
      <c r="F13" s="65">
        <f t="shared" si="7"/>
        <v>0.24675431250341931</v>
      </c>
      <c r="G13" s="65">
        <f t="shared" si="7"/>
        <v>0.27649689632571234</v>
      </c>
      <c r="H13" s="65">
        <f t="shared" si="7"/>
        <v>0.30682250652751403</v>
      </c>
      <c r="I13" s="65">
        <f>I5/I6</f>
        <v>0.3318430450453434</v>
      </c>
      <c r="J13" s="65">
        <f>J5/J6</f>
        <v>0.33584842387659286</v>
      </c>
      <c r="S13" s="65">
        <f>S5/S6</f>
        <v>0.2257813900675312</v>
      </c>
      <c r="T13" s="65">
        <f>T5/T6</f>
        <v>0.31376371405262832</v>
      </c>
    </row>
    <row r="15" spans="2:83" s="2" customFormat="1" ht="15">
      <c r="B15" s="2" t="s">
        <v>59</v>
      </c>
      <c r="C15" s="64">
        <f t="shared" ref="C15:I15" si="8">C6</f>
        <v>391.97</v>
      </c>
      <c r="D15" s="64">
        <f t="shared" si="8"/>
        <v>384.21300000000002</v>
      </c>
      <c r="E15" s="64">
        <f t="shared" si="8"/>
        <v>421.87099999999998</v>
      </c>
      <c r="F15" s="64">
        <f t="shared" si="8"/>
        <v>475.24599999999998</v>
      </c>
      <c r="G15" s="64">
        <f t="shared" si="8"/>
        <v>518.74</v>
      </c>
      <c r="H15" s="64">
        <f t="shared" si="8"/>
        <v>528.149</v>
      </c>
      <c r="I15" s="64">
        <f t="shared" si="8"/>
        <v>543.51900000000001</v>
      </c>
      <c r="J15" s="64">
        <f>J6</f>
        <v>596.40000000000009</v>
      </c>
      <c r="K15" s="34"/>
      <c r="L15" s="34"/>
      <c r="M15" s="34"/>
      <c r="N15" s="34"/>
      <c r="S15" s="2">
        <f>SUM(C15:F15)</f>
        <v>1673.3000000000002</v>
      </c>
      <c r="T15" s="64">
        <f t="shared" ref="T15:T33" si="9">SUM(G15:J15)</f>
        <v>2186.808</v>
      </c>
      <c r="U15" s="68">
        <f>U6</f>
        <v>2683.3545899999999</v>
      </c>
      <c r="V15" s="68">
        <f t="shared" ref="V15:AD15" si="10">V6</f>
        <v>3364.9493527999998</v>
      </c>
      <c r="W15" s="68">
        <f t="shared" si="10"/>
        <v>4192.0476308480002</v>
      </c>
      <c r="X15" s="68">
        <f t="shared" si="10"/>
        <v>5188.2583343051992</v>
      </c>
      <c r="Y15" s="68">
        <f t="shared" si="10"/>
        <v>6379.1689482970678</v>
      </c>
      <c r="Z15" s="68">
        <f t="shared" si="10"/>
        <v>7792.0519333018456</v>
      </c>
      <c r="AA15" s="68">
        <f t="shared" si="10"/>
        <v>9455.4304570816312</v>
      </c>
      <c r="AB15" s="68">
        <f t="shared" si="10"/>
        <v>11398.486043015149</v>
      </c>
      <c r="AC15" s="68">
        <f t="shared" si="10"/>
        <v>13650.294207595998</v>
      </c>
      <c r="AD15" s="68">
        <f t="shared" si="10"/>
        <v>16306.633876586231</v>
      </c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</row>
    <row r="16" spans="2:83">
      <c r="B16" s="1" t="s">
        <v>61</v>
      </c>
      <c r="C16" s="63">
        <v>47.44</v>
      </c>
      <c r="D16" s="63">
        <v>50.5</v>
      </c>
      <c r="E16" s="63">
        <v>53.515999999999998</v>
      </c>
      <c r="F16" s="63">
        <f>207.511-SUM(C16:E16)</f>
        <v>56.055000000000007</v>
      </c>
      <c r="G16" s="63">
        <v>60.41</v>
      </c>
      <c r="H16" s="63">
        <v>67.12</v>
      </c>
      <c r="I16" s="63">
        <v>69.400000000000006</v>
      </c>
      <c r="J16" s="63">
        <v>66.108000000000004</v>
      </c>
      <c r="S16" s="63">
        <f>SUM(C16:F16)</f>
        <v>207.511</v>
      </c>
      <c r="T16" s="63">
        <f t="shared" si="9"/>
        <v>263.03800000000001</v>
      </c>
      <c r="U16" s="67">
        <f>U15*(1-U35)</f>
        <v>334.90265972298937</v>
      </c>
      <c r="V16" s="67">
        <f t="shared" ref="V16:AD16" si="11">V15*(1-V35)</f>
        <v>419.97076803996731</v>
      </c>
      <c r="W16" s="67">
        <f t="shared" si="11"/>
        <v>523.19879992321535</v>
      </c>
      <c r="X16" s="67">
        <f t="shared" si="11"/>
        <v>647.53332338711812</v>
      </c>
      <c r="Y16" s="67">
        <f t="shared" si="11"/>
        <v>796.16784735370834</v>
      </c>
      <c r="Z16" s="67">
        <f t="shared" si="11"/>
        <v>972.50617823209473</v>
      </c>
      <c r="AA16" s="67">
        <f t="shared" si="11"/>
        <v>1180.108220025591</v>
      </c>
      <c r="AB16" s="67">
        <f t="shared" si="11"/>
        <v>1422.6160444271161</v>
      </c>
      <c r="AC16" s="67">
        <f t="shared" si="11"/>
        <v>1703.6584926799462</v>
      </c>
      <c r="AD16" s="67">
        <f t="shared" si="11"/>
        <v>2035.1894888396876</v>
      </c>
    </row>
    <row r="17" spans="2:82">
      <c r="B17" s="1" t="s">
        <v>62</v>
      </c>
      <c r="C17" s="63">
        <f t="shared" ref="C17:J17" si="12">C15-C16</f>
        <v>344.53000000000003</v>
      </c>
      <c r="D17" s="63">
        <f t="shared" si="12"/>
        <v>333.71300000000002</v>
      </c>
      <c r="E17" s="63">
        <f t="shared" si="12"/>
        <v>368.35499999999996</v>
      </c>
      <c r="F17" s="63">
        <f t="shared" si="12"/>
        <v>419.19099999999997</v>
      </c>
      <c r="G17" s="63">
        <f t="shared" si="12"/>
        <v>458.33000000000004</v>
      </c>
      <c r="H17" s="63">
        <f t="shared" si="12"/>
        <v>461.029</v>
      </c>
      <c r="I17" s="63">
        <f t="shared" si="12"/>
        <v>474.11900000000003</v>
      </c>
      <c r="J17" s="63">
        <f t="shared" si="12"/>
        <v>530.29200000000014</v>
      </c>
      <c r="S17" s="63">
        <f t="shared" ref="S17:S33" si="13">SUM(C17:F17)</f>
        <v>1465.789</v>
      </c>
      <c r="T17" s="63">
        <f t="shared" si="9"/>
        <v>1923.7700000000002</v>
      </c>
      <c r="U17" s="67">
        <f>U15-U16</f>
        <v>2348.4519302770104</v>
      </c>
      <c r="V17" s="67">
        <f t="shared" ref="V17:AD17" si="14">V15-V16</f>
        <v>2944.9785847600324</v>
      </c>
      <c r="W17" s="67">
        <f t="shared" si="14"/>
        <v>3668.848830924785</v>
      </c>
      <c r="X17" s="67">
        <f t="shared" si="14"/>
        <v>4540.7250109180814</v>
      </c>
      <c r="Y17" s="67">
        <f t="shared" si="14"/>
        <v>5583.0011009433592</v>
      </c>
      <c r="Z17" s="67">
        <f t="shared" si="14"/>
        <v>6819.5457550697511</v>
      </c>
      <c r="AA17" s="67">
        <f t="shared" si="14"/>
        <v>8275.3222370560397</v>
      </c>
      <c r="AB17" s="67">
        <f t="shared" si="14"/>
        <v>9975.8699985880339</v>
      </c>
      <c r="AC17" s="67">
        <f t="shared" si="14"/>
        <v>11946.635714916052</v>
      </c>
      <c r="AD17" s="67">
        <f t="shared" si="14"/>
        <v>14271.444387746544</v>
      </c>
    </row>
    <row r="18" spans="2:82">
      <c r="B18" s="1" t="s">
        <v>128</v>
      </c>
      <c r="C18" s="63">
        <v>36.03</v>
      </c>
      <c r="D18" s="63">
        <v>35</v>
      </c>
      <c r="E18" s="63">
        <v>55.15</v>
      </c>
      <c r="F18" s="63">
        <f>219.68-SUM(C18:E18)</f>
        <v>93.5</v>
      </c>
      <c r="G18" s="63">
        <v>109.14</v>
      </c>
      <c r="H18" s="63">
        <v>98.247</v>
      </c>
      <c r="I18" s="63">
        <v>97.05</v>
      </c>
      <c r="J18" s="63">
        <v>102.87</v>
      </c>
      <c r="S18" s="63">
        <f t="shared" si="13"/>
        <v>219.68</v>
      </c>
      <c r="T18" s="63">
        <f t="shared" si="9"/>
        <v>407.30700000000002</v>
      </c>
      <c r="U18" s="67">
        <f>U15*U36</f>
        <v>461.53698947999993</v>
      </c>
      <c r="V18" s="67">
        <f t="shared" ref="V18:AD18" si="15">V15*V36</f>
        <v>555.21664321200001</v>
      </c>
      <c r="W18" s="67">
        <f t="shared" si="15"/>
        <v>670.72762093568008</v>
      </c>
      <c r="X18" s="67">
        <f t="shared" si="15"/>
        <v>804.18004181730589</v>
      </c>
      <c r="Y18" s="67">
        <f t="shared" si="15"/>
        <v>956.8753422445601</v>
      </c>
      <c r="Z18" s="67">
        <f t="shared" si="15"/>
        <v>1090.8872706622585</v>
      </c>
      <c r="AA18" s="67">
        <f t="shared" si="15"/>
        <v>1229.2059594206121</v>
      </c>
      <c r="AB18" s="67">
        <f t="shared" si="15"/>
        <v>1424.8107553768937</v>
      </c>
      <c r="AC18" s="67">
        <f t="shared" si="15"/>
        <v>1638.0353049115197</v>
      </c>
      <c r="AD18" s="67">
        <f t="shared" si="15"/>
        <v>1956.7960651903477</v>
      </c>
    </row>
    <row r="19" spans="2:82">
      <c r="B19" s="1" t="s">
        <v>129</v>
      </c>
      <c r="C19" s="63">
        <v>68.067999999999998</v>
      </c>
      <c r="D19" s="63">
        <v>69.819999999999993</v>
      </c>
      <c r="E19" s="63">
        <v>70.05</v>
      </c>
      <c r="F19" s="63">
        <f>286.85-SUM(C19:E19)</f>
        <v>78.912000000000035</v>
      </c>
      <c r="G19" s="63">
        <v>78.608999999999995</v>
      </c>
      <c r="H19" s="63">
        <v>203.09</v>
      </c>
      <c r="I19" s="63">
        <v>83.658000000000001</v>
      </c>
      <c r="J19" s="63">
        <v>92.61</v>
      </c>
      <c r="S19" s="63">
        <f t="shared" si="13"/>
        <v>286.85000000000002</v>
      </c>
      <c r="T19" s="63">
        <f t="shared" si="9"/>
        <v>457.96700000000004</v>
      </c>
      <c r="U19" s="67">
        <f>U15*U37</f>
        <v>469.58705324999994</v>
      </c>
      <c r="V19" s="67">
        <f t="shared" ref="V19:AD19" si="16">V15*V37</f>
        <v>572.041389976</v>
      </c>
      <c r="W19" s="67">
        <f t="shared" si="16"/>
        <v>691.68785908992004</v>
      </c>
      <c r="X19" s="67">
        <f t="shared" si="16"/>
        <v>830.12133348883185</v>
      </c>
      <c r="Y19" s="67">
        <f t="shared" si="16"/>
        <v>988.77118698604545</v>
      </c>
      <c r="Z19" s="67">
        <f t="shared" si="16"/>
        <v>1168.8077899952768</v>
      </c>
      <c r="AA19" s="67">
        <f t="shared" si="16"/>
        <v>1371.0374162768364</v>
      </c>
      <c r="AB19" s="67">
        <f t="shared" si="16"/>
        <v>1595.7880460221211</v>
      </c>
      <c r="AC19" s="67">
        <f t="shared" si="16"/>
        <v>1911.04118906344</v>
      </c>
      <c r="AD19" s="67">
        <f t="shared" si="16"/>
        <v>2282.9287427220725</v>
      </c>
    </row>
    <row r="20" spans="2:82">
      <c r="B20" s="1" t="s">
        <v>130</v>
      </c>
      <c r="C20" s="63">
        <v>117.04</v>
      </c>
      <c r="D20" s="63">
        <v>118.02</v>
      </c>
      <c r="E20" s="63">
        <v>143.12</v>
      </c>
      <c r="F20" s="63">
        <f>519.76-SUM(C20:E20)</f>
        <v>141.57999999999998</v>
      </c>
      <c r="G20" s="63">
        <v>132.57</v>
      </c>
      <c r="H20" s="63">
        <v>185</v>
      </c>
      <c r="I20" s="63">
        <v>153.6</v>
      </c>
      <c r="J20" s="63">
        <v>164.19</v>
      </c>
      <c r="S20" s="63">
        <f t="shared" si="13"/>
        <v>519.76</v>
      </c>
      <c r="T20" s="63">
        <f t="shared" si="9"/>
        <v>635.3599999999999</v>
      </c>
      <c r="U20" s="67">
        <f>U15*U38</f>
        <v>429.33673440000001</v>
      </c>
      <c r="V20" s="67">
        <f t="shared" ref="V20:AD20" si="17">V15*V38</f>
        <v>708.04330872025707</v>
      </c>
      <c r="W20" s="67">
        <f t="shared" si="17"/>
        <v>882.07903408374079</v>
      </c>
      <c r="X20" s="67">
        <f t="shared" si="17"/>
        <v>1091.6989268977097</v>
      </c>
      <c r="Y20" s="67">
        <f t="shared" si="17"/>
        <v>1342.287034804662</v>
      </c>
      <c r="Z20" s="67">
        <f t="shared" si="17"/>
        <v>1639.5819532868406</v>
      </c>
      <c r="AA20" s="67">
        <f t="shared" si="17"/>
        <v>1989.5854481837985</v>
      </c>
      <c r="AB20" s="67">
        <f t="shared" si="17"/>
        <v>2398.4378146977133</v>
      </c>
      <c r="AC20" s="67">
        <f t="shared" si="17"/>
        <v>2872.2570423560492</v>
      </c>
      <c r="AD20" s="67">
        <f t="shared" si="17"/>
        <v>3431.1966670347047</v>
      </c>
    </row>
    <row r="21" spans="2:82">
      <c r="B21" s="1" t="s">
        <v>131</v>
      </c>
      <c r="C21" s="63">
        <v>74.930000000000007</v>
      </c>
      <c r="D21" s="63">
        <v>75.37</v>
      </c>
      <c r="E21" s="63">
        <v>80.400000000000006</v>
      </c>
      <c r="F21" s="63">
        <f>309.575-SUM(C21:E21)</f>
        <v>78.874999999999972</v>
      </c>
      <c r="G21" s="63">
        <v>77.88</v>
      </c>
      <c r="H21" s="63">
        <v>621.75</v>
      </c>
      <c r="I21" s="63">
        <v>123.94</v>
      </c>
      <c r="J21" s="63">
        <v>111.34</v>
      </c>
      <c r="S21" s="63">
        <f t="shared" si="13"/>
        <v>309.57499999999999</v>
      </c>
      <c r="T21" s="63">
        <f t="shared" si="9"/>
        <v>934.91</v>
      </c>
      <c r="U21" s="67">
        <f>U15*U39</f>
        <v>590.33800980000001</v>
      </c>
      <c r="V21" s="67">
        <f t="shared" ref="V21:AD21" si="18">V15*V39</f>
        <v>672.98987055999999</v>
      </c>
      <c r="W21" s="67">
        <f t="shared" si="18"/>
        <v>754.56857355264003</v>
      </c>
      <c r="X21" s="67">
        <f t="shared" si="18"/>
        <v>830.12133348883185</v>
      </c>
      <c r="Y21" s="67">
        <f t="shared" si="18"/>
        <v>893.08365276158963</v>
      </c>
      <c r="Z21" s="67">
        <f t="shared" si="18"/>
        <v>935.04623199622142</v>
      </c>
      <c r="AA21" s="67">
        <f t="shared" si="18"/>
        <v>945.54304570816316</v>
      </c>
      <c r="AB21" s="67">
        <f t="shared" si="18"/>
        <v>1025.8637438713633</v>
      </c>
      <c r="AC21" s="67">
        <f t="shared" si="18"/>
        <v>1092.0235366076799</v>
      </c>
      <c r="AD21" s="67">
        <f t="shared" si="18"/>
        <v>1304.5307101268986</v>
      </c>
    </row>
    <row r="22" spans="2:82">
      <c r="B22" s="1" t="s">
        <v>132</v>
      </c>
      <c r="C22" s="63">
        <v>39.25</v>
      </c>
      <c r="D22" s="63">
        <v>41.637999999999998</v>
      </c>
      <c r="E22" s="63">
        <v>46.645000000000003</v>
      </c>
      <c r="F22" s="63">
        <f>177.22-SUM(C22:E22)</f>
        <v>49.686999999999983</v>
      </c>
      <c r="G22" s="63">
        <v>47.17</v>
      </c>
      <c r="H22" s="63">
        <v>279.66000000000003</v>
      </c>
      <c r="I22" s="63">
        <v>76.569999999999993</v>
      </c>
      <c r="J22" s="63">
        <v>108.69</v>
      </c>
      <c r="S22" s="63">
        <f t="shared" si="13"/>
        <v>177.22</v>
      </c>
      <c r="T22" s="63">
        <f t="shared" si="9"/>
        <v>512.09</v>
      </c>
      <c r="U22" s="67">
        <f>U15*U40</f>
        <v>563.50446389999991</v>
      </c>
      <c r="V22" s="67">
        <f t="shared" ref="V22:AD22" si="19">V15*V40</f>
        <v>672.98987055999999</v>
      </c>
      <c r="W22" s="67">
        <f t="shared" si="19"/>
        <v>796.48904986112007</v>
      </c>
      <c r="X22" s="67">
        <f t="shared" si="19"/>
        <v>1011.7103751895139</v>
      </c>
      <c r="Y22" s="67">
        <f t="shared" si="19"/>
        <v>1212.042100176443</v>
      </c>
      <c r="Z22" s="67">
        <f t="shared" si="19"/>
        <v>1441.5296076608415</v>
      </c>
      <c r="AA22" s="67">
        <f t="shared" si="19"/>
        <v>1701.9774822746936</v>
      </c>
      <c r="AB22" s="67">
        <f t="shared" si="19"/>
        <v>1994.735057527651</v>
      </c>
      <c r="AC22" s="67">
        <f t="shared" si="19"/>
        <v>2320.5500152913201</v>
      </c>
      <c r="AD22" s="67">
        <f t="shared" si="19"/>
        <v>2772.1277590196596</v>
      </c>
    </row>
    <row r="23" spans="2:82">
      <c r="B23" s="1" t="s">
        <v>133</v>
      </c>
      <c r="C23" s="63">
        <v>4.1500000000000004</v>
      </c>
      <c r="D23" s="63">
        <v>3.3</v>
      </c>
      <c r="E23" s="63">
        <v>3.6179999999999999</v>
      </c>
      <c r="F23" s="63">
        <f>14.85-SUM(C23:E23)</f>
        <v>3.782</v>
      </c>
      <c r="G23" s="63">
        <v>3.8</v>
      </c>
      <c r="H23" s="63">
        <v>3.89</v>
      </c>
      <c r="I23" s="63">
        <v>3.99</v>
      </c>
      <c r="J23" s="63">
        <v>4.28</v>
      </c>
      <c r="S23" s="63">
        <f t="shared" si="13"/>
        <v>14.85</v>
      </c>
      <c r="T23" s="63">
        <f t="shared" si="9"/>
        <v>15.96</v>
      </c>
      <c r="U23" s="67">
        <f>U15*U41</f>
        <v>19.704594592645389</v>
      </c>
      <c r="V23" s="67">
        <f t="shared" ref="V23:AD23" si="20">V15*V41</f>
        <v>24.70972828891335</v>
      </c>
      <c r="W23" s="67">
        <f t="shared" si="20"/>
        <v>30.783333438954642</v>
      </c>
      <c r="X23" s="67">
        <f t="shared" si="20"/>
        <v>38.098776621019589</v>
      </c>
      <c r="Y23" s="67">
        <f t="shared" si="20"/>
        <v>46.843953621569554</v>
      </c>
      <c r="Z23" s="67">
        <f t="shared" si="20"/>
        <v>57.219133454349617</v>
      </c>
      <c r="AA23" s="67">
        <f t="shared" si="20"/>
        <v>69.433769413137924</v>
      </c>
      <c r="AB23" s="67">
        <f t="shared" si="20"/>
        <v>83.702149274107029</v>
      </c>
      <c r="AC23" s="67">
        <f t="shared" si="20"/>
        <v>100.23778237635555</v>
      </c>
      <c r="AD23" s="67">
        <f t="shared" si="20"/>
        <v>119.74399913685249</v>
      </c>
    </row>
    <row r="24" spans="2:82">
      <c r="B24" s="1" t="s">
        <v>134</v>
      </c>
      <c r="C24" s="63">
        <f t="shared" ref="C24:I24" si="21">SUM(C18:C23)</f>
        <v>339.46799999999996</v>
      </c>
      <c r="D24" s="63">
        <f t="shared" si="21"/>
        <v>343.14799999999997</v>
      </c>
      <c r="E24" s="63">
        <f t="shared" si="21"/>
        <v>398.983</v>
      </c>
      <c r="F24" s="63">
        <f t="shared" si="21"/>
        <v>446.33599999999996</v>
      </c>
      <c r="G24" s="63">
        <f t="shared" si="21"/>
        <v>449.16899999999998</v>
      </c>
      <c r="H24" s="63">
        <f t="shared" si="21"/>
        <v>1391.6370000000002</v>
      </c>
      <c r="I24" s="63">
        <f t="shared" si="21"/>
        <v>538.80799999999999</v>
      </c>
      <c r="J24" s="63">
        <f>SUM(J18:J23)</f>
        <v>583.98</v>
      </c>
      <c r="S24" s="63">
        <f t="shared" si="13"/>
        <v>1527.9349999999999</v>
      </c>
      <c r="T24" s="63">
        <f t="shared" si="9"/>
        <v>2963.5940000000001</v>
      </c>
      <c r="U24" s="67">
        <f>SUM(U18:U23)</f>
        <v>2534.007845422645</v>
      </c>
      <c r="V24" s="67">
        <f t="shared" ref="V24:AD24" si="22">SUM(V18:V23)</f>
        <v>3205.9908113171705</v>
      </c>
      <c r="W24" s="67">
        <f t="shared" si="22"/>
        <v>3826.3354709620558</v>
      </c>
      <c r="X24" s="67">
        <f t="shared" si="22"/>
        <v>4605.9307875032118</v>
      </c>
      <c r="Y24" s="67">
        <f t="shared" si="22"/>
        <v>5439.9032705948694</v>
      </c>
      <c r="Z24" s="67">
        <f t="shared" si="22"/>
        <v>6333.0719870557896</v>
      </c>
      <c r="AA24" s="67">
        <f t="shared" si="22"/>
        <v>7306.7831212772426</v>
      </c>
      <c r="AB24" s="67">
        <f t="shared" si="22"/>
        <v>8523.3375667698492</v>
      </c>
      <c r="AC24" s="67">
        <f t="shared" si="22"/>
        <v>9934.1448706063638</v>
      </c>
      <c r="AD24" s="67">
        <f t="shared" si="22"/>
        <v>11867.323943230534</v>
      </c>
    </row>
    <row r="25" spans="2:82">
      <c r="B25" s="1" t="s">
        <v>135</v>
      </c>
      <c r="C25" s="63">
        <f t="shared" ref="C25:J25" si="23">C17-C24</f>
        <v>5.0620000000000687</v>
      </c>
      <c r="D25" s="63">
        <f t="shared" si="23"/>
        <v>-9.4349999999999454</v>
      </c>
      <c r="E25" s="63">
        <f t="shared" si="23"/>
        <v>-30.628000000000043</v>
      </c>
      <c r="F25" s="63">
        <f t="shared" si="23"/>
        <v>-27.144999999999982</v>
      </c>
      <c r="G25" s="63">
        <f t="shared" si="23"/>
        <v>9.1610000000000582</v>
      </c>
      <c r="H25" s="63">
        <f t="shared" si="23"/>
        <v>-930.60800000000017</v>
      </c>
      <c r="I25" s="63">
        <f t="shared" si="23"/>
        <v>-64.688999999999965</v>
      </c>
      <c r="J25" s="63">
        <f t="shared" si="23"/>
        <v>-53.687999999999874</v>
      </c>
      <c r="S25" s="63">
        <f t="shared" si="13"/>
        <v>-62.145999999999901</v>
      </c>
      <c r="T25" s="63">
        <f t="shared" si="9"/>
        <v>-1039.8240000000001</v>
      </c>
      <c r="U25" s="67">
        <f>U17-U24</f>
        <v>-185.55591514563457</v>
      </c>
      <c r="V25" s="67">
        <f t="shared" ref="V25:AD25" si="24">V17-V24</f>
        <v>-261.01222655713809</v>
      </c>
      <c r="W25" s="67">
        <f t="shared" si="24"/>
        <v>-157.48664003727072</v>
      </c>
      <c r="X25" s="67">
        <f t="shared" si="24"/>
        <v>-65.205776585130479</v>
      </c>
      <c r="Y25" s="67">
        <f t="shared" si="24"/>
        <v>143.09783034848988</v>
      </c>
      <c r="Z25" s="67">
        <f t="shared" si="24"/>
        <v>486.47376801396149</v>
      </c>
      <c r="AA25" s="67">
        <f t="shared" si="24"/>
        <v>968.53911577879717</v>
      </c>
      <c r="AB25" s="67">
        <f t="shared" si="24"/>
        <v>1452.5324318181847</v>
      </c>
      <c r="AC25" s="67">
        <f t="shared" si="24"/>
        <v>2012.4908443096883</v>
      </c>
      <c r="AD25" s="67">
        <f t="shared" si="24"/>
        <v>2404.1204445160092</v>
      </c>
    </row>
    <row r="26" spans="2:82">
      <c r="B26" s="1" t="s">
        <v>136</v>
      </c>
      <c r="C26" s="63">
        <v>10.5</v>
      </c>
      <c r="D26" s="63">
        <v>9.9</v>
      </c>
      <c r="E26" s="63">
        <v>10.81</v>
      </c>
      <c r="F26" s="63">
        <f>39.465-SUM(C26:E26)</f>
        <v>8.2550000000000026</v>
      </c>
      <c r="G26" s="63">
        <v>5.35</v>
      </c>
      <c r="H26" s="63">
        <v>6.21</v>
      </c>
      <c r="I26" s="63">
        <v>10.26</v>
      </c>
      <c r="J26" s="63">
        <v>9.0370000000000008</v>
      </c>
      <c r="S26" s="63">
        <f t="shared" si="13"/>
        <v>39.465000000000003</v>
      </c>
      <c r="T26" s="63">
        <f t="shared" si="9"/>
        <v>30.856999999999999</v>
      </c>
      <c r="U26" s="67">
        <f t="shared" ref="U26:AD26" si="25">T46*$AD$49</f>
        <v>48.95646</v>
      </c>
      <c r="V26" s="67">
        <f t="shared" si="25"/>
        <v>34.598452646166351</v>
      </c>
      <c r="W26" s="67">
        <f t="shared" si="25"/>
        <v>10.800036851922595</v>
      </c>
      <c r="X26" s="67">
        <f t="shared" si="25"/>
        <v>-4.6182334845049802</v>
      </c>
      <c r="Y26" s="67">
        <f t="shared" si="25"/>
        <v>-11.957454925653016</v>
      </c>
      <c r="Z26" s="67">
        <f t="shared" si="25"/>
        <v>1.8267470149633664</v>
      </c>
      <c r="AA26" s="67">
        <f t="shared" si="25"/>
        <v>53.152152216552984</v>
      </c>
      <c r="AB26" s="67">
        <f t="shared" si="25"/>
        <v>160.54241027860107</v>
      </c>
      <c r="AC26" s="67">
        <f t="shared" si="25"/>
        <v>330.09316302807031</v>
      </c>
      <c r="AD26" s="67">
        <f t="shared" si="25"/>
        <v>576.32283040462812</v>
      </c>
    </row>
    <row r="27" spans="2:82">
      <c r="B27" s="1" t="s">
        <v>137</v>
      </c>
      <c r="C27" s="63">
        <f>C25+C26</f>
        <v>15.562000000000069</v>
      </c>
      <c r="D27" s="63">
        <f t="shared" ref="D27:I27" si="26">D25+D26</f>
        <v>0.46500000000005492</v>
      </c>
      <c r="E27" s="63">
        <f t="shared" si="26"/>
        <v>-19.81800000000004</v>
      </c>
      <c r="F27" s="63">
        <f t="shared" si="26"/>
        <v>-18.889999999999979</v>
      </c>
      <c r="G27" s="63">
        <f t="shared" si="26"/>
        <v>14.511000000000058</v>
      </c>
      <c r="H27" s="63">
        <f t="shared" si="26"/>
        <v>-924.39800000000014</v>
      </c>
      <c r="I27" s="63">
        <f t="shared" si="26"/>
        <v>-54.428999999999967</v>
      </c>
      <c r="J27" s="63">
        <f>J25+J26</f>
        <v>-44.650999999999875</v>
      </c>
      <c r="S27" s="63">
        <f t="shared" si="13"/>
        <v>-22.680999999999898</v>
      </c>
      <c r="T27" s="63">
        <f t="shared" si="9"/>
        <v>-1008.9669999999999</v>
      </c>
      <c r="U27" s="67">
        <f>U25+U26</f>
        <v>-136.59945514563458</v>
      </c>
      <c r="V27" s="67">
        <f t="shared" ref="V27:AD27" si="27">V25+V26</f>
        <v>-226.41377391097174</v>
      </c>
      <c r="W27" s="67">
        <f t="shared" si="27"/>
        <v>-146.68660318534813</v>
      </c>
      <c r="X27" s="67">
        <f t="shared" si="27"/>
        <v>-69.824010069635463</v>
      </c>
      <c r="Y27" s="67">
        <f t="shared" si="27"/>
        <v>131.14037542283685</v>
      </c>
      <c r="Z27" s="67">
        <f t="shared" si="27"/>
        <v>488.30051502892485</v>
      </c>
      <c r="AA27" s="67">
        <f t="shared" si="27"/>
        <v>1021.6912679953501</v>
      </c>
      <c r="AB27" s="67">
        <f t="shared" si="27"/>
        <v>1613.0748420967857</v>
      </c>
      <c r="AC27" s="67">
        <f t="shared" si="27"/>
        <v>2342.5840073377585</v>
      </c>
      <c r="AD27" s="67">
        <f t="shared" si="27"/>
        <v>2980.4432749206371</v>
      </c>
    </row>
    <row r="28" spans="2:82">
      <c r="B28" s="1" t="s">
        <v>138</v>
      </c>
      <c r="C28" s="63">
        <v>-0.36199999999999999</v>
      </c>
      <c r="D28" s="63">
        <v>7.8E-2</v>
      </c>
      <c r="E28" s="63">
        <v>2.1989999999999998</v>
      </c>
      <c r="F28" s="63">
        <f>2.61-SUM(C28:E28)</f>
        <v>0.69500000000000006</v>
      </c>
      <c r="G28" s="63">
        <v>1.55</v>
      </c>
      <c r="H28" s="63">
        <v>-1.04</v>
      </c>
      <c r="I28" s="63">
        <v>0.28000000000000003</v>
      </c>
      <c r="J28" s="63">
        <v>4.5999999999999999E-2</v>
      </c>
      <c r="S28" s="63">
        <f t="shared" si="13"/>
        <v>2.61</v>
      </c>
      <c r="T28" s="63">
        <f t="shared" si="9"/>
        <v>0.83600000000000008</v>
      </c>
      <c r="U28" s="67">
        <f>U27*U43</f>
        <v>0.14347203373349465</v>
      </c>
      <c r="V28" s="67">
        <f t="shared" ref="V28:AD28" si="28">V27*V43</f>
        <v>0.23780508182591306</v>
      </c>
      <c r="W28" s="67">
        <f t="shared" si="28"/>
        <v>0.15406668539067433</v>
      </c>
      <c r="X28" s="67">
        <f t="shared" si="28"/>
        <v>7.3336988917255985E-2</v>
      </c>
      <c r="Y28" s="67">
        <f t="shared" si="28"/>
        <v>-0.1377382973191873</v>
      </c>
      <c r="Z28" s="67">
        <f t="shared" si="28"/>
        <v>-0.51286784335721858</v>
      </c>
      <c r="AA28" s="67">
        <f t="shared" si="28"/>
        <v>-1.0730945003460384</v>
      </c>
      <c r="AB28" s="67">
        <f t="shared" si="28"/>
        <v>-1.6942317076830422</v>
      </c>
      <c r="AC28" s="67">
        <f t="shared" si="28"/>
        <v>-2.4604438675541003</v>
      </c>
      <c r="AD28" s="67">
        <f t="shared" si="28"/>
        <v>-3.1303950489721002</v>
      </c>
    </row>
    <row r="29" spans="2:82" s="2" customFormat="1" ht="15">
      <c r="B29" s="2" t="s">
        <v>74</v>
      </c>
      <c r="C29" s="64">
        <f t="shared" ref="C29:H29" si="29">C27-C28</f>
        <v>15.924000000000069</v>
      </c>
      <c r="D29" s="64">
        <f t="shared" si="29"/>
        <v>0.38700000000005491</v>
      </c>
      <c r="E29" s="64">
        <f t="shared" si="29"/>
        <v>-22.017000000000039</v>
      </c>
      <c r="F29" s="64">
        <f t="shared" si="29"/>
        <v>-19.58499999999998</v>
      </c>
      <c r="G29" s="64">
        <f t="shared" si="29"/>
        <v>12.961000000000057</v>
      </c>
      <c r="H29" s="64">
        <f t="shared" si="29"/>
        <v>-923.35800000000017</v>
      </c>
      <c r="I29" s="64">
        <f>I27-I28</f>
        <v>-54.708999999999968</v>
      </c>
      <c r="J29" s="64">
        <f>J27-J28</f>
        <v>-44.696999999999875</v>
      </c>
      <c r="K29" s="34"/>
      <c r="L29" s="34"/>
      <c r="M29" s="34"/>
      <c r="N29" s="34"/>
      <c r="S29" s="64">
        <f t="shared" si="13"/>
        <v>-25.290999999999894</v>
      </c>
      <c r="T29" s="64">
        <f t="shared" si="9"/>
        <v>-1009.803</v>
      </c>
      <c r="U29" s="68">
        <f>U27-U28</f>
        <v>-136.74292717936808</v>
      </c>
      <c r="V29" s="68">
        <f t="shared" ref="V29:AD29" si="30">V27-V28</f>
        <v>-226.65157899279765</v>
      </c>
      <c r="W29" s="68">
        <f t="shared" si="30"/>
        <v>-146.84066987073882</v>
      </c>
      <c r="X29" s="68">
        <f t="shared" si="30"/>
        <v>-69.897347058552725</v>
      </c>
      <c r="Y29" s="68">
        <f t="shared" si="30"/>
        <v>131.27811372015603</v>
      </c>
      <c r="Z29" s="68">
        <f t="shared" si="30"/>
        <v>488.81338287228209</v>
      </c>
      <c r="AA29" s="68">
        <f t="shared" si="30"/>
        <v>1022.7643624956962</v>
      </c>
      <c r="AB29" s="68">
        <f t="shared" si="30"/>
        <v>1614.7690738044687</v>
      </c>
      <c r="AC29" s="68">
        <f t="shared" si="30"/>
        <v>2345.0444512053127</v>
      </c>
      <c r="AD29" s="68">
        <f t="shared" si="30"/>
        <v>2983.573669969609</v>
      </c>
      <c r="AE29" s="68">
        <f>AD29*(1+$AD$50)</f>
        <v>3035.7862091940774</v>
      </c>
      <c r="AF29" s="68">
        <f t="shared" ref="AF29:CB29" si="31">AE29*(1+$AD$50)</f>
        <v>3088.9124678549738</v>
      </c>
      <c r="AG29" s="68">
        <f t="shared" si="31"/>
        <v>3142.9684360424362</v>
      </c>
      <c r="AH29" s="68">
        <f t="shared" si="31"/>
        <v>3197.9703836731792</v>
      </c>
      <c r="AI29" s="68">
        <f t="shared" si="31"/>
        <v>3253.9348653874599</v>
      </c>
      <c r="AJ29" s="68">
        <f t="shared" si="31"/>
        <v>3310.8787255317407</v>
      </c>
      <c r="AK29" s="68">
        <f t="shared" si="31"/>
        <v>3368.8191032285463</v>
      </c>
      <c r="AL29" s="68">
        <f t="shared" si="31"/>
        <v>3427.773437535046</v>
      </c>
      <c r="AM29" s="68">
        <f t="shared" si="31"/>
        <v>3487.7594726919097</v>
      </c>
      <c r="AN29" s="68">
        <f t="shared" si="31"/>
        <v>3548.7952634640183</v>
      </c>
      <c r="AO29" s="68">
        <f t="shared" si="31"/>
        <v>3610.8991805746386</v>
      </c>
      <c r="AP29" s="68">
        <f t="shared" si="31"/>
        <v>3674.089916234695</v>
      </c>
      <c r="AQ29" s="68">
        <f t="shared" si="31"/>
        <v>3738.3864897688022</v>
      </c>
      <c r="AR29" s="68">
        <f t="shared" si="31"/>
        <v>3803.8082533397564</v>
      </c>
      <c r="AS29" s="68">
        <f t="shared" si="31"/>
        <v>3870.3748977732025</v>
      </c>
      <c r="AT29" s="68">
        <f t="shared" si="31"/>
        <v>3938.1064584842338</v>
      </c>
      <c r="AU29" s="68">
        <f t="shared" si="31"/>
        <v>4007.0233215077083</v>
      </c>
      <c r="AV29" s="68">
        <f t="shared" si="31"/>
        <v>4077.1462296340933</v>
      </c>
      <c r="AW29" s="68">
        <f t="shared" si="31"/>
        <v>4148.4962886526901</v>
      </c>
      <c r="AX29" s="68">
        <f t="shared" si="31"/>
        <v>4221.0949737041128</v>
      </c>
      <c r="AY29" s="68">
        <f t="shared" si="31"/>
        <v>4294.964135743935</v>
      </c>
      <c r="AZ29" s="68">
        <f t="shared" si="31"/>
        <v>4370.1260081194541</v>
      </c>
      <c r="BA29" s="68">
        <f t="shared" si="31"/>
        <v>4446.6032132615446</v>
      </c>
      <c r="BB29" s="68">
        <f t="shared" si="31"/>
        <v>4524.4187694936218</v>
      </c>
      <c r="BC29" s="68">
        <f t="shared" si="31"/>
        <v>4603.5960979597603</v>
      </c>
      <c r="BD29" s="68">
        <f t="shared" si="31"/>
        <v>4684.159029674056</v>
      </c>
      <c r="BE29" s="68">
        <f t="shared" si="31"/>
        <v>4766.131812693352</v>
      </c>
      <c r="BF29" s="68">
        <f t="shared" si="31"/>
        <v>4849.5391194154863</v>
      </c>
      <c r="BG29" s="68">
        <f t="shared" si="31"/>
        <v>4934.4060540052578</v>
      </c>
      <c r="BH29" s="68">
        <f t="shared" si="31"/>
        <v>5020.7581599503501</v>
      </c>
      <c r="BI29" s="68">
        <f t="shared" si="31"/>
        <v>5108.6214277494819</v>
      </c>
      <c r="BJ29" s="68">
        <f t="shared" si="31"/>
        <v>5198.0223027350985</v>
      </c>
      <c r="BK29" s="68">
        <f t="shared" si="31"/>
        <v>5288.9876930329629</v>
      </c>
      <c r="BL29" s="68">
        <f t="shared" si="31"/>
        <v>5381.5449776610403</v>
      </c>
      <c r="BM29" s="68">
        <f t="shared" si="31"/>
        <v>5475.7220147701091</v>
      </c>
      <c r="BN29" s="68">
        <f t="shared" si="31"/>
        <v>5571.5471500285867</v>
      </c>
      <c r="BO29" s="68">
        <f t="shared" si="31"/>
        <v>5669.0492251540873</v>
      </c>
      <c r="BP29" s="68">
        <f t="shared" si="31"/>
        <v>5768.2575865942845</v>
      </c>
      <c r="BQ29" s="68">
        <f t="shared" si="31"/>
        <v>5869.2020943596845</v>
      </c>
      <c r="BR29" s="68">
        <f t="shared" si="31"/>
        <v>5971.9131310109797</v>
      </c>
      <c r="BS29" s="68">
        <f t="shared" si="31"/>
        <v>6076.4216108036726</v>
      </c>
      <c r="BT29" s="68">
        <f t="shared" si="31"/>
        <v>6182.7589889927376</v>
      </c>
      <c r="BU29" s="68">
        <f t="shared" si="31"/>
        <v>6290.9572713001107</v>
      </c>
      <c r="BV29" s="68">
        <f t="shared" si="31"/>
        <v>6401.0490235478628</v>
      </c>
      <c r="BW29" s="68">
        <f t="shared" si="31"/>
        <v>6513.0673814599513</v>
      </c>
      <c r="BX29" s="68">
        <f t="shared" si="31"/>
        <v>6627.0460606355009</v>
      </c>
      <c r="BY29" s="68">
        <f t="shared" si="31"/>
        <v>6743.0193666966225</v>
      </c>
      <c r="BZ29" s="68">
        <f t="shared" si="31"/>
        <v>6861.0222056138136</v>
      </c>
      <c r="CA29" s="68">
        <f t="shared" si="31"/>
        <v>6981.0900942120561</v>
      </c>
      <c r="CB29" s="68">
        <f t="shared" si="31"/>
        <v>7103.2591708607679</v>
      </c>
      <c r="CC29" s="34"/>
      <c r="CD29" s="34"/>
    </row>
    <row r="30" spans="2:82">
      <c r="B30" s="1" t="s">
        <v>157</v>
      </c>
      <c r="C30" s="63">
        <v>-15.903</v>
      </c>
      <c r="D30" s="63">
        <v>-0.38500000000000001</v>
      </c>
      <c r="E30" s="63">
        <v>0</v>
      </c>
      <c r="F30" s="63">
        <f>-25.34-SUM(C30:E30)</f>
        <v>-9.0519999999999996</v>
      </c>
      <c r="G30" s="63">
        <v>-12.939</v>
      </c>
      <c r="H30" s="63">
        <v>0</v>
      </c>
      <c r="I30" s="63">
        <v>0</v>
      </c>
      <c r="J30" s="63">
        <v>0</v>
      </c>
      <c r="S30" s="63">
        <f t="shared" si="13"/>
        <v>-25.34</v>
      </c>
      <c r="T30" s="63">
        <f t="shared" si="9"/>
        <v>-12.939</v>
      </c>
    </row>
    <row r="31" spans="2:82">
      <c r="B31" s="1" t="s">
        <v>158</v>
      </c>
      <c r="C31" s="63">
        <f t="shared" ref="C31:J31" si="32">C29+C30</f>
        <v>2.1000000000068297E-2</v>
      </c>
      <c r="D31" s="63">
        <f t="shared" si="32"/>
        <v>2.0000000000549023E-3</v>
      </c>
      <c r="E31" s="63">
        <f t="shared" si="32"/>
        <v>-22.017000000000039</v>
      </c>
      <c r="F31" s="63">
        <f t="shared" si="32"/>
        <v>-28.636999999999979</v>
      </c>
      <c r="G31" s="63">
        <f t="shared" si="32"/>
        <v>2.2000000000057085E-2</v>
      </c>
      <c r="H31" s="63">
        <f t="shared" si="32"/>
        <v>-923.35800000000017</v>
      </c>
      <c r="I31" s="63">
        <f t="shared" si="32"/>
        <v>-54.708999999999968</v>
      </c>
      <c r="J31" s="63">
        <f t="shared" si="32"/>
        <v>-44.696999999999875</v>
      </c>
      <c r="S31" s="63">
        <f t="shared" si="13"/>
        <v>-50.630999999999894</v>
      </c>
      <c r="T31" s="63">
        <f t="shared" si="9"/>
        <v>-1022.742</v>
      </c>
    </row>
    <row r="32" spans="2:82">
      <c r="B32" s="1" t="s">
        <v>78</v>
      </c>
      <c r="C32" s="63">
        <v>64.44</v>
      </c>
      <c r="D32" s="63">
        <v>64.677000000000007</v>
      </c>
      <c r="E32" s="63">
        <v>65.149000000000001</v>
      </c>
      <c r="F32" s="63">
        <v>64.91</v>
      </c>
      <c r="G32" s="63">
        <v>65.867999999999995</v>
      </c>
      <c r="H32" s="63">
        <v>126.62</v>
      </c>
      <c r="I32" s="63">
        <v>371.82900000000001</v>
      </c>
      <c r="J32" s="63">
        <v>371.82900000000001</v>
      </c>
      <c r="S32" s="63">
        <f>AVERAGE(C32:F32)</f>
        <v>64.794000000000011</v>
      </c>
      <c r="T32" s="63">
        <f>AVERAGE(G32:J32)</f>
        <v>234.03649999999999</v>
      </c>
    </row>
    <row r="33" spans="2:43">
      <c r="B33" s="1" t="s">
        <v>139</v>
      </c>
      <c r="C33" s="39">
        <f t="shared" ref="C33:I33" si="33">C29/C32</f>
        <v>0.24711359404096941</v>
      </c>
      <c r="D33" s="39">
        <f t="shared" si="33"/>
        <v>5.9835799434119529E-3</v>
      </c>
      <c r="E33" s="39">
        <f t="shared" si="33"/>
        <v>-0.33794839521711828</v>
      </c>
      <c r="F33" s="39">
        <f t="shared" si="33"/>
        <v>-0.30172546602988726</v>
      </c>
      <c r="G33" s="39">
        <f t="shared" si="33"/>
        <v>0.19677233254387652</v>
      </c>
      <c r="H33" s="39">
        <f t="shared" si="33"/>
        <v>-7.2923550781867013</v>
      </c>
      <c r="I33" s="39">
        <f t="shared" si="33"/>
        <v>-0.14713483886410142</v>
      </c>
      <c r="J33" s="39">
        <f>J29/J32</f>
        <v>-0.12020848293166986</v>
      </c>
      <c r="S33" s="39">
        <f t="shared" si="13"/>
        <v>-0.38657668726262417</v>
      </c>
      <c r="T33" s="63">
        <f t="shared" si="9"/>
        <v>-7.3629260674385959</v>
      </c>
    </row>
    <row r="35" spans="2:43">
      <c r="B35" s="37" t="s">
        <v>63</v>
      </c>
      <c r="C35" s="65">
        <f t="shared" ref="C35:H35" si="34">C17/C15</f>
        <v>0.87897032936194097</v>
      </c>
      <c r="D35" s="65">
        <f t="shared" si="34"/>
        <v>0.86856249007711872</v>
      </c>
      <c r="E35" s="65">
        <f t="shared" si="34"/>
        <v>0.87314605649594301</v>
      </c>
      <c r="F35" s="65">
        <f t="shared" si="34"/>
        <v>0.88205055907887697</v>
      </c>
      <c r="G35" s="65">
        <f t="shared" si="34"/>
        <v>0.88354474303119102</v>
      </c>
      <c r="H35" s="65">
        <f t="shared" si="34"/>
        <v>0.87291465097917442</v>
      </c>
      <c r="I35" s="65">
        <f>I17/I15</f>
        <v>0.87231357137468979</v>
      </c>
      <c r="J35" s="65">
        <f>J17/J15</f>
        <v>0.88915492957746489</v>
      </c>
      <c r="S35" s="65">
        <f>S17/S15</f>
        <v>0.87598697185202878</v>
      </c>
      <c r="T35" s="65">
        <f>T17/T15</f>
        <v>0.87971600616057755</v>
      </c>
      <c r="U35" s="71">
        <v>0.87519254407484426</v>
      </c>
      <c r="V35" s="71">
        <v>0.87519254407484426</v>
      </c>
      <c r="W35" s="71">
        <v>0.87519254407484426</v>
      </c>
      <c r="X35" s="71">
        <v>0.87519254407484426</v>
      </c>
      <c r="Y35" s="71">
        <v>0.87519254407484426</v>
      </c>
      <c r="Z35" s="71">
        <v>0.87519254407484426</v>
      </c>
      <c r="AA35" s="71">
        <v>0.87519254407484426</v>
      </c>
      <c r="AB35" s="71">
        <v>0.87519254407484426</v>
      </c>
      <c r="AC35" s="71">
        <v>0.87519254407484426</v>
      </c>
      <c r="AD35" s="71">
        <v>0.87519254407484426</v>
      </c>
    </row>
    <row r="36" spans="2:43">
      <c r="B36" s="1" t="s">
        <v>128</v>
      </c>
      <c r="C36" s="65">
        <f t="shared" ref="C36:H36" si="35">C18/C15</f>
        <v>9.1920300022960935E-2</v>
      </c>
      <c r="D36" s="65">
        <f t="shared" si="35"/>
        <v>9.1095303906947436E-2</v>
      </c>
      <c r="E36" s="65">
        <f t="shared" si="35"/>
        <v>0.13072716541312393</v>
      </c>
      <c r="F36" s="65">
        <f t="shared" si="35"/>
        <v>0.19674021454152166</v>
      </c>
      <c r="G36" s="65">
        <f t="shared" si="35"/>
        <v>0.21039441724177815</v>
      </c>
      <c r="H36" s="65">
        <f t="shared" si="35"/>
        <v>0.1860213689697415</v>
      </c>
      <c r="I36" s="65">
        <f>I18/I15</f>
        <v>0.17855861524620115</v>
      </c>
      <c r="J36" s="65">
        <f>J18/J15</f>
        <v>0.17248490945674042</v>
      </c>
      <c r="S36" s="65">
        <f>S18/S15</f>
        <v>0.13128548377457716</v>
      </c>
      <c r="T36" s="65">
        <f>T18/T15</f>
        <v>0.18625640659811013</v>
      </c>
      <c r="U36" s="71">
        <v>0.17199999999999999</v>
      </c>
      <c r="V36" s="71">
        <v>0.16500000000000001</v>
      </c>
      <c r="W36" s="71">
        <v>0.16</v>
      </c>
      <c r="X36" s="71">
        <v>0.155</v>
      </c>
      <c r="Y36" s="71">
        <v>0.15</v>
      </c>
      <c r="Z36" s="71">
        <v>0.14000000000000001</v>
      </c>
      <c r="AA36" s="71">
        <v>0.13</v>
      </c>
      <c r="AB36" s="71">
        <v>0.125</v>
      </c>
      <c r="AC36" s="71">
        <v>0.12</v>
      </c>
      <c r="AD36" s="71">
        <v>0.12</v>
      </c>
    </row>
    <row r="37" spans="2:43">
      <c r="B37" s="1" t="s">
        <v>129</v>
      </c>
      <c r="C37" s="65">
        <f t="shared" ref="C37:H37" si="36">C19/C15</f>
        <v>0.17365614715411892</v>
      </c>
      <c r="D37" s="65">
        <f t="shared" si="36"/>
        <v>0.18172211767951629</v>
      </c>
      <c r="E37" s="65">
        <f t="shared" si="36"/>
        <v>0.16604601880669684</v>
      </c>
      <c r="F37" s="65">
        <f t="shared" si="36"/>
        <v>0.16604453272620925</v>
      </c>
      <c r="G37" s="65">
        <f t="shared" si="36"/>
        <v>0.15153834290781507</v>
      </c>
      <c r="H37" s="65">
        <f t="shared" si="36"/>
        <v>0.38453163785219702</v>
      </c>
      <c r="I37" s="65">
        <f>I19/I15</f>
        <v>0.15391918221810094</v>
      </c>
      <c r="J37" s="65">
        <f>J19/J15</f>
        <v>0.15528169014084506</v>
      </c>
      <c r="S37" s="65">
        <f>S19/S15</f>
        <v>0.1714277176836192</v>
      </c>
      <c r="T37" s="65">
        <f>T19/T15</f>
        <v>0.20942259219830917</v>
      </c>
      <c r="U37" s="71">
        <v>0.17499999999999999</v>
      </c>
      <c r="V37" s="71">
        <v>0.17</v>
      </c>
      <c r="W37" s="71">
        <v>0.16500000000000001</v>
      </c>
      <c r="X37" s="71">
        <v>0.16</v>
      </c>
      <c r="Y37" s="71">
        <v>0.155</v>
      </c>
      <c r="Z37" s="71">
        <v>0.15</v>
      </c>
      <c r="AA37" s="71">
        <v>0.14499999999999999</v>
      </c>
      <c r="AB37" s="71">
        <v>0.14000000000000001</v>
      </c>
      <c r="AC37" s="71">
        <v>0.14000000000000001</v>
      </c>
      <c r="AD37" s="71">
        <v>0.14000000000000001</v>
      </c>
    </row>
    <row r="38" spans="2:43">
      <c r="B38" s="1" t="s">
        <v>130</v>
      </c>
      <c r="C38" s="65">
        <f t="shared" ref="C38:H38" si="37">C19/C15</f>
        <v>0.17365614715411892</v>
      </c>
      <c r="D38" s="65">
        <f t="shared" si="37"/>
        <v>0.18172211767951629</v>
      </c>
      <c r="E38" s="65">
        <f t="shared" si="37"/>
        <v>0.16604601880669684</v>
      </c>
      <c r="F38" s="65">
        <f t="shared" si="37"/>
        <v>0.16604453272620925</v>
      </c>
      <c r="G38" s="65">
        <f t="shared" si="37"/>
        <v>0.15153834290781507</v>
      </c>
      <c r="H38" s="65">
        <f t="shared" si="37"/>
        <v>0.38453163785219702</v>
      </c>
      <c r="I38" s="65">
        <f>I19/I15</f>
        <v>0.15391918221810094</v>
      </c>
      <c r="J38" s="65">
        <f>J19/J15</f>
        <v>0.15528169014084506</v>
      </c>
      <c r="S38" s="65">
        <f>S19/S15</f>
        <v>0.1714277176836192</v>
      </c>
      <c r="T38" s="65">
        <f>T19/T15</f>
        <v>0.20942259219830917</v>
      </c>
      <c r="U38" s="71">
        <v>0.16</v>
      </c>
      <c r="V38" s="71">
        <v>0.21041722608130456</v>
      </c>
      <c r="W38" s="71">
        <v>0.21041722608130456</v>
      </c>
      <c r="X38" s="71">
        <v>0.21041722608130456</v>
      </c>
      <c r="Y38" s="71">
        <v>0.21041722608130456</v>
      </c>
      <c r="Z38" s="71">
        <v>0.21041722608130456</v>
      </c>
      <c r="AA38" s="71">
        <v>0.21041722608130456</v>
      </c>
      <c r="AB38" s="71">
        <v>0.21041722608130456</v>
      </c>
      <c r="AC38" s="71">
        <v>0.21041722608130456</v>
      </c>
      <c r="AD38" s="71">
        <v>0.21041722608130456</v>
      </c>
    </row>
    <row r="39" spans="2:43">
      <c r="B39" s="1" t="s">
        <v>131</v>
      </c>
      <c r="C39" s="65">
        <f t="shared" ref="C39:H39" si="38">C21/C15</f>
        <v>0.19116258897364594</v>
      </c>
      <c r="D39" s="65">
        <f t="shared" si="38"/>
        <v>0.19616723015618939</v>
      </c>
      <c r="E39" s="65">
        <f t="shared" si="38"/>
        <v>0.19057958475458139</v>
      </c>
      <c r="F39" s="65">
        <f t="shared" si="38"/>
        <v>0.16596667830975953</v>
      </c>
      <c r="G39" s="65">
        <f t="shared" si="38"/>
        <v>0.15013301461232986</v>
      </c>
      <c r="H39" s="65">
        <f t="shared" si="38"/>
        <v>1.1772246089645158</v>
      </c>
      <c r="I39" s="65">
        <f>I21/I15</f>
        <v>0.22803250668329902</v>
      </c>
      <c r="J39" s="65">
        <f>J21/J15</f>
        <v>0.18668678739101272</v>
      </c>
      <c r="S39" s="65">
        <f>S21/S15</f>
        <v>0.18500866551126513</v>
      </c>
      <c r="T39" s="65">
        <f>T21/T15</f>
        <v>0.42752267231508206</v>
      </c>
      <c r="U39" s="71">
        <v>0.22</v>
      </c>
      <c r="V39" s="71">
        <v>0.2</v>
      </c>
      <c r="W39" s="71">
        <v>0.18</v>
      </c>
      <c r="X39" s="71">
        <v>0.16</v>
      </c>
      <c r="Y39" s="71">
        <v>0.14000000000000001</v>
      </c>
      <c r="Z39" s="71">
        <v>0.12</v>
      </c>
      <c r="AA39" s="71">
        <v>0.1</v>
      </c>
      <c r="AB39" s="71">
        <v>0.09</v>
      </c>
      <c r="AC39" s="71">
        <v>0.08</v>
      </c>
      <c r="AD39" s="71">
        <v>0.08</v>
      </c>
    </row>
    <row r="40" spans="2:43">
      <c r="B40" s="1" t="s">
        <v>132</v>
      </c>
      <c r="C40" s="65">
        <f t="shared" ref="C40:H40" si="39">C22/C15</f>
        <v>0.10013521442967574</v>
      </c>
      <c r="D40" s="65">
        <f t="shared" si="39"/>
        <v>0.10837217897364221</v>
      </c>
      <c r="E40" s="65">
        <f t="shared" si="39"/>
        <v>0.11056697426464489</v>
      </c>
      <c r="F40" s="65">
        <f t="shared" si="39"/>
        <v>0.10455006459812388</v>
      </c>
      <c r="G40" s="65">
        <f t="shared" si="39"/>
        <v>9.093187338551105E-2</v>
      </c>
      <c r="H40" s="65">
        <f t="shared" si="39"/>
        <v>0.52950966488623485</v>
      </c>
      <c r="I40" s="65">
        <f>I22/I15</f>
        <v>0.14087823976714703</v>
      </c>
      <c r="J40" s="65">
        <f>J22/J15</f>
        <v>0.1822434607645875</v>
      </c>
      <c r="S40" s="65">
        <f>S22/S15</f>
        <v>0.10591047630430885</v>
      </c>
      <c r="T40" s="65">
        <f>T22/T15</f>
        <v>0.23417236446912579</v>
      </c>
      <c r="U40" s="71">
        <v>0.21</v>
      </c>
      <c r="V40" s="71">
        <v>0.2</v>
      </c>
      <c r="W40" s="71">
        <v>0.19</v>
      </c>
      <c r="X40" s="71">
        <v>0.19500000000000001</v>
      </c>
      <c r="Y40" s="71">
        <v>0.19</v>
      </c>
      <c r="Z40" s="71">
        <v>0.185</v>
      </c>
      <c r="AA40" s="71">
        <v>0.18</v>
      </c>
      <c r="AB40" s="71">
        <v>0.17499999999999999</v>
      </c>
      <c r="AC40" s="71">
        <v>0.17</v>
      </c>
      <c r="AD40" s="71">
        <v>0.17</v>
      </c>
    </row>
    <row r="41" spans="2:43">
      <c r="B41" s="1" t="s">
        <v>133</v>
      </c>
      <c r="C41" s="65">
        <f t="shared" ref="C41:H41" si="40">C23/C15</f>
        <v>1.0587544965175907E-2</v>
      </c>
      <c r="D41" s="65">
        <f t="shared" si="40"/>
        <v>8.5889857969407585E-3</v>
      </c>
      <c r="E41" s="65">
        <f t="shared" si="40"/>
        <v>8.5760813139561624E-3</v>
      </c>
      <c r="F41" s="65">
        <f t="shared" si="40"/>
        <v>7.9579838651982343E-3</v>
      </c>
      <c r="G41" s="65">
        <f t="shared" si="40"/>
        <v>7.325442418167097E-3</v>
      </c>
      <c r="H41" s="65">
        <f t="shared" si="40"/>
        <v>7.3653457641688234E-3</v>
      </c>
      <c r="I41" s="65">
        <f>I23/I15</f>
        <v>7.3410497149133704E-3</v>
      </c>
      <c r="J41" s="65">
        <f>J23/J15</f>
        <v>7.176391683433936E-3</v>
      </c>
      <c r="S41" s="65">
        <f>S23/S15</f>
        <v>8.8746787784617209E-3</v>
      </c>
      <c r="T41" s="65">
        <f>T23/T15</f>
        <v>7.2983087678479318E-3</v>
      </c>
      <c r="U41" s="71">
        <v>7.3432690059219456E-3</v>
      </c>
      <c r="V41" s="71">
        <v>7.3432690059219456E-3</v>
      </c>
      <c r="W41" s="71">
        <v>7.3432690059219456E-3</v>
      </c>
      <c r="X41" s="71">
        <v>7.3432690059219456E-3</v>
      </c>
      <c r="Y41" s="71">
        <v>7.3432690059219456E-3</v>
      </c>
      <c r="Z41" s="71">
        <v>7.3432690059219456E-3</v>
      </c>
      <c r="AA41" s="71">
        <v>7.3432690059219456E-3</v>
      </c>
      <c r="AB41" s="71">
        <v>7.3432690059219456E-3</v>
      </c>
      <c r="AC41" s="71">
        <v>7.3432690059219456E-3</v>
      </c>
      <c r="AD41" s="71">
        <v>7.3432690059219456E-3</v>
      </c>
    </row>
    <row r="42" spans="2:43">
      <c r="B42" s="37" t="s">
        <v>64</v>
      </c>
      <c r="C42" s="65">
        <f t="shared" ref="C42:H42" si="41">C25/C15</f>
        <v>1.291425364186052E-2</v>
      </c>
      <c r="D42" s="65">
        <f t="shared" si="41"/>
        <v>-2.4556691210344119E-2</v>
      </c>
      <c r="E42" s="65">
        <f t="shared" si="41"/>
        <v>-7.2600392062976707E-2</v>
      </c>
      <c r="F42" s="65">
        <f t="shared" si="41"/>
        <v>-5.7117787419567932E-2</v>
      </c>
      <c r="G42" s="65">
        <f t="shared" si="41"/>
        <v>1.7660099471797159E-2</v>
      </c>
      <c r="H42" s="65">
        <f t="shared" si="41"/>
        <v>-1.7620179153988744</v>
      </c>
      <c r="I42" s="65">
        <f>I25/I15</f>
        <v>-0.11901883834787738</v>
      </c>
      <c r="J42" s="65">
        <f>J25/J15</f>
        <v>-9.0020120724345856E-2</v>
      </c>
      <c r="S42" s="65">
        <f>S25/S15</f>
        <v>-3.713978366102904E-2</v>
      </c>
      <c r="T42" s="65">
        <f>T25/T15</f>
        <v>-0.47549853485079624</v>
      </c>
      <c r="U42" s="71">
        <f>U25/U15</f>
        <v>-6.9150724931077628E-2</v>
      </c>
      <c r="V42" s="71">
        <f t="shared" ref="V42:AD42" si="42">V25/V15</f>
        <v>-7.7567951012382355E-2</v>
      </c>
      <c r="W42" s="71">
        <f t="shared" si="42"/>
        <v>-3.7567951012382243E-2</v>
      </c>
      <c r="X42" s="71">
        <f t="shared" si="42"/>
        <v>-1.256795101238202E-2</v>
      </c>
      <c r="Y42" s="71">
        <f t="shared" si="42"/>
        <v>2.2432048987617758E-2</v>
      </c>
      <c r="Z42" s="71">
        <f t="shared" si="42"/>
        <v>6.243204898761763E-2</v>
      </c>
      <c r="AA42" s="71">
        <f t="shared" si="42"/>
        <v>0.10243204898761761</v>
      </c>
      <c r="AB42" s="71">
        <f t="shared" si="42"/>
        <v>0.12743204898761784</v>
      </c>
      <c r="AC42" s="71">
        <f t="shared" si="42"/>
        <v>0.14743204898761778</v>
      </c>
      <c r="AD42" s="71">
        <f t="shared" si="42"/>
        <v>0.1474320489876178</v>
      </c>
    </row>
    <row r="43" spans="2:43">
      <c r="B43" s="37" t="s">
        <v>65</v>
      </c>
      <c r="C43" s="65">
        <f t="shared" ref="C43:H43" si="43">C28/C27</f>
        <v>-2.3261791543503302E-2</v>
      </c>
      <c r="D43" s="65">
        <f t="shared" si="43"/>
        <v>0.16774193548385116</v>
      </c>
      <c r="E43" s="65">
        <f t="shared" si="43"/>
        <v>-0.11095973357553715</v>
      </c>
      <c r="F43" s="65">
        <f t="shared" si="43"/>
        <v>-3.6791953414505071E-2</v>
      </c>
      <c r="G43" s="65">
        <f t="shared" si="43"/>
        <v>0.10681551926124966</v>
      </c>
      <c r="H43" s="65">
        <f t="shared" si="43"/>
        <v>1.1250565232724431E-3</v>
      </c>
      <c r="I43" s="65">
        <f>I28/I27</f>
        <v>-5.1443164489518491E-3</v>
      </c>
      <c r="J43" s="65">
        <f>J28/J27</f>
        <v>-1.0302120893149118E-3</v>
      </c>
      <c r="S43" s="65">
        <f>S28/S27</f>
        <v>-0.11507429125699976</v>
      </c>
      <c r="T43" s="65">
        <f>T28/T27</f>
        <v>-8.2857021091869228E-4</v>
      </c>
      <c r="U43" s="71">
        <v>-1.050311903371305E-3</v>
      </c>
      <c r="V43" s="71">
        <v>-1.050311903371305E-3</v>
      </c>
      <c r="W43" s="71">
        <v>-1.050311903371305E-3</v>
      </c>
      <c r="X43" s="71">
        <v>-1.050311903371305E-3</v>
      </c>
      <c r="Y43" s="71">
        <v>-1.050311903371305E-3</v>
      </c>
      <c r="Z43" s="71">
        <v>-1.050311903371305E-3</v>
      </c>
      <c r="AA43" s="71">
        <v>-1.050311903371305E-3</v>
      </c>
      <c r="AB43" s="71">
        <v>-1.050311903371305E-3</v>
      </c>
      <c r="AC43" s="71">
        <v>-1.050311903371305E-3</v>
      </c>
      <c r="AD43" s="71">
        <v>-1.050311903371305E-3</v>
      </c>
    </row>
    <row r="44" spans="2:43">
      <c r="B44" s="37" t="s">
        <v>66</v>
      </c>
      <c r="C44" s="65">
        <f t="shared" ref="C44:H44" si="44">C31/C15</f>
        <v>5.3575528739618584E-5</v>
      </c>
      <c r="D44" s="65">
        <f t="shared" si="44"/>
        <v>5.2054459376827495E-6</v>
      </c>
      <c r="E44" s="65">
        <f t="shared" si="44"/>
        <v>-5.2188939272905792E-2</v>
      </c>
      <c r="F44" s="65">
        <f t="shared" si="44"/>
        <v>-6.0257214158562049E-2</v>
      </c>
      <c r="G44" s="65">
        <f t="shared" si="44"/>
        <v>4.2410456105287974E-5</v>
      </c>
      <c r="H44" s="65">
        <f t="shared" si="44"/>
        <v>-1.7482907285633413</v>
      </c>
      <c r="I44" s="65">
        <f>I31/I15</f>
        <v>-0.10065701475017427</v>
      </c>
      <c r="J44" s="65">
        <f>J31/J15</f>
        <v>-7.4944668008048068E-2</v>
      </c>
      <c r="S44" s="65">
        <f>S31/S15</f>
        <v>-3.0258172473555184E-2</v>
      </c>
      <c r="T44" s="65">
        <f>T31/T15</f>
        <v>-0.46768714948911838</v>
      </c>
      <c r="U44" s="71">
        <v>-0.4839687580690436</v>
      </c>
      <c r="V44" s="71">
        <v>-0.4839687580690436</v>
      </c>
      <c r="W44" s="71">
        <v>-0.4839687580690436</v>
      </c>
      <c r="X44" s="71">
        <v>-0.4839687580690436</v>
      </c>
      <c r="Y44" s="71">
        <v>-0.4839687580690436</v>
      </c>
      <c r="Z44" s="71">
        <v>-0.4839687580690436</v>
      </c>
      <c r="AA44" s="71">
        <v>-0.4839687580690436</v>
      </c>
      <c r="AB44" s="71">
        <v>-0.4839687580690436</v>
      </c>
      <c r="AC44" s="71">
        <v>-0.4839687580690436</v>
      </c>
      <c r="AD44" s="71">
        <v>-0.4839687580690436</v>
      </c>
    </row>
    <row r="46" spans="2:43">
      <c r="B46" s="1" t="s">
        <v>67</v>
      </c>
      <c r="C46" s="63"/>
      <c r="D46" s="63"/>
      <c r="E46" s="63"/>
      <c r="F46" s="63">
        <v>337.69</v>
      </c>
      <c r="G46" s="63">
        <v>318.16000000000003</v>
      </c>
      <c r="H46" s="63">
        <v>868.28</v>
      </c>
      <c r="I46" s="63">
        <v>445.02</v>
      </c>
      <c r="J46" s="63">
        <v>466.25200000000001</v>
      </c>
      <c r="S46" s="63">
        <f>F46</f>
        <v>337.69</v>
      </c>
      <c r="T46" s="63">
        <f>J46</f>
        <v>466.25200000000001</v>
      </c>
      <c r="U46" s="67">
        <f>U29+T46</f>
        <v>329.5090728206319</v>
      </c>
      <c r="V46" s="67">
        <f t="shared" ref="V46:AD46" si="45">V29+U46</f>
        <v>102.85749382783425</v>
      </c>
      <c r="W46" s="67">
        <f t="shared" si="45"/>
        <v>-43.983176042904574</v>
      </c>
      <c r="X46" s="67">
        <f t="shared" si="45"/>
        <v>-113.8805231014573</v>
      </c>
      <c r="Y46" s="67">
        <f t="shared" si="45"/>
        <v>17.397590618698729</v>
      </c>
      <c r="Z46" s="67">
        <f t="shared" si="45"/>
        <v>506.21097349098079</v>
      </c>
      <c r="AA46" s="67">
        <f t="shared" si="45"/>
        <v>1528.975335986677</v>
      </c>
      <c r="AB46" s="67">
        <f t="shared" si="45"/>
        <v>3143.7444097911457</v>
      </c>
      <c r="AC46" s="67">
        <f t="shared" si="45"/>
        <v>5488.7888609964584</v>
      </c>
      <c r="AD46" s="67">
        <f t="shared" si="45"/>
        <v>8472.3625309660674</v>
      </c>
    </row>
    <row r="47" spans="2:43">
      <c r="B47" s="1" t="s">
        <v>140</v>
      </c>
      <c r="C47" s="63"/>
      <c r="D47" s="63"/>
      <c r="E47" s="63"/>
      <c r="F47" s="63">
        <v>12.3</v>
      </c>
      <c r="G47" s="63">
        <v>12.66</v>
      </c>
      <c r="H47" s="63">
        <v>13.515000000000001</v>
      </c>
      <c r="I47" s="63">
        <v>13.676</v>
      </c>
      <c r="J47" s="63">
        <v>14.5</v>
      </c>
      <c r="S47" s="63">
        <f t="shared" ref="S47:S65" si="46">F47</f>
        <v>12.3</v>
      </c>
      <c r="T47" s="63">
        <f t="shared" ref="T47:T65" si="47">J47</f>
        <v>14.5</v>
      </c>
    </row>
    <row r="48" spans="2:43">
      <c r="B48" s="1" t="s">
        <v>68</v>
      </c>
      <c r="C48" s="63"/>
      <c r="D48" s="63"/>
      <c r="E48" s="63"/>
      <c r="F48" s="63">
        <v>181.72</v>
      </c>
      <c r="G48" s="63">
        <v>177.57</v>
      </c>
      <c r="H48" s="63">
        <v>225.06</v>
      </c>
      <c r="I48" s="63">
        <v>633.73</v>
      </c>
      <c r="J48" s="63">
        <v>587.82799999999997</v>
      </c>
      <c r="S48" s="63">
        <f t="shared" si="46"/>
        <v>181.72</v>
      </c>
      <c r="T48" s="63">
        <f t="shared" si="47"/>
        <v>587.82799999999997</v>
      </c>
      <c r="AH48" s="46"/>
      <c r="AI48" s="47"/>
      <c r="AJ48" s="47"/>
      <c r="AK48" s="46"/>
      <c r="AL48" s="47"/>
      <c r="AM48" s="48"/>
      <c r="AN48" s="47"/>
      <c r="AO48" s="49"/>
      <c r="AQ48" s="47"/>
    </row>
    <row r="49" spans="2:82" ht="13.5" customHeight="1">
      <c r="B49" s="1" t="s">
        <v>141</v>
      </c>
      <c r="C49" s="63"/>
      <c r="D49" s="63"/>
      <c r="E49" s="63"/>
      <c r="F49" s="63">
        <v>368.88900000000001</v>
      </c>
      <c r="G49" s="63">
        <v>336.46</v>
      </c>
      <c r="H49" s="63">
        <v>212.98</v>
      </c>
      <c r="I49" s="63">
        <v>228.95</v>
      </c>
      <c r="J49" s="63">
        <v>251.2</v>
      </c>
      <c r="S49" s="63">
        <f t="shared" si="46"/>
        <v>368.88900000000001</v>
      </c>
      <c r="T49" s="63">
        <f t="shared" si="47"/>
        <v>251.2</v>
      </c>
      <c r="V49" s="78" t="s">
        <v>108</v>
      </c>
      <c r="Y49" s="46" t="s">
        <v>929</v>
      </c>
      <c r="Z49" s="47"/>
      <c r="AA49" s="79" t="s">
        <v>107</v>
      </c>
      <c r="AB49" s="47"/>
      <c r="AC49" s="49" t="s">
        <v>109</v>
      </c>
      <c r="AD49" s="50">
        <v>0.105</v>
      </c>
      <c r="AE49" s="47"/>
      <c r="AH49" s="47"/>
      <c r="AI49" s="47"/>
      <c r="AJ49" s="47"/>
      <c r="AK49" s="47"/>
      <c r="AL49" s="47"/>
      <c r="AM49" s="48"/>
      <c r="AN49" s="47"/>
      <c r="AO49" s="49"/>
      <c r="AQ49" s="47"/>
    </row>
    <row r="50" spans="2:82" ht="13.5" customHeight="1">
      <c r="B50" s="1" t="s">
        <v>142</v>
      </c>
      <c r="C50" s="63"/>
      <c r="D50" s="63"/>
      <c r="E50" s="63"/>
      <c r="F50" s="63">
        <v>216.161</v>
      </c>
      <c r="G50" s="63">
        <v>241.65</v>
      </c>
      <c r="H50" s="63">
        <v>229.59</v>
      </c>
      <c r="I50" s="63">
        <v>237.65</v>
      </c>
      <c r="J50" s="63">
        <v>257.88</v>
      </c>
      <c r="S50" s="63">
        <f t="shared" si="46"/>
        <v>216.161</v>
      </c>
      <c r="T50" s="63">
        <f t="shared" si="47"/>
        <v>257.88</v>
      </c>
      <c r="V50" s="47">
        <v>2024</v>
      </c>
      <c r="W50" s="47">
        <v>2025</v>
      </c>
      <c r="Y50" s="46" t="s">
        <v>928</v>
      </c>
      <c r="Z50" s="47"/>
      <c r="AA50" s="47">
        <v>2025</v>
      </c>
      <c r="AB50" s="47"/>
      <c r="AC50" s="49" t="s">
        <v>110</v>
      </c>
      <c r="AD50" s="50">
        <v>1.7500000000000002E-2</v>
      </c>
      <c r="AE50" s="47"/>
      <c r="AI50" s="47"/>
      <c r="AL50" s="47"/>
      <c r="AN50" s="47"/>
      <c r="AO50" s="49"/>
      <c r="AQ50" s="47"/>
    </row>
    <row r="51" spans="2:82" ht="13.5" customHeight="1">
      <c r="B51" s="1" t="s">
        <v>143</v>
      </c>
      <c r="C51" s="63"/>
      <c r="D51" s="63"/>
      <c r="E51" s="63"/>
      <c r="F51" s="63">
        <v>99.79</v>
      </c>
      <c r="G51" s="63">
        <v>100.10599999999999</v>
      </c>
      <c r="H51" s="63">
        <v>114.12</v>
      </c>
      <c r="I51" s="63">
        <v>108.996</v>
      </c>
      <c r="J51" s="63">
        <v>71.58</v>
      </c>
      <c r="S51" s="63">
        <f t="shared" si="46"/>
        <v>99.79</v>
      </c>
      <c r="T51" s="63">
        <f t="shared" si="47"/>
        <v>71.58</v>
      </c>
      <c r="V51" s="52">
        <f>SUM(S46:S51)-S58+S53+S55</f>
        <v>1305.3790000000001</v>
      </c>
      <c r="W51" s="52">
        <f>SUM(T46:T51)-T58+T53+T55</f>
        <v>1735.7199999999996</v>
      </c>
      <c r="Y51" s="52">
        <f>AVERAGE(V51:W51)</f>
        <v>1520.5494999999999</v>
      </c>
      <c r="Z51" s="47"/>
      <c r="AA51" s="51">
        <f>AVERAGE(U25)*(1-U43)</f>
        <v>-185.75080673205301</v>
      </c>
      <c r="AB51" s="47"/>
      <c r="AC51" s="49" t="s">
        <v>111</v>
      </c>
      <c r="AD51" s="50">
        <v>3.9899999999999998E-2</v>
      </c>
      <c r="AE51" s="47"/>
      <c r="AI51" s="47"/>
      <c r="AJ51" s="47"/>
      <c r="AK51" s="47"/>
      <c r="AL51" s="47"/>
      <c r="AM51" s="47"/>
      <c r="AN51" s="47"/>
      <c r="AO51" s="49"/>
      <c r="AQ51" s="47"/>
    </row>
    <row r="52" spans="2:82" ht="13.5" customHeight="1">
      <c r="B52" s="1" t="s">
        <v>144</v>
      </c>
      <c r="C52" s="63"/>
      <c r="D52" s="63"/>
      <c r="E52" s="63"/>
      <c r="F52" s="63">
        <v>70.463999999999999</v>
      </c>
      <c r="G52" s="63">
        <v>79.2</v>
      </c>
      <c r="H52" s="63">
        <v>72.52</v>
      </c>
      <c r="I52" s="63">
        <v>90.85</v>
      </c>
      <c r="J52" s="63">
        <v>106.75</v>
      </c>
      <c r="S52" s="63">
        <f t="shared" si="46"/>
        <v>70.463999999999999</v>
      </c>
      <c r="T52" s="63">
        <f t="shared" si="47"/>
        <v>106.75</v>
      </c>
      <c r="W52" s="47"/>
      <c r="X52" s="47"/>
      <c r="Y52" s="47"/>
      <c r="Z52" s="47"/>
      <c r="AA52" s="53">
        <f>AA51/Y51</f>
        <v>-0.12216031555174825</v>
      </c>
      <c r="AB52" s="47"/>
      <c r="AC52" s="49" t="s">
        <v>112</v>
      </c>
      <c r="AD52" s="50">
        <f>6.75%-AD51</f>
        <v>2.7600000000000006E-2</v>
      </c>
      <c r="AE52" s="47"/>
      <c r="AH52" s="47"/>
      <c r="AI52" s="47"/>
      <c r="AJ52" s="47"/>
      <c r="AK52" s="47"/>
      <c r="AL52" s="47"/>
      <c r="AM52" s="47"/>
      <c r="AN52" s="47"/>
      <c r="AO52" s="49"/>
      <c r="AQ52" s="47"/>
    </row>
    <row r="53" spans="2:82" ht="13.5" customHeight="1">
      <c r="B53" s="1" t="s">
        <v>145</v>
      </c>
      <c r="C53" s="63"/>
      <c r="D53" s="63"/>
      <c r="E53" s="63"/>
      <c r="F53" s="63">
        <v>92.7</v>
      </c>
      <c r="G53" s="63">
        <v>90.69</v>
      </c>
      <c r="H53" s="63">
        <v>89.100999999999999</v>
      </c>
      <c r="I53" s="63">
        <v>86.48</v>
      </c>
      <c r="J53" s="63">
        <v>94.32</v>
      </c>
      <c r="S53" s="63">
        <f t="shared" si="46"/>
        <v>92.7</v>
      </c>
      <c r="T53" s="63">
        <f t="shared" si="47"/>
        <v>94.32</v>
      </c>
      <c r="V53" s="54" t="s">
        <v>930</v>
      </c>
      <c r="W53" s="47"/>
      <c r="X53" s="47"/>
      <c r="Z53" s="47"/>
      <c r="AA53" s="47"/>
      <c r="AB53" s="47"/>
      <c r="AC53" s="49" t="s">
        <v>113</v>
      </c>
      <c r="AD53" s="56">
        <f>'Notes | Quant Analysis'!S176</f>
        <v>3.1001526091498586</v>
      </c>
      <c r="AE53" s="47"/>
      <c r="AH53" s="47"/>
      <c r="AI53" s="47"/>
      <c r="AJ53" s="47"/>
      <c r="AK53" s="47"/>
      <c r="AL53" s="47"/>
      <c r="AM53" s="47"/>
      <c r="AN53" s="47"/>
      <c r="AO53" s="49"/>
      <c r="AQ53" s="54"/>
    </row>
    <row r="54" spans="2:82" ht="13.5" customHeight="1">
      <c r="B54" s="1" t="s">
        <v>146</v>
      </c>
      <c r="C54" s="63"/>
      <c r="D54" s="63"/>
      <c r="E54" s="63"/>
      <c r="F54" s="63">
        <v>49.33</v>
      </c>
      <c r="G54" s="63">
        <v>47.09</v>
      </c>
      <c r="H54" s="63">
        <v>45.575000000000003</v>
      </c>
      <c r="I54" s="63">
        <v>85.65</v>
      </c>
      <c r="J54" s="63">
        <v>83.42</v>
      </c>
      <c r="S54" s="63">
        <f t="shared" si="46"/>
        <v>49.33</v>
      </c>
      <c r="T54" s="63">
        <f t="shared" si="47"/>
        <v>83.42</v>
      </c>
      <c r="V54" s="82" t="s">
        <v>931</v>
      </c>
      <c r="Y54" s="51">
        <f>Main!C5</f>
        <v>8952.985200000001</v>
      </c>
      <c r="Z54" s="47"/>
      <c r="AB54" s="47"/>
      <c r="AC54" s="49" t="s">
        <v>114</v>
      </c>
      <c r="AD54" s="50">
        <f>+AD51+(AD52*AD53)</f>
        <v>0.1254642120125361</v>
      </c>
      <c r="AE54" s="47"/>
      <c r="AH54" s="54"/>
      <c r="AI54" s="54"/>
      <c r="AJ54" s="54"/>
      <c r="AK54" s="54"/>
      <c r="AL54" s="54"/>
      <c r="AM54" s="54"/>
      <c r="AN54" s="54"/>
      <c r="AO54" s="49"/>
      <c r="AP54" s="47"/>
      <c r="AQ54" s="47"/>
    </row>
    <row r="55" spans="2:82" ht="13.5" customHeight="1">
      <c r="B55" s="1" t="s">
        <v>147</v>
      </c>
      <c r="C55" s="63"/>
      <c r="D55" s="63"/>
      <c r="E55" s="63"/>
      <c r="F55" s="63">
        <v>31.969000000000001</v>
      </c>
      <c r="G55" s="63">
        <v>32.372</v>
      </c>
      <c r="H55" s="63">
        <v>31.71</v>
      </c>
      <c r="I55" s="63">
        <v>31.28</v>
      </c>
      <c r="J55" s="63">
        <v>30.84</v>
      </c>
      <c r="S55" s="63">
        <f t="shared" si="46"/>
        <v>31.969000000000001</v>
      </c>
      <c r="T55" s="63">
        <f t="shared" si="47"/>
        <v>30.84</v>
      </c>
      <c r="V55" s="82" t="s">
        <v>932</v>
      </c>
      <c r="Y55" s="80">
        <f>Main!C7/(Main!C7+Y54)</f>
        <v>0</v>
      </c>
      <c r="Z55" s="54"/>
      <c r="AB55" s="47"/>
      <c r="AC55" s="49"/>
      <c r="AD55" s="47"/>
      <c r="AE55" s="47"/>
      <c r="AH55" s="47"/>
      <c r="AI55" s="47"/>
      <c r="AJ55" s="47"/>
      <c r="AK55" s="47"/>
      <c r="AL55" s="47"/>
      <c r="AM55" s="47"/>
      <c r="AN55" s="47"/>
      <c r="AO55" s="49"/>
      <c r="AQ55" s="47"/>
    </row>
    <row r="56" spans="2:82" s="2" customFormat="1" ht="13.5" customHeight="1">
      <c r="B56" s="2" t="s">
        <v>148</v>
      </c>
      <c r="C56" s="64"/>
      <c r="D56" s="64"/>
      <c r="E56" s="64"/>
      <c r="F56" s="64">
        <f>SUM(F46:F55)</f>
        <v>1461.0129999999999</v>
      </c>
      <c r="G56" s="64">
        <f>SUM(G46:G55)</f>
        <v>1435.9580000000001</v>
      </c>
      <c r="H56" s="64">
        <f>SUM(H46:H55)</f>
        <v>1902.4510000000002</v>
      </c>
      <c r="I56" s="64">
        <f>SUM(I46:I55)</f>
        <v>1962.2820000000002</v>
      </c>
      <c r="J56" s="64">
        <f>SUM(J46:J55)</f>
        <v>1964.5699999999997</v>
      </c>
      <c r="K56" s="34"/>
      <c r="L56" s="34"/>
      <c r="M56" s="34"/>
      <c r="N56" s="34"/>
      <c r="S56" s="64">
        <f t="shared" si="46"/>
        <v>1461.0129999999999</v>
      </c>
      <c r="T56" s="64">
        <f t="shared" si="47"/>
        <v>1964.5699999999997</v>
      </c>
      <c r="U56" s="34"/>
      <c r="V56" s="82" t="s">
        <v>933</v>
      </c>
      <c r="W56" s="35"/>
      <c r="X56" s="35"/>
      <c r="Y56" s="80">
        <f>Y54/(Y54+Main!C7)</f>
        <v>1</v>
      </c>
      <c r="Z56" s="47"/>
      <c r="AA56" s="35"/>
      <c r="AB56" s="47"/>
      <c r="AC56" s="49" t="s">
        <v>115</v>
      </c>
      <c r="AD56" s="51">
        <f>NPV(AD54,U29:CB29)</f>
        <v>11232.670142910418</v>
      </c>
      <c r="AE56" s="47"/>
      <c r="AG56" s="34"/>
      <c r="AH56" s="54"/>
      <c r="AI56" s="54"/>
      <c r="AJ56" s="54"/>
      <c r="AK56" s="54"/>
      <c r="AL56" s="54"/>
      <c r="AM56" s="54"/>
      <c r="AN56" s="54"/>
      <c r="AO56" s="49"/>
      <c r="AQ56" s="55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 spans="2:82" ht="13.5" customHeight="1">
      <c r="S57" s="63"/>
      <c r="T57" s="63"/>
      <c r="V57" s="83" t="s">
        <v>934</v>
      </c>
      <c r="W57" s="34"/>
      <c r="X57" s="34"/>
      <c r="Y57" s="84">
        <f>T67/T74</f>
        <v>8.0551253384613969E-2</v>
      </c>
      <c r="Z57" s="47"/>
      <c r="AA57" s="47"/>
      <c r="AB57" s="47"/>
      <c r="AC57" s="49" t="s">
        <v>78</v>
      </c>
      <c r="AD57" s="52">
        <f>[1]Main!C4</f>
        <v>374.57</v>
      </c>
      <c r="AE57" s="85"/>
      <c r="AH57" s="47"/>
      <c r="AI57" s="47"/>
      <c r="AJ57" s="47"/>
      <c r="AK57" s="47"/>
      <c r="AL57" s="47"/>
      <c r="AM57" s="47"/>
      <c r="AN57" s="47"/>
      <c r="AO57" s="49"/>
      <c r="AQ57" s="46"/>
    </row>
    <row r="58" spans="2:82" ht="13.5" customHeight="1">
      <c r="B58" s="1" t="s">
        <v>149</v>
      </c>
      <c r="C58" s="63"/>
      <c r="D58" s="63"/>
      <c r="E58" s="63"/>
      <c r="F58" s="63">
        <v>35.840000000000003</v>
      </c>
      <c r="G58" s="63">
        <v>37.613999999999997</v>
      </c>
      <c r="H58" s="63">
        <v>51.8</v>
      </c>
      <c r="I58" s="63">
        <v>40.020000000000003</v>
      </c>
      <c r="J58" s="63">
        <v>38.68</v>
      </c>
      <c r="S58" s="63">
        <f t="shared" si="46"/>
        <v>35.840000000000003</v>
      </c>
      <c r="T58" s="63">
        <f t="shared" si="47"/>
        <v>38.68</v>
      </c>
      <c r="Z58" s="47"/>
      <c r="AA58" s="47"/>
      <c r="AB58" s="47"/>
      <c r="AC58" s="49" t="s">
        <v>116</v>
      </c>
      <c r="AD58" s="56">
        <f>AD56/AD57</f>
        <v>29.988173486692521</v>
      </c>
      <c r="AE58" s="46"/>
      <c r="AH58" s="47"/>
      <c r="AI58" s="47"/>
      <c r="AJ58" s="47"/>
      <c r="AK58" s="47"/>
      <c r="AL58" s="47"/>
      <c r="AM58" s="47"/>
      <c r="AN58" s="47"/>
      <c r="AO58" s="49"/>
      <c r="AQ58" s="57"/>
    </row>
    <row r="59" spans="2:82" ht="13.5" customHeight="1">
      <c r="B59" s="1" t="s">
        <v>150</v>
      </c>
      <c r="C59" s="63"/>
      <c r="D59" s="63"/>
      <c r="E59" s="63"/>
      <c r="F59" s="63">
        <v>224.59</v>
      </c>
      <c r="G59" s="63">
        <v>171.25899999999999</v>
      </c>
      <c r="H59" s="63">
        <v>168.91900000000001</v>
      </c>
      <c r="I59" s="63">
        <v>181.58</v>
      </c>
      <c r="J59" s="63">
        <v>201.86</v>
      </c>
      <c r="S59" s="63">
        <f t="shared" si="46"/>
        <v>224.59</v>
      </c>
      <c r="T59" s="63">
        <f t="shared" si="47"/>
        <v>201.86</v>
      </c>
      <c r="V59" s="34" t="s">
        <v>935</v>
      </c>
      <c r="Y59" s="47"/>
      <c r="Z59" s="54"/>
      <c r="AA59" s="54"/>
      <c r="AB59" s="54"/>
      <c r="AC59" s="49" t="s">
        <v>117</v>
      </c>
      <c r="AD59" s="56">
        <f>Main!C3</f>
        <v>23.82</v>
      </c>
      <c r="AE59" s="57"/>
      <c r="AH59" s="54"/>
      <c r="AI59" s="54"/>
      <c r="AJ59" s="54"/>
      <c r="AK59" s="54"/>
      <c r="AL59" s="54"/>
      <c r="AM59" s="54"/>
      <c r="AN59" s="54"/>
      <c r="AO59" s="49"/>
    </row>
    <row r="60" spans="2:82" ht="13.5" customHeight="1">
      <c r="B60" s="1" t="s">
        <v>151</v>
      </c>
      <c r="C60" s="63"/>
      <c r="D60" s="63"/>
      <c r="E60" s="63"/>
      <c r="F60" s="63">
        <v>114.377</v>
      </c>
      <c r="G60" s="63">
        <v>124.67</v>
      </c>
      <c r="H60" s="63">
        <v>138.97900000000001</v>
      </c>
      <c r="I60" s="63">
        <v>134.30000000000001</v>
      </c>
      <c r="J60" s="63">
        <v>147.38</v>
      </c>
      <c r="S60" s="63">
        <f t="shared" si="46"/>
        <v>114.377</v>
      </c>
      <c r="T60" s="63">
        <f t="shared" si="47"/>
        <v>147.38</v>
      </c>
      <c r="V60" s="86" t="s">
        <v>111</v>
      </c>
      <c r="Y60" s="80">
        <v>3.9899999999999998E-2</v>
      </c>
      <c r="Z60" s="47"/>
      <c r="AA60" s="47"/>
      <c r="AB60" s="47"/>
      <c r="AC60" s="49" t="s">
        <v>118</v>
      </c>
      <c r="AD60" s="50">
        <f>AD58/AD59-1</f>
        <v>0.25894934872764575</v>
      </c>
      <c r="AE60" s="58" t="str">
        <f>IF(AD60&gt;0,"Upside","Downside")</f>
        <v>Upside</v>
      </c>
    </row>
    <row r="61" spans="2:82" ht="13.5" customHeight="1">
      <c r="B61" s="1" t="s">
        <v>152</v>
      </c>
      <c r="C61" s="63"/>
      <c r="D61" s="63"/>
      <c r="E61" s="63"/>
      <c r="F61" s="63">
        <v>80.59</v>
      </c>
      <c r="G61" s="63">
        <v>77.42</v>
      </c>
      <c r="H61" s="63">
        <v>74.760000000000005</v>
      </c>
      <c r="I61" s="63">
        <v>125.84</v>
      </c>
      <c r="J61" s="63">
        <v>123.28</v>
      </c>
      <c r="S61" s="63">
        <f t="shared" si="46"/>
        <v>80.59</v>
      </c>
      <c r="T61" s="63">
        <f t="shared" si="47"/>
        <v>123.28</v>
      </c>
      <c r="V61" s="86" t="s">
        <v>113</v>
      </c>
      <c r="Y61" s="56">
        <f>AD53</f>
        <v>3.1001526091498586</v>
      </c>
      <c r="AC61" s="92" t="str" cm="1">
        <f t="array" ref="AC61">_xlfn.IFS(AD60&gt;=25%,"Strong Buy",AD60&gt;=10.00001%,"Buy",AND(AD60&lt;=10%,AD60&gt;=-4.9999%),"Hold",AND(AD60&lt;=-5%,AD60&gt;=-14.999999%),"Sell",AD60&lt;=-15%,"Strong Sell")</f>
        <v>Strong Buy</v>
      </c>
      <c r="AD61" s="92"/>
    </row>
    <row r="62" spans="2:82" ht="13.5" customHeight="1">
      <c r="B62" s="1" t="s">
        <v>153</v>
      </c>
      <c r="C62" s="63"/>
      <c r="D62" s="63"/>
      <c r="E62" s="63"/>
      <c r="F62" s="63">
        <v>46.1</v>
      </c>
      <c r="G62" s="63">
        <v>43.011000000000003</v>
      </c>
      <c r="H62" s="63">
        <v>39.909999999999997</v>
      </c>
      <c r="I62" s="63">
        <v>37.28</v>
      </c>
      <c r="J62" s="63">
        <v>51.69</v>
      </c>
      <c r="S62" s="63">
        <f t="shared" si="46"/>
        <v>46.1</v>
      </c>
      <c r="T62" s="63">
        <f t="shared" si="47"/>
        <v>51.69</v>
      </c>
      <c r="V62" s="82" t="s">
        <v>936</v>
      </c>
      <c r="Y62" s="80">
        <v>0.12770000000000001</v>
      </c>
    </row>
    <row r="63" spans="2:82" s="2" customFormat="1" ht="13.5" customHeight="1">
      <c r="B63" s="2" t="s">
        <v>154</v>
      </c>
      <c r="C63" s="64"/>
      <c r="D63" s="64"/>
      <c r="E63" s="64"/>
      <c r="F63" s="64">
        <f>SUM(F58:F62)</f>
        <v>501.49700000000007</v>
      </c>
      <c r="G63" s="64">
        <f>SUM(G58:G62)</f>
        <v>453.97400000000005</v>
      </c>
      <c r="H63" s="64">
        <f>SUM(H58:H62)</f>
        <v>474.36799999999994</v>
      </c>
      <c r="I63" s="64">
        <f>SUM(I58:I62)</f>
        <v>519.02</v>
      </c>
      <c r="J63" s="64">
        <f>SUM(J58:J62)</f>
        <v>562.8900000000001</v>
      </c>
      <c r="K63" s="34"/>
      <c r="L63" s="34"/>
      <c r="M63" s="34"/>
      <c r="N63" s="34"/>
      <c r="S63" s="64">
        <f t="shared" si="46"/>
        <v>501.49700000000007</v>
      </c>
      <c r="T63" s="64">
        <f t="shared" si="47"/>
        <v>562.8900000000001</v>
      </c>
      <c r="U63" s="34"/>
      <c r="V63" s="83" t="s">
        <v>937</v>
      </c>
      <c r="W63" s="47"/>
      <c r="Y63" s="84">
        <f>(Y60+Y61)*(Y62-Y60)</f>
        <v>0.27569661908335763</v>
      </c>
      <c r="Z63" s="35"/>
      <c r="AA63" s="35"/>
      <c r="AB63" s="35"/>
      <c r="AC63" s="35"/>
      <c r="AD63" s="35"/>
      <c r="AE63" s="35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 spans="2:82" ht="13.5" customHeight="1">
      <c r="B64" s="1" t="s">
        <v>155</v>
      </c>
      <c r="C64" s="63"/>
      <c r="D64" s="63"/>
      <c r="E64" s="63"/>
      <c r="F64" s="63">
        <v>959.5</v>
      </c>
      <c r="G64" s="63">
        <v>982</v>
      </c>
      <c r="H64" s="63">
        <v>1428.09</v>
      </c>
      <c r="I64" s="63">
        <v>1443.27</v>
      </c>
      <c r="J64" s="63">
        <v>1401.7</v>
      </c>
      <c r="S64" s="63">
        <f t="shared" si="46"/>
        <v>959.5</v>
      </c>
      <c r="T64" s="63">
        <f t="shared" si="47"/>
        <v>1401.7</v>
      </c>
      <c r="V64" s="77"/>
    </row>
    <row r="65" spans="2:82" s="2" customFormat="1" ht="13.5" customHeight="1">
      <c r="B65" s="2" t="s">
        <v>156</v>
      </c>
      <c r="C65" s="64"/>
      <c r="D65" s="64"/>
      <c r="E65" s="64"/>
      <c r="F65" s="64">
        <f>F63+F64</f>
        <v>1460.9970000000001</v>
      </c>
      <c r="G65" s="64">
        <f>G63+G64</f>
        <v>1435.9740000000002</v>
      </c>
      <c r="H65" s="64">
        <f>H63+H64</f>
        <v>1902.4579999999999</v>
      </c>
      <c r="I65" s="64">
        <f>I63+I64</f>
        <v>1962.29</v>
      </c>
      <c r="J65" s="64">
        <f>J63+J64</f>
        <v>1964.5900000000001</v>
      </c>
      <c r="K65" s="34"/>
      <c r="L65" s="34"/>
      <c r="M65" s="34"/>
      <c r="N65" s="34"/>
      <c r="S65" s="64">
        <f t="shared" si="46"/>
        <v>1460.9970000000001</v>
      </c>
      <c r="T65" s="64">
        <f t="shared" si="47"/>
        <v>1964.5900000000001</v>
      </c>
      <c r="U65" s="34"/>
      <c r="V65" s="34" t="s">
        <v>938</v>
      </c>
      <c r="W65" s="76"/>
      <c r="X65" s="35"/>
      <c r="Y65" s="87"/>
      <c r="Z65" s="35"/>
      <c r="AA65" s="35"/>
      <c r="AB65" s="35"/>
      <c r="AC65" s="35"/>
      <c r="AD65" s="35"/>
      <c r="AE65" s="35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 spans="2:82">
      <c r="V66" s="88" t="s">
        <v>938</v>
      </c>
      <c r="Y66" s="89">
        <v>5.7500000000000002E-2</v>
      </c>
      <c r="AA66" s="90"/>
      <c r="AC66" s="49"/>
    </row>
    <row r="67" spans="2:82" ht="15">
      <c r="B67" s="1" t="s">
        <v>69</v>
      </c>
      <c r="F67" s="39">
        <f t="shared" ref="F67:I67" si="48">SUM(F46:F51)/SUM(F58:F60)</f>
        <v>3.2458038403765137</v>
      </c>
      <c r="G67" s="39">
        <f t="shared" si="48"/>
        <v>3.5575802820026201</v>
      </c>
      <c r="H67" s="39">
        <f t="shared" si="48"/>
        <v>4.6248380585935989</v>
      </c>
      <c r="I67" s="39">
        <f t="shared" si="48"/>
        <v>4.6867715650463611</v>
      </c>
      <c r="J67" s="39">
        <f>SUM(J46:J51)/SUM(J58:J60)</f>
        <v>4.251495153639925</v>
      </c>
      <c r="S67" s="39">
        <f>SUM(S46:S51)/SUM(S58:S60)</f>
        <v>3.2458038403765137</v>
      </c>
      <c r="T67" s="39">
        <f>SUM(T46:T51)/SUM(T58:T60)</f>
        <v>4.251495153639925</v>
      </c>
      <c r="V67" s="82" t="s">
        <v>939</v>
      </c>
      <c r="Y67" s="80">
        <v>0.23</v>
      </c>
      <c r="AA67" s="90"/>
      <c r="AB67" s="80"/>
      <c r="AC67" s="49"/>
      <c r="AD67" s="2"/>
      <c r="AE67" s="2"/>
    </row>
    <row r="68" spans="2:82" ht="15">
      <c r="B68" s="1" t="s">
        <v>70</v>
      </c>
      <c r="F68" s="39">
        <f t="shared" ref="F68:I68" si="49">(SUM(F46:F47)+F48)/SUM(F58:F60)</f>
        <v>1.4186234515363907</v>
      </c>
      <c r="G68" s="39">
        <f t="shared" si="49"/>
        <v>1.5242112711104716</v>
      </c>
      <c r="H68" s="39">
        <f t="shared" si="49"/>
        <v>3.0771786331867292</v>
      </c>
      <c r="I68" s="39">
        <f t="shared" si="49"/>
        <v>3.0694745715088505</v>
      </c>
      <c r="J68" s="39">
        <f>(SUM(J46:J47)+J48)/SUM(J58:J60)</f>
        <v>2.7546401319859761</v>
      </c>
      <c r="S68" s="39">
        <f>(SUM(S46:S47)+S48)/SUM(S58:S60)</f>
        <v>1.4186234515363907</v>
      </c>
      <c r="T68" s="39">
        <f>(SUM(T46:T47)+T48)/SUM(T58:T60)</f>
        <v>2.7546401319859761</v>
      </c>
      <c r="V68" s="91" t="s">
        <v>940</v>
      </c>
      <c r="Y68" s="84">
        <f>Y66*(1-Y67)</f>
        <v>4.4275000000000002E-2</v>
      </c>
      <c r="AC68" s="49"/>
    </row>
    <row r="69" spans="2:82">
      <c r="B69" s="1" t="s">
        <v>71</v>
      </c>
      <c r="F69" s="39">
        <f t="shared" ref="F69:I69" si="50">F15/F56</f>
        <v>0.32528526440216482</v>
      </c>
      <c r="G69" s="39">
        <f t="shared" si="50"/>
        <v>0.36125012012886171</v>
      </c>
      <c r="H69" s="39">
        <f t="shared" si="50"/>
        <v>0.27761503450023151</v>
      </c>
      <c r="I69" s="39">
        <f t="shared" si="50"/>
        <v>0.2769831247496537</v>
      </c>
      <c r="J69" s="39">
        <f>J15/J56</f>
        <v>0.30357788218286963</v>
      </c>
      <c r="S69" s="39">
        <f>S15/S56</f>
        <v>1.1453012396193603</v>
      </c>
      <c r="T69" s="39">
        <f>T15/T56</f>
        <v>1.1131229734751118</v>
      </c>
      <c r="AC69" s="49"/>
    </row>
    <row r="70" spans="2:82" ht="15">
      <c r="B70" s="1" t="s">
        <v>72</v>
      </c>
      <c r="F70" s="65">
        <f t="shared" ref="F70:I70" si="51">F29/F56</f>
        <v>-1.340508263786837E-2</v>
      </c>
      <c r="G70" s="65">
        <f t="shared" si="51"/>
        <v>9.026030009234293E-3</v>
      </c>
      <c r="H70" s="65">
        <f t="shared" si="51"/>
        <v>-0.4853517909265469</v>
      </c>
      <c r="I70" s="65">
        <f t="shared" si="51"/>
        <v>-2.7880294473475252E-2</v>
      </c>
      <c r="J70" s="65">
        <f>J29/J56</f>
        <v>-2.2751543594781494E-2</v>
      </c>
      <c r="S70" s="65">
        <f>S29/S56</f>
        <v>-1.7310592034430833E-2</v>
      </c>
      <c r="T70" s="65">
        <f>T29/T56</f>
        <v>-0.5140071364217107</v>
      </c>
      <c r="V70" s="34" t="s">
        <v>941</v>
      </c>
      <c r="Y70" s="84">
        <f>(Y56*Y63)+(Y55*Y68*(1-Y67))</f>
        <v>0.27569661908335763</v>
      </c>
      <c r="AC70" s="49"/>
      <c r="AD70" s="81"/>
    </row>
    <row r="71" spans="2:82">
      <c r="B71" s="1" t="s">
        <v>73</v>
      </c>
      <c r="F71" s="65">
        <f t="shared" ref="F71:I71" si="52">F29/F64</f>
        <v>-2.0411672746221968E-2</v>
      </c>
      <c r="G71" s="65">
        <f t="shared" si="52"/>
        <v>1.3198574338085597E-2</v>
      </c>
      <c r="H71" s="65">
        <f t="shared" si="52"/>
        <v>-0.64656849358233737</v>
      </c>
      <c r="I71" s="65">
        <f t="shared" si="52"/>
        <v>-3.7906282261808234E-2</v>
      </c>
      <c r="J71" s="65">
        <f>J29/J64</f>
        <v>-3.1887707783405772E-2</v>
      </c>
      <c r="S71" s="65">
        <f>S29/S64</f>
        <v>-2.6358520062532458E-2</v>
      </c>
      <c r="T71" s="65">
        <f>T29/T64</f>
        <v>-0.72041306984376108</v>
      </c>
    </row>
    <row r="73" spans="2:82" ht="15">
      <c r="B73" s="1" t="s">
        <v>74</v>
      </c>
      <c r="C73" s="63"/>
      <c r="D73" s="63"/>
      <c r="E73" s="63"/>
      <c r="F73" s="63"/>
      <c r="G73" s="63">
        <f>G29</f>
        <v>12.961000000000057</v>
      </c>
      <c r="H73" s="63">
        <f>H29</f>
        <v>-923.35800000000017</v>
      </c>
      <c r="I73" s="63">
        <f>I29</f>
        <v>-54.708999999999968</v>
      </c>
      <c r="J73" s="63">
        <f>J29</f>
        <v>-44.696999999999875</v>
      </c>
      <c r="T73" s="63">
        <f>T29</f>
        <v>-1009.803</v>
      </c>
      <c r="V73" s="34"/>
      <c r="W73" s="34"/>
      <c r="X73" s="34"/>
      <c r="Y73" s="34"/>
      <c r="Z73" s="34"/>
      <c r="AA73" s="34"/>
      <c r="AB73" s="34"/>
      <c r="AC73" s="34"/>
      <c r="AD73" s="34"/>
      <c r="AE73" s="34"/>
    </row>
    <row r="74" spans="2:82" s="2" customFormat="1" ht="15">
      <c r="B74" s="2" t="s">
        <v>75</v>
      </c>
      <c r="C74" s="64"/>
      <c r="D74" s="64"/>
      <c r="E74" s="64"/>
      <c r="F74" s="64"/>
      <c r="G74" s="64">
        <v>6.7</v>
      </c>
      <c r="H74" s="64">
        <v>-3.3099999999999996</v>
      </c>
      <c r="I74" s="64">
        <f>20.227-SUM(G74:H74)</f>
        <v>16.837</v>
      </c>
      <c r="J74" s="64">
        <f>52.78-SUM(G74:I74)</f>
        <v>32.552999999999997</v>
      </c>
      <c r="K74" s="34"/>
      <c r="L74" s="34"/>
      <c r="M74" s="34"/>
      <c r="N74" s="34"/>
      <c r="T74" s="64">
        <f t="shared" ref="T74:T78" si="53">SUM(G74:J74)</f>
        <v>52.78</v>
      </c>
      <c r="U74" s="34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 spans="2:82" ht="15">
      <c r="B75" s="1" t="s">
        <v>76</v>
      </c>
      <c r="C75" s="63"/>
      <c r="D75" s="63"/>
      <c r="E75" s="63"/>
      <c r="F75" s="63"/>
      <c r="G75" s="63">
        <f>-1.59-3.198</f>
        <v>-4.7880000000000003</v>
      </c>
      <c r="H75" s="63">
        <f>-3.63-6.38-G75</f>
        <v>-5.2219999999999995</v>
      </c>
      <c r="I75" s="63">
        <f>-5.688-8.046-SUM(G75:H75)</f>
        <v>-3.7239999999999984</v>
      </c>
      <c r="J75" s="63">
        <f>-19.887-8.83-SUM(G75:I75)</f>
        <v>-14.983000000000001</v>
      </c>
      <c r="T75" s="63">
        <f t="shared" si="53"/>
        <v>-28.716999999999999</v>
      </c>
      <c r="V75" s="34"/>
      <c r="W75" s="34"/>
      <c r="X75" s="34"/>
      <c r="Y75" s="34"/>
      <c r="Z75" s="34"/>
      <c r="AA75" s="34"/>
      <c r="AB75" s="34"/>
      <c r="AC75" s="34"/>
      <c r="AD75" s="34"/>
      <c r="AE75" s="34"/>
    </row>
    <row r="76" spans="2:82" s="2" customFormat="1" ht="15">
      <c r="B76" s="2" t="s">
        <v>77</v>
      </c>
      <c r="C76" s="64"/>
      <c r="D76" s="64"/>
      <c r="E76" s="64"/>
      <c r="F76" s="64"/>
      <c r="G76" s="64">
        <f>G74+G75</f>
        <v>1.9119999999999999</v>
      </c>
      <c r="H76" s="64">
        <f>H74+H75</f>
        <v>-8.532</v>
      </c>
      <c r="I76" s="64">
        <f>I74+I75</f>
        <v>13.113000000000001</v>
      </c>
      <c r="J76" s="64">
        <f>J74+J75</f>
        <v>17.569999999999997</v>
      </c>
      <c r="K76" s="34"/>
      <c r="L76" s="34"/>
      <c r="M76" s="34"/>
      <c r="N76" s="34"/>
      <c r="T76" s="64">
        <f t="shared" si="53"/>
        <v>24.062999999999999</v>
      </c>
      <c r="U76" s="34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 spans="2:82">
      <c r="B77" s="1" t="s">
        <v>78</v>
      </c>
      <c r="C77" s="63"/>
      <c r="D77" s="63"/>
      <c r="E77" s="63"/>
      <c r="F77" s="63"/>
      <c r="G77" s="63">
        <f>G32</f>
        <v>65.867999999999995</v>
      </c>
      <c r="H77" s="63">
        <f>H32</f>
        <v>126.62</v>
      </c>
      <c r="I77" s="63">
        <f>I32</f>
        <v>371.82900000000001</v>
      </c>
      <c r="J77" s="63">
        <f>J32</f>
        <v>371.82900000000001</v>
      </c>
      <c r="T77" s="63">
        <f t="shared" si="53"/>
        <v>936.14599999999996</v>
      </c>
    </row>
    <row r="78" spans="2:82">
      <c r="B78" s="1" t="s">
        <v>79</v>
      </c>
      <c r="C78" s="39"/>
      <c r="D78" s="39"/>
      <c r="E78" s="39"/>
      <c r="F78" s="39"/>
      <c r="G78" s="39">
        <f t="shared" ref="G78:H78" si="54">G76/G77</f>
        <v>2.9027752474646264E-2</v>
      </c>
      <c r="H78" s="39">
        <f t="shared" si="54"/>
        <v>-6.7382719949455064E-2</v>
      </c>
      <c r="I78" s="39">
        <f>I76/I77</f>
        <v>3.5266211080900091E-2</v>
      </c>
      <c r="J78" s="39">
        <f>J76/J77</f>
        <v>4.7252903888615458E-2</v>
      </c>
      <c r="T78" s="63">
        <f t="shared" si="53"/>
        <v>4.4164147494706749E-2</v>
      </c>
    </row>
  </sheetData>
  <mergeCells count="1">
    <mergeCell ref="AC61:AD61"/>
  </mergeCells>
  <conditionalFormatting sqref="AC6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8" operator="containsText" text="Strong Sell">
      <formula>NOT(ISERROR(SEARCH("Strong Sell",AC61)))</formula>
    </cfRule>
    <cfRule type="containsText" dxfId="3" priority="9" operator="containsText" text="Sell">
      <formula>NOT(ISERROR(SEARCH("Sell",AC61)))</formula>
    </cfRule>
    <cfRule type="containsText" dxfId="2" priority="10" operator="containsText" text="Hold">
      <formula>NOT(ISERROR(SEARCH("Hold",AC61)))</formula>
    </cfRule>
    <cfRule type="beginsWith" dxfId="1" priority="11" operator="beginsWith" text="Buy">
      <formula>LEFT(AC61,LEN("Buy"))="Buy"</formula>
    </cfRule>
    <cfRule type="beginsWith" dxfId="0" priority="12" operator="beginsWith" text="Strong">
      <formula>LEFT(AC61,LEN("Strong"))="Strong"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I1524"/>
  <sheetViews>
    <sheetView topLeftCell="P21" zoomScale="70" zoomScaleNormal="70" workbookViewId="0">
      <selection activeCell="Q67" sqref="Q67"/>
    </sheetView>
  </sheetViews>
  <sheetFormatPr defaultColWidth="9.140625" defaultRowHeight="14.25"/>
  <cols>
    <col min="1" max="7" width="0" style="1" hidden="1" customWidth="1"/>
    <col min="8" max="8" width="3.140625" style="1" hidden="1" customWidth="1"/>
    <col min="9" max="15" width="0" style="1" hidden="1" customWidth="1"/>
    <col min="16" max="16" width="3.140625" style="1" customWidth="1"/>
    <col min="17" max="36" width="9.140625" style="1"/>
    <col min="37" max="37" width="2.85546875" style="1" customWidth="1"/>
    <col min="38" max="16384" width="9.140625" style="1"/>
  </cols>
  <sheetData>
    <row r="1" spans="16:87">
      <c r="CI1" s="1">
        <v>0</v>
      </c>
    </row>
    <row r="2" spans="16:87" ht="15">
      <c r="P2" s="2" t="s">
        <v>99</v>
      </c>
      <c r="AL2" s="2" t="s">
        <v>953</v>
      </c>
    </row>
    <row r="32" spans="17:18">
      <c r="Q32" s="1" t="s">
        <v>15</v>
      </c>
      <c r="R32" s="1" t="s">
        <v>16</v>
      </c>
    </row>
    <row r="33" spans="16:38">
      <c r="R33" s="1" t="s">
        <v>17</v>
      </c>
    </row>
    <row r="34" spans="16:38">
      <c r="R34" s="1" t="s">
        <v>18</v>
      </c>
    </row>
    <row r="35" spans="16:38" ht="15">
      <c r="AL35" s="2" t="s">
        <v>954</v>
      </c>
    </row>
    <row r="36" spans="16:38" ht="15">
      <c r="P36" s="2" t="s">
        <v>952</v>
      </c>
      <c r="AL36" s="2" t="s">
        <v>80</v>
      </c>
    </row>
    <row r="38" spans="16:38" ht="15">
      <c r="AL38" s="2"/>
    </row>
    <row r="65" spans="16:38">
      <c r="Q65" s="1" t="s">
        <v>15</v>
      </c>
      <c r="R65" s="1" t="s">
        <v>16</v>
      </c>
    </row>
    <row r="66" spans="16:38">
      <c r="R66" s="1" t="s">
        <v>17</v>
      </c>
    </row>
    <row r="67" spans="16:38">
      <c r="R67" s="1" t="s">
        <v>18</v>
      </c>
    </row>
    <row r="69" spans="16:38" ht="15">
      <c r="P69" s="2" t="s">
        <v>14</v>
      </c>
      <c r="AL69" s="2" t="s">
        <v>81</v>
      </c>
    </row>
    <row r="101" spans="16:38">
      <c r="Q101" s="1" t="s">
        <v>15</v>
      </c>
      <c r="R101" s="1" t="s">
        <v>16</v>
      </c>
    </row>
    <row r="102" spans="16:38">
      <c r="R102" s="1" t="s">
        <v>17</v>
      </c>
    </row>
    <row r="103" spans="16:38">
      <c r="R103" s="1" t="s">
        <v>18</v>
      </c>
    </row>
    <row r="105" spans="16:38" ht="15">
      <c r="P105" s="2" t="s">
        <v>101</v>
      </c>
      <c r="AL105" s="2" t="s">
        <v>82</v>
      </c>
    </row>
    <row r="134" spans="17:38" ht="15">
      <c r="Q134" s="1" t="s">
        <v>15</v>
      </c>
      <c r="R134" s="1" t="s">
        <v>16</v>
      </c>
      <c r="AL134" s="2" t="s">
        <v>83</v>
      </c>
    </row>
    <row r="135" spans="17:38">
      <c r="R135" s="1" t="s">
        <v>17</v>
      </c>
    </row>
    <row r="136" spans="17:38">
      <c r="R136" s="1" t="s">
        <v>18</v>
      </c>
    </row>
    <row r="151" spans="1:15">
      <c r="A151" s="1" t="s">
        <v>119</v>
      </c>
    </row>
    <row r="152" spans="1:15">
      <c r="A152" s="1" t="s">
        <v>26</v>
      </c>
      <c r="I152" s="1" t="s">
        <v>26</v>
      </c>
    </row>
    <row r="153" spans="1:15">
      <c r="A153" s="24" t="s">
        <v>19</v>
      </c>
      <c r="B153" s="24" t="s">
        <v>20</v>
      </c>
      <c r="C153" s="24" t="s">
        <v>21</v>
      </c>
      <c r="D153" s="24" t="s">
        <v>22</v>
      </c>
      <c r="E153" s="24" t="s">
        <v>23</v>
      </c>
      <c r="F153" s="24" t="s">
        <v>24</v>
      </c>
      <c r="G153" s="24" t="s">
        <v>25</v>
      </c>
      <c r="I153" s="24" t="s">
        <v>19</v>
      </c>
      <c r="J153" s="24" t="s">
        <v>20</v>
      </c>
      <c r="K153" s="24" t="s">
        <v>21</v>
      </c>
      <c r="L153" s="24" t="s">
        <v>22</v>
      </c>
      <c r="M153" s="24" t="s">
        <v>23</v>
      </c>
      <c r="N153" s="24" t="s">
        <v>24</v>
      </c>
      <c r="O153" s="24" t="s">
        <v>25</v>
      </c>
    </row>
    <row r="154" spans="1:15">
      <c r="A154" s="72">
        <v>633.95000000000005</v>
      </c>
      <c r="B154" s="72">
        <v>637.77</v>
      </c>
      <c r="C154" s="72">
        <v>629.42999999999995</v>
      </c>
      <c r="D154" s="72">
        <v>637.65</v>
      </c>
      <c r="E154" s="72">
        <v>9408061.2331000008</v>
      </c>
      <c r="F154" s="72" t="s">
        <v>174</v>
      </c>
      <c r="G154" s="25">
        <f>A154/D154-1</f>
        <v>-5.8025562612717962E-3</v>
      </c>
      <c r="I154" s="72">
        <v>23.97</v>
      </c>
      <c r="J154" s="72">
        <v>24.64</v>
      </c>
      <c r="K154" s="72">
        <v>22.26</v>
      </c>
      <c r="L154" s="72">
        <v>22.75</v>
      </c>
      <c r="M154" s="72">
        <v>10649049.6293</v>
      </c>
      <c r="N154" s="72" t="s">
        <v>174</v>
      </c>
      <c r="O154" s="25">
        <f t="shared" ref="O154:O217" si="0">I154/L154-1</f>
        <v>5.3626373626373569E-2</v>
      </c>
    </row>
    <row r="155" spans="1:15">
      <c r="A155" s="72">
        <v>637.53</v>
      </c>
      <c r="B155" s="72">
        <v>638</v>
      </c>
      <c r="C155" s="72">
        <v>634.74</v>
      </c>
      <c r="D155" s="72">
        <v>634.77</v>
      </c>
      <c r="E155" s="72">
        <v>11992947.0348</v>
      </c>
      <c r="F155" s="72" t="s">
        <v>175</v>
      </c>
      <c r="G155" s="25">
        <f t="shared" ref="G155:G218" si="1">A155/D155-1</f>
        <v>4.3480315704900185E-3</v>
      </c>
      <c r="I155" s="72">
        <v>21.11</v>
      </c>
      <c r="J155" s="72">
        <v>21.58</v>
      </c>
      <c r="K155" s="72">
        <v>20.63</v>
      </c>
      <c r="L155" s="72">
        <v>20.74</v>
      </c>
      <c r="M155" s="72">
        <v>5432051.5405999999</v>
      </c>
      <c r="N155" s="72" t="s">
        <v>175</v>
      </c>
      <c r="O155" s="25">
        <f t="shared" si="0"/>
        <v>1.7839922854387735E-2</v>
      </c>
    </row>
    <row r="156" spans="1:15">
      <c r="A156" s="72">
        <v>632.21</v>
      </c>
      <c r="B156" s="72">
        <v>633.09</v>
      </c>
      <c r="C156" s="72">
        <v>625.4</v>
      </c>
      <c r="D156" s="72">
        <v>627.15</v>
      </c>
      <c r="E156" s="72">
        <v>6892400.0921999998</v>
      </c>
      <c r="F156" s="72" t="s">
        <v>176</v>
      </c>
      <c r="G156" s="25">
        <f t="shared" si="1"/>
        <v>8.0682452363869395E-3</v>
      </c>
      <c r="I156" s="72">
        <v>20.43</v>
      </c>
      <c r="J156" s="72">
        <v>20.61</v>
      </c>
      <c r="K156" s="72">
        <v>19.059999999999999</v>
      </c>
      <c r="L156" s="72">
        <v>19.3</v>
      </c>
      <c r="M156" s="72">
        <v>3019617.7178000002</v>
      </c>
      <c r="N156" s="72" t="s">
        <v>176</v>
      </c>
      <c r="O156" s="25">
        <f t="shared" si="0"/>
        <v>5.8549222797927403E-2</v>
      </c>
    </row>
    <row r="157" spans="1:15">
      <c r="A157" s="72">
        <v>627.63</v>
      </c>
      <c r="B157" s="72">
        <v>634.61</v>
      </c>
      <c r="C157" s="72">
        <v>625.75</v>
      </c>
      <c r="D157" s="72">
        <v>632.61</v>
      </c>
      <c r="E157" s="72">
        <v>10817766.553200001</v>
      </c>
      <c r="F157" s="72" t="s">
        <v>177</v>
      </c>
      <c r="G157" s="25">
        <f t="shared" si="1"/>
        <v>-7.8721487172191962E-3</v>
      </c>
      <c r="I157" s="72">
        <v>19.36</v>
      </c>
      <c r="J157" s="72">
        <v>20.55</v>
      </c>
      <c r="K157" s="72">
        <v>19.22</v>
      </c>
      <c r="L157" s="72">
        <v>20.36</v>
      </c>
      <c r="M157" s="72">
        <v>2387300.2546000001</v>
      </c>
      <c r="N157" s="72" t="s">
        <v>177</v>
      </c>
      <c r="O157" s="25">
        <f t="shared" si="0"/>
        <v>-4.9115913555992097E-2</v>
      </c>
    </row>
    <row r="158" spans="1:15">
      <c r="A158" s="72">
        <v>634.02</v>
      </c>
      <c r="B158" s="72">
        <v>634.58000000000004</v>
      </c>
      <c r="C158" s="72">
        <v>627.03</v>
      </c>
      <c r="D158" s="72">
        <v>627.48</v>
      </c>
      <c r="E158" s="72">
        <v>7448059</v>
      </c>
      <c r="F158" s="72" t="s">
        <v>178</v>
      </c>
      <c r="G158" s="25">
        <f t="shared" si="1"/>
        <v>1.0422642952763406E-2</v>
      </c>
      <c r="I158" s="72">
        <v>20.91</v>
      </c>
      <c r="J158" s="72">
        <v>21.09</v>
      </c>
      <c r="K158" s="72">
        <v>20.190000000000001</v>
      </c>
      <c r="L158" s="72">
        <v>20.239999999999998</v>
      </c>
      <c r="M158" s="72">
        <v>2938724</v>
      </c>
      <c r="N158" s="72" t="s">
        <v>178</v>
      </c>
      <c r="O158" s="25">
        <f t="shared" si="0"/>
        <v>3.310276679841917E-2</v>
      </c>
    </row>
    <row r="159" spans="1:15">
      <c r="A159" s="72">
        <v>629.53</v>
      </c>
      <c r="B159" s="72">
        <v>631.08000000000004</v>
      </c>
      <c r="C159" s="72">
        <v>626.80999999999995</v>
      </c>
      <c r="D159" s="72">
        <v>628.95000000000005</v>
      </c>
      <c r="E159" s="72">
        <v>5170563</v>
      </c>
      <c r="F159" s="72" t="s">
        <v>179</v>
      </c>
      <c r="G159" s="25">
        <f t="shared" si="1"/>
        <v>9.2217187375776E-4</v>
      </c>
      <c r="I159" s="72">
        <v>20.62</v>
      </c>
      <c r="J159" s="72">
        <v>20.68</v>
      </c>
      <c r="K159" s="72">
        <v>19.82</v>
      </c>
      <c r="L159" s="72">
        <v>20.18</v>
      </c>
      <c r="M159" s="72">
        <v>2062273</v>
      </c>
      <c r="N159" s="72" t="s">
        <v>179</v>
      </c>
      <c r="O159" s="25">
        <f t="shared" si="0"/>
        <v>2.1803766105054523E-2</v>
      </c>
    </row>
    <row r="160" spans="1:15">
      <c r="A160" s="72">
        <v>631.15</v>
      </c>
      <c r="B160" s="72">
        <v>633.79999999999995</v>
      </c>
      <c r="C160" s="72">
        <v>628</v>
      </c>
      <c r="D160" s="72">
        <v>629.11</v>
      </c>
      <c r="E160" s="72">
        <v>9509175</v>
      </c>
      <c r="F160" s="72" t="s">
        <v>180</v>
      </c>
      <c r="G160" s="25">
        <f t="shared" si="1"/>
        <v>3.2426761615615973E-3</v>
      </c>
      <c r="I160" s="72">
        <v>20.59</v>
      </c>
      <c r="J160" s="72">
        <v>20.97</v>
      </c>
      <c r="K160" s="72">
        <v>19.97</v>
      </c>
      <c r="L160" s="72">
        <v>20.010000000000002</v>
      </c>
      <c r="M160" s="72">
        <v>3095506</v>
      </c>
      <c r="N160" s="72" t="s">
        <v>180</v>
      </c>
      <c r="O160" s="25">
        <f t="shared" si="0"/>
        <v>2.8985507246376718E-2</v>
      </c>
    </row>
    <row r="161" spans="1:21">
      <c r="A161" s="72">
        <v>627.99</v>
      </c>
      <c r="B161" s="72">
        <v>629.92999999999995</v>
      </c>
      <c r="C161" s="72">
        <v>621.51</v>
      </c>
      <c r="D161" s="72">
        <v>625.54</v>
      </c>
      <c r="E161" s="72">
        <v>8039425</v>
      </c>
      <c r="F161" s="72" t="s">
        <v>181</v>
      </c>
      <c r="G161" s="25">
        <f t="shared" si="1"/>
        <v>3.9166160437382747E-3</v>
      </c>
      <c r="I161" s="72">
        <v>19.649999999999999</v>
      </c>
      <c r="J161" s="72">
        <v>20</v>
      </c>
      <c r="K161" s="72">
        <v>19.21</v>
      </c>
      <c r="L161" s="72">
        <v>19.510000000000002</v>
      </c>
      <c r="M161" s="72">
        <v>3410901</v>
      </c>
      <c r="N161" s="72" t="s">
        <v>181</v>
      </c>
      <c r="O161" s="25">
        <f t="shared" si="0"/>
        <v>7.1758072783185689E-3</v>
      </c>
    </row>
    <row r="162" spans="1:21">
      <c r="A162" s="72">
        <v>626.89</v>
      </c>
      <c r="B162" s="72">
        <v>631.16999999999996</v>
      </c>
      <c r="C162" s="72">
        <v>623.11500000000001</v>
      </c>
      <c r="D162" s="72">
        <v>626.92999999999995</v>
      </c>
      <c r="E162" s="72">
        <v>9248752</v>
      </c>
      <c r="F162" s="72" t="s">
        <v>182</v>
      </c>
      <c r="G162" s="25">
        <f t="shared" si="1"/>
        <v>-6.3802976408844359E-5</v>
      </c>
      <c r="I162" s="72">
        <v>19.690000000000001</v>
      </c>
      <c r="J162" s="72">
        <v>20.11</v>
      </c>
      <c r="K162" s="72">
        <v>19.02</v>
      </c>
      <c r="L162" s="72">
        <v>19.670000000000002</v>
      </c>
      <c r="M162" s="72">
        <v>3175842</v>
      </c>
      <c r="N162" s="72" t="s">
        <v>182</v>
      </c>
      <c r="O162" s="25">
        <f t="shared" si="0"/>
        <v>1.0167768174884628E-3</v>
      </c>
    </row>
    <row r="163" spans="1:21">
      <c r="A163" s="72">
        <v>626.49</v>
      </c>
      <c r="B163" s="72">
        <v>639.52</v>
      </c>
      <c r="C163" s="72">
        <v>625.76</v>
      </c>
      <c r="D163" s="72">
        <v>638.51</v>
      </c>
      <c r="E163" s="72">
        <v>8866872</v>
      </c>
      <c r="F163" s="72" t="s">
        <v>183</v>
      </c>
      <c r="G163" s="25">
        <f t="shared" si="1"/>
        <v>-1.8825077132699541E-2</v>
      </c>
      <c r="I163" s="72">
        <v>19.34</v>
      </c>
      <c r="J163" s="72">
        <v>21.06</v>
      </c>
      <c r="K163" s="72">
        <v>19.02</v>
      </c>
      <c r="L163" s="72">
        <v>20.82</v>
      </c>
      <c r="M163" s="72">
        <v>3512746</v>
      </c>
      <c r="N163" s="72" t="s">
        <v>183</v>
      </c>
      <c r="O163" s="25">
        <f t="shared" si="0"/>
        <v>-7.1085494716618625E-2</v>
      </c>
    </row>
    <row r="164" spans="1:21">
      <c r="A164" s="72">
        <v>636.35</v>
      </c>
      <c r="B164" s="72">
        <v>641.15</v>
      </c>
      <c r="C164" s="72">
        <v>633.84</v>
      </c>
      <c r="D164" s="72">
        <v>640.49</v>
      </c>
      <c r="E164" s="72">
        <v>5317092</v>
      </c>
      <c r="F164" s="72" t="s">
        <v>184</v>
      </c>
      <c r="G164" s="25">
        <f t="shared" si="1"/>
        <v>-6.4638011522427652E-3</v>
      </c>
      <c r="I164" s="72">
        <v>20.64</v>
      </c>
      <c r="J164" s="72">
        <v>22.8611</v>
      </c>
      <c r="K164" s="72">
        <v>20.46</v>
      </c>
      <c r="L164" s="72">
        <v>22.73</v>
      </c>
      <c r="M164" s="72">
        <v>2305920</v>
      </c>
      <c r="N164" s="72" t="s">
        <v>184</v>
      </c>
      <c r="O164" s="25">
        <f t="shared" si="0"/>
        <v>-9.1948966124065112E-2</v>
      </c>
    </row>
    <row r="165" spans="1:21">
      <c r="A165" s="72">
        <v>636.44000000000005</v>
      </c>
      <c r="B165" s="72">
        <v>640.62</v>
      </c>
      <c r="C165" s="72">
        <v>636.08000000000004</v>
      </c>
      <c r="D165" s="72">
        <v>639.14</v>
      </c>
      <c r="E165" s="72">
        <v>13619951</v>
      </c>
      <c r="F165" s="72" t="s">
        <v>185</v>
      </c>
      <c r="G165" s="25">
        <f t="shared" si="1"/>
        <v>-4.2244265732076514E-3</v>
      </c>
      <c r="I165" s="72">
        <v>22.72</v>
      </c>
      <c r="J165" s="72">
        <v>23.725000000000001</v>
      </c>
      <c r="K165" s="72">
        <v>22.57</v>
      </c>
      <c r="L165" s="72">
        <v>22.57</v>
      </c>
      <c r="M165" s="72">
        <v>1969064</v>
      </c>
      <c r="N165" s="72" t="s">
        <v>185</v>
      </c>
      <c r="O165" s="25">
        <f t="shared" si="0"/>
        <v>6.645990252547529E-3</v>
      </c>
    </row>
    <row r="166" spans="1:21">
      <c r="A166" s="72">
        <v>638.23</v>
      </c>
      <c r="B166" s="72">
        <v>639.99</v>
      </c>
      <c r="C166" s="72">
        <v>633.11</v>
      </c>
      <c r="D166" s="72">
        <v>634.07000000000005</v>
      </c>
      <c r="E166" s="72">
        <v>8885179</v>
      </c>
      <c r="F166" s="72" t="s">
        <v>186</v>
      </c>
      <c r="G166" s="25">
        <f t="shared" si="1"/>
        <v>6.5607898181587743E-3</v>
      </c>
      <c r="I166" s="72">
        <v>22.4</v>
      </c>
      <c r="J166" s="72">
        <v>22.69</v>
      </c>
      <c r="K166" s="72">
        <v>21.45</v>
      </c>
      <c r="L166" s="72">
        <v>21.59</v>
      </c>
      <c r="M166" s="72">
        <v>3127062</v>
      </c>
      <c r="N166" s="72" t="s">
        <v>186</v>
      </c>
      <c r="O166" s="25">
        <f t="shared" si="0"/>
        <v>3.7517369152385349E-2</v>
      </c>
      <c r="Q166" s="1" t="s">
        <v>15</v>
      </c>
      <c r="R166" s="1" t="s">
        <v>16</v>
      </c>
    </row>
    <row r="167" spans="1:21">
      <c r="A167" s="72">
        <v>635.24</v>
      </c>
      <c r="B167" s="72">
        <v>636.72</v>
      </c>
      <c r="C167" s="72">
        <v>626.20000000000005</v>
      </c>
      <c r="D167" s="72">
        <v>626.72</v>
      </c>
      <c r="E167" s="72">
        <v>12959420</v>
      </c>
      <c r="F167" s="72" t="s">
        <v>187</v>
      </c>
      <c r="G167" s="25">
        <f t="shared" si="1"/>
        <v>1.3594587694664151E-2</v>
      </c>
      <c r="I167" s="72">
        <v>21.78</v>
      </c>
      <c r="J167" s="72">
        <v>21.89</v>
      </c>
      <c r="K167" s="72">
        <v>20.87</v>
      </c>
      <c r="L167" s="72">
        <v>21.27</v>
      </c>
      <c r="M167" s="72">
        <v>3118664</v>
      </c>
      <c r="N167" s="72" t="s">
        <v>187</v>
      </c>
      <c r="O167" s="25">
        <f t="shared" si="0"/>
        <v>2.3977433004231496E-2</v>
      </c>
      <c r="R167" s="1" t="s">
        <v>17</v>
      </c>
    </row>
    <row r="168" spans="1:21">
      <c r="A168" s="72">
        <v>623.1</v>
      </c>
      <c r="B168" s="72">
        <v>628.75</v>
      </c>
      <c r="C168" s="72">
        <v>621.5</v>
      </c>
      <c r="D168" s="72">
        <v>626.24</v>
      </c>
      <c r="E168" s="72">
        <v>11506981</v>
      </c>
      <c r="F168" s="72" t="s">
        <v>188</v>
      </c>
      <c r="G168" s="25">
        <f t="shared" si="1"/>
        <v>-5.0140521205926936E-3</v>
      </c>
      <c r="I168" s="72">
        <v>20.77</v>
      </c>
      <c r="J168" s="72">
        <v>21.98</v>
      </c>
      <c r="K168" s="72">
        <v>20.53</v>
      </c>
      <c r="L168" s="72">
        <v>21.49</v>
      </c>
      <c r="M168" s="72">
        <v>2807110</v>
      </c>
      <c r="N168" s="72" t="s">
        <v>188</v>
      </c>
      <c r="O168" s="25">
        <f t="shared" si="0"/>
        <v>-3.3503955328059498E-2</v>
      </c>
      <c r="R168" s="1" t="s">
        <v>18</v>
      </c>
    </row>
    <row r="169" spans="1:21">
      <c r="A169" s="72">
        <v>630.91</v>
      </c>
      <c r="B169" s="72">
        <v>635.91999999999996</v>
      </c>
      <c r="C169" s="72">
        <v>627</v>
      </c>
      <c r="D169" s="72">
        <v>634.92999999999995</v>
      </c>
      <c r="E169" s="72">
        <v>11228241</v>
      </c>
      <c r="F169" s="72" t="s">
        <v>189</v>
      </c>
      <c r="G169" s="25">
        <f t="shared" si="1"/>
        <v>-6.3314066117524659E-3</v>
      </c>
      <c r="I169" s="72">
        <v>21.73</v>
      </c>
      <c r="J169" s="72">
        <v>22.14</v>
      </c>
      <c r="K169" s="72">
        <v>20.9</v>
      </c>
      <c r="L169" s="72">
        <v>21.6</v>
      </c>
      <c r="M169" s="72">
        <v>3690712</v>
      </c>
      <c r="N169" s="72" t="s">
        <v>189</v>
      </c>
      <c r="O169" s="25">
        <f t="shared" si="0"/>
        <v>6.0185185185184231E-3</v>
      </c>
    </row>
    <row r="170" spans="1:21">
      <c r="A170" s="72">
        <v>634.15</v>
      </c>
      <c r="B170" s="72">
        <v>641</v>
      </c>
      <c r="C170" s="72">
        <v>629.10500000000002</v>
      </c>
      <c r="D170" s="72">
        <v>640.33000000000004</v>
      </c>
      <c r="E170" s="72">
        <v>9644195</v>
      </c>
      <c r="F170" s="72" t="s">
        <v>190</v>
      </c>
      <c r="G170" s="25">
        <f t="shared" si="1"/>
        <v>-9.6512735620696288E-3</v>
      </c>
      <c r="I170" s="72">
        <v>21.86</v>
      </c>
      <c r="J170" s="72">
        <v>23.815000000000001</v>
      </c>
      <c r="K170" s="72">
        <v>21.645</v>
      </c>
      <c r="L170" s="72">
        <v>23.63</v>
      </c>
      <c r="M170" s="72">
        <v>5027653</v>
      </c>
      <c r="N170" s="72" t="s">
        <v>190</v>
      </c>
      <c r="O170" s="25">
        <f t="shared" si="0"/>
        <v>-7.4904782056707586E-2</v>
      </c>
      <c r="Q170" s="26"/>
      <c r="R170" s="26" t="s">
        <v>27</v>
      </c>
      <c r="S170" s="27">
        <f>MIN(O154:O331)</f>
        <v>-0.10143442622950827</v>
      </c>
    </row>
    <row r="171" spans="1:21">
      <c r="A171" s="72">
        <v>639.67999999999995</v>
      </c>
      <c r="B171" s="72">
        <v>640.96</v>
      </c>
      <c r="C171" s="72">
        <v>634.07000000000005</v>
      </c>
      <c r="D171" s="72">
        <v>634.17999999999995</v>
      </c>
      <c r="E171" s="72">
        <v>9124531</v>
      </c>
      <c r="F171" s="72" t="s">
        <v>191</v>
      </c>
      <c r="G171" s="25">
        <f t="shared" si="1"/>
        <v>8.6726166072723654E-3</v>
      </c>
      <c r="I171" s="72">
        <v>24.03</v>
      </c>
      <c r="J171" s="72">
        <v>25.82</v>
      </c>
      <c r="K171" s="72">
        <v>23.93</v>
      </c>
      <c r="L171" s="72">
        <v>25.42</v>
      </c>
      <c r="M171" s="72">
        <v>3671342</v>
      </c>
      <c r="N171" s="72" t="s">
        <v>191</v>
      </c>
      <c r="O171" s="25">
        <f t="shared" si="0"/>
        <v>-5.468135326514556E-2</v>
      </c>
      <c r="Q171" s="26"/>
      <c r="R171" s="26" t="s">
        <v>28</v>
      </c>
      <c r="S171" s="27">
        <f>MAX(O154:O331)</f>
        <v>0.37444444444444436</v>
      </c>
    </row>
    <row r="172" spans="1:21">
      <c r="A172" s="72">
        <v>636.22</v>
      </c>
      <c r="B172" s="72">
        <v>638.45000000000005</v>
      </c>
      <c r="C172" s="72">
        <v>631.95000000000005</v>
      </c>
      <c r="D172" s="72">
        <v>636.25</v>
      </c>
      <c r="E172" s="72">
        <v>6519552</v>
      </c>
      <c r="F172" s="72" t="s">
        <v>192</v>
      </c>
      <c r="G172" s="25">
        <f t="shared" si="1"/>
        <v>-4.71512770137128E-5</v>
      </c>
      <c r="I172" s="72">
        <v>25.42</v>
      </c>
      <c r="J172" s="72">
        <v>25.86</v>
      </c>
      <c r="K172" s="72">
        <v>24.77</v>
      </c>
      <c r="L172" s="72">
        <v>24.81</v>
      </c>
      <c r="M172" s="72">
        <v>3200313</v>
      </c>
      <c r="N172" s="72" t="s">
        <v>192</v>
      </c>
      <c r="O172" s="25">
        <f t="shared" si="0"/>
        <v>2.4586860137041588E-2</v>
      </c>
      <c r="Q172" s="26"/>
      <c r="R172" s="26" t="s">
        <v>29</v>
      </c>
      <c r="S172" s="27">
        <f>AVERAGE(O154:O331)</f>
        <v>1.1074527751189691E-3</v>
      </c>
    </row>
    <row r="173" spans="1:21">
      <c r="A173" s="72">
        <v>638.27</v>
      </c>
      <c r="B173" s="72">
        <v>641.04</v>
      </c>
      <c r="C173" s="72">
        <v>629.82000000000005</v>
      </c>
      <c r="D173" s="72">
        <v>640.42999999999995</v>
      </c>
      <c r="E173" s="72">
        <v>8485857</v>
      </c>
      <c r="F173" s="72" t="s">
        <v>193</v>
      </c>
      <c r="G173" s="25">
        <f t="shared" si="1"/>
        <v>-3.37273394438109E-3</v>
      </c>
      <c r="I173" s="72">
        <v>24.88</v>
      </c>
      <c r="J173" s="72">
        <v>26.285</v>
      </c>
      <c r="K173" s="72">
        <v>24.54</v>
      </c>
      <c r="L173" s="72">
        <v>26.18</v>
      </c>
      <c r="M173" s="72">
        <v>4223666</v>
      </c>
      <c r="N173" s="72" t="s">
        <v>193</v>
      </c>
      <c r="O173" s="25">
        <f t="shared" si="0"/>
        <v>-4.9656226126814418E-2</v>
      </c>
      <c r="Q173" s="26"/>
      <c r="R173" s="26" t="s">
        <v>30</v>
      </c>
      <c r="S173" s="27">
        <f>MEDIAN(O154:O331)</f>
        <v>9.8488142018005043E-4</v>
      </c>
    </row>
    <row r="174" spans="1:21" ht="15">
      <c r="A174" s="72">
        <v>639.6</v>
      </c>
      <c r="B174" s="72">
        <v>641.80999999999995</v>
      </c>
      <c r="C174" s="72">
        <v>638.22</v>
      </c>
      <c r="D174" s="72">
        <v>641.04999999999995</v>
      </c>
      <c r="E174" s="72">
        <v>5488373</v>
      </c>
      <c r="F174" s="72" t="s">
        <v>194</v>
      </c>
      <c r="G174" s="25">
        <f t="shared" si="1"/>
        <v>-2.2619140472660559E-3</v>
      </c>
      <c r="I174" s="72">
        <v>26.22</v>
      </c>
      <c r="J174" s="72">
        <v>27.74</v>
      </c>
      <c r="K174" s="72">
        <v>26.17</v>
      </c>
      <c r="L174" s="72">
        <v>26.99</v>
      </c>
      <c r="M174" s="72">
        <v>2666947</v>
      </c>
      <c r="N174" s="72" t="s">
        <v>194</v>
      </c>
      <c r="O174" s="25">
        <f t="shared" si="0"/>
        <v>-2.8529084846239283E-2</v>
      </c>
      <c r="Q174" s="26"/>
      <c r="R174" s="26" t="s">
        <v>31</v>
      </c>
      <c r="S174" s="27">
        <f>_xlfn.STDEV.P(O154:O331)</f>
        <v>4.6474805157480016E-2</v>
      </c>
      <c r="U174" s="2"/>
    </row>
    <row r="175" spans="1:21" ht="15">
      <c r="A175" s="72">
        <v>639.70000000000005</v>
      </c>
      <c r="B175" s="72">
        <v>640.59590000000003</v>
      </c>
      <c r="C175" s="72">
        <v>637.87</v>
      </c>
      <c r="D175" s="72">
        <v>638.41999999999996</v>
      </c>
      <c r="E175" s="72">
        <v>4308306</v>
      </c>
      <c r="F175" s="72" t="s">
        <v>195</v>
      </c>
      <c r="G175" s="25">
        <f t="shared" si="1"/>
        <v>2.0049497196203969E-3</v>
      </c>
      <c r="I175" s="72">
        <v>26.62</v>
      </c>
      <c r="J175" s="72">
        <v>27.09</v>
      </c>
      <c r="K175" s="72">
        <v>26.1723</v>
      </c>
      <c r="L175" s="72">
        <v>26.98</v>
      </c>
      <c r="M175" s="72">
        <v>2091373</v>
      </c>
      <c r="N175" s="72" t="s">
        <v>195</v>
      </c>
      <c r="O175" s="25">
        <f t="shared" si="0"/>
        <v>-1.3343217197924417E-2</v>
      </c>
      <c r="Q175" s="26"/>
      <c r="R175" s="28" t="s">
        <v>32</v>
      </c>
      <c r="S175" s="27">
        <f>3*S174</f>
        <v>0.13942441547244006</v>
      </c>
      <c r="T175" s="26"/>
      <c r="U175" s="2" t="s">
        <v>93</v>
      </c>
    </row>
    <row r="176" spans="1:21" ht="15">
      <c r="A176" s="72">
        <v>637.09</v>
      </c>
      <c r="B176" s="72">
        <v>638.39</v>
      </c>
      <c r="C176" s="72">
        <v>634.52</v>
      </c>
      <c r="D176" s="72">
        <v>635.03</v>
      </c>
      <c r="E176" s="72">
        <v>8976388</v>
      </c>
      <c r="F176" s="72" t="s">
        <v>196</v>
      </c>
      <c r="G176" s="25">
        <f t="shared" si="1"/>
        <v>3.2439412311229265E-3</v>
      </c>
      <c r="I176" s="72">
        <v>26.89</v>
      </c>
      <c r="J176" s="72">
        <v>27.1416</v>
      </c>
      <c r="K176" s="72">
        <v>25.88</v>
      </c>
      <c r="L176" s="72">
        <v>26.29</v>
      </c>
      <c r="M176" s="72">
        <v>2120401</v>
      </c>
      <c r="N176" s="72" t="s">
        <v>196</v>
      </c>
      <c r="O176" s="25">
        <f t="shared" si="0"/>
        <v>2.2822365918600207E-2</v>
      </c>
      <c r="Q176" s="26"/>
      <c r="R176" s="28" t="s">
        <v>33</v>
      </c>
      <c r="S176" s="62">
        <f>_xlfn.COVARIANCE.P(O154:O331,G154:G331)/_xlfn.VAR.P(G154:G331)</f>
        <v>3.1001526091498586</v>
      </c>
      <c r="T176" s="26"/>
      <c r="U176" s="2" t="s">
        <v>34</v>
      </c>
    </row>
    <row r="177" spans="1:25">
      <c r="A177" s="72">
        <v>633.83000000000004</v>
      </c>
      <c r="B177" s="72">
        <v>635.47050000000002</v>
      </c>
      <c r="C177" s="72">
        <v>631.97</v>
      </c>
      <c r="D177" s="72">
        <v>632.88</v>
      </c>
      <c r="E177" s="72">
        <v>5827254</v>
      </c>
      <c r="F177" s="72" t="s">
        <v>197</v>
      </c>
      <c r="G177" s="25">
        <f t="shared" si="1"/>
        <v>1.5010744532930609E-3</v>
      </c>
      <c r="I177" s="72">
        <v>26.46</v>
      </c>
      <c r="J177" s="72">
        <v>27.29</v>
      </c>
      <c r="K177" s="72">
        <v>26.37</v>
      </c>
      <c r="L177" s="72">
        <v>26.94</v>
      </c>
      <c r="M177" s="72">
        <v>1616503</v>
      </c>
      <c r="N177" s="72" t="s">
        <v>197</v>
      </c>
      <c r="O177" s="25">
        <f t="shared" si="0"/>
        <v>-1.7817371937639215E-2</v>
      </c>
    </row>
    <row r="178" spans="1:25">
      <c r="A178" s="72">
        <v>633.57000000000005</v>
      </c>
      <c r="B178" s="72">
        <v>635.62</v>
      </c>
      <c r="C178" s="72">
        <v>631.75</v>
      </c>
      <c r="D178" s="72">
        <v>634.42999999999995</v>
      </c>
      <c r="E178" s="72">
        <v>6057784</v>
      </c>
      <c r="F178" s="72" t="s">
        <v>198</v>
      </c>
      <c r="G178" s="25">
        <f t="shared" si="1"/>
        <v>-1.3555474993299788E-3</v>
      </c>
      <c r="I178" s="72">
        <v>27</v>
      </c>
      <c r="J178" s="72">
        <v>27.54</v>
      </c>
      <c r="K178" s="72">
        <v>26.76</v>
      </c>
      <c r="L178" s="72">
        <v>26.8</v>
      </c>
      <c r="M178" s="72">
        <v>2261736</v>
      </c>
      <c r="N178" s="72" t="s">
        <v>198</v>
      </c>
      <c r="O178" s="25">
        <f t="shared" si="0"/>
        <v>7.4626865671640896E-3</v>
      </c>
      <c r="Q178" s="29" t="s">
        <v>35</v>
      </c>
      <c r="R178" s="30">
        <v>1014</v>
      </c>
    </row>
    <row r="179" spans="1:25" ht="15" thickBot="1">
      <c r="A179" s="72">
        <v>630.29</v>
      </c>
      <c r="B179" s="72">
        <v>633.4</v>
      </c>
      <c r="C179" s="72">
        <v>623.65</v>
      </c>
      <c r="D179" s="72">
        <v>625.02</v>
      </c>
      <c r="E179" s="72">
        <v>10354978</v>
      </c>
      <c r="F179" s="72" t="s">
        <v>199</v>
      </c>
      <c r="G179" s="25">
        <f t="shared" si="1"/>
        <v>8.4317301846341675E-3</v>
      </c>
      <c r="I179" s="72">
        <v>26.38</v>
      </c>
      <c r="J179" s="72">
        <v>26.550599999999999</v>
      </c>
      <c r="K179" s="72">
        <v>25.47</v>
      </c>
      <c r="L179" s="72">
        <v>25.92</v>
      </c>
      <c r="M179" s="72">
        <v>2183821</v>
      </c>
      <c r="N179" s="72" t="s">
        <v>199</v>
      </c>
      <c r="O179" s="25">
        <f t="shared" si="0"/>
        <v>1.7746913580246826E-2</v>
      </c>
      <c r="Q179" s="1" t="s">
        <v>36</v>
      </c>
      <c r="T179" s="1" t="s">
        <v>37</v>
      </c>
      <c r="X179" s="1" t="s">
        <v>38</v>
      </c>
    </row>
    <row r="180" spans="1:25" ht="15" customHeight="1">
      <c r="A180" s="72">
        <v>623.15</v>
      </c>
      <c r="B180" s="72">
        <v>629.75990000000002</v>
      </c>
      <c r="C180" s="72">
        <v>622.22</v>
      </c>
      <c r="D180" s="72">
        <v>626.76</v>
      </c>
      <c r="E180" s="72">
        <v>14877629</v>
      </c>
      <c r="F180" s="72" t="s">
        <v>200</v>
      </c>
      <c r="G180" s="25">
        <f t="shared" si="1"/>
        <v>-5.7597804582296686E-3</v>
      </c>
      <c r="I180" s="72">
        <v>25.67</v>
      </c>
      <c r="J180" s="72">
        <v>26.4</v>
      </c>
      <c r="K180" s="72">
        <v>24.77</v>
      </c>
      <c r="L180" s="72">
        <v>25.18</v>
      </c>
      <c r="M180" s="72">
        <v>3369177</v>
      </c>
      <c r="N180" s="72" t="s">
        <v>200</v>
      </c>
      <c r="O180" s="25">
        <f t="shared" si="0"/>
        <v>1.9459888800635428E-2</v>
      </c>
      <c r="Q180" s="75" t="s">
        <v>39</v>
      </c>
      <c r="R180" s="75" t="s">
        <v>40</v>
      </c>
      <c r="T180" s="31" t="s">
        <v>41</v>
      </c>
      <c r="U180" s="32" t="s">
        <v>42</v>
      </c>
      <c r="X180" s="31" t="s">
        <v>43</v>
      </c>
      <c r="Y180" s="32" t="s">
        <v>44</v>
      </c>
    </row>
    <row r="181" spans="1:25" ht="15" customHeight="1">
      <c r="A181" s="72">
        <v>636.09</v>
      </c>
      <c r="B181" s="72">
        <v>638.50990000000002</v>
      </c>
      <c r="C181" s="72">
        <v>634.67999999999995</v>
      </c>
      <c r="D181" s="72">
        <v>637.96</v>
      </c>
      <c r="E181" s="72">
        <v>6694041</v>
      </c>
      <c r="F181" s="72" t="s">
        <v>201</v>
      </c>
      <c r="G181" s="25">
        <f t="shared" si="1"/>
        <v>-2.9312182581979762E-3</v>
      </c>
      <c r="I181" s="72">
        <v>26.07</v>
      </c>
      <c r="J181" s="72">
        <v>26.4</v>
      </c>
      <c r="K181" s="72">
        <v>25.520099999999999</v>
      </c>
      <c r="L181" s="72">
        <v>26.04</v>
      </c>
      <c r="M181" s="72">
        <v>1441538</v>
      </c>
      <c r="N181" s="72" t="s">
        <v>201</v>
      </c>
      <c r="O181" s="25">
        <f t="shared" si="0"/>
        <v>1.1520737327188613E-3</v>
      </c>
      <c r="Q181" s="73">
        <v>-0.14000000000000007</v>
      </c>
      <c r="R181">
        <v>0</v>
      </c>
      <c r="T181" s="59">
        <f t="shared" ref="T181:T182" si="2">T182-0.0025</f>
        <v>-0.14500000000000007</v>
      </c>
      <c r="U181" s="1">
        <f t="shared" ref="U181:U212" si="3">_xlfn.NORM.DIST(T181,$S$172,$S$174,FALSE)</f>
        <v>6.130890782697531E-2</v>
      </c>
      <c r="W181" s="1" t="s">
        <v>84</v>
      </c>
      <c r="X181" s="59">
        <f>S172</f>
        <v>1.1074527751189691E-3</v>
      </c>
      <c r="Y181" s="1">
        <v>0</v>
      </c>
    </row>
    <row r="182" spans="1:25" ht="15">
      <c r="A182" s="72">
        <v>636.62</v>
      </c>
      <c r="B182" s="72">
        <v>639.58000000000004</v>
      </c>
      <c r="C182" s="72">
        <v>635.70000000000005</v>
      </c>
      <c r="D182" s="72">
        <v>638.77</v>
      </c>
      <c r="E182" s="72">
        <v>6751601</v>
      </c>
      <c r="F182" s="72" t="s">
        <v>202</v>
      </c>
      <c r="G182" s="25">
        <f t="shared" si="1"/>
        <v>-3.3658437309203038E-3</v>
      </c>
      <c r="I182" s="72">
        <v>25.84</v>
      </c>
      <c r="J182" s="72">
        <v>26.76</v>
      </c>
      <c r="K182" s="72">
        <v>25.18</v>
      </c>
      <c r="L182" s="72">
        <v>25.9</v>
      </c>
      <c r="M182" s="72">
        <v>2193318</v>
      </c>
      <c r="N182" s="72" t="s">
        <v>202</v>
      </c>
      <c r="O182" s="25">
        <f t="shared" si="0"/>
        <v>-2.3166023166022454E-3</v>
      </c>
      <c r="Q182" s="73">
        <v>-0.13750000000000007</v>
      </c>
      <c r="R182">
        <v>0</v>
      </c>
      <c r="T182" s="59">
        <f t="shared" si="2"/>
        <v>-0.14250000000000007</v>
      </c>
      <c r="U182" s="1">
        <f t="shared" si="3"/>
        <v>7.2500351894275547E-2</v>
      </c>
      <c r="X182" s="59">
        <f>S172</f>
        <v>1.1074527751189691E-3</v>
      </c>
      <c r="Y182" s="1">
        <v>9</v>
      </c>
    </row>
    <row r="183" spans="1:25" ht="15">
      <c r="A183" s="72">
        <v>634.94000000000005</v>
      </c>
      <c r="B183" s="72">
        <v>636.11900000000003</v>
      </c>
      <c r="C183" s="72">
        <v>631</v>
      </c>
      <c r="D183" s="72">
        <v>635.49</v>
      </c>
      <c r="E183" s="72">
        <v>8576256</v>
      </c>
      <c r="F183" s="72" t="s">
        <v>203</v>
      </c>
      <c r="G183" s="25">
        <f t="shared" si="1"/>
        <v>-8.6547388629243382E-4</v>
      </c>
      <c r="I183" s="72">
        <v>25.69</v>
      </c>
      <c r="J183" s="72">
        <v>26.74</v>
      </c>
      <c r="K183" s="72">
        <v>25.05</v>
      </c>
      <c r="L183" s="72">
        <v>26.72</v>
      </c>
      <c r="M183" s="72">
        <v>3842162</v>
      </c>
      <c r="N183" s="72" t="s">
        <v>203</v>
      </c>
      <c r="O183" s="25">
        <f t="shared" si="0"/>
        <v>-3.8547904191616689E-2</v>
      </c>
      <c r="Q183" s="73">
        <v>-0.13500000000000006</v>
      </c>
      <c r="R183">
        <v>0</v>
      </c>
      <c r="T183" s="59">
        <f t="shared" ref="T183:T192" si="4">T184-0.0025</f>
        <v>-0.14000000000000007</v>
      </c>
      <c r="U183" s="1">
        <f t="shared" si="3"/>
        <v>8.548697635775572E-2</v>
      </c>
      <c r="W183" s="38" t="s">
        <v>85</v>
      </c>
      <c r="X183" s="59">
        <f>($S$174*-3)+$S$172</f>
        <v>-0.13831696269732108</v>
      </c>
      <c r="Y183" s="1">
        <v>0</v>
      </c>
    </row>
    <row r="184" spans="1:25" ht="15">
      <c r="A184" s="72">
        <v>638.03</v>
      </c>
      <c r="B184" s="72">
        <v>640.15070000000003</v>
      </c>
      <c r="C184" s="72">
        <v>635.81500000000005</v>
      </c>
      <c r="D184" s="72">
        <v>639.67999999999995</v>
      </c>
      <c r="E184" s="72">
        <v>8837128</v>
      </c>
      <c r="F184" s="72" t="s">
        <v>204</v>
      </c>
      <c r="G184" s="25">
        <f t="shared" si="1"/>
        <v>-2.5794147073536777E-3</v>
      </c>
      <c r="I184" s="72">
        <v>26.72</v>
      </c>
      <c r="J184" s="72">
        <v>27.58</v>
      </c>
      <c r="K184" s="72">
        <v>25.96</v>
      </c>
      <c r="L184" s="72">
        <v>27.58</v>
      </c>
      <c r="M184" s="72">
        <v>4774820</v>
      </c>
      <c r="N184" s="72" t="s">
        <v>204</v>
      </c>
      <c r="O184" s="25">
        <f t="shared" si="0"/>
        <v>-3.1182015953589493E-2</v>
      </c>
      <c r="Q184" s="73">
        <v>-0.13250000000000006</v>
      </c>
      <c r="R184">
        <v>0</v>
      </c>
      <c r="T184" s="59">
        <f t="shared" si="4"/>
        <v>-0.13750000000000007</v>
      </c>
      <c r="U184" s="1">
        <f t="shared" si="3"/>
        <v>0.10050857267386507</v>
      </c>
      <c r="W184" s="39"/>
      <c r="X184" s="59">
        <f>($S$174*-3)+$S$172</f>
        <v>-0.13831696269732108</v>
      </c>
      <c r="Y184" s="1">
        <v>0.2</v>
      </c>
    </row>
    <row r="185" spans="1:25" ht="15">
      <c r="A185" s="72">
        <v>639.34</v>
      </c>
      <c r="B185" s="72">
        <v>640.16</v>
      </c>
      <c r="C185" s="72">
        <v>635.16</v>
      </c>
      <c r="D185" s="72">
        <v>635.19000000000005</v>
      </c>
      <c r="E185" s="72">
        <v>7889884</v>
      </c>
      <c r="F185" s="72" t="s">
        <v>205</v>
      </c>
      <c r="G185" s="25">
        <f t="shared" si="1"/>
        <v>6.5334781718855428E-3</v>
      </c>
      <c r="I185" s="72">
        <v>27.93</v>
      </c>
      <c r="J185" s="72">
        <v>28.07</v>
      </c>
      <c r="K185" s="72">
        <v>26.71</v>
      </c>
      <c r="L185" s="72">
        <v>27.61</v>
      </c>
      <c r="M185" s="72">
        <v>3607421</v>
      </c>
      <c r="N185" s="72" t="s">
        <v>205</v>
      </c>
      <c r="O185" s="25">
        <f t="shared" si="0"/>
        <v>1.1590003621876122E-2</v>
      </c>
      <c r="Q185" s="73">
        <v>-0.13000000000000006</v>
      </c>
      <c r="R185">
        <v>0</v>
      </c>
      <c r="T185" s="59">
        <f t="shared" si="4"/>
        <v>-0.13500000000000006</v>
      </c>
      <c r="U185" s="1">
        <f t="shared" si="3"/>
        <v>0.11782828641268271</v>
      </c>
      <c r="W185" s="38" t="s">
        <v>86</v>
      </c>
      <c r="X185" s="59">
        <f>($S$174*-2)+$S$172</f>
        <v>-9.1842157539841068E-2</v>
      </c>
      <c r="Y185" s="1">
        <v>0</v>
      </c>
    </row>
    <row r="186" spans="1:25" ht="15" customHeight="1">
      <c r="A186" s="72">
        <v>638.30999999999995</v>
      </c>
      <c r="B186" s="72">
        <v>639.44000000000005</v>
      </c>
      <c r="C186" s="72">
        <v>633.79999999999995</v>
      </c>
      <c r="D186" s="72">
        <v>635.15</v>
      </c>
      <c r="E186" s="72">
        <v>7843716</v>
      </c>
      <c r="F186" s="72" t="s">
        <v>206</v>
      </c>
      <c r="G186" s="25">
        <f t="shared" si="1"/>
        <v>4.9752027080216532E-3</v>
      </c>
      <c r="I186" s="72">
        <v>27.76</v>
      </c>
      <c r="J186" s="72">
        <v>28.59</v>
      </c>
      <c r="K186" s="72">
        <v>27</v>
      </c>
      <c r="L186" s="72">
        <v>28</v>
      </c>
      <c r="M186" s="72">
        <v>4002787</v>
      </c>
      <c r="N186" s="72" t="s">
        <v>206</v>
      </c>
      <c r="O186" s="25">
        <f t="shared" si="0"/>
        <v>-8.5714285714285632E-3</v>
      </c>
      <c r="Q186" s="73">
        <v>-0.12750000000000006</v>
      </c>
      <c r="R186">
        <v>0</v>
      </c>
      <c r="T186" s="59">
        <f t="shared" si="4"/>
        <v>-0.13250000000000006</v>
      </c>
      <c r="U186" s="1">
        <f t="shared" si="3"/>
        <v>0.1377334179553556</v>
      </c>
      <c r="W186" s="39"/>
      <c r="X186" s="59">
        <f>($S$174*-2)+$S$172</f>
        <v>-9.1842157539841068E-2</v>
      </c>
      <c r="Y186" s="1">
        <v>1.2</v>
      </c>
    </row>
    <row r="187" spans="1:25" ht="15" customHeight="1">
      <c r="A187" s="72">
        <v>634.05999999999995</v>
      </c>
      <c r="B187" s="72">
        <v>635.1001</v>
      </c>
      <c r="C187" s="72">
        <v>632.23620000000005</v>
      </c>
      <c r="D187" s="72">
        <v>633.48</v>
      </c>
      <c r="E187" s="72">
        <v>8962799</v>
      </c>
      <c r="F187" s="72" t="s">
        <v>207</v>
      </c>
      <c r="G187" s="25">
        <f t="shared" si="1"/>
        <v>9.155774452231924E-4</v>
      </c>
      <c r="I187" s="72">
        <v>27.7</v>
      </c>
      <c r="J187" s="72">
        <v>27.83</v>
      </c>
      <c r="K187" s="72">
        <v>26.58</v>
      </c>
      <c r="L187" s="72">
        <v>27.05</v>
      </c>
      <c r="M187" s="72">
        <v>2773065</v>
      </c>
      <c r="N187" s="72" t="s">
        <v>207</v>
      </c>
      <c r="O187" s="25">
        <f t="shared" si="0"/>
        <v>2.4029574861367697E-2</v>
      </c>
      <c r="Q187" s="73">
        <v>-0.12500000000000006</v>
      </c>
      <c r="R187">
        <v>0</v>
      </c>
      <c r="T187" s="59">
        <f t="shared" si="4"/>
        <v>-0.13000000000000006</v>
      </c>
      <c r="U187" s="1">
        <f t="shared" si="3"/>
        <v>0.16053598431442967</v>
      </c>
      <c r="W187" s="40" t="s">
        <v>87</v>
      </c>
      <c r="X187" s="59">
        <f>($S$174*-1)+$S$172</f>
        <v>-4.5367352382361045E-2</v>
      </c>
      <c r="Y187" s="1">
        <v>0</v>
      </c>
    </row>
    <row r="188" spans="1:25" ht="15">
      <c r="A188" s="72">
        <v>634.16999999999996</v>
      </c>
      <c r="B188" s="72">
        <v>638.22</v>
      </c>
      <c r="C188" s="72">
        <v>633.92999999999995</v>
      </c>
      <c r="D188" s="72">
        <v>636.58000000000004</v>
      </c>
      <c r="E188" s="72">
        <v>8796759</v>
      </c>
      <c r="F188" s="72" t="s">
        <v>208</v>
      </c>
      <c r="G188" s="25">
        <f t="shared" si="1"/>
        <v>-3.7858556662164755E-3</v>
      </c>
      <c r="I188" s="72">
        <v>27.23</v>
      </c>
      <c r="J188" s="72">
        <v>27.425000000000001</v>
      </c>
      <c r="K188" s="72">
        <v>26.35</v>
      </c>
      <c r="L188" s="72">
        <v>26.81</v>
      </c>
      <c r="M188" s="72">
        <v>3281666</v>
      </c>
      <c r="N188" s="72" t="s">
        <v>208</v>
      </c>
      <c r="O188" s="25">
        <f t="shared" si="0"/>
        <v>1.5665796344647598E-2</v>
      </c>
      <c r="Q188" s="73">
        <v>-0.12250000000000007</v>
      </c>
      <c r="R188">
        <v>0</v>
      </c>
      <c r="T188" s="59">
        <f t="shared" si="4"/>
        <v>-0.12750000000000006</v>
      </c>
      <c r="U188" s="1">
        <f t="shared" si="3"/>
        <v>0.18657299043981182</v>
      </c>
      <c r="X188" s="59">
        <f>($S$174*-1)+$S$172</f>
        <v>-4.5367352382361045E-2</v>
      </c>
      <c r="Y188" s="1">
        <v>5.2</v>
      </c>
    </row>
    <row r="189" spans="1:25" ht="15">
      <c r="A189" s="72">
        <v>636.21</v>
      </c>
      <c r="B189" s="72">
        <v>636.67999999999995</v>
      </c>
      <c r="C189" s="72">
        <v>632.53</v>
      </c>
      <c r="D189" s="72">
        <v>632.64</v>
      </c>
      <c r="E189" s="72">
        <v>8630900</v>
      </c>
      <c r="F189" s="72" t="s">
        <v>209</v>
      </c>
      <c r="G189" s="25">
        <f t="shared" si="1"/>
        <v>5.6430197268588778E-3</v>
      </c>
      <c r="I189" s="72">
        <v>27</v>
      </c>
      <c r="J189" s="72">
        <v>27.95</v>
      </c>
      <c r="K189" s="72">
        <v>26.5</v>
      </c>
      <c r="L189" s="72">
        <v>27.93</v>
      </c>
      <c r="M189" s="72">
        <v>3159725</v>
      </c>
      <c r="N189" s="72" t="s">
        <v>209</v>
      </c>
      <c r="O189" s="25">
        <f t="shared" si="0"/>
        <v>-3.3297529538131032E-2</v>
      </c>
      <c r="Q189" s="73">
        <v>-0.12000000000000006</v>
      </c>
      <c r="R189">
        <v>0</v>
      </c>
      <c r="T189" s="59">
        <f t="shared" si="4"/>
        <v>-0.12500000000000006</v>
      </c>
      <c r="U189" s="1">
        <f t="shared" si="3"/>
        <v>0.21620635592801968</v>
      </c>
      <c r="W189" s="1" t="s">
        <v>88</v>
      </c>
      <c r="X189" s="59">
        <f>($S$174*1)+$S$172</f>
        <v>4.7582257932598987E-2</v>
      </c>
      <c r="Y189" s="1">
        <v>0</v>
      </c>
    </row>
    <row r="190" spans="1:25" ht="15">
      <c r="A190" s="72">
        <v>632.46</v>
      </c>
      <c r="B190" s="72">
        <v>634.04</v>
      </c>
      <c r="C190" s="72">
        <v>631.23</v>
      </c>
      <c r="D190" s="72">
        <v>631.38</v>
      </c>
      <c r="E190" s="72">
        <v>16140408</v>
      </c>
      <c r="F190" s="72" t="s">
        <v>210</v>
      </c>
      <c r="G190" s="25">
        <f t="shared" si="1"/>
        <v>1.7105388197282689E-3</v>
      </c>
      <c r="I190" s="72">
        <v>27.82</v>
      </c>
      <c r="J190" s="72">
        <v>27.88</v>
      </c>
      <c r="K190" s="72">
        <v>26.47</v>
      </c>
      <c r="L190" s="72">
        <v>26.51</v>
      </c>
      <c r="M190" s="72">
        <v>3292234</v>
      </c>
      <c r="N190" s="72" t="s">
        <v>210</v>
      </c>
      <c r="O190" s="25">
        <f t="shared" si="0"/>
        <v>4.9415314975480795E-2</v>
      </c>
      <c r="Q190" s="73">
        <v>-0.11750000000000006</v>
      </c>
      <c r="R190">
        <v>0</v>
      </c>
      <c r="T190" s="59">
        <f t="shared" si="4"/>
        <v>-0.12250000000000007</v>
      </c>
      <c r="U190" s="1">
        <f t="shared" si="3"/>
        <v>0.24982244154430652</v>
      </c>
      <c r="X190" s="59">
        <f>($S$174*1)+$S$172</f>
        <v>4.7582257932598987E-2</v>
      </c>
      <c r="Y190" s="1">
        <v>5.2</v>
      </c>
    </row>
    <row r="191" spans="1:25" ht="15">
      <c r="A191" s="72">
        <v>628.29999999999995</v>
      </c>
      <c r="B191" s="72">
        <v>631.66</v>
      </c>
      <c r="C191" s="72">
        <v>625.21</v>
      </c>
      <c r="D191" s="72">
        <v>630.63499999999999</v>
      </c>
      <c r="E191" s="72">
        <v>10997544</v>
      </c>
      <c r="F191" s="72" t="s">
        <v>211</v>
      </c>
      <c r="G191" s="25">
        <f t="shared" si="1"/>
        <v>-3.7026172032951221E-3</v>
      </c>
      <c r="I191" s="72">
        <v>26.4</v>
      </c>
      <c r="J191" s="72">
        <v>26.47</v>
      </c>
      <c r="K191" s="72">
        <v>25.26</v>
      </c>
      <c r="L191" s="72">
        <v>25.26</v>
      </c>
      <c r="M191" s="72">
        <v>2743329</v>
      </c>
      <c r="N191" s="72" t="s">
        <v>211</v>
      </c>
      <c r="O191" s="25">
        <f t="shared" si="0"/>
        <v>4.5130641330166199E-2</v>
      </c>
      <c r="Q191" s="73">
        <v>-0.11500000000000006</v>
      </c>
      <c r="R191">
        <v>0</v>
      </c>
      <c r="T191" s="59">
        <f t="shared" si="4"/>
        <v>-0.12000000000000006</v>
      </c>
      <c r="U191" s="1">
        <f t="shared" si="3"/>
        <v>0.28783111959483054</v>
      </c>
      <c r="W191" s="41" t="s">
        <v>89</v>
      </c>
      <c r="X191" s="59">
        <f>($S$174*2)+$S$172</f>
        <v>9.4057063090078996E-2</v>
      </c>
      <c r="Y191" s="1">
        <v>0</v>
      </c>
    </row>
    <row r="192" spans="1:25" ht="15">
      <c r="A192" s="72">
        <v>627.13</v>
      </c>
      <c r="B192" s="72">
        <v>632.14</v>
      </c>
      <c r="C192" s="72">
        <v>626.94000000000005</v>
      </c>
      <c r="D192" s="72">
        <v>631.94000000000005</v>
      </c>
      <c r="E192" s="72">
        <v>5511193</v>
      </c>
      <c r="F192" s="72" t="s">
        <v>212</v>
      </c>
      <c r="G192" s="25">
        <f t="shared" si="1"/>
        <v>-7.6114821027313262E-3</v>
      </c>
      <c r="I192" s="72">
        <v>25.17</v>
      </c>
      <c r="J192" s="72">
        <v>26.29</v>
      </c>
      <c r="K192" s="72">
        <v>25.05</v>
      </c>
      <c r="L192" s="72">
        <v>26.29</v>
      </c>
      <c r="M192" s="72">
        <v>4977607</v>
      </c>
      <c r="N192" s="72" t="s">
        <v>212</v>
      </c>
      <c r="O192" s="25">
        <f t="shared" si="0"/>
        <v>-4.2601749714720305E-2</v>
      </c>
      <c r="Q192" s="73">
        <v>-0.11250000000000006</v>
      </c>
      <c r="R192">
        <v>0</v>
      </c>
      <c r="T192" s="59">
        <f t="shared" si="4"/>
        <v>-0.11750000000000006</v>
      </c>
      <c r="U192" s="1">
        <f t="shared" si="3"/>
        <v>0.33066433314532662</v>
      </c>
      <c r="X192" s="59">
        <f>($S$174*2)+$S$172</f>
        <v>9.4057063090078996E-2</v>
      </c>
      <c r="Y192" s="1">
        <v>1.2</v>
      </c>
    </row>
    <row r="193" spans="1:25" ht="15">
      <c r="A193" s="72">
        <v>631.72</v>
      </c>
      <c r="B193" s="72">
        <v>633.21</v>
      </c>
      <c r="C193" s="72">
        <v>631.41</v>
      </c>
      <c r="D193" s="72">
        <v>632.20000000000005</v>
      </c>
      <c r="E193" s="72">
        <v>4150867</v>
      </c>
      <c r="F193" s="72" t="s">
        <v>213</v>
      </c>
      <c r="G193" s="25">
        <f t="shared" si="1"/>
        <v>-7.5925340082250159E-4</v>
      </c>
      <c r="I193" s="72">
        <v>26.33</v>
      </c>
      <c r="J193" s="72">
        <v>26.83</v>
      </c>
      <c r="K193" s="72">
        <v>26.29</v>
      </c>
      <c r="L193" s="72">
        <v>26.77</v>
      </c>
      <c r="M193" s="72">
        <v>1861939</v>
      </c>
      <c r="N193" s="72" t="s">
        <v>213</v>
      </c>
      <c r="O193" s="25">
        <f t="shared" si="0"/>
        <v>-1.6436309301456897E-2</v>
      </c>
      <c r="Q193" s="73">
        <v>-0.11000000000000006</v>
      </c>
      <c r="R193">
        <v>0</v>
      </c>
      <c r="T193" s="59">
        <f t="shared" ref="T193:T237" si="5">T194-0.0025</f>
        <v>-0.11500000000000006</v>
      </c>
      <c r="U193" s="1">
        <f t="shared" si="3"/>
        <v>0.37877409156020581</v>
      </c>
      <c r="W193" s="41" t="s">
        <v>90</v>
      </c>
      <c r="X193" s="59">
        <f>($S$174*3)+$S$172</f>
        <v>0.14053186824755903</v>
      </c>
      <c r="Y193" s="1">
        <v>0</v>
      </c>
    </row>
    <row r="194" spans="1:25" ht="15">
      <c r="A194" s="72">
        <v>632.6</v>
      </c>
      <c r="B194" s="72">
        <v>633.79</v>
      </c>
      <c r="C194" s="72">
        <v>630.95000000000005</v>
      </c>
      <c r="D194" s="72">
        <v>632.29999999999995</v>
      </c>
      <c r="E194" s="72">
        <v>6496953</v>
      </c>
      <c r="F194" s="72" t="s">
        <v>214</v>
      </c>
      <c r="G194" s="25">
        <f t="shared" si="1"/>
        <v>4.744583267437541E-4</v>
      </c>
      <c r="I194" s="72">
        <v>26.83</v>
      </c>
      <c r="J194" s="72">
        <v>26.855</v>
      </c>
      <c r="K194" s="72">
        <v>26</v>
      </c>
      <c r="L194" s="72">
        <v>26.14</v>
      </c>
      <c r="M194" s="72">
        <v>2594701</v>
      </c>
      <c r="N194" s="72" t="s">
        <v>214</v>
      </c>
      <c r="O194" s="25">
        <f t="shared" si="0"/>
        <v>2.6396327467482772E-2</v>
      </c>
      <c r="Q194" s="73">
        <v>-0.10750000000000005</v>
      </c>
      <c r="R194">
        <v>0</v>
      </c>
      <c r="T194" s="59">
        <f t="shared" si="5"/>
        <v>-0.11250000000000006</v>
      </c>
      <c r="U194" s="1">
        <f t="shared" si="3"/>
        <v>0.43262985400051951</v>
      </c>
      <c r="W194" s="41"/>
      <c r="X194" s="59">
        <f>($S$174*3)+$S$172</f>
        <v>0.14053186824755903</v>
      </c>
      <c r="Y194" s="1">
        <v>0.2</v>
      </c>
    </row>
    <row r="195" spans="1:25" ht="15">
      <c r="A195" s="72">
        <v>634.84</v>
      </c>
      <c r="B195" s="72">
        <v>636.07500000000005</v>
      </c>
      <c r="C195" s="72">
        <v>633.88</v>
      </c>
      <c r="D195" s="72">
        <v>635.14</v>
      </c>
      <c r="E195" s="72">
        <v>3829855</v>
      </c>
      <c r="F195" s="72" t="s">
        <v>215</v>
      </c>
      <c r="G195" s="25">
        <f t="shared" si="1"/>
        <v>-4.7233680763292263E-4</v>
      </c>
      <c r="I195" s="72">
        <v>26.49</v>
      </c>
      <c r="J195" s="72">
        <v>26.75</v>
      </c>
      <c r="K195" s="72">
        <v>26.270099999999999</v>
      </c>
      <c r="L195" s="72">
        <v>26.62</v>
      </c>
      <c r="M195" s="72">
        <v>1807529</v>
      </c>
      <c r="N195" s="72" t="s">
        <v>215</v>
      </c>
      <c r="O195" s="25">
        <f t="shared" si="0"/>
        <v>-4.8835462058604007E-3</v>
      </c>
      <c r="Q195" s="73">
        <v>-0.10500000000000005</v>
      </c>
      <c r="R195">
        <v>0</v>
      </c>
      <c r="T195" s="59">
        <f t="shared" si="5"/>
        <v>-0.11000000000000006</v>
      </c>
      <c r="U195" s="1">
        <f t="shared" si="3"/>
        <v>0.49271525851364256</v>
      </c>
    </row>
    <row r="196" spans="1:25" ht="15">
      <c r="A196" s="72">
        <v>634.78</v>
      </c>
      <c r="B196" s="72">
        <v>635.32000000000005</v>
      </c>
      <c r="C196" s="72">
        <v>632.54</v>
      </c>
      <c r="D196" s="72">
        <v>632.66999999999996</v>
      </c>
      <c r="E196" s="72">
        <v>3273415</v>
      </c>
      <c r="F196" s="72" t="s">
        <v>216</v>
      </c>
      <c r="G196" s="25">
        <f t="shared" si="1"/>
        <v>3.3350719964595488E-3</v>
      </c>
      <c r="I196" s="72">
        <v>26.63</v>
      </c>
      <c r="J196" s="72">
        <v>26.97</v>
      </c>
      <c r="K196" s="72">
        <v>26.4</v>
      </c>
      <c r="L196" s="72">
        <v>26.6</v>
      </c>
      <c r="M196" s="72">
        <v>1223286</v>
      </c>
      <c r="N196" s="72" t="s">
        <v>216</v>
      </c>
      <c r="O196" s="25">
        <f t="shared" si="0"/>
        <v>1.1278195488721998E-3</v>
      </c>
      <c r="Q196" s="73">
        <v>-0.10250000000000005</v>
      </c>
      <c r="R196">
        <v>0</v>
      </c>
      <c r="T196" s="59">
        <f t="shared" si="5"/>
        <v>-0.10750000000000005</v>
      </c>
      <c r="U196" s="1">
        <f t="shared" si="3"/>
        <v>0.55952416227977086</v>
      </c>
    </row>
    <row r="197" spans="1:25" ht="15">
      <c r="A197" s="72">
        <v>632.66999999999996</v>
      </c>
      <c r="B197" s="72">
        <v>632.88</v>
      </c>
      <c r="C197" s="72">
        <v>628.91999999999996</v>
      </c>
      <c r="D197" s="72">
        <v>628.94000000000005</v>
      </c>
      <c r="E197" s="72">
        <v>13758872</v>
      </c>
      <c r="F197" s="72" t="s">
        <v>217</v>
      </c>
      <c r="G197" s="25">
        <f t="shared" si="1"/>
        <v>5.9306134130441279E-3</v>
      </c>
      <c r="I197" s="72">
        <v>26.53</v>
      </c>
      <c r="J197" s="72">
        <v>26.73</v>
      </c>
      <c r="K197" s="72">
        <v>25.75</v>
      </c>
      <c r="L197" s="72">
        <v>26.67</v>
      </c>
      <c r="M197" s="72">
        <v>2762920</v>
      </c>
      <c r="N197" s="72" t="s">
        <v>217</v>
      </c>
      <c r="O197" s="25">
        <f t="shared" si="0"/>
        <v>-5.2493438320210251E-3</v>
      </c>
      <c r="Q197" s="73">
        <v>-0.10000000000000005</v>
      </c>
      <c r="R197">
        <v>1</v>
      </c>
      <c r="T197" s="59">
        <f t="shared" si="5"/>
        <v>-0.10500000000000005</v>
      </c>
      <c r="U197" s="1">
        <f t="shared" si="3"/>
        <v>0.63355596851447993</v>
      </c>
    </row>
    <row r="198" spans="1:25" ht="15">
      <c r="A198" s="72">
        <v>629.73</v>
      </c>
      <c r="B198" s="72">
        <v>630.27</v>
      </c>
      <c r="C198" s="72">
        <v>627.79999999999995</v>
      </c>
      <c r="D198" s="72">
        <v>628.96500000000003</v>
      </c>
      <c r="E198" s="72">
        <v>9796066</v>
      </c>
      <c r="F198" s="72" t="s">
        <v>218</v>
      </c>
      <c r="G198" s="25">
        <f t="shared" si="1"/>
        <v>1.2162838949703048E-3</v>
      </c>
      <c r="I198" s="72">
        <v>26.79</v>
      </c>
      <c r="J198" s="72">
        <v>26.92</v>
      </c>
      <c r="K198" s="72">
        <v>25.85</v>
      </c>
      <c r="L198" s="72">
        <v>26</v>
      </c>
      <c r="M198" s="72">
        <v>3991374</v>
      </c>
      <c r="N198" s="72" t="s">
        <v>218</v>
      </c>
      <c r="O198" s="25">
        <f t="shared" si="0"/>
        <v>3.0384615384615454E-2</v>
      </c>
      <c r="Q198" s="73">
        <v>-9.7500000000000045E-2</v>
      </c>
      <c r="R198">
        <v>0</v>
      </c>
      <c r="T198" s="59">
        <f t="shared" si="5"/>
        <v>-0.10250000000000005</v>
      </c>
      <c r="U198" s="1">
        <f t="shared" si="3"/>
        <v>0.71531022747438955</v>
      </c>
    </row>
    <row r="199" spans="1:25" ht="15">
      <c r="A199" s="72">
        <v>627.55999999999995</v>
      </c>
      <c r="B199" s="72">
        <v>628.13</v>
      </c>
      <c r="C199" s="72">
        <v>623.86</v>
      </c>
      <c r="D199" s="72">
        <v>623.98</v>
      </c>
      <c r="E199" s="72">
        <v>10447326</v>
      </c>
      <c r="F199" s="72" t="s">
        <v>219</v>
      </c>
      <c r="G199" s="25">
        <f t="shared" si="1"/>
        <v>5.7373633770312349E-3</v>
      </c>
      <c r="I199" s="72">
        <v>25.77</v>
      </c>
      <c r="J199" s="72">
        <v>25.99</v>
      </c>
      <c r="K199" s="72">
        <v>25.1952</v>
      </c>
      <c r="L199" s="72">
        <v>25.34</v>
      </c>
      <c r="M199" s="72">
        <v>3439322</v>
      </c>
      <c r="N199" s="72" t="s">
        <v>219</v>
      </c>
      <c r="O199" s="25">
        <f t="shared" si="0"/>
        <v>1.6969218626677218E-2</v>
      </c>
      <c r="Q199" s="73">
        <v>-9.5000000000000043E-2</v>
      </c>
      <c r="R199">
        <v>0</v>
      </c>
      <c r="T199" s="59">
        <f t="shared" si="5"/>
        <v>-0.10000000000000005</v>
      </c>
      <c r="U199" s="1">
        <f t="shared" si="3"/>
        <v>0.80528051292572955</v>
      </c>
    </row>
    <row r="200" spans="1:25" ht="15">
      <c r="A200" s="72">
        <v>622.01</v>
      </c>
      <c r="B200" s="72">
        <v>625.94000000000005</v>
      </c>
      <c r="C200" s="72">
        <v>620.57000000000005</v>
      </c>
      <c r="D200" s="72">
        <v>623.04999999999995</v>
      </c>
      <c r="E200" s="72">
        <v>33420938</v>
      </c>
      <c r="F200" s="72" t="s">
        <v>220</v>
      </c>
      <c r="G200" s="25">
        <f t="shared" si="1"/>
        <v>-1.6692079287375927E-3</v>
      </c>
      <c r="I200" s="72">
        <v>25.34</v>
      </c>
      <c r="J200" s="72">
        <v>25.91</v>
      </c>
      <c r="K200" s="72">
        <v>24.9526</v>
      </c>
      <c r="L200" s="72">
        <v>25.24</v>
      </c>
      <c r="M200" s="72">
        <v>2959086</v>
      </c>
      <c r="N200" s="72" t="s">
        <v>220</v>
      </c>
      <c r="O200" s="25">
        <f t="shared" si="0"/>
        <v>3.961965134706924E-3</v>
      </c>
      <c r="Q200" s="73">
        <v>-9.2500000000000041E-2</v>
      </c>
      <c r="R200">
        <v>1</v>
      </c>
      <c r="T200" s="59">
        <f t="shared" si="5"/>
        <v>-9.7500000000000045E-2</v>
      </c>
      <c r="U200" s="1">
        <f t="shared" si="3"/>
        <v>0.90394759119755064</v>
      </c>
    </row>
    <row r="201" spans="1:25" ht="15">
      <c r="A201" s="72">
        <v>617.35</v>
      </c>
      <c r="B201" s="72">
        <v>625.64</v>
      </c>
      <c r="C201" s="72">
        <v>617.15899999999999</v>
      </c>
      <c r="D201" s="72">
        <v>625.19000000000005</v>
      </c>
      <c r="E201" s="72">
        <v>20953077</v>
      </c>
      <c r="F201" s="72" t="s">
        <v>221</v>
      </c>
      <c r="G201" s="25">
        <f t="shared" si="1"/>
        <v>-1.2540187782913992E-2</v>
      </c>
      <c r="I201" s="72">
        <v>24.7</v>
      </c>
      <c r="J201" s="72">
        <v>25.85</v>
      </c>
      <c r="K201" s="72">
        <v>24.36</v>
      </c>
      <c r="L201" s="72">
        <v>25.1</v>
      </c>
      <c r="M201" s="72">
        <v>3595344</v>
      </c>
      <c r="N201" s="72" t="s">
        <v>221</v>
      </c>
      <c r="O201" s="25">
        <f t="shared" si="0"/>
        <v>-1.5936254980079778E-2</v>
      </c>
      <c r="Q201" s="73">
        <v>-9.0000000000000038E-2</v>
      </c>
      <c r="R201">
        <v>1</v>
      </c>
      <c r="T201" s="59">
        <f t="shared" si="5"/>
        <v>-9.5000000000000043E-2</v>
      </c>
      <c r="U201" s="1">
        <f t="shared" si="3"/>
        <v>1.0117719173642128</v>
      </c>
    </row>
    <row r="202" spans="1:25" ht="15">
      <c r="A202" s="72">
        <v>624.21</v>
      </c>
      <c r="B202" s="72">
        <v>626.22</v>
      </c>
      <c r="C202" s="72">
        <v>620.65</v>
      </c>
      <c r="D202" s="72">
        <v>624.54999999999995</v>
      </c>
      <c r="E202" s="72">
        <v>13922431</v>
      </c>
      <c r="F202" s="72" t="s">
        <v>222</v>
      </c>
      <c r="G202" s="25">
        <f t="shared" si="1"/>
        <v>-5.4439196221267583E-4</v>
      </c>
      <c r="I202" s="72">
        <v>25.27</v>
      </c>
      <c r="J202" s="72">
        <v>25.45</v>
      </c>
      <c r="K202" s="72">
        <v>24.32</v>
      </c>
      <c r="L202" s="72">
        <v>24.32</v>
      </c>
      <c r="M202" s="72">
        <v>3230874</v>
      </c>
      <c r="N202" s="72" t="s">
        <v>222</v>
      </c>
      <c r="O202" s="25">
        <f t="shared" si="0"/>
        <v>3.90625E-2</v>
      </c>
      <c r="Q202" s="73">
        <v>-8.7500000000000036E-2</v>
      </c>
      <c r="R202">
        <v>0</v>
      </c>
      <c r="T202" s="59">
        <f t="shared" si="5"/>
        <v>-9.2500000000000041E-2</v>
      </c>
      <c r="U202" s="1">
        <f t="shared" si="3"/>
        <v>1.1291855119217056</v>
      </c>
    </row>
    <row r="203" spans="1:25" ht="15">
      <c r="A203" s="72">
        <v>625.96</v>
      </c>
      <c r="B203" s="72">
        <v>630.55999999999995</v>
      </c>
      <c r="C203" s="72">
        <v>624.57000000000005</v>
      </c>
      <c r="D203" s="72">
        <v>630.55999999999995</v>
      </c>
      <c r="E203" s="72">
        <v>11306924</v>
      </c>
      <c r="F203" s="72" t="s">
        <v>223</v>
      </c>
      <c r="G203" s="25">
        <f t="shared" si="1"/>
        <v>-7.2951027657953693E-3</v>
      </c>
      <c r="I203" s="72">
        <v>24.62</v>
      </c>
      <c r="J203" s="72">
        <v>26.628399999999999</v>
      </c>
      <c r="K203" s="72">
        <v>24.25</v>
      </c>
      <c r="L203" s="72">
        <v>26.15</v>
      </c>
      <c r="M203" s="72">
        <v>5376392</v>
      </c>
      <c r="N203" s="72" t="s">
        <v>223</v>
      </c>
      <c r="O203" s="25">
        <f t="shared" si="0"/>
        <v>-5.8508604206500836E-2</v>
      </c>
      <c r="Q203" s="73">
        <v>-8.5000000000000034E-2</v>
      </c>
      <c r="R203">
        <v>0</v>
      </c>
      <c r="T203" s="59">
        <f t="shared" si="5"/>
        <v>-9.0000000000000038E-2</v>
      </c>
      <c r="U203" s="1">
        <f t="shared" si="3"/>
        <v>1.2565832911985606</v>
      </c>
    </row>
    <row r="204" spans="1:25" ht="15">
      <c r="A204" s="72">
        <v>626.87</v>
      </c>
      <c r="B204" s="72">
        <v>633.42999999999995</v>
      </c>
      <c r="C204" s="72">
        <v>624.48</v>
      </c>
      <c r="D204" s="72">
        <v>632.79999999999995</v>
      </c>
      <c r="E204" s="72">
        <v>8504783</v>
      </c>
      <c r="F204" s="72" t="s">
        <v>224</v>
      </c>
      <c r="G204" s="25">
        <f t="shared" si="1"/>
        <v>-9.3710493046775811E-3</v>
      </c>
      <c r="I204" s="72">
        <v>26.19</v>
      </c>
      <c r="J204" s="72">
        <v>27.414999999999999</v>
      </c>
      <c r="K204" s="72">
        <v>25.94</v>
      </c>
      <c r="L204" s="72">
        <v>27.22</v>
      </c>
      <c r="M204" s="72">
        <v>5607120</v>
      </c>
      <c r="N204" s="72" t="s">
        <v>224</v>
      </c>
      <c r="O204" s="25">
        <f t="shared" si="0"/>
        <v>-3.7839823659074123E-2</v>
      </c>
      <c r="Q204" s="73">
        <v>-8.2500000000000032E-2</v>
      </c>
      <c r="R204">
        <v>1</v>
      </c>
      <c r="T204" s="59">
        <f t="shared" si="5"/>
        <v>-8.7500000000000036E-2</v>
      </c>
      <c r="U204" s="1">
        <f t="shared" si="3"/>
        <v>1.3943139452589102</v>
      </c>
    </row>
    <row r="205" spans="1:25" ht="15">
      <c r="A205" s="72">
        <v>633.71</v>
      </c>
      <c r="B205" s="72">
        <v>633.87</v>
      </c>
      <c r="C205" s="72">
        <v>627.27</v>
      </c>
      <c r="D205" s="72">
        <v>630</v>
      </c>
      <c r="E205" s="72">
        <v>22128232</v>
      </c>
      <c r="F205" s="72" t="s">
        <v>225</v>
      </c>
      <c r="G205" s="25">
        <f t="shared" si="1"/>
        <v>5.8888888888890545E-3</v>
      </c>
      <c r="I205" s="72">
        <v>27.49</v>
      </c>
      <c r="J205" s="72">
        <v>27.89</v>
      </c>
      <c r="K205" s="72">
        <v>26.1127</v>
      </c>
      <c r="L205" s="72">
        <v>26.23</v>
      </c>
      <c r="M205" s="72">
        <v>6195660</v>
      </c>
      <c r="N205" s="72" t="s">
        <v>225</v>
      </c>
      <c r="O205" s="25">
        <f t="shared" si="0"/>
        <v>4.8036599313762807E-2</v>
      </c>
      <c r="Q205" s="73">
        <v>-8.0000000000000029E-2</v>
      </c>
      <c r="R205">
        <v>0</v>
      </c>
      <c r="T205" s="59">
        <f t="shared" si="5"/>
        <v>-8.5000000000000034E-2</v>
      </c>
      <c r="U205" s="1">
        <f t="shared" si="3"/>
        <v>1.5426704777265461</v>
      </c>
    </row>
    <row r="206" spans="1:25" ht="15">
      <c r="A206" s="72">
        <v>632.16</v>
      </c>
      <c r="B206" s="72">
        <v>633.505</v>
      </c>
      <c r="C206" s="72">
        <v>626.47</v>
      </c>
      <c r="D206" s="72">
        <v>627.63</v>
      </c>
      <c r="E206" s="72">
        <v>22399235</v>
      </c>
      <c r="F206" s="72" t="s">
        <v>226</v>
      </c>
      <c r="G206" s="25">
        <f t="shared" si="1"/>
        <v>7.2176282204483577E-3</v>
      </c>
      <c r="I206" s="72">
        <v>26.5</v>
      </c>
      <c r="J206" s="72">
        <v>26.59</v>
      </c>
      <c r="K206" s="72">
        <v>23.97</v>
      </c>
      <c r="L206" s="72">
        <v>24.12</v>
      </c>
      <c r="M206" s="72">
        <v>5883195</v>
      </c>
      <c r="N206" s="72" t="s">
        <v>226</v>
      </c>
      <c r="O206" s="25">
        <f t="shared" si="0"/>
        <v>9.867330016583753E-2</v>
      </c>
      <c r="Q206" s="73">
        <v>-7.7500000000000027E-2</v>
      </c>
      <c r="R206">
        <v>0</v>
      </c>
      <c r="T206" s="59">
        <f t="shared" si="5"/>
        <v>-8.2500000000000032E-2</v>
      </c>
      <c r="U206" s="1">
        <f t="shared" si="3"/>
        <v>1.7018805422360404</v>
      </c>
    </row>
    <row r="207" spans="1:25" ht="15">
      <c r="A207" s="72">
        <v>628.1</v>
      </c>
      <c r="B207" s="72">
        <v>630.21</v>
      </c>
      <c r="C207" s="72">
        <v>627.66</v>
      </c>
      <c r="D207" s="72">
        <v>628.17999999999995</v>
      </c>
      <c r="E207" s="72">
        <v>9617841</v>
      </c>
      <c r="F207" s="72" t="s">
        <v>227</v>
      </c>
      <c r="G207" s="25">
        <f t="shared" si="1"/>
        <v>-1.2735203285674235E-4</v>
      </c>
      <c r="I207" s="72">
        <v>24.29</v>
      </c>
      <c r="J207" s="72">
        <v>24.465</v>
      </c>
      <c r="K207" s="72">
        <v>23.47</v>
      </c>
      <c r="L207" s="72">
        <v>23.87</v>
      </c>
      <c r="M207" s="72">
        <v>3934044</v>
      </c>
      <c r="N207" s="72" t="s">
        <v>227</v>
      </c>
      <c r="O207" s="25">
        <f t="shared" si="0"/>
        <v>1.7595307917888547E-2</v>
      </c>
      <c r="Q207" s="73">
        <v>-7.5000000000000025E-2</v>
      </c>
      <c r="R207">
        <v>1</v>
      </c>
      <c r="T207" s="59">
        <f t="shared" si="5"/>
        <v>-8.0000000000000029E-2</v>
      </c>
      <c r="U207" s="1">
        <f t="shared" si="3"/>
        <v>1.8720967294999529</v>
      </c>
    </row>
    <row r="208" spans="1:25" ht="15">
      <c r="A208" s="72">
        <v>628.61</v>
      </c>
      <c r="B208" s="72">
        <v>631.47</v>
      </c>
      <c r="C208" s="72">
        <v>626.70100000000002</v>
      </c>
      <c r="D208" s="72">
        <v>631.36</v>
      </c>
      <c r="E208" s="72">
        <v>6833888</v>
      </c>
      <c r="F208" s="72" t="s">
        <v>228</v>
      </c>
      <c r="G208" s="25">
        <f t="shared" si="1"/>
        <v>-4.3556766345665965E-3</v>
      </c>
      <c r="I208" s="72">
        <v>23.92</v>
      </c>
      <c r="J208" s="72">
        <v>24.24</v>
      </c>
      <c r="K208" s="72">
        <v>23.568000000000001</v>
      </c>
      <c r="L208" s="72">
        <v>24.04</v>
      </c>
      <c r="M208" s="72">
        <v>5374712</v>
      </c>
      <c r="N208" s="72" t="s">
        <v>228</v>
      </c>
      <c r="O208" s="25">
        <f t="shared" si="0"/>
        <v>-4.991680532445808E-3</v>
      </c>
      <c r="Q208" s="73">
        <v>-7.2500000000000023E-2</v>
      </c>
      <c r="R208">
        <v>2</v>
      </c>
      <c r="T208" s="59">
        <f t="shared" si="5"/>
        <v>-7.7500000000000027E-2</v>
      </c>
      <c r="U208" s="1">
        <f t="shared" si="3"/>
        <v>2.0533869766323951</v>
      </c>
    </row>
    <row r="209" spans="1:21" ht="15">
      <c r="A209" s="72">
        <v>630.48</v>
      </c>
      <c r="B209" s="72">
        <v>632.98</v>
      </c>
      <c r="C209" s="72">
        <v>629.48</v>
      </c>
      <c r="D209" s="72">
        <v>630.29999999999995</v>
      </c>
      <c r="E209" s="72">
        <v>5007553</v>
      </c>
      <c r="F209" s="72" t="s">
        <v>229</v>
      </c>
      <c r="G209" s="25">
        <f t="shared" si="1"/>
        <v>2.8557829604958229E-4</v>
      </c>
      <c r="I209" s="72">
        <v>24.12</v>
      </c>
      <c r="J209" s="72">
        <v>24.555</v>
      </c>
      <c r="K209" s="72">
        <v>23.57</v>
      </c>
      <c r="L209" s="72">
        <v>23.77</v>
      </c>
      <c r="M209" s="72">
        <v>4474674</v>
      </c>
      <c r="N209" s="72" t="s">
        <v>229</v>
      </c>
      <c r="O209" s="25">
        <f t="shared" si="0"/>
        <v>1.4724442574673979E-2</v>
      </c>
      <c r="Q209" s="73">
        <v>-7.0000000000000021E-2</v>
      </c>
      <c r="R209">
        <v>1</v>
      </c>
      <c r="T209" s="59">
        <f t="shared" si="5"/>
        <v>-7.5000000000000025E-2</v>
      </c>
      <c r="U209" s="1">
        <f t="shared" si="3"/>
        <v>2.2457252857312038</v>
      </c>
    </row>
    <row r="210" spans="1:21" ht="15">
      <c r="A210" s="72">
        <v>629.29999999999995</v>
      </c>
      <c r="B210" s="72">
        <v>630.17999999999995</v>
      </c>
      <c r="C210" s="72">
        <v>626.48</v>
      </c>
      <c r="D210" s="72">
        <v>630.13</v>
      </c>
      <c r="E210" s="72">
        <v>5114434</v>
      </c>
      <c r="F210" s="72" t="s">
        <v>230</v>
      </c>
      <c r="G210" s="25">
        <f t="shared" si="1"/>
        <v>-1.3171885166554098E-3</v>
      </c>
      <c r="I210" s="72">
        <v>23.77</v>
      </c>
      <c r="J210" s="72">
        <v>23.82</v>
      </c>
      <c r="K210" s="72">
        <v>22.465</v>
      </c>
      <c r="L210" s="72">
        <v>22.53</v>
      </c>
      <c r="M210" s="72">
        <v>3768710</v>
      </c>
      <c r="N210" s="72" t="s">
        <v>230</v>
      </c>
      <c r="O210" s="25">
        <f t="shared" si="0"/>
        <v>5.5037727474478437E-2</v>
      </c>
      <c r="Q210" s="73">
        <v>-6.7500000000000018E-2</v>
      </c>
      <c r="R210">
        <v>1</v>
      </c>
      <c r="T210" s="59">
        <f t="shared" si="5"/>
        <v>-7.2500000000000023E-2</v>
      </c>
      <c r="U210" s="1">
        <f t="shared" si="3"/>
        <v>2.4489829511354007</v>
      </c>
    </row>
    <row r="211" spans="1:21" ht="15">
      <c r="A211" s="72">
        <v>628.77</v>
      </c>
      <c r="B211" s="72">
        <v>629.78</v>
      </c>
      <c r="C211" s="72">
        <v>624.95000000000005</v>
      </c>
      <c r="D211" s="72">
        <v>625.77</v>
      </c>
      <c r="E211" s="72">
        <v>5149531</v>
      </c>
      <c r="F211" s="72" t="s">
        <v>231</v>
      </c>
      <c r="G211" s="25">
        <f t="shared" si="1"/>
        <v>4.7940936765904496E-3</v>
      </c>
      <c r="I211" s="72">
        <v>22.53</v>
      </c>
      <c r="J211" s="72">
        <v>22.69</v>
      </c>
      <c r="K211" s="72">
        <v>21.23</v>
      </c>
      <c r="L211" s="72">
        <v>21.73</v>
      </c>
      <c r="M211" s="72">
        <v>2566358</v>
      </c>
      <c r="N211" s="72" t="s">
        <v>231</v>
      </c>
      <c r="O211" s="25">
        <f t="shared" si="0"/>
        <v>3.6815462494247608E-2</v>
      </c>
      <c r="Q211" s="73">
        <v>-6.5000000000000016E-2</v>
      </c>
      <c r="R211">
        <v>0</v>
      </c>
      <c r="T211" s="59">
        <f t="shared" si="5"/>
        <v>-7.0000000000000021E-2</v>
      </c>
      <c r="U211" s="1">
        <f t="shared" si="3"/>
        <v>2.6629205036050547</v>
      </c>
    </row>
    <row r="212" spans="1:21" ht="15">
      <c r="A212" s="72">
        <v>626.58000000000004</v>
      </c>
      <c r="B212" s="72">
        <v>628.77</v>
      </c>
      <c r="C212" s="72">
        <v>624.62</v>
      </c>
      <c r="D212" s="72">
        <v>627.01</v>
      </c>
      <c r="E212" s="72">
        <v>5256797</v>
      </c>
      <c r="F212" s="72" t="s">
        <v>232</v>
      </c>
      <c r="G212" s="25">
        <f t="shared" si="1"/>
        <v>-6.8579448493633066E-4</v>
      </c>
      <c r="I212" s="72">
        <v>21.89</v>
      </c>
      <c r="J212" s="72">
        <v>22.77</v>
      </c>
      <c r="K212" s="72">
        <v>21.31</v>
      </c>
      <c r="L212" s="72">
        <v>21.75</v>
      </c>
      <c r="M212" s="72">
        <v>2957803</v>
      </c>
      <c r="N212" s="72" t="s">
        <v>232</v>
      </c>
      <c r="O212" s="25">
        <f t="shared" si="0"/>
        <v>6.4367816091954744E-3</v>
      </c>
      <c r="Q212" s="73">
        <v>-6.2500000000000014E-2</v>
      </c>
      <c r="R212">
        <v>0</v>
      </c>
      <c r="T212" s="59">
        <f t="shared" si="5"/>
        <v>-6.7500000000000018E-2</v>
      </c>
      <c r="U212" s="1">
        <f t="shared" si="3"/>
        <v>2.8871805843248768</v>
      </c>
    </row>
    <row r="213" spans="1:21" ht="15">
      <c r="A213" s="72">
        <v>625.52</v>
      </c>
      <c r="B213" s="72">
        <v>628.01</v>
      </c>
      <c r="C213" s="72">
        <v>624.1</v>
      </c>
      <c r="D213" s="72">
        <v>624.16999999999996</v>
      </c>
      <c r="E213" s="72">
        <v>8381362</v>
      </c>
      <c r="F213" s="72" t="s">
        <v>233</v>
      </c>
      <c r="G213" s="25">
        <f t="shared" si="1"/>
        <v>2.1628722944069256E-3</v>
      </c>
      <c r="I213" s="72">
        <v>21.95</v>
      </c>
      <c r="J213" s="72">
        <v>22.74</v>
      </c>
      <c r="K213" s="72">
        <v>21.58</v>
      </c>
      <c r="L213" s="72">
        <v>21.77</v>
      </c>
      <c r="M213" s="72">
        <v>5499155</v>
      </c>
      <c r="N213" s="72" t="s">
        <v>233</v>
      </c>
      <c r="O213" s="25">
        <f t="shared" si="0"/>
        <v>8.2682590721174787E-3</v>
      </c>
      <c r="Q213" s="73">
        <v>-6.0000000000000019E-2</v>
      </c>
      <c r="R213">
        <v>1</v>
      </c>
      <c r="T213" s="59">
        <f t="shared" si="5"/>
        <v>-6.5000000000000016E-2</v>
      </c>
      <c r="U213" s="1">
        <f t="shared" ref="U213:U244" si="6">_xlfn.NORM.DIST(T213,$S$172,$S$174,FALSE)</f>
        <v>3.1212819615879561</v>
      </c>
    </row>
    <row r="214" spans="1:21" ht="15">
      <c r="A214" s="72">
        <v>628.41</v>
      </c>
      <c r="B214" s="72">
        <v>628.63</v>
      </c>
      <c r="C214" s="72">
        <v>625.70500000000004</v>
      </c>
      <c r="D214" s="72">
        <v>626.02499999999998</v>
      </c>
      <c r="E214" s="72">
        <v>2949167</v>
      </c>
      <c r="F214" s="72" t="s">
        <v>234</v>
      </c>
      <c r="G214" s="25">
        <f t="shared" si="1"/>
        <v>3.8097520067090773E-3</v>
      </c>
      <c r="I214" s="72">
        <v>21.13</v>
      </c>
      <c r="J214" s="72">
        <v>21.48</v>
      </c>
      <c r="K214" s="72">
        <v>20.07</v>
      </c>
      <c r="L214" s="72">
        <v>20.2</v>
      </c>
      <c r="M214" s="72">
        <v>1936946</v>
      </c>
      <c r="N214" s="72" t="s">
        <v>234</v>
      </c>
      <c r="O214" s="25">
        <f t="shared" si="0"/>
        <v>4.603960396039608E-2</v>
      </c>
      <c r="Q214" s="73">
        <v>-5.7500000000000016E-2</v>
      </c>
      <c r="R214">
        <v>1</v>
      </c>
      <c r="T214" s="59">
        <f t="shared" si="5"/>
        <v>-6.2500000000000014E-2</v>
      </c>
      <c r="U214" s="1">
        <f t="shared" si="6"/>
        <v>3.3646148978412347</v>
      </c>
    </row>
    <row r="215" spans="1:21" ht="15">
      <c r="A215" s="72">
        <v>624.95000000000005</v>
      </c>
      <c r="B215" s="72">
        <v>626.80999999999995</v>
      </c>
      <c r="C215" s="72">
        <v>622.26</v>
      </c>
      <c r="D215" s="72">
        <v>623.05999999999995</v>
      </c>
      <c r="E215" s="72">
        <v>5292533</v>
      </c>
      <c r="F215" s="72" t="s">
        <v>235</v>
      </c>
      <c r="G215" s="25">
        <f t="shared" si="1"/>
        <v>3.033415722402566E-3</v>
      </c>
      <c r="I215" s="72">
        <v>20.170000000000002</v>
      </c>
      <c r="J215" s="72">
        <v>20.52</v>
      </c>
      <c r="K215" s="72">
        <v>19.41</v>
      </c>
      <c r="L215" s="72">
        <v>19.510000000000002</v>
      </c>
      <c r="M215" s="72">
        <v>2179387</v>
      </c>
      <c r="N215" s="72" t="s">
        <v>235</v>
      </c>
      <c r="O215" s="25">
        <f t="shared" si="0"/>
        <v>3.3828805740645729E-2</v>
      </c>
      <c r="Q215" s="73">
        <v>-5.5000000000000014E-2</v>
      </c>
      <c r="R215">
        <v>0</v>
      </c>
      <c r="T215" s="59">
        <f t="shared" si="5"/>
        <v>-6.0000000000000019E-2</v>
      </c>
      <c r="U215" s="1">
        <f t="shared" si="6"/>
        <v>3.6164380641545519</v>
      </c>
    </row>
    <row r="216" spans="1:21" ht="15">
      <c r="A216" s="72">
        <v>620.66</v>
      </c>
      <c r="B216" s="72">
        <v>621.75</v>
      </c>
      <c r="C216" s="72">
        <v>610.99</v>
      </c>
      <c r="D216" s="72">
        <v>614.78</v>
      </c>
      <c r="E216" s="72">
        <v>7289905</v>
      </c>
      <c r="F216" s="72" t="s">
        <v>236</v>
      </c>
      <c r="G216" s="25">
        <f t="shared" si="1"/>
        <v>9.5643970200722794E-3</v>
      </c>
      <c r="I216" s="72">
        <v>19.64</v>
      </c>
      <c r="J216" s="72">
        <v>19.850000000000001</v>
      </c>
      <c r="K216" s="72">
        <v>19.350000000000001</v>
      </c>
      <c r="L216" s="72">
        <v>19.54</v>
      </c>
      <c r="M216" s="72">
        <v>3131356</v>
      </c>
      <c r="N216" s="72" t="s">
        <v>236</v>
      </c>
      <c r="O216" s="25">
        <f t="shared" si="0"/>
        <v>5.1177072671444446E-3</v>
      </c>
      <c r="Q216" s="73">
        <v>-5.2500000000000012E-2</v>
      </c>
      <c r="R216">
        <v>1</v>
      </c>
      <c r="T216" s="59">
        <f t="shared" si="5"/>
        <v>-5.7500000000000016E-2</v>
      </c>
      <c r="U216" s="1">
        <f t="shared" si="6"/>
        <v>3.875877182931323</v>
      </c>
    </row>
    <row r="217" spans="1:21" ht="15">
      <c r="A217" s="72">
        <v>614.94000000000005</v>
      </c>
      <c r="B217" s="72">
        <v>616.09</v>
      </c>
      <c r="C217" s="72">
        <v>608.30499999999995</v>
      </c>
      <c r="D217" s="72">
        <v>609.28</v>
      </c>
      <c r="E217" s="72">
        <v>6218559</v>
      </c>
      <c r="F217" s="72" t="s">
        <v>237</v>
      </c>
      <c r="G217" s="25">
        <f t="shared" si="1"/>
        <v>9.2896533613446852E-3</v>
      </c>
      <c r="I217" s="72">
        <v>19.48</v>
      </c>
      <c r="J217" s="72">
        <v>19.510000000000002</v>
      </c>
      <c r="K217" s="72">
        <v>18.170000000000002</v>
      </c>
      <c r="L217" s="72">
        <v>18.47</v>
      </c>
      <c r="M217" s="72">
        <v>3457127</v>
      </c>
      <c r="N217" s="72" t="s">
        <v>237</v>
      </c>
      <c r="O217" s="25">
        <f t="shared" si="0"/>
        <v>5.4683270167839915E-2</v>
      </c>
      <c r="Q217" s="73">
        <v>-5.000000000000001E-2</v>
      </c>
      <c r="R217">
        <v>1</v>
      </c>
      <c r="T217" s="59">
        <f t="shared" si="5"/>
        <v>-5.5000000000000014E-2</v>
      </c>
      <c r="U217" s="1">
        <f t="shared" si="6"/>
        <v>4.1419255577853544</v>
      </c>
    </row>
    <row r="218" spans="1:21" ht="15">
      <c r="A218" s="72">
        <v>605.92999999999995</v>
      </c>
      <c r="B218" s="72">
        <v>611.01</v>
      </c>
      <c r="C218" s="72">
        <v>598.38</v>
      </c>
      <c r="D218" s="72">
        <v>602.25</v>
      </c>
      <c r="E218" s="72">
        <v>9789866</v>
      </c>
      <c r="F218" s="72" t="s">
        <v>238</v>
      </c>
      <c r="G218" s="25">
        <f t="shared" si="1"/>
        <v>6.1104192611041164E-3</v>
      </c>
      <c r="I218" s="72">
        <v>18.46</v>
      </c>
      <c r="J218" s="72">
        <v>18.7</v>
      </c>
      <c r="K218" s="72">
        <v>17.664999999999999</v>
      </c>
      <c r="L218" s="72">
        <v>17.89</v>
      </c>
      <c r="M218" s="72">
        <v>4468324</v>
      </c>
      <c r="N218" s="72" t="s">
        <v>238</v>
      </c>
      <c r="O218" s="25">
        <f t="shared" ref="O218:O281" si="7">I218/L218-1</f>
        <v>3.1861375069871523E-2</v>
      </c>
      <c r="Q218" s="73">
        <v>-4.7500000000000007E-2</v>
      </c>
      <c r="R218">
        <v>3</v>
      </c>
      <c r="T218" s="59">
        <f t="shared" si="5"/>
        <v>-5.2500000000000012E-2</v>
      </c>
      <c r="U218" s="1">
        <f t="shared" si="6"/>
        <v>4.4134466221069282</v>
      </c>
    </row>
    <row r="219" spans="1:21" ht="15">
      <c r="A219" s="72">
        <v>599.96</v>
      </c>
      <c r="B219" s="72">
        <v>621.12879999999996</v>
      </c>
      <c r="C219" s="72">
        <v>599.36</v>
      </c>
      <c r="D219" s="72">
        <v>618.72</v>
      </c>
      <c r="E219" s="72">
        <v>13857655</v>
      </c>
      <c r="F219" s="72" t="s">
        <v>239</v>
      </c>
      <c r="G219" s="25">
        <f t="shared" ref="G219:G282" si="8">A219/D219-1</f>
        <v>-3.0320662011895538E-2</v>
      </c>
      <c r="I219" s="72">
        <v>17.95</v>
      </c>
      <c r="J219" s="72">
        <v>19.16</v>
      </c>
      <c r="K219" s="72">
        <v>17.850000000000001</v>
      </c>
      <c r="L219" s="72">
        <v>18.8</v>
      </c>
      <c r="M219" s="72">
        <v>4216037</v>
      </c>
      <c r="N219" s="72" t="s">
        <v>239</v>
      </c>
      <c r="O219" s="25">
        <f t="shared" si="7"/>
        <v>-4.5212765957446832E-2</v>
      </c>
      <c r="Q219" s="73">
        <v>-4.5000000000000005E-2</v>
      </c>
      <c r="R219">
        <v>4</v>
      </c>
      <c r="T219" s="59">
        <f t="shared" si="5"/>
        <v>-5.000000000000001E-2</v>
      </c>
      <c r="U219" s="1">
        <f t="shared" si="6"/>
        <v>4.6891786052487552</v>
      </c>
    </row>
    <row r="220" spans="1:21" ht="15">
      <c r="A220" s="72">
        <v>609.20000000000005</v>
      </c>
      <c r="B220" s="72">
        <v>613.56989999999996</v>
      </c>
      <c r="C220" s="72">
        <v>605.66999999999996</v>
      </c>
      <c r="D220" s="72">
        <v>607.52</v>
      </c>
      <c r="E220" s="72">
        <v>7297298</v>
      </c>
      <c r="F220" s="72" t="s">
        <v>240</v>
      </c>
      <c r="G220" s="25">
        <f t="shared" si="8"/>
        <v>2.7653410587307192E-3</v>
      </c>
      <c r="I220" s="72">
        <v>18.43</v>
      </c>
      <c r="J220" s="72">
        <v>19.010000000000002</v>
      </c>
      <c r="K220" s="72">
        <v>18.22</v>
      </c>
      <c r="L220" s="72">
        <v>18.91</v>
      </c>
      <c r="M220" s="72">
        <v>2813315</v>
      </c>
      <c r="N220" s="72" t="s">
        <v>240</v>
      </c>
      <c r="O220" s="25">
        <f t="shared" si="7"/>
        <v>-2.5383395029085154E-2</v>
      </c>
      <c r="Q220" s="73">
        <v>-4.2500000000000003E-2</v>
      </c>
      <c r="R220">
        <v>2</v>
      </c>
      <c r="T220" s="59">
        <f t="shared" si="5"/>
        <v>-4.7500000000000007E-2</v>
      </c>
      <c r="U220" s="1">
        <f t="shared" si="6"/>
        <v>4.9677413779751776</v>
      </c>
    </row>
    <row r="221" spans="1:21" ht="15">
      <c r="A221" s="72">
        <v>607</v>
      </c>
      <c r="B221" s="72">
        <v>611.51</v>
      </c>
      <c r="C221" s="72">
        <v>603</v>
      </c>
      <c r="D221" s="72">
        <v>608.72</v>
      </c>
      <c r="E221" s="72">
        <v>8485565</v>
      </c>
      <c r="F221" s="72" t="s">
        <v>241</v>
      </c>
      <c r="G221" s="25">
        <f t="shared" si="8"/>
        <v>-2.8256012616638682E-3</v>
      </c>
      <c r="I221" s="72">
        <v>18.940000000000001</v>
      </c>
      <c r="J221" s="72">
        <v>19.28</v>
      </c>
      <c r="K221" s="72">
        <v>17.89</v>
      </c>
      <c r="L221" s="72">
        <v>18.13</v>
      </c>
      <c r="M221" s="72">
        <v>3694101</v>
      </c>
      <c r="N221" s="72" t="s">
        <v>241</v>
      </c>
      <c r="O221" s="25">
        <f t="shared" si="7"/>
        <v>4.4677330391616144E-2</v>
      </c>
      <c r="Q221" s="73">
        <v>-0.04</v>
      </c>
      <c r="R221">
        <v>1</v>
      </c>
      <c r="T221" s="59">
        <f t="shared" si="5"/>
        <v>-4.5000000000000005E-2</v>
      </c>
      <c r="U221" s="1">
        <f t="shared" si="6"/>
        <v>5.2476454975068547</v>
      </c>
    </row>
    <row r="222" spans="1:21" ht="15">
      <c r="A222" s="72">
        <v>612.04</v>
      </c>
      <c r="B222" s="72">
        <v>619.44849999999997</v>
      </c>
      <c r="C222" s="72">
        <v>608.80999999999995</v>
      </c>
      <c r="D222" s="72">
        <v>615.74</v>
      </c>
      <c r="E222" s="72">
        <v>8858869</v>
      </c>
      <c r="F222" s="72" t="s">
        <v>242</v>
      </c>
      <c r="G222" s="25">
        <f t="shared" si="8"/>
        <v>-6.0090297852990471E-3</v>
      </c>
      <c r="I222" s="72">
        <v>18.45</v>
      </c>
      <c r="J222" s="72">
        <v>18.75</v>
      </c>
      <c r="K222" s="72">
        <v>18.07</v>
      </c>
      <c r="L222" s="72">
        <v>18.72</v>
      </c>
      <c r="M222" s="72">
        <v>4718610</v>
      </c>
      <c r="N222" s="72" t="s">
        <v>242</v>
      </c>
      <c r="O222" s="25">
        <f t="shared" si="7"/>
        <v>-1.4423076923076872E-2</v>
      </c>
      <c r="Q222" s="73">
        <v>-3.7499999999999999E-2</v>
      </c>
      <c r="R222">
        <v>4</v>
      </c>
      <c r="T222" s="59">
        <f t="shared" si="5"/>
        <v>-4.2500000000000003E-2</v>
      </c>
      <c r="U222" s="1">
        <f t="shared" si="6"/>
        <v>5.5273034279955633</v>
      </c>
    </row>
    <row r="223" spans="1:21" ht="15">
      <c r="A223" s="72">
        <v>617.83000000000004</v>
      </c>
      <c r="B223" s="72">
        <v>621.21990000000005</v>
      </c>
      <c r="C223" s="72">
        <v>609.83000000000004</v>
      </c>
      <c r="D223" s="72">
        <v>611.75</v>
      </c>
      <c r="E223" s="72">
        <v>9651895</v>
      </c>
      <c r="F223" s="72" t="s">
        <v>243</v>
      </c>
      <c r="G223" s="25">
        <f t="shared" si="8"/>
        <v>9.9387004495301579E-3</v>
      </c>
      <c r="I223" s="72">
        <v>18.899999999999999</v>
      </c>
      <c r="J223" s="72">
        <v>19.100000000000001</v>
      </c>
      <c r="K223" s="72">
        <v>18.16</v>
      </c>
      <c r="L223" s="72">
        <v>18.489999999999998</v>
      </c>
      <c r="M223" s="72">
        <v>5128775</v>
      </c>
      <c r="N223" s="72" t="s">
        <v>243</v>
      </c>
      <c r="O223" s="25">
        <f t="shared" si="7"/>
        <v>2.2174148188209841E-2</v>
      </c>
      <c r="Q223" s="73">
        <v>-3.4999999999999996E-2</v>
      </c>
      <c r="R223">
        <v>4</v>
      </c>
      <c r="T223" s="59">
        <f t="shared" si="5"/>
        <v>-0.04</v>
      </c>
      <c r="U223" s="1">
        <f t="shared" si="6"/>
        <v>5.8050428655657837</v>
      </c>
    </row>
    <row r="224" spans="1:21" ht="15">
      <c r="A224" s="72">
        <v>617.99</v>
      </c>
      <c r="B224" s="72">
        <v>626.02</v>
      </c>
      <c r="C224" s="72">
        <v>616.51</v>
      </c>
      <c r="D224" s="72">
        <v>625.66999999999996</v>
      </c>
      <c r="E224" s="72">
        <v>10526401</v>
      </c>
      <c r="F224" s="72" t="s">
        <v>244</v>
      </c>
      <c r="G224" s="25">
        <f t="shared" si="8"/>
        <v>-1.2274841370051193E-2</v>
      </c>
      <c r="I224" s="72">
        <v>19.190000000000001</v>
      </c>
      <c r="J224" s="72">
        <v>19.850000000000001</v>
      </c>
      <c r="K224" s="72">
        <v>18.940000000000001</v>
      </c>
      <c r="L224" s="72">
        <v>19.84</v>
      </c>
      <c r="M224" s="72">
        <v>5010396</v>
      </c>
      <c r="N224" s="72" t="s">
        <v>244</v>
      </c>
      <c r="O224" s="25">
        <f t="shared" si="7"/>
        <v>-3.2762096774193505E-2</v>
      </c>
      <c r="Q224" s="73">
        <v>-3.2499999999999994E-2</v>
      </c>
      <c r="R224">
        <v>5</v>
      </c>
      <c r="T224" s="59">
        <f t="shared" si="5"/>
        <v>-3.7499999999999999E-2</v>
      </c>
      <c r="U224" s="1">
        <f t="shared" si="6"/>
        <v>6.0791220492750373</v>
      </c>
    </row>
    <row r="225" spans="1:21" ht="15">
      <c r="A225" s="72">
        <v>628.22</v>
      </c>
      <c r="B225" s="72">
        <v>629.77</v>
      </c>
      <c r="C225" s="72">
        <v>626.1</v>
      </c>
      <c r="D225" s="72">
        <v>629.65</v>
      </c>
      <c r="E225" s="72">
        <v>6065826</v>
      </c>
      <c r="F225" s="72" t="s">
        <v>245</v>
      </c>
      <c r="G225" s="25">
        <f t="shared" si="8"/>
        <v>-2.2711029937265703E-3</v>
      </c>
      <c r="I225" s="72">
        <v>20.2</v>
      </c>
      <c r="J225" s="72">
        <v>21.0593</v>
      </c>
      <c r="K225" s="72">
        <v>19.95</v>
      </c>
      <c r="L225" s="72">
        <v>20.51</v>
      </c>
      <c r="M225" s="72">
        <v>4469680</v>
      </c>
      <c r="N225" s="72" t="s">
        <v>245</v>
      </c>
      <c r="O225" s="25">
        <f t="shared" si="7"/>
        <v>-1.5114578254510125E-2</v>
      </c>
      <c r="Q225" s="73">
        <v>-2.9999999999999995E-2</v>
      </c>
      <c r="R225">
        <v>7</v>
      </c>
      <c r="T225" s="59">
        <f t="shared" si="5"/>
        <v>-3.4999999999999996E-2</v>
      </c>
      <c r="U225" s="1">
        <f t="shared" si="6"/>
        <v>6.3477468916845856</v>
      </c>
    </row>
    <row r="226" spans="1:21" ht="15">
      <c r="A226" s="72">
        <v>627.91</v>
      </c>
      <c r="B226" s="72">
        <v>628.49</v>
      </c>
      <c r="C226" s="72">
        <v>624.07000000000005</v>
      </c>
      <c r="D226" s="72">
        <v>625.16</v>
      </c>
      <c r="E226" s="72">
        <v>5610874</v>
      </c>
      <c r="F226" s="72" t="s">
        <v>246</v>
      </c>
      <c r="G226" s="25">
        <f t="shared" si="8"/>
        <v>4.3988738882845269E-3</v>
      </c>
      <c r="I226" s="72">
        <v>20.39</v>
      </c>
      <c r="J226" s="72">
        <v>21.18</v>
      </c>
      <c r="K226" s="72">
        <v>19.89</v>
      </c>
      <c r="L226" s="72">
        <v>21</v>
      </c>
      <c r="M226" s="72">
        <v>4882152</v>
      </c>
      <c r="N226" s="72" t="s">
        <v>246</v>
      </c>
      <c r="O226" s="25">
        <f t="shared" si="7"/>
        <v>-2.9047619047618989E-2</v>
      </c>
      <c r="Q226" s="73">
        <v>-2.7499999999999997E-2</v>
      </c>
      <c r="R226">
        <v>2</v>
      </c>
      <c r="T226" s="59">
        <f t="shared" si="5"/>
        <v>-3.2499999999999994E-2</v>
      </c>
      <c r="U226" s="1">
        <f t="shared" si="6"/>
        <v>6.6090897164722557</v>
      </c>
    </row>
    <row r="227" spans="1:21" ht="15">
      <c r="A227" s="72">
        <v>626.47</v>
      </c>
      <c r="B227" s="72">
        <v>627.21</v>
      </c>
      <c r="C227" s="72">
        <v>620.66</v>
      </c>
      <c r="D227" s="72">
        <v>622.69000000000005</v>
      </c>
      <c r="E227" s="72">
        <v>8383792</v>
      </c>
      <c r="F227" s="72" t="s">
        <v>247</v>
      </c>
      <c r="G227" s="25">
        <f t="shared" si="8"/>
        <v>6.0704363326855582E-3</v>
      </c>
      <c r="I227" s="72">
        <v>21.26</v>
      </c>
      <c r="J227" s="72">
        <v>21.35</v>
      </c>
      <c r="K227" s="72">
        <v>19.989999999999998</v>
      </c>
      <c r="L227" s="72">
        <v>20.57</v>
      </c>
      <c r="M227" s="72">
        <v>5959960</v>
      </c>
      <c r="N227" s="72" t="s">
        <v>247</v>
      </c>
      <c r="O227" s="25">
        <f t="shared" si="7"/>
        <v>3.3543996110841023E-2</v>
      </c>
      <c r="Q227" s="73">
        <v>-2.4999999999999998E-2</v>
      </c>
      <c r="R227">
        <v>4</v>
      </c>
      <c r="T227" s="59">
        <f t="shared" si="5"/>
        <v>-2.9999999999999995E-2</v>
      </c>
      <c r="U227" s="1">
        <f t="shared" si="6"/>
        <v>6.8613093469618116</v>
      </c>
    </row>
    <row r="228" spans="1:21" ht="15">
      <c r="A228" s="72">
        <v>616.89</v>
      </c>
      <c r="B228" s="72">
        <v>617.02</v>
      </c>
      <c r="C228" s="72">
        <v>607.91999999999996</v>
      </c>
      <c r="D228" s="72">
        <v>614.09</v>
      </c>
      <c r="E228" s="72">
        <v>7527198</v>
      </c>
      <c r="F228" s="72" t="s">
        <v>248</v>
      </c>
      <c r="G228" s="25">
        <f t="shared" si="8"/>
        <v>4.5595922421794999E-3</v>
      </c>
      <c r="I228" s="72">
        <v>20.34</v>
      </c>
      <c r="J228" s="72">
        <v>20.67</v>
      </c>
      <c r="K228" s="72">
        <v>17.489999999999998</v>
      </c>
      <c r="L228" s="72">
        <v>17.87</v>
      </c>
      <c r="M228" s="72">
        <v>12974203</v>
      </c>
      <c r="N228" s="72" t="s">
        <v>248</v>
      </c>
      <c r="O228" s="25">
        <f t="shared" si="7"/>
        <v>0.13822048125349751</v>
      </c>
      <c r="Q228" s="73">
        <v>-2.2499999999999999E-2</v>
      </c>
      <c r="R228">
        <v>2</v>
      </c>
      <c r="T228" s="59">
        <f t="shared" si="5"/>
        <v>-2.7499999999999997E-2</v>
      </c>
      <c r="U228" s="1">
        <f t="shared" si="6"/>
        <v>7.1025722498764967</v>
      </c>
    </row>
    <row r="229" spans="1:21" ht="15">
      <c r="A229" s="72">
        <v>616.24</v>
      </c>
      <c r="B229" s="72">
        <v>622.79</v>
      </c>
      <c r="C229" s="72">
        <v>614.82000000000005</v>
      </c>
      <c r="D229" s="72">
        <v>621.96</v>
      </c>
      <c r="E229" s="72">
        <v>7032116</v>
      </c>
      <c r="F229" s="72" t="s">
        <v>249</v>
      </c>
      <c r="G229" s="25">
        <f t="shared" si="8"/>
        <v>-9.1967329088687988E-3</v>
      </c>
      <c r="I229" s="72">
        <v>18.09</v>
      </c>
      <c r="J229" s="72">
        <v>18.9999</v>
      </c>
      <c r="K229" s="72">
        <v>17.61</v>
      </c>
      <c r="L229" s="72">
        <v>18.760000000000002</v>
      </c>
      <c r="M229" s="72">
        <v>11262890</v>
      </c>
      <c r="N229" s="72" t="s">
        <v>249</v>
      </c>
      <c r="O229" s="25">
        <f t="shared" si="7"/>
        <v>-3.5714285714285809E-2</v>
      </c>
      <c r="Q229" s="73">
        <v>-0.02</v>
      </c>
      <c r="R229">
        <v>2</v>
      </c>
      <c r="T229" s="59">
        <f t="shared" si="5"/>
        <v>-2.4999999999999998E-2</v>
      </c>
      <c r="U229" s="1">
        <f t="shared" si="6"/>
        <v>7.3310744042788993</v>
      </c>
    </row>
    <row r="230" spans="1:21" ht="15">
      <c r="A230" s="72">
        <v>622.86</v>
      </c>
      <c r="B230" s="72">
        <v>626</v>
      </c>
      <c r="C230" s="72">
        <v>619.83000000000004</v>
      </c>
      <c r="D230" s="72">
        <v>620.59</v>
      </c>
      <c r="E230" s="72">
        <v>10264461</v>
      </c>
      <c r="F230" s="72" t="s">
        <v>250</v>
      </c>
      <c r="G230" s="25">
        <f t="shared" si="8"/>
        <v>3.6578095038592995E-3</v>
      </c>
      <c r="I230" s="72">
        <v>19.12</v>
      </c>
      <c r="J230" s="72">
        <v>19.61</v>
      </c>
      <c r="K230" s="72">
        <v>17.704999999999998</v>
      </c>
      <c r="L230" s="72">
        <v>18.41</v>
      </c>
      <c r="M230" s="72">
        <v>7781957</v>
      </c>
      <c r="N230" s="72" t="s">
        <v>250</v>
      </c>
      <c r="O230" s="25">
        <f t="shared" si="7"/>
        <v>3.8565996740901776E-2</v>
      </c>
      <c r="Q230" s="73">
        <v>-1.7500000000000002E-2</v>
      </c>
      <c r="R230">
        <v>4</v>
      </c>
      <c r="T230" s="59">
        <f t="shared" si="5"/>
        <v>-2.2499999999999999E-2</v>
      </c>
      <c r="U230" s="1">
        <f t="shared" si="6"/>
        <v>7.5450635376666586</v>
      </c>
    </row>
    <row r="231" spans="1:21" ht="15">
      <c r="A231" s="72">
        <v>620.99</v>
      </c>
      <c r="B231" s="72">
        <v>625.16999999999996</v>
      </c>
      <c r="C231" s="72">
        <v>620.20000000000005</v>
      </c>
      <c r="D231" s="72">
        <v>621.65</v>
      </c>
      <c r="E231" s="72">
        <v>8203353</v>
      </c>
      <c r="F231" s="72" t="s">
        <v>251</v>
      </c>
      <c r="G231" s="25">
        <f t="shared" si="8"/>
        <v>-1.0616906619479449E-3</v>
      </c>
      <c r="I231" s="72">
        <v>17.8</v>
      </c>
      <c r="J231" s="72">
        <v>18.015000000000001</v>
      </c>
      <c r="K231" s="72">
        <v>17.14</v>
      </c>
      <c r="L231" s="72">
        <v>17.46</v>
      </c>
      <c r="M231" s="72">
        <v>4383395</v>
      </c>
      <c r="N231" s="72" t="s">
        <v>251</v>
      </c>
      <c r="O231" s="25">
        <f t="shared" si="7"/>
        <v>1.9473081328751363E-2</v>
      </c>
      <c r="Q231" s="73">
        <v>-1.5000000000000001E-2</v>
      </c>
      <c r="R231">
        <v>6</v>
      </c>
      <c r="T231" s="59">
        <f t="shared" si="5"/>
        <v>-0.02</v>
      </c>
      <c r="U231" s="1">
        <f t="shared" si="6"/>
        <v>7.7428613505453141</v>
      </c>
    </row>
    <row r="232" spans="1:21" ht="15">
      <c r="A232" s="72">
        <v>628.27</v>
      </c>
      <c r="B232" s="72">
        <v>630.54</v>
      </c>
      <c r="C232" s="72">
        <v>625.16</v>
      </c>
      <c r="D232" s="72">
        <v>630.41999999999996</v>
      </c>
      <c r="E232" s="72">
        <v>5510227</v>
      </c>
      <c r="F232" s="72" t="s">
        <v>252</v>
      </c>
      <c r="G232" s="25">
        <f t="shared" si="8"/>
        <v>-3.4104247961675993E-3</v>
      </c>
      <c r="I232" s="72">
        <v>17.844999999999999</v>
      </c>
      <c r="J232" s="72">
        <v>17.989999999999998</v>
      </c>
      <c r="K232" s="72">
        <v>16.170000000000002</v>
      </c>
      <c r="L232" s="72">
        <v>16.940000000000001</v>
      </c>
      <c r="M232" s="72">
        <v>4429938</v>
      </c>
      <c r="N232" s="72" t="s">
        <v>252</v>
      </c>
      <c r="O232" s="25">
        <f t="shared" si="7"/>
        <v>5.3423848878394242E-2</v>
      </c>
      <c r="Q232" s="73">
        <v>-1.2500000000000001E-2</v>
      </c>
      <c r="R232">
        <v>4</v>
      </c>
      <c r="T232" s="59">
        <f t="shared" si="5"/>
        <v>-1.7500000000000002E-2</v>
      </c>
      <c r="U232" s="1">
        <f t="shared" si="6"/>
        <v>7.9228853383091122</v>
      </c>
    </row>
    <row r="233" spans="1:21" ht="15">
      <c r="A233" s="72">
        <v>627.04</v>
      </c>
      <c r="B233" s="72">
        <v>629.94000000000005</v>
      </c>
      <c r="C233" s="72">
        <v>624.5</v>
      </c>
      <c r="D233" s="72">
        <v>629.84</v>
      </c>
      <c r="E233" s="72">
        <v>7019277</v>
      </c>
      <c r="F233" s="72" t="s">
        <v>253</v>
      </c>
      <c r="G233" s="25">
        <f t="shared" si="8"/>
        <v>-4.4455734789788925E-3</v>
      </c>
      <c r="I233" s="72">
        <v>17.170000000000002</v>
      </c>
      <c r="J233" s="72">
        <v>17.399999999999999</v>
      </c>
      <c r="K233" s="72">
        <v>16.739999999999998</v>
      </c>
      <c r="L233" s="72">
        <v>17.11</v>
      </c>
      <c r="M233" s="72">
        <v>3615691</v>
      </c>
      <c r="N233" s="72" t="s">
        <v>253</v>
      </c>
      <c r="O233" s="25">
        <f t="shared" si="7"/>
        <v>3.506721215663422E-3</v>
      </c>
      <c r="Q233" s="73">
        <v>-0.01</v>
      </c>
      <c r="R233">
        <v>2</v>
      </c>
      <c r="T233" s="59">
        <f t="shared" si="5"/>
        <v>-1.5000000000000001E-2</v>
      </c>
      <c r="U233" s="1">
        <f t="shared" si="6"/>
        <v>8.0836698155315254</v>
      </c>
    </row>
    <row r="234" spans="1:21" ht="15">
      <c r="A234" s="72">
        <v>625.24</v>
      </c>
      <c r="B234" s="72">
        <v>630.63</v>
      </c>
      <c r="C234" s="72">
        <v>625.1</v>
      </c>
      <c r="D234" s="72">
        <v>628.80999999999995</v>
      </c>
      <c r="E234" s="72">
        <v>6171678</v>
      </c>
      <c r="F234" s="72" t="s">
        <v>254</v>
      </c>
      <c r="G234" s="25">
        <f t="shared" si="8"/>
        <v>-5.6773906267393315E-3</v>
      </c>
      <c r="I234" s="72">
        <v>17.05</v>
      </c>
      <c r="J234" s="72">
        <v>17.78</v>
      </c>
      <c r="K234" s="72">
        <v>17.03</v>
      </c>
      <c r="L234" s="72">
        <v>17.61</v>
      </c>
      <c r="M234" s="72">
        <v>3584518</v>
      </c>
      <c r="N234" s="72" t="s">
        <v>254</v>
      </c>
      <c r="O234" s="25">
        <f t="shared" si="7"/>
        <v>-3.1800113571834099E-2</v>
      </c>
      <c r="Q234" s="73">
        <v>-7.4999999999999997E-3</v>
      </c>
      <c r="R234">
        <v>3</v>
      </c>
      <c r="T234" s="59">
        <f t="shared" si="5"/>
        <v>-1.2500000000000001E-2</v>
      </c>
      <c r="U234" s="1">
        <f t="shared" si="6"/>
        <v>8.2238857531655096</v>
      </c>
    </row>
    <row r="235" spans="1:21" ht="15">
      <c r="A235" s="72">
        <v>631.95000000000005</v>
      </c>
      <c r="B235" s="72">
        <v>634.13</v>
      </c>
      <c r="C235" s="72">
        <v>627.87</v>
      </c>
      <c r="D235" s="72">
        <v>633.21</v>
      </c>
      <c r="E235" s="72">
        <v>6037388</v>
      </c>
      <c r="F235" s="72" t="s">
        <v>255</v>
      </c>
      <c r="G235" s="25">
        <f t="shared" si="8"/>
        <v>-1.9898611834936464E-3</v>
      </c>
      <c r="I235" s="72">
        <v>17.86</v>
      </c>
      <c r="J235" s="72">
        <v>18.25</v>
      </c>
      <c r="K235" s="72">
        <v>17.579999999999998</v>
      </c>
      <c r="L235" s="72">
        <v>18.2</v>
      </c>
      <c r="M235" s="72">
        <v>2741554</v>
      </c>
      <c r="N235" s="72" t="s">
        <v>255</v>
      </c>
      <c r="O235" s="25">
        <f t="shared" si="7"/>
        <v>-1.8681318681318726E-2</v>
      </c>
      <c r="Q235" s="73">
        <v>-5.0000000000000001E-3</v>
      </c>
      <c r="R235">
        <v>2</v>
      </c>
      <c r="T235" s="59">
        <f t="shared" si="5"/>
        <v>-0.01</v>
      </c>
      <c r="U235" s="1">
        <f t="shared" si="6"/>
        <v>8.3423590537899326</v>
      </c>
    </row>
    <row r="236" spans="1:21" ht="15">
      <c r="A236" s="72">
        <v>631.69000000000005</v>
      </c>
      <c r="B236" s="72">
        <v>633.39</v>
      </c>
      <c r="C236" s="72">
        <v>629.64</v>
      </c>
      <c r="D236" s="72">
        <v>631.71</v>
      </c>
      <c r="E236" s="72">
        <v>5575277</v>
      </c>
      <c r="F236" s="72" t="s">
        <v>256</v>
      </c>
      <c r="G236" s="25">
        <f t="shared" si="8"/>
        <v>-3.1660097196462011E-5</v>
      </c>
      <c r="I236" s="72">
        <v>18.52</v>
      </c>
      <c r="J236" s="72">
        <v>19.190000000000001</v>
      </c>
      <c r="K236" s="72">
        <v>18.47</v>
      </c>
      <c r="L236" s="72">
        <v>19</v>
      </c>
      <c r="M236" s="72">
        <v>1672320</v>
      </c>
      <c r="N236" s="72" t="s">
        <v>256</v>
      </c>
      <c r="O236" s="25">
        <f t="shared" si="7"/>
        <v>-2.5263157894736876E-2</v>
      </c>
      <c r="Q236" s="73">
        <v>-2.5000000000000001E-3</v>
      </c>
      <c r="R236">
        <v>5</v>
      </c>
      <c r="T236" s="59">
        <f t="shared" si="5"/>
        <v>-7.4999999999999997E-3</v>
      </c>
      <c r="U236" s="1">
        <f t="shared" si="6"/>
        <v>8.4380869137567256</v>
      </c>
    </row>
    <row r="237" spans="1:21" ht="15">
      <c r="A237" s="72">
        <v>630</v>
      </c>
      <c r="B237" s="72">
        <v>630.29</v>
      </c>
      <c r="C237" s="72">
        <v>627.16</v>
      </c>
      <c r="D237" s="72">
        <v>627.74</v>
      </c>
      <c r="E237" s="72">
        <v>7804316</v>
      </c>
      <c r="F237" s="72" t="s">
        <v>257</v>
      </c>
      <c r="G237" s="25">
        <f t="shared" si="8"/>
        <v>3.600216650205379E-3</v>
      </c>
      <c r="I237" s="72">
        <v>18.91</v>
      </c>
      <c r="J237" s="72">
        <v>19.2</v>
      </c>
      <c r="K237" s="72">
        <v>18.747499999999999</v>
      </c>
      <c r="L237" s="72">
        <v>19.07</v>
      </c>
      <c r="M237" s="72">
        <v>2444518</v>
      </c>
      <c r="N237" s="72" t="s">
        <v>257</v>
      </c>
      <c r="O237" s="25">
        <f t="shared" si="7"/>
        <v>-8.3901415836392657E-3</v>
      </c>
      <c r="Q237" s="73">
        <v>0</v>
      </c>
      <c r="R237">
        <v>7</v>
      </c>
      <c r="T237" s="59">
        <f t="shared" si="5"/>
        <v>-5.0000000000000001E-3</v>
      </c>
      <c r="U237" s="1">
        <f t="shared" si="6"/>
        <v>8.5102519534690124</v>
      </c>
    </row>
    <row r="238" spans="1:21" ht="15">
      <c r="A238" s="72">
        <v>622.54999999999995</v>
      </c>
      <c r="B238" s="72">
        <v>623.78989999999999</v>
      </c>
      <c r="C238" s="72">
        <v>621.20699999999999</v>
      </c>
      <c r="D238" s="72">
        <v>621.91999999999996</v>
      </c>
      <c r="E238" s="72">
        <v>5650844</v>
      </c>
      <c r="F238" s="72" t="s">
        <v>258</v>
      </c>
      <c r="G238" s="25">
        <f t="shared" si="8"/>
        <v>1.0129920246977342E-3</v>
      </c>
      <c r="I238" s="72">
        <v>18.850000000000001</v>
      </c>
      <c r="J238" s="72">
        <v>18.920000000000002</v>
      </c>
      <c r="K238" s="72">
        <v>18.34</v>
      </c>
      <c r="L238" s="72">
        <v>18.829999999999998</v>
      </c>
      <c r="M238" s="72">
        <v>2701790</v>
      </c>
      <c r="N238" s="72" t="s">
        <v>258</v>
      </c>
      <c r="O238" s="25">
        <f t="shared" si="7"/>
        <v>1.0621348911312722E-3</v>
      </c>
      <c r="Q238" s="73">
        <v>2.5000000000000001E-3</v>
      </c>
      <c r="R238">
        <v>9</v>
      </c>
      <c r="T238" s="59">
        <f>T239-0.0025</f>
        <v>-2.5000000000000001E-3</v>
      </c>
      <c r="U238" s="1">
        <f t="shared" si="6"/>
        <v>8.5582338373693965</v>
      </c>
    </row>
    <row r="239" spans="1:21" ht="15">
      <c r="A239" s="72">
        <v>617.44000000000005</v>
      </c>
      <c r="B239" s="72">
        <v>618.47400000000005</v>
      </c>
      <c r="C239" s="72">
        <v>613.99</v>
      </c>
      <c r="D239" s="72">
        <v>614.25</v>
      </c>
      <c r="E239" s="72">
        <v>5825360</v>
      </c>
      <c r="F239" s="72" t="s">
        <v>259</v>
      </c>
      <c r="G239" s="25">
        <f t="shared" si="8"/>
        <v>5.1933251933253821E-3</v>
      </c>
      <c r="I239" s="72">
        <v>18.18</v>
      </c>
      <c r="J239" s="72">
        <v>18.47</v>
      </c>
      <c r="K239" s="72">
        <v>17.579999999999998</v>
      </c>
      <c r="L239" s="72">
        <v>17.71</v>
      </c>
      <c r="M239" s="72">
        <v>1575005</v>
      </c>
      <c r="N239" s="72" t="s">
        <v>259</v>
      </c>
      <c r="O239" s="25">
        <f t="shared" si="7"/>
        <v>2.6538678712591635E-2</v>
      </c>
      <c r="Q239" s="73">
        <v>5.0000000000000001E-3</v>
      </c>
      <c r="R239">
        <v>4</v>
      </c>
      <c r="T239" s="59">
        <v>0</v>
      </c>
      <c r="U239" s="1">
        <f t="shared" si="6"/>
        <v>8.5816181526111777</v>
      </c>
    </row>
    <row r="240" spans="1:21" ht="15">
      <c r="A240" s="72">
        <v>613.97</v>
      </c>
      <c r="B240" s="72">
        <v>617.83000000000004</v>
      </c>
      <c r="C240" s="72">
        <v>609.83000000000004</v>
      </c>
      <c r="D240" s="72">
        <v>617.83000000000004</v>
      </c>
      <c r="E240" s="72">
        <v>6119026</v>
      </c>
      <c r="F240" s="72" t="s">
        <v>260</v>
      </c>
      <c r="G240" s="25">
        <f t="shared" si="8"/>
        <v>-6.247673308191648E-3</v>
      </c>
      <c r="I240" s="72">
        <v>17.62</v>
      </c>
      <c r="J240" s="72">
        <v>18.3</v>
      </c>
      <c r="K240" s="72">
        <v>17.25</v>
      </c>
      <c r="L240" s="72">
        <v>18.3</v>
      </c>
      <c r="M240" s="72">
        <v>2325042</v>
      </c>
      <c r="N240" s="72" t="s">
        <v>260</v>
      </c>
      <c r="O240" s="25">
        <f t="shared" si="7"/>
        <v>-3.715846994535521E-2</v>
      </c>
      <c r="Q240" s="73">
        <v>7.4999999999999997E-3</v>
      </c>
      <c r="R240">
        <v>8</v>
      </c>
      <c r="T240" s="25">
        <f>T239+0.0025</f>
        <v>2.5000000000000001E-3</v>
      </c>
      <c r="U240" s="1">
        <f t="shared" si="6"/>
        <v>8.580202368678691</v>
      </c>
    </row>
    <row r="241" spans="1:21" ht="15">
      <c r="A241" s="72">
        <v>617.09</v>
      </c>
      <c r="B241" s="72">
        <v>618.74</v>
      </c>
      <c r="C241" s="72">
        <v>615.98099999999999</v>
      </c>
      <c r="D241" s="72">
        <v>617.33000000000004</v>
      </c>
      <c r="E241" s="72">
        <v>4156131</v>
      </c>
      <c r="F241" s="72" t="s">
        <v>261</v>
      </c>
      <c r="G241" s="25">
        <f t="shared" si="8"/>
        <v>-3.8877099768364065E-4</v>
      </c>
      <c r="I241" s="72">
        <v>18.41</v>
      </c>
      <c r="J241" s="72">
        <v>18.96</v>
      </c>
      <c r="K241" s="72">
        <v>18.0107</v>
      </c>
      <c r="L241" s="72">
        <v>18.2</v>
      </c>
      <c r="M241" s="72">
        <v>2584718</v>
      </c>
      <c r="N241" s="72" t="s">
        <v>261</v>
      </c>
      <c r="O241" s="25">
        <f t="shared" si="7"/>
        <v>1.1538461538461497E-2</v>
      </c>
      <c r="Q241" s="73">
        <v>0.01</v>
      </c>
      <c r="R241">
        <v>3</v>
      </c>
      <c r="T241" s="25">
        <f t="shared" ref="T241:T297" si="9">T240+0.0025</f>
        <v>5.0000000000000001E-3</v>
      </c>
      <c r="U241" s="1">
        <f t="shared" si="6"/>
        <v>8.5539987580860721</v>
      </c>
    </row>
    <row r="242" spans="1:21" ht="15">
      <c r="A242" s="72">
        <v>617.16999999999996</v>
      </c>
      <c r="B242" s="72">
        <v>618.01</v>
      </c>
      <c r="C242" s="72">
        <v>613.51</v>
      </c>
      <c r="D242" s="72">
        <v>613.51</v>
      </c>
      <c r="E242" s="72">
        <v>4049225</v>
      </c>
      <c r="F242" s="72" t="s">
        <v>262</v>
      </c>
      <c r="G242" s="25">
        <f t="shared" si="8"/>
        <v>5.9656729311665657E-3</v>
      </c>
      <c r="I242" s="72">
        <v>18.29</v>
      </c>
      <c r="J242" s="72">
        <v>18.379899999999999</v>
      </c>
      <c r="K242" s="72">
        <v>17.498699999999999</v>
      </c>
      <c r="L242" s="72">
        <v>17.61</v>
      </c>
      <c r="M242" s="72">
        <v>2861645</v>
      </c>
      <c r="N242" s="72" t="s">
        <v>262</v>
      </c>
      <c r="O242" s="25">
        <f t="shared" si="7"/>
        <v>3.8614423622941541E-2</v>
      </c>
      <c r="Q242" s="73">
        <v>1.2500000000000001E-2</v>
      </c>
      <c r="R242">
        <v>4</v>
      </c>
      <c r="T242" s="25">
        <f t="shared" si="9"/>
        <v>7.4999999999999997E-3</v>
      </c>
      <c r="U242" s="1">
        <f t="shared" si="6"/>
        <v>8.5032342192439021</v>
      </c>
    </row>
    <row r="243" spans="1:21" ht="15">
      <c r="A243" s="72">
        <v>610.76</v>
      </c>
      <c r="B243" s="72">
        <v>612.02</v>
      </c>
      <c r="C243" s="72">
        <v>605.1</v>
      </c>
      <c r="D243" s="72">
        <v>606.34</v>
      </c>
      <c r="E243" s="72">
        <v>6884090</v>
      </c>
      <c r="F243" s="72" t="s">
        <v>263</v>
      </c>
      <c r="G243" s="25">
        <f t="shared" si="8"/>
        <v>7.289639476201426E-3</v>
      </c>
      <c r="I243" s="72">
        <v>17.100000000000001</v>
      </c>
      <c r="J243" s="72">
        <v>17.47</v>
      </c>
      <c r="K243" s="72">
        <v>17</v>
      </c>
      <c r="L243" s="72">
        <v>17.309999999999999</v>
      </c>
      <c r="M243" s="72">
        <v>3151553</v>
      </c>
      <c r="N243" s="72" t="s">
        <v>263</v>
      </c>
      <c r="O243" s="25">
        <f t="shared" si="7"/>
        <v>-1.21317157712304E-2</v>
      </c>
      <c r="Q243" s="73">
        <v>1.5000000000000001E-2</v>
      </c>
      <c r="R243">
        <v>3</v>
      </c>
      <c r="T243" s="25">
        <f t="shared" si="9"/>
        <v>0.01</v>
      </c>
      <c r="U243" s="1">
        <f t="shared" si="6"/>
        <v>8.4283470050695506</v>
      </c>
    </row>
    <row r="244" spans="1:21" ht="15">
      <c r="A244" s="72">
        <v>607.39</v>
      </c>
      <c r="B244" s="72">
        <v>614.79999999999995</v>
      </c>
      <c r="C244" s="72">
        <v>604.14</v>
      </c>
      <c r="D244" s="72">
        <v>613.11</v>
      </c>
      <c r="E244" s="72">
        <v>7533209</v>
      </c>
      <c r="F244" s="72" t="s">
        <v>264</v>
      </c>
      <c r="G244" s="25">
        <f t="shared" si="8"/>
        <v>-9.3294841056255073E-3</v>
      </c>
      <c r="I244" s="72">
        <v>17.54</v>
      </c>
      <c r="J244" s="72">
        <v>19.579999999999998</v>
      </c>
      <c r="K244" s="72">
        <v>17.5</v>
      </c>
      <c r="L244" s="72">
        <v>19.52</v>
      </c>
      <c r="M244" s="72">
        <v>4255538</v>
      </c>
      <c r="N244" s="72" t="s">
        <v>264</v>
      </c>
      <c r="O244" s="25">
        <f t="shared" si="7"/>
        <v>-0.10143442622950827</v>
      </c>
      <c r="Q244" s="73">
        <v>1.7500000000000002E-2</v>
      </c>
      <c r="R244">
        <v>2</v>
      </c>
      <c r="T244" s="25">
        <f t="shared" si="9"/>
        <v>1.2500000000000001E-2</v>
      </c>
      <c r="U244" s="1">
        <f t="shared" si="6"/>
        <v>8.3299804233107171</v>
      </c>
    </row>
    <row r="245" spans="1:21" ht="15">
      <c r="A245" s="72">
        <v>611.42999999999995</v>
      </c>
      <c r="B245" s="72">
        <v>616.20500000000004</v>
      </c>
      <c r="C245" s="72">
        <v>605.82000000000005</v>
      </c>
      <c r="D245" s="72">
        <v>613.07000000000005</v>
      </c>
      <c r="E245" s="72">
        <v>6474986</v>
      </c>
      <c r="F245" s="72" t="s">
        <v>265</v>
      </c>
      <c r="G245" s="25">
        <f t="shared" si="8"/>
        <v>-2.6750615753504681E-3</v>
      </c>
      <c r="I245" s="72">
        <v>19.52</v>
      </c>
      <c r="J245" s="72">
        <v>20.46</v>
      </c>
      <c r="K245" s="72">
        <v>19.445</v>
      </c>
      <c r="L245" s="72">
        <v>20.45</v>
      </c>
      <c r="M245" s="72">
        <v>2500069</v>
      </c>
      <c r="N245" s="72" t="s">
        <v>265</v>
      </c>
      <c r="O245" s="25">
        <f t="shared" si="7"/>
        <v>-4.5476772616136918E-2</v>
      </c>
      <c r="Q245" s="73">
        <v>0.02</v>
      </c>
      <c r="R245">
        <v>8</v>
      </c>
      <c r="T245" s="25">
        <f t="shared" si="9"/>
        <v>1.5000000000000001E-2</v>
      </c>
      <c r="U245" s="1">
        <f t="shared" ref="U245:U276" si="10">_xlfn.NORM.DIST(T245,$S$172,$S$174,FALSE)</f>
        <v>8.2089736352365712</v>
      </c>
    </row>
    <row r="246" spans="1:21" ht="15">
      <c r="A246" s="72">
        <v>608.75</v>
      </c>
      <c r="B246" s="72">
        <v>612.14</v>
      </c>
      <c r="C246" s="72">
        <v>600.51</v>
      </c>
      <c r="D246" s="72">
        <v>604.20000000000005</v>
      </c>
      <c r="E246" s="72">
        <v>7469018</v>
      </c>
      <c r="F246" s="72" t="s">
        <v>266</v>
      </c>
      <c r="G246" s="25">
        <f t="shared" si="8"/>
        <v>7.5306190003310292E-3</v>
      </c>
      <c r="I246" s="72">
        <v>20.36</v>
      </c>
      <c r="J246" s="72">
        <v>20.64</v>
      </c>
      <c r="K246" s="72">
        <v>18.77</v>
      </c>
      <c r="L246" s="72">
        <v>19.260000000000002</v>
      </c>
      <c r="M246" s="72">
        <v>2926114</v>
      </c>
      <c r="N246" s="72" t="s">
        <v>266</v>
      </c>
      <c r="O246" s="25">
        <f t="shared" si="7"/>
        <v>5.7113187954309419E-2</v>
      </c>
      <c r="Q246" s="73">
        <v>2.2499999999999999E-2</v>
      </c>
      <c r="R246">
        <v>3</v>
      </c>
      <c r="T246" s="25">
        <f t="shared" si="9"/>
        <v>1.7500000000000002E-2</v>
      </c>
      <c r="U246" s="1">
        <f t="shared" si="10"/>
        <v>8.0663497367650088</v>
      </c>
    </row>
    <row r="247" spans="1:21" ht="15">
      <c r="A247" s="72">
        <v>609.61</v>
      </c>
      <c r="B247" s="72">
        <v>611.02719999999999</v>
      </c>
      <c r="C247" s="72">
        <v>606.57500000000005</v>
      </c>
      <c r="D247" s="72">
        <v>607.37</v>
      </c>
      <c r="E247" s="72">
        <v>6942460</v>
      </c>
      <c r="F247" s="72" t="s">
        <v>267</v>
      </c>
      <c r="G247" s="25">
        <f t="shared" si="8"/>
        <v>3.6880320068493067E-3</v>
      </c>
      <c r="I247" s="72">
        <v>19.41</v>
      </c>
      <c r="J247" s="72">
        <v>19.899999999999999</v>
      </c>
      <c r="K247" s="72">
        <v>19.260000000000002</v>
      </c>
      <c r="L247" s="72">
        <v>19.899999999999999</v>
      </c>
      <c r="M247" s="72">
        <v>2050171</v>
      </c>
      <c r="N247" s="72" t="s">
        <v>267</v>
      </c>
      <c r="O247" s="25">
        <f t="shared" si="7"/>
        <v>-2.4623115577889321E-2</v>
      </c>
      <c r="Q247" s="73">
        <v>2.4999999999999998E-2</v>
      </c>
      <c r="R247">
        <v>4</v>
      </c>
      <c r="T247" s="25">
        <f t="shared" si="9"/>
        <v>0.02</v>
      </c>
      <c r="U247" s="1">
        <f t="shared" si="10"/>
        <v>7.903301358779145</v>
      </c>
    </row>
    <row r="248" spans="1:21" ht="15">
      <c r="A248" s="72">
        <v>600.51</v>
      </c>
      <c r="B248" s="72">
        <v>619.6</v>
      </c>
      <c r="C248" s="72">
        <v>600.23</v>
      </c>
      <c r="D248" s="72">
        <v>617.99</v>
      </c>
      <c r="E248" s="72">
        <v>13339202</v>
      </c>
      <c r="F248" s="72" t="s">
        <v>268</v>
      </c>
      <c r="G248" s="25">
        <f t="shared" si="8"/>
        <v>-2.8285247334099317E-2</v>
      </c>
      <c r="I248" s="72">
        <v>19.57</v>
      </c>
      <c r="J248" s="72">
        <v>21.488600000000002</v>
      </c>
      <c r="K248" s="72">
        <v>19.54</v>
      </c>
      <c r="L248" s="72">
        <v>21.38</v>
      </c>
      <c r="M248" s="72">
        <v>2260751</v>
      </c>
      <c r="N248" s="72" t="s">
        <v>268</v>
      </c>
      <c r="O248" s="25">
        <f t="shared" si="7"/>
        <v>-8.4658559401309619E-2</v>
      </c>
      <c r="Q248" s="73">
        <v>2.7499999999999997E-2</v>
      </c>
      <c r="R248">
        <v>5</v>
      </c>
      <c r="T248" s="25">
        <f t="shared" si="9"/>
        <v>2.2499999999999999E-2</v>
      </c>
      <c r="U248" s="1">
        <f t="shared" si="10"/>
        <v>7.7211740700305329</v>
      </c>
    </row>
    <row r="249" spans="1:21" ht="15">
      <c r="A249" s="72">
        <v>617.1</v>
      </c>
      <c r="B249" s="72">
        <v>619.59</v>
      </c>
      <c r="C249" s="72">
        <v>615.28</v>
      </c>
      <c r="D249" s="72">
        <v>619.23</v>
      </c>
      <c r="E249" s="72">
        <v>5879748</v>
      </c>
      <c r="F249" s="72" t="s">
        <v>269</v>
      </c>
      <c r="G249" s="25">
        <f t="shared" si="8"/>
        <v>-3.439755825783597E-3</v>
      </c>
      <c r="I249" s="72">
        <v>21.274999999999999</v>
      </c>
      <c r="J249" s="72">
        <v>21.69</v>
      </c>
      <c r="K249" s="72">
        <v>20.954999999999998</v>
      </c>
      <c r="L249" s="72">
        <v>21.35</v>
      </c>
      <c r="M249" s="72">
        <v>1946288</v>
      </c>
      <c r="N249" s="72" t="s">
        <v>269</v>
      </c>
      <c r="O249" s="25">
        <f t="shared" si="7"/>
        <v>-3.5128805620610049E-3</v>
      </c>
      <c r="Q249" s="73">
        <v>2.9999999999999995E-2</v>
      </c>
      <c r="R249">
        <v>1</v>
      </c>
      <c r="T249" s="25">
        <f t="shared" si="9"/>
        <v>2.4999999999999998E-2</v>
      </c>
      <c r="U249" s="1">
        <f t="shared" si="10"/>
        <v>7.5214479055087651</v>
      </c>
    </row>
    <row r="250" spans="1:21" ht="15">
      <c r="A250" s="72">
        <v>618.77</v>
      </c>
      <c r="B250" s="72">
        <v>618.9</v>
      </c>
      <c r="C250" s="72">
        <v>615.46420000000001</v>
      </c>
      <c r="D250" s="72">
        <v>616.21500000000003</v>
      </c>
      <c r="E250" s="72">
        <v>5000436</v>
      </c>
      <c r="F250" s="72" t="s">
        <v>270</v>
      </c>
      <c r="G250" s="25">
        <f t="shared" si="8"/>
        <v>4.1462801132721161E-3</v>
      </c>
      <c r="I250" s="72">
        <v>21.35</v>
      </c>
      <c r="J250" s="72">
        <v>21.4</v>
      </c>
      <c r="K250" s="72">
        <v>20.149999999999999</v>
      </c>
      <c r="L250" s="72">
        <v>20.81</v>
      </c>
      <c r="M250" s="72">
        <v>2196416</v>
      </c>
      <c r="N250" s="72" t="s">
        <v>270</v>
      </c>
      <c r="O250" s="25">
        <f t="shared" si="7"/>
        <v>2.5949062950504587E-2</v>
      </c>
      <c r="Q250" s="73">
        <v>3.2499999999999994E-2</v>
      </c>
      <c r="R250">
        <v>2</v>
      </c>
      <c r="T250" s="25">
        <f t="shared" si="9"/>
        <v>2.7499999999999997E-2</v>
      </c>
      <c r="U250" s="1">
        <f t="shared" si="10"/>
        <v>7.3057173745752797</v>
      </c>
    </row>
    <row r="251" spans="1:21" ht="15">
      <c r="A251" s="72">
        <v>615.20000000000005</v>
      </c>
      <c r="B251" s="72">
        <v>618.73929999999996</v>
      </c>
      <c r="C251" s="72">
        <v>613.82000000000005</v>
      </c>
      <c r="D251" s="72">
        <v>618.29999999999995</v>
      </c>
      <c r="E251" s="72">
        <v>7439508</v>
      </c>
      <c r="F251" s="72" t="s">
        <v>271</v>
      </c>
      <c r="G251" s="25">
        <f t="shared" si="8"/>
        <v>-5.0137473718258052E-3</v>
      </c>
      <c r="I251" s="72">
        <v>20.8</v>
      </c>
      <c r="J251" s="72">
        <v>21.2498</v>
      </c>
      <c r="K251" s="72">
        <v>20.340199999999999</v>
      </c>
      <c r="L251" s="72">
        <v>21.23</v>
      </c>
      <c r="M251" s="72">
        <v>2543835</v>
      </c>
      <c r="N251" s="72" t="s">
        <v>271</v>
      </c>
      <c r="O251" s="25">
        <f t="shared" si="7"/>
        <v>-2.02543570419218E-2</v>
      </c>
      <c r="Q251" s="73">
        <v>3.4999999999999996E-2</v>
      </c>
      <c r="R251">
        <v>5</v>
      </c>
      <c r="T251" s="25">
        <f t="shared" si="9"/>
        <v>2.9999999999999995E-2</v>
      </c>
      <c r="U251" s="1">
        <f t="shared" si="10"/>
        <v>7.0756703258581721</v>
      </c>
    </row>
    <row r="252" spans="1:21" ht="15">
      <c r="A252" s="72">
        <v>617.4</v>
      </c>
      <c r="B252" s="72">
        <v>618.28</v>
      </c>
      <c r="C252" s="72">
        <v>615.48</v>
      </c>
      <c r="D252" s="72">
        <v>617.46</v>
      </c>
      <c r="E252" s="72">
        <v>5958193</v>
      </c>
      <c r="F252" s="72" t="s">
        <v>272</v>
      </c>
      <c r="G252" s="25">
        <f t="shared" si="8"/>
        <v>-9.7172286463997892E-5</v>
      </c>
      <c r="I252" s="72">
        <v>21.05</v>
      </c>
      <c r="J252" s="72">
        <v>21.55</v>
      </c>
      <c r="K252" s="72">
        <v>20.52</v>
      </c>
      <c r="L252" s="72">
        <v>20.96</v>
      </c>
      <c r="M252" s="72">
        <v>2461712</v>
      </c>
      <c r="N252" s="72" t="s">
        <v>272</v>
      </c>
      <c r="O252" s="25">
        <f t="shared" si="7"/>
        <v>4.2938931297709093E-3</v>
      </c>
      <c r="Q252" s="73">
        <v>3.7499999999999999E-2</v>
      </c>
      <c r="R252">
        <v>2</v>
      </c>
      <c r="T252" s="25">
        <f t="shared" si="9"/>
        <v>3.2499999999999994E-2</v>
      </c>
      <c r="U252" s="1">
        <f t="shared" si="10"/>
        <v>6.8330660594905188</v>
      </c>
    </row>
    <row r="253" spans="1:21" ht="15">
      <c r="A253" s="72">
        <v>615.29999999999995</v>
      </c>
      <c r="B253" s="72">
        <v>618.41999999999996</v>
      </c>
      <c r="C253" s="72">
        <v>614.28800000000001</v>
      </c>
      <c r="D253" s="72">
        <v>615.95000000000005</v>
      </c>
      <c r="E253" s="72">
        <v>7187163</v>
      </c>
      <c r="F253" s="72" t="s">
        <v>273</v>
      </c>
      <c r="G253" s="25">
        <f t="shared" si="8"/>
        <v>-1.0552804610765021E-3</v>
      </c>
      <c r="I253" s="72">
        <v>20.87</v>
      </c>
      <c r="J253" s="72">
        <v>22</v>
      </c>
      <c r="K253" s="72">
        <v>20.86</v>
      </c>
      <c r="L253" s="72">
        <v>21.2</v>
      </c>
      <c r="M253" s="72">
        <v>3448344</v>
      </c>
      <c r="N253" s="72" t="s">
        <v>273</v>
      </c>
      <c r="O253" s="25">
        <f t="shared" si="7"/>
        <v>-1.556603773584897E-2</v>
      </c>
      <c r="Q253" s="73">
        <v>0.04</v>
      </c>
      <c r="R253">
        <v>4</v>
      </c>
      <c r="T253" s="25">
        <f t="shared" si="9"/>
        <v>3.4999999999999996E-2</v>
      </c>
      <c r="U253" s="1">
        <f t="shared" si="10"/>
        <v>6.5797130816216338</v>
      </c>
    </row>
    <row r="254" spans="1:21" ht="15">
      <c r="A254" s="72">
        <v>615.25</v>
      </c>
      <c r="B254" s="72">
        <v>616.48</v>
      </c>
      <c r="C254" s="72">
        <v>613.02</v>
      </c>
      <c r="D254" s="72">
        <v>616.41</v>
      </c>
      <c r="E254" s="72">
        <v>7036646</v>
      </c>
      <c r="F254" s="72" t="s">
        <v>274</v>
      </c>
      <c r="G254" s="25">
        <f t="shared" si="8"/>
        <v>-1.8818643435375426E-3</v>
      </c>
      <c r="I254" s="72">
        <v>20.99</v>
      </c>
      <c r="J254" s="72">
        <v>21.03</v>
      </c>
      <c r="K254" s="72">
        <v>20.09</v>
      </c>
      <c r="L254" s="72">
        <v>20.149999999999999</v>
      </c>
      <c r="M254" s="72">
        <v>2901156</v>
      </c>
      <c r="N254" s="72" t="s">
        <v>274</v>
      </c>
      <c r="O254" s="25">
        <f t="shared" si="7"/>
        <v>4.1687344913151403E-2</v>
      </c>
      <c r="Q254" s="73">
        <v>4.2500000000000003E-2</v>
      </c>
      <c r="R254">
        <v>2</v>
      </c>
      <c r="T254" s="25">
        <f t="shared" si="9"/>
        <v>3.7499999999999999E-2</v>
      </c>
      <c r="U254" s="1">
        <f t="shared" si="10"/>
        <v>6.3174468913793032</v>
      </c>
    </row>
    <row r="255" spans="1:21" ht="15">
      <c r="A255" s="72">
        <v>614.57000000000005</v>
      </c>
      <c r="B255" s="72">
        <v>615.39</v>
      </c>
      <c r="C255" s="72">
        <v>609.57000000000005</v>
      </c>
      <c r="D255" s="72">
        <v>609.70000000000005</v>
      </c>
      <c r="E255" s="72">
        <v>9753029</v>
      </c>
      <c r="F255" s="72" t="s">
        <v>275</v>
      </c>
      <c r="G255" s="25">
        <f t="shared" si="8"/>
        <v>7.9875348532065793E-3</v>
      </c>
      <c r="I255" s="72">
        <v>20</v>
      </c>
      <c r="J255" s="72">
        <v>20.49</v>
      </c>
      <c r="K255" s="72">
        <v>19.8521</v>
      </c>
      <c r="L255" s="72">
        <v>20.05</v>
      </c>
      <c r="M255" s="72">
        <v>2740380</v>
      </c>
      <c r="N255" s="72" t="s">
        <v>275</v>
      </c>
      <c r="O255" s="25">
        <f t="shared" si="7"/>
        <v>-2.4937655860349794E-3</v>
      </c>
      <c r="Q255" s="73">
        <v>4.5000000000000005E-2</v>
      </c>
      <c r="R255">
        <v>3</v>
      </c>
      <c r="T255" s="25">
        <f t="shared" si="9"/>
        <v>0.04</v>
      </c>
      <c r="U255" s="1">
        <f t="shared" si="10"/>
        <v>6.0481081770056759</v>
      </c>
    </row>
    <row r="256" spans="1:21" ht="15">
      <c r="A256" s="72">
        <v>612.38</v>
      </c>
      <c r="B256" s="72">
        <v>612.86</v>
      </c>
      <c r="C256" s="72">
        <v>608.27</v>
      </c>
      <c r="D256" s="72">
        <v>609.42999999999995</v>
      </c>
      <c r="E256" s="72">
        <v>6481423</v>
      </c>
      <c r="F256" s="72" t="s">
        <v>276</v>
      </c>
      <c r="G256" s="25">
        <f t="shared" si="8"/>
        <v>4.8405887468618847E-3</v>
      </c>
      <c r="I256" s="72">
        <v>20.170000000000002</v>
      </c>
      <c r="J256" s="72">
        <v>21.41</v>
      </c>
      <c r="K256" s="72">
        <v>19.940000000000001</v>
      </c>
      <c r="L256" s="72">
        <v>20.95</v>
      </c>
      <c r="M256" s="72">
        <v>3715009</v>
      </c>
      <c r="N256" s="72" t="s">
        <v>276</v>
      </c>
      <c r="O256" s="25">
        <f t="shared" si="7"/>
        <v>-3.7231503579952197E-2</v>
      </c>
      <c r="Q256" s="73">
        <v>4.7500000000000007E-2</v>
      </c>
      <c r="R256">
        <v>4</v>
      </c>
      <c r="T256" s="25">
        <f t="shared" si="9"/>
        <v>4.2500000000000003E-2</v>
      </c>
      <c r="U256" s="1">
        <f t="shared" si="10"/>
        <v>5.7735217763588569</v>
      </c>
    </row>
    <row r="257" spans="1:21" ht="15">
      <c r="A257" s="72">
        <v>610.13</v>
      </c>
      <c r="B257" s="72">
        <v>611.67999999999995</v>
      </c>
      <c r="C257" s="72">
        <v>608.48</v>
      </c>
      <c r="D257" s="72">
        <v>610.79</v>
      </c>
      <c r="E257" s="72">
        <v>5658835</v>
      </c>
      <c r="F257" s="72" t="s">
        <v>277</v>
      </c>
      <c r="G257" s="25">
        <f t="shared" si="8"/>
        <v>-1.0805677892564702E-3</v>
      </c>
      <c r="I257" s="72">
        <v>20.8</v>
      </c>
      <c r="J257" s="72">
        <v>21.31</v>
      </c>
      <c r="K257" s="72">
        <v>20.555</v>
      </c>
      <c r="L257" s="72">
        <v>21.25</v>
      </c>
      <c r="M257" s="72">
        <v>2886812</v>
      </c>
      <c r="N257" s="72" t="s">
        <v>277</v>
      </c>
      <c r="O257" s="25">
        <f t="shared" si="7"/>
        <v>-2.1176470588235241E-2</v>
      </c>
      <c r="Q257" s="73">
        <v>5.000000000000001E-2</v>
      </c>
      <c r="R257">
        <v>3</v>
      </c>
      <c r="T257" s="25">
        <f t="shared" si="9"/>
        <v>4.5000000000000005E-2</v>
      </c>
      <c r="U257" s="1">
        <f t="shared" si="10"/>
        <v>5.4954767282022168</v>
      </c>
    </row>
    <row r="258" spans="1:21" ht="15">
      <c r="A258" s="72">
        <v>610.16</v>
      </c>
      <c r="B258" s="72">
        <v>610.70000000000005</v>
      </c>
      <c r="C258" s="72">
        <v>606.56500000000005</v>
      </c>
      <c r="D258" s="72">
        <v>608.03</v>
      </c>
      <c r="E258" s="72">
        <v>6438634</v>
      </c>
      <c r="F258" s="72" t="s">
        <v>278</v>
      </c>
      <c r="G258" s="25">
        <f t="shared" si="8"/>
        <v>3.5031166225349963E-3</v>
      </c>
      <c r="I258" s="72">
        <v>21.24</v>
      </c>
      <c r="J258" s="72">
        <v>21.56</v>
      </c>
      <c r="K258" s="72">
        <v>20.92</v>
      </c>
      <c r="L258" s="72">
        <v>21.545000000000002</v>
      </c>
      <c r="M258" s="72">
        <v>3116867</v>
      </c>
      <c r="N258" s="72" t="s">
        <v>278</v>
      </c>
      <c r="O258" s="25">
        <f t="shared" si="7"/>
        <v>-1.4156416802042382E-2</v>
      </c>
      <c r="Q258" s="73">
        <v>5.2500000000000012E-2</v>
      </c>
      <c r="R258">
        <v>0</v>
      </c>
      <c r="T258" s="25">
        <f t="shared" si="9"/>
        <v>4.7500000000000007E-2</v>
      </c>
      <c r="U258" s="1">
        <f t="shared" si="10"/>
        <v>5.2157077057030401</v>
      </c>
    </row>
    <row r="259" spans="1:21" ht="15">
      <c r="A259" s="72">
        <v>606.59</v>
      </c>
      <c r="B259" s="72">
        <v>607.92999999999995</v>
      </c>
      <c r="C259" s="72">
        <v>603.35</v>
      </c>
      <c r="D259" s="72">
        <v>606.62</v>
      </c>
      <c r="E259" s="72">
        <v>6927746</v>
      </c>
      <c r="F259" s="72" t="s">
        <v>279</v>
      </c>
      <c r="G259" s="25">
        <f t="shared" si="8"/>
        <v>-4.9454353631572801E-5</v>
      </c>
      <c r="I259" s="72">
        <v>21.56</v>
      </c>
      <c r="J259" s="72">
        <v>22.75</v>
      </c>
      <c r="K259" s="72">
        <v>21.5</v>
      </c>
      <c r="L259" s="72">
        <v>22.449000000000002</v>
      </c>
      <c r="M259" s="72">
        <v>3398223</v>
      </c>
      <c r="N259" s="72" t="s">
        <v>279</v>
      </c>
      <c r="O259" s="25">
        <f t="shared" si="7"/>
        <v>-3.9600873090115507E-2</v>
      </c>
      <c r="Q259" s="73">
        <v>5.5000000000000014E-2</v>
      </c>
      <c r="R259">
        <v>4</v>
      </c>
      <c r="T259" s="25">
        <f t="shared" si="9"/>
        <v>5.000000000000001E-2</v>
      </c>
      <c r="U259" s="1">
        <f t="shared" si="10"/>
        <v>4.9358780834766955</v>
      </c>
    </row>
    <row r="260" spans="1:21" ht="15">
      <c r="A260" s="72">
        <v>609.5</v>
      </c>
      <c r="B260" s="72">
        <v>612.74</v>
      </c>
      <c r="C260" s="72">
        <v>608.19000000000005</v>
      </c>
      <c r="D260" s="72">
        <v>612.63</v>
      </c>
      <c r="E260" s="72">
        <v>23764079</v>
      </c>
      <c r="F260" s="72" t="s">
        <v>280</v>
      </c>
      <c r="G260" s="25">
        <f t="shared" si="8"/>
        <v>-5.1091196970438624E-3</v>
      </c>
      <c r="I260" s="72">
        <v>23.05</v>
      </c>
      <c r="J260" s="72">
        <v>23.99</v>
      </c>
      <c r="K260" s="72">
        <v>23.03</v>
      </c>
      <c r="L260" s="72">
        <v>23.81</v>
      </c>
      <c r="M260" s="72">
        <v>2373450</v>
      </c>
      <c r="N260" s="72" t="s">
        <v>280</v>
      </c>
      <c r="O260" s="25">
        <f t="shared" si="7"/>
        <v>-3.1919361612767649E-2</v>
      </c>
      <c r="Q260" s="73">
        <v>5.7500000000000016E-2</v>
      </c>
      <c r="R260">
        <v>3</v>
      </c>
      <c r="T260" s="25">
        <f t="shared" si="9"/>
        <v>5.2500000000000012E-2</v>
      </c>
      <c r="U260" s="1">
        <f t="shared" si="10"/>
        <v>4.6575648455812715</v>
      </c>
    </row>
    <row r="261" spans="1:21" ht="15">
      <c r="A261" s="72">
        <v>611.54</v>
      </c>
      <c r="B261" s="72">
        <v>615.26</v>
      </c>
      <c r="C261" s="72">
        <v>610.34100000000001</v>
      </c>
      <c r="D261" s="72">
        <v>614.70500000000004</v>
      </c>
      <c r="E261" s="72">
        <v>10728553</v>
      </c>
      <c r="F261" s="72" t="s">
        <v>281</v>
      </c>
      <c r="G261" s="25">
        <f t="shared" si="8"/>
        <v>-5.148811218389393E-3</v>
      </c>
      <c r="I261" s="72">
        <v>23.86</v>
      </c>
      <c r="J261" s="72">
        <v>25.94</v>
      </c>
      <c r="K261" s="72">
        <v>23.85</v>
      </c>
      <c r="L261" s="72">
        <v>25.4</v>
      </c>
      <c r="M261" s="72">
        <v>3316382</v>
      </c>
      <c r="N261" s="72" t="s">
        <v>281</v>
      </c>
      <c r="O261" s="25">
        <f t="shared" si="7"/>
        <v>-6.0629921259842456E-2</v>
      </c>
      <c r="Q261" s="73">
        <v>6.0000000000000019E-2</v>
      </c>
      <c r="R261">
        <v>1</v>
      </c>
      <c r="T261" s="25">
        <f t="shared" si="9"/>
        <v>5.5000000000000014E-2</v>
      </c>
      <c r="U261" s="1">
        <f t="shared" si="10"/>
        <v>4.3822454953823842</v>
      </c>
    </row>
    <row r="262" spans="1:21" ht="15">
      <c r="A262" s="72">
        <v>614.76</v>
      </c>
      <c r="B262" s="72">
        <v>615.22</v>
      </c>
      <c r="C262" s="72">
        <v>610.51</v>
      </c>
      <c r="D262" s="72">
        <v>610.52</v>
      </c>
      <c r="E262" s="72">
        <v>11551587</v>
      </c>
      <c r="F262" s="72" t="s">
        <v>282</v>
      </c>
      <c r="G262" s="25">
        <f t="shared" si="8"/>
        <v>6.9448994299941003E-3</v>
      </c>
      <c r="I262" s="72">
        <v>25.04</v>
      </c>
      <c r="J262" s="72">
        <v>25.94</v>
      </c>
      <c r="K262" s="72">
        <v>23.76</v>
      </c>
      <c r="L262" s="72">
        <v>23.76</v>
      </c>
      <c r="M262" s="72">
        <v>4664459</v>
      </c>
      <c r="N262" s="72" t="s">
        <v>282</v>
      </c>
      <c r="O262" s="25">
        <f t="shared" si="7"/>
        <v>5.3872053872053849E-2</v>
      </c>
      <c r="Q262" s="73">
        <v>6.2500000000000014E-2</v>
      </c>
      <c r="R262">
        <v>2</v>
      </c>
      <c r="T262" s="25">
        <f t="shared" si="9"/>
        <v>5.7500000000000016E-2</v>
      </c>
      <c r="U262" s="1">
        <f t="shared" si="10"/>
        <v>4.1112870804698334</v>
      </c>
    </row>
    <row r="263" spans="1:21" ht="15">
      <c r="A263" s="72">
        <v>611.78</v>
      </c>
      <c r="B263" s="72">
        <v>612.66999999999996</v>
      </c>
      <c r="C263" s="72">
        <v>608.85</v>
      </c>
      <c r="D263" s="72">
        <v>610.62</v>
      </c>
      <c r="E263" s="72">
        <v>6065655</v>
      </c>
      <c r="F263" s="72" t="s">
        <v>283</v>
      </c>
      <c r="G263" s="25">
        <f t="shared" si="8"/>
        <v>1.899708493007024E-3</v>
      </c>
      <c r="I263" s="72">
        <v>23.75</v>
      </c>
      <c r="J263" s="72">
        <v>24.2288</v>
      </c>
      <c r="K263" s="72">
        <v>23.45</v>
      </c>
      <c r="L263" s="72">
        <v>23.75</v>
      </c>
      <c r="M263" s="72">
        <v>5389414</v>
      </c>
      <c r="N263" s="72" t="s">
        <v>283</v>
      </c>
      <c r="O263" s="25">
        <f t="shared" si="7"/>
        <v>0</v>
      </c>
      <c r="Q263" s="73">
        <v>6.5000000000000016E-2</v>
      </c>
      <c r="R263">
        <v>0</v>
      </c>
      <c r="T263" s="25">
        <f t="shared" si="9"/>
        <v>6.0000000000000019E-2</v>
      </c>
      <c r="U263" s="1">
        <f t="shared" si="10"/>
        <v>3.8459373980872589</v>
      </c>
    </row>
    <row r="264" spans="1:21" ht="15">
      <c r="A264" s="72">
        <v>608.94000000000005</v>
      </c>
      <c r="B264" s="72">
        <v>611.30999999999995</v>
      </c>
      <c r="C264" s="72">
        <v>607.07000000000005</v>
      </c>
      <c r="D264" s="72">
        <v>608.54999999999995</v>
      </c>
      <c r="E264" s="72">
        <v>11029230</v>
      </c>
      <c r="F264" s="72" t="s">
        <v>284</v>
      </c>
      <c r="G264" s="25">
        <f t="shared" si="8"/>
        <v>6.4086763618442788E-4</v>
      </c>
      <c r="I264" s="72">
        <v>23.34</v>
      </c>
      <c r="J264" s="72">
        <v>24.15</v>
      </c>
      <c r="K264" s="72">
        <v>23.31</v>
      </c>
      <c r="L264" s="72">
        <v>23.99</v>
      </c>
      <c r="M264" s="72">
        <v>2321287</v>
      </c>
      <c r="N264" s="72" t="s">
        <v>284</v>
      </c>
      <c r="O264" s="25">
        <f t="shared" si="7"/>
        <v>-2.7094622759483045E-2</v>
      </c>
      <c r="Q264" s="73">
        <v>6.7500000000000018E-2</v>
      </c>
      <c r="R264">
        <v>0</v>
      </c>
      <c r="T264" s="25">
        <f t="shared" si="9"/>
        <v>6.2500000000000014E-2</v>
      </c>
      <c r="U264" s="1">
        <f t="shared" si="10"/>
        <v>3.5873184000349809</v>
      </c>
    </row>
    <row r="265" spans="1:21" ht="15">
      <c r="A265" s="72">
        <v>606.09</v>
      </c>
      <c r="B265" s="72">
        <v>608.33000000000004</v>
      </c>
      <c r="C265" s="72">
        <v>601.54999999999995</v>
      </c>
      <c r="D265" s="72">
        <v>606.84</v>
      </c>
      <c r="E265" s="72">
        <v>11613628</v>
      </c>
      <c r="F265" s="72" t="s">
        <v>285</v>
      </c>
      <c r="G265" s="25">
        <f t="shared" si="8"/>
        <v>-1.2359106189440139E-3</v>
      </c>
      <c r="I265" s="72">
        <v>23.55</v>
      </c>
      <c r="J265" s="72">
        <v>24.14</v>
      </c>
      <c r="K265" s="72">
        <v>23.03</v>
      </c>
      <c r="L265" s="72">
        <v>23.12</v>
      </c>
      <c r="M265" s="72">
        <v>3244522</v>
      </c>
      <c r="N265" s="72" t="s">
        <v>285</v>
      </c>
      <c r="O265" s="25">
        <f t="shared" si="7"/>
        <v>1.8598615916955108E-2</v>
      </c>
      <c r="Q265" s="73">
        <v>7.0000000000000021E-2</v>
      </c>
      <c r="R265">
        <v>0</v>
      </c>
      <c r="T265" s="25">
        <f t="shared" si="9"/>
        <v>6.5000000000000016E-2</v>
      </c>
      <c r="U265" s="1">
        <f t="shared" si="10"/>
        <v>3.3364217718245919</v>
      </c>
    </row>
    <row r="266" spans="1:21" ht="15">
      <c r="A266" s="72">
        <v>606.79</v>
      </c>
      <c r="B266" s="72">
        <v>608.41999999999996</v>
      </c>
      <c r="C266" s="72">
        <v>606.06089999999995</v>
      </c>
      <c r="D266" s="72">
        <v>608.16</v>
      </c>
      <c r="E266" s="72">
        <v>6367152</v>
      </c>
      <c r="F266" s="72" t="s">
        <v>286</v>
      </c>
      <c r="G266" s="25">
        <f t="shared" si="8"/>
        <v>-2.2526966587740338E-3</v>
      </c>
      <c r="I266" s="72">
        <v>22.99</v>
      </c>
      <c r="J266" s="72">
        <v>23.44</v>
      </c>
      <c r="K266" s="72">
        <v>22.73</v>
      </c>
      <c r="L266" s="72">
        <v>23.04</v>
      </c>
      <c r="M266" s="72">
        <v>3795678</v>
      </c>
      <c r="N266" s="72" t="s">
        <v>286</v>
      </c>
      <c r="O266" s="25">
        <f t="shared" si="7"/>
        <v>-2.1701388888889506E-3</v>
      </c>
      <c r="Q266" s="73">
        <v>7.2500000000000023E-2</v>
      </c>
      <c r="R266">
        <v>0</v>
      </c>
      <c r="T266" s="25">
        <f t="shared" si="9"/>
        <v>6.7500000000000018E-2</v>
      </c>
      <c r="U266" s="1">
        <f t="shared" si="10"/>
        <v>3.0941066199724787</v>
      </c>
    </row>
    <row r="267" spans="1:21" ht="15">
      <c r="A267" s="72">
        <v>607.59</v>
      </c>
      <c r="B267" s="72">
        <v>607.77</v>
      </c>
      <c r="C267" s="72">
        <v>606.20000000000005</v>
      </c>
      <c r="D267" s="72">
        <v>606.47</v>
      </c>
      <c r="E267" s="72">
        <v>7447134</v>
      </c>
      <c r="F267" s="72" t="s">
        <v>287</v>
      </c>
      <c r="G267" s="25">
        <f t="shared" si="8"/>
        <v>1.8467525186736111E-3</v>
      </c>
      <c r="I267" s="72">
        <v>23.24</v>
      </c>
      <c r="J267" s="72">
        <v>23.72</v>
      </c>
      <c r="K267" s="72">
        <v>23.01</v>
      </c>
      <c r="L267" s="72">
        <v>23.71</v>
      </c>
      <c r="M267" s="72">
        <v>3058374</v>
      </c>
      <c r="N267" s="72" t="s">
        <v>287</v>
      </c>
      <c r="O267" s="25">
        <f t="shared" si="7"/>
        <v>-1.9822859552931393E-2</v>
      </c>
      <c r="Q267" s="73">
        <v>7.5000000000000025E-2</v>
      </c>
      <c r="R267">
        <v>0</v>
      </c>
      <c r="T267" s="25">
        <f t="shared" si="9"/>
        <v>7.0000000000000021E-2</v>
      </c>
      <c r="U267" s="1">
        <f t="shared" si="10"/>
        <v>2.8610991645367654</v>
      </c>
    </row>
    <row r="268" spans="1:21" ht="15">
      <c r="A268" s="72">
        <v>604.44000000000005</v>
      </c>
      <c r="B268" s="72">
        <v>605.98</v>
      </c>
      <c r="C268" s="72">
        <v>603.95000000000005</v>
      </c>
      <c r="D268" s="72">
        <v>604.59</v>
      </c>
      <c r="E268" s="72">
        <v>8108692</v>
      </c>
      <c r="F268" s="72" t="s">
        <v>288</v>
      </c>
      <c r="G268" s="25">
        <f t="shared" si="8"/>
        <v>-2.4810201955038913E-4</v>
      </c>
      <c r="I268" s="72">
        <v>23.66</v>
      </c>
      <c r="J268" s="72">
        <v>24.09</v>
      </c>
      <c r="K268" s="72">
        <v>23.42</v>
      </c>
      <c r="L268" s="72">
        <v>23.78</v>
      </c>
      <c r="M268" s="72">
        <v>2725162</v>
      </c>
      <c r="N268" s="72" t="s">
        <v>288</v>
      </c>
      <c r="O268" s="25">
        <f t="shared" si="7"/>
        <v>-5.046257359125339E-3</v>
      </c>
      <c r="Q268" s="73">
        <v>7.7500000000000027E-2</v>
      </c>
      <c r="R268">
        <v>0</v>
      </c>
      <c r="T268" s="25">
        <f t="shared" si="9"/>
        <v>7.2500000000000023E-2</v>
      </c>
      <c r="U268" s="1">
        <f t="shared" si="10"/>
        <v>2.6379943019800787</v>
      </c>
    </row>
    <row r="269" spans="1:21" ht="15">
      <c r="A269" s="72">
        <v>604.57000000000005</v>
      </c>
      <c r="B269" s="72">
        <v>605.23</v>
      </c>
      <c r="C269" s="72">
        <v>600.89</v>
      </c>
      <c r="D269" s="72">
        <v>601.42999999999995</v>
      </c>
      <c r="E269" s="72">
        <v>9086806</v>
      </c>
      <c r="F269" s="72" t="s">
        <v>289</v>
      </c>
      <c r="G269" s="25">
        <f t="shared" si="8"/>
        <v>5.2208902116623879E-3</v>
      </c>
      <c r="I269" s="72">
        <v>23.94</v>
      </c>
      <c r="J269" s="72">
        <v>23.99</v>
      </c>
      <c r="K269" s="72">
        <v>22.91</v>
      </c>
      <c r="L269" s="72">
        <v>23.15</v>
      </c>
      <c r="M269" s="72">
        <v>3152178</v>
      </c>
      <c r="N269" s="72" t="s">
        <v>289</v>
      </c>
      <c r="O269" s="25">
        <f t="shared" si="7"/>
        <v>3.4125269978401818E-2</v>
      </c>
      <c r="Q269" s="73">
        <v>8.0000000000000029E-2</v>
      </c>
      <c r="R269">
        <v>0</v>
      </c>
      <c r="T269" s="25">
        <f t="shared" si="9"/>
        <v>7.5000000000000025E-2</v>
      </c>
      <c r="U269" s="1">
        <f t="shared" si="10"/>
        <v>2.4252588766544347</v>
      </c>
    </row>
    <row r="270" spans="1:21" ht="15">
      <c r="A270" s="72">
        <v>599.67999999999995</v>
      </c>
      <c r="B270" s="72">
        <v>601.75</v>
      </c>
      <c r="C270" s="72">
        <v>598.16</v>
      </c>
      <c r="D270" s="72">
        <v>600.91999999999996</v>
      </c>
      <c r="E270" s="72">
        <v>21542357</v>
      </c>
      <c r="F270" s="72" t="s">
        <v>290</v>
      </c>
      <c r="G270" s="25">
        <f t="shared" si="8"/>
        <v>-2.0635026293017722E-3</v>
      </c>
      <c r="I270" s="72">
        <v>23.26</v>
      </c>
      <c r="J270" s="72">
        <v>24.25</v>
      </c>
      <c r="K270" s="72">
        <v>22.13</v>
      </c>
      <c r="L270" s="72">
        <v>24.25</v>
      </c>
      <c r="M270" s="72">
        <v>5860792</v>
      </c>
      <c r="N270" s="72" t="s">
        <v>290</v>
      </c>
      <c r="O270" s="25">
        <f t="shared" si="7"/>
        <v>-4.0824742268041225E-2</v>
      </c>
      <c r="Q270" s="73">
        <v>8.2500000000000032E-2</v>
      </c>
      <c r="R270">
        <v>0</v>
      </c>
      <c r="T270" s="25">
        <f t="shared" si="9"/>
        <v>7.7500000000000027E-2</v>
      </c>
      <c r="U270" s="1">
        <f t="shared" si="10"/>
        <v>2.2232364779514673</v>
      </c>
    </row>
    <row r="271" spans="1:21" ht="15">
      <c r="A271" s="72">
        <v>597.95000000000005</v>
      </c>
      <c r="B271" s="72">
        <v>598.37</v>
      </c>
      <c r="C271" s="72">
        <v>595.01</v>
      </c>
      <c r="D271" s="72">
        <v>596.61</v>
      </c>
      <c r="E271" s="72">
        <v>7780114</v>
      </c>
      <c r="F271" s="72" t="s">
        <v>291</v>
      </c>
      <c r="G271" s="25">
        <f t="shared" si="8"/>
        <v>2.2460233653476269E-3</v>
      </c>
      <c r="I271" s="72">
        <v>24.3</v>
      </c>
      <c r="J271" s="72">
        <v>24.7211</v>
      </c>
      <c r="K271" s="72">
        <v>23.87</v>
      </c>
      <c r="L271" s="72">
        <v>24.67</v>
      </c>
      <c r="M271" s="72">
        <v>2235980</v>
      </c>
      <c r="N271" s="72" t="s">
        <v>291</v>
      </c>
      <c r="O271" s="25">
        <f t="shared" si="7"/>
        <v>-1.4997973246858587E-2</v>
      </c>
      <c r="Q271" s="73">
        <v>8.5000000000000034E-2</v>
      </c>
      <c r="R271">
        <v>0</v>
      </c>
      <c r="T271" s="25">
        <f t="shared" si="9"/>
        <v>8.0000000000000029E-2</v>
      </c>
      <c r="U271" s="1">
        <f t="shared" si="10"/>
        <v>2.0321535645630533</v>
      </c>
    </row>
    <row r="272" spans="1:21" ht="15">
      <c r="A272" s="72">
        <v>596.5</v>
      </c>
      <c r="B272" s="72">
        <v>597.41</v>
      </c>
      <c r="C272" s="72">
        <v>595.03</v>
      </c>
      <c r="D272" s="72">
        <v>596.30999999999995</v>
      </c>
      <c r="E272" s="72">
        <v>9448293</v>
      </c>
      <c r="F272" s="72" t="s">
        <v>292</v>
      </c>
      <c r="G272" s="25">
        <f t="shared" si="8"/>
        <v>3.1862621790690326E-4</v>
      </c>
      <c r="I272" s="72">
        <v>24.44</v>
      </c>
      <c r="J272" s="72">
        <v>24.63</v>
      </c>
      <c r="K272" s="72">
        <v>23.61</v>
      </c>
      <c r="L272" s="72">
        <v>24.49</v>
      </c>
      <c r="M272" s="72">
        <v>3018956</v>
      </c>
      <c r="N272" s="72" t="s">
        <v>292</v>
      </c>
      <c r="O272" s="25">
        <f t="shared" si="7"/>
        <v>-2.0416496529194195E-3</v>
      </c>
      <c r="Q272" s="73">
        <v>8.7500000000000036E-2</v>
      </c>
      <c r="R272">
        <v>0</v>
      </c>
      <c r="T272" s="25">
        <f t="shared" si="9"/>
        <v>8.2500000000000032E-2</v>
      </c>
      <c r="U272" s="1">
        <f t="shared" si="10"/>
        <v>1.8521267073103129</v>
      </c>
    </row>
    <row r="273" spans="1:21" ht="15">
      <c r="A273" s="72">
        <v>594.96</v>
      </c>
      <c r="B273" s="72">
        <v>599.6</v>
      </c>
      <c r="C273" s="72">
        <v>591.45000000000005</v>
      </c>
      <c r="D273" s="72">
        <v>598.91</v>
      </c>
      <c r="E273" s="72">
        <v>6622130</v>
      </c>
      <c r="F273" s="72" t="s">
        <v>293</v>
      </c>
      <c r="G273" s="25">
        <f t="shared" si="8"/>
        <v>-6.5953148219264346E-3</v>
      </c>
      <c r="I273" s="72">
        <v>24.34</v>
      </c>
      <c r="J273" s="72">
        <v>25.13</v>
      </c>
      <c r="K273" s="72">
        <v>23.63</v>
      </c>
      <c r="L273" s="72">
        <v>24.754999999999999</v>
      </c>
      <c r="M273" s="72">
        <v>3239315</v>
      </c>
      <c r="N273" s="72" t="s">
        <v>293</v>
      </c>
      <c r="O273" s="25">
        <f t="shared" si="7"/>
        <v>-1.6764290042415642E-2</v>
      </c>
      <c r="Q273" s="73">
        <v>9.0000000000000038E-2</v>
      </c>
      <c r="R273">
        <v>0</v>
      </c>
      <c r="T273" s="25">
        <f t="shared" si="9"/>
        <v>8.5000000000000034E-2</v>
      </c>
      <c r="U273" s="1">
        <f t="shared" si="10"/>
        <v>1.6831707374274949</v>
      </c>
    </row>
    <row r="274" spans="1:21" ht="15">
      <c r="A274" s="72">
        <v>596.59</v>
      </c>
      <c r="B274" s="72">
        <v>596.77</v>
      </c>
      <c r="C274" s="72">
        <v>591.6</v>
      </c>
      <c r="D274" s="72">
        <v>592.47</v>
      </c>
      <c r="E274" s="72">
        <v>8012477</v>
      </c>
      <c r="F274" s="72" t="s">
        <v>294</v>
      </c>
      <c r="G274" s="25">
        <f t="shared" si="8"/>
        <v>6.9539385960470934E-3</v>
      </c>
      <c r="I274" s="72">
        <v>24.64</v>
      </c>
      <c r="J274" s="72">
        <v>24.675000000000001</v>
      </c>
      <c r="K274" s="72">
        <v>23.5</v>
      </c>
      <c r="L274" s="72">
        <v>24.31</v>
      </c>
      <c r="M274" s="72">
        <v>2241335</v>
      </c>
      <c r="N274" s="72" t="s">
        <v>294</v>
      </c>
      <c r="O274" s="25">
        <f t="shared" si="7"/>
        <v>1.3574660633484337E-2</v>
      </c>
      <c r="Q274" s="73">
        <v>9.2500000000000041E-2</v>
      </c>
      <c r="R274">
        <v>0</v>
      </c>
      <c r="T274" s="25">
        <f t="shared" si="9"/>
        <v>8.7500000000000036E-2</v>
      </c>
      <c r="U274" s="1">
        <f t="shared" si="10"/>
        <v>1.525207587701811</v>
      </c>
    </row>
    <row r="275" spans="1:21" ht="15">
      <c r="A275" s="72">
        <v>591.72</v>
      </c>
      <c r="B275" s="72">
        <v>592.23</v>
      </c>
      <c r="C275" s="72">
        <v>588.78</v>
      </c>
      <c r="D275" s="72">
        <v>590.80999999999995</v>
      </c>
      <c r="E275" s="72">
        <v>6669875</v>
      </c>
      <c r="F275" s="72" t="s">
        <v>295</v>
      </c>
      <c r="G275" s="25">
        <f t="shared" si="8"/>
        <v>1.5402582894672445E-3</v>
      </c>
      <c r="I275" s="72">
        <v>24.31</v>
      </c>
      <c r="J275" s="72">
        <v>24.9999</v>
      </c>
      <c r="K275" s="72">
        <v>24.11</v>
      </c>
      <c r="L275" s="72">
        <v>24.8</v>
      </c>
      <c r="M275" s="72">
        <v>1899103</v>
      </c>
      <c r="N275" s="72" t="s">
        <v>295</v>
      </c>
      <c r="O275" s="25">
        <f t="shared" si="7"/>
        <v>-1.9758064516129159E-2</v>
      </c>
      <c r="Q275" s="73">
        <v>9.5000000000000043E-2</v>
      </c>
      <c r="R275">
        <v>0</v>
      </c>
      <c r="T275" s="25">
        <f t="shared" si="9"/>
        <v>9.0000000000000038E-2</v>
      </c>
      <c r="U275" s="1">
        <f t="shared" si="10"/>
        <v>1.3780756190287871</v>
      </c>
    </row>
    <row r="276" spans="1:21" ht="15">
      <c r="A276" s="72">
        <v>588.71</v>
      </c>
      <c r="B276" s="72">
        <v>588.79999999999995</v>
      </c>
      <c r="C276" s="72">
        <v>583.66999999999996</v>
      </c>
      <c r="D276" s="72">
        <v>586.05999999999995</v>
      </c>
      <c r="E276" s="72">
        <v>11063662</v>
      </c>
      <c r="F276" s="72" t="s">
        <v>296</v>
      </c>
      <c r="G276" s="25">
        <f t="shared" si="8"/>
        <v>4.5217213254618027E-3</v>
      </c>
      <c r="I276" s="72">
        <v>24.72</v>
      </c>
      <c r="J276" s="72">
        <v>26</v>
      </c>
      <c r="K276" s="72">
        <v>24.53</v>
      </c>
      <c r="L276" s="72">
        <v>25.97</v>
      </c>
      <c r="M276" s="72">
        <v>3216698</v>
      </c>
      <c r="N276" s="72" t="s">
        <v>296</v>
      </c>
      <c r="O276" s="25">
        <f t="shared" si="7"/>
        <v>-4.8132460531382315E-2</v>
      </c>
      <c r="Q276" s="73">
        <v>9.7500000000000045E-2</v>
      </c>
      <c r="R276">
        <v>0</v>
      </c>
      <c r="T276" s="25">
        <f t="shared" si="9"/>
        <v>9.2500000000000041E-2</v>
      </c>
      <c r="U276" s="1">
        <f t="shared" si="10"/>
        <v>1.2415392342126981</v>
      </c>
    </row>
    <row r="277" spans="1:21" ht="15">
      <c r="A277" s="72">
        <v>593.08000000000004</v>
      </c>
      <c r="B277" s="72">
        <v>595.54999999999995</v>
      </c>
      <c r="C277" s="72">
        <v>591.245</v>
      </c>
      <c r="D277" s="72">
        <v>595.24</v>
      </c>
      <c r="E277" s="72">
        <v>7480746</v>
      </c>
      <c r="F277" s="72" t="s">
        <v>297</v>
      </c>
      <c r="G277" s="25">
        <f t="shared" si="8"/>
        <v>-3.6287883878770577E-3</v>
      </c>
      <c r="I277" s="72">
        <v>26.41</v>
      </c>
      <c r="J277" s="72">
        <v>26.65</v>
      </c>
      <c r="K277" s="72">
        <v>25.95</v>
      </c>
      <c r="L277" s="72">
        <v>26.65</v>
      </c>
      <c r="M277" s="72">
        <v>1368971</v>
      </c>
      <c r="N277" s="72" t="s">
        <v>297</v>
      </c>
      <c r="O277" s="25">
        <f t="shared" si="7"/>
        <v>-9.0056285178236051E-3</v>
      </c>
      <c r="Q277" s="73">
        <v>0.10000000000000005</v>
      </c>
      <c r="R277">
        <v>1</v>
      </c>
      <c r="T277" s="25">
        <f t="shared" si="9"/>
        <v>9.5000000000000043E-2</v>
      </c>
      <c r="U277" s="1">
        <f t="shared" ref="U277:U297" si="11">_xlfn.NORM.DIST(T277,$S$172,$S$174,FALSE)</f>
        <v>1.1152985936250639</v>
      </c>
    </row>
    <row r="278" spans="1:21" ht="15">
      <c r="A278" s="72">
        <v>596.52</v>
      </c>
      <c r="B278" s="72">
        <v>597.07000000000005</v>
      </c>
      <c r="C278" s="72">
        <v>593.27</v>
      </c>
      <c r="D278" s="72">
        <v>595.07000000000005</v>
      </c>
      <c r="E278" s="72">
        <v>5037983</v>
      </c>
      <c r="F278" s="72" t="s">
        <v>298</v>
      </c>
      <c r="G278" s="25">
        <f t="shared" si="8"/>
        <v>2.4366881207251723E-3</v>
      </c>
      <c r="I278" s="72">
        <v>26.57</v>
      </c>
      <c r="J278" s="72">
        <v>27.12</v>
      </c>
      <c r="K278" s="72">
        <v>26.41</v>
      </c>
      <c r="L278" s="72">
        <v>26.52</v>
      </c>
      <c r="M278" s="72">
        <v>1925127</v>
      </c>
      <c r="N278" s="72" t="s">
        <v>298</v>
      </c>
      <c r="O278" s="25">
        <f t="shared" si="7"/>
        <v>1.8853695324283493E-3</v>
      </c>
      <c r="Q278" s="73">
        <v>0.10250000000000005</v>
      </c>
      <c r="R278">
        <v>0</v>
      </c>
      <c r="T278" s="25">
        <f t="shared" si="9"/>
        <v>9.7500000000000045E-2</v>
      </c>
      <c r="U278" s="1">
        <f t="shared" si="11"/>
        <v>0.99899926299059294</v>
      </c>
    </row>
    <row r="279" spans="1:21" ht="15">
      <c r="A279" s="72">
        <v>594.41999999999996</v>
      </c>
      <c r="B279" s="72">
        <v>595.14</v>
      </c>
      <c r="C279" s="72">
        <v>592.44000000000005</v>
      </c>
      <c r="D279" s="72">
        <v>592.52</v>
      </c>
      <c r="E279" s="72">
        <v>6089564</v>
      </c>
      <c r="F279" s="72" t="s">
        <v>299</v>
      </c>
      <c r="G279" s="25">
        <f t="shared" si="8"/>
        <v>3.20664281374472E-3</v>
      </c>
      <c r="I279" s="72">
        <v>26.22</v>
      </c>
      <c r="J279" s="72">
        <v>27.12</v>
      </c>
      <c r="K279" s="72">
        <v>26.2</v>
      </c>
      <c r="L279" s="72">
        <v>27.12</v>
      </c>
      <c r="M279" s="72">
        <v>1457127</v>
      </c>
      <c r="N279" s="72" t="s">
        <v>299</v>
      </c>
      <c r="O279" s="25">
        <f t="shared" si="7"/>
        <v>-3.3185840707964709E-2</v>
      </c>
      <c r="Q279" s="73">
        <v>0.10500000000000005</v>
      </c>
      <c r="R279">
        <v>0</v>
      </c>
      <c r="T279" s="25">
        <f t="shared" si="9"/>
        <v>0.10000000000000005</v>
      </c>
      <c r="U279" s="1">
        <f t="shared" si="11"/>
        <v>0.89224164144032481</v>
      </c>
    </row>
    <row r="280" spans="1:21" ht="15">
      <c r="A280" s="72">
        <v>593.05999999999995</v>
      </c>
      <c r="B280" s="72">
        <v>593.42999999999995</v>
      </c>
      <c r="C280" s="72">
        <v>589.79499999999996</v>
      </c>
      <c r="D280" s="72">
        <v>590.38</v>
      </c>
      <c r="E280" s="72">
        <v>4746851</v>
      </c>
      <c r="F280" s="72" t="s">
        <v>300</v>
      </c>
      <c r="G280" s="25">
        <f t="shared" si="8"/>
        <v>4.5394491683321547E-3</v>
      </c>
      <c r="I280" s="72">
        <v>27.12</v>
      </c>
      <c r="J280" s="72">
        <v>27.57</v>
      </c>
      <c r="K280" s="72">
        <v>26.9</v>
      </c>
      <c r="L280" s="72">
        <v>26.91</v>
      </c>
      <c r="M280" s="72">
        <v>1245776</v>
      </c>
      <c r="N280" s="72" t="s">
        <v>300</v>
      </c>
      <c r="O280" s="25">
        <f t="shared" si="7"/>
        <v>7.8037904124861335E-3</v>
      </c>
      <c r="Q280" s="73">
        <v>0.10750000000000005</v>
      </c>
      <c r="R280">
        <v>0</v>
      </c>
      <c r="T280" s="25">
        <f t="shared" si="9"/>
        <v>0.10250000000000005</v>
      </c>
      <c r="U280" s="1">
        <f t="shared" si="11"/>
        <v>0.79459003739968614</v>
      </c>
    </row>
    <row r="281" spans="1:21" ht="15">
      <c r="A281" s="72">
        <v>590.70000000000005</v>
      </c>
      <c r="B281" s="72">
        <v>593.22990000000004</v>
      </c>
      <c r="C281" s="72">
        <v>590.54999999999995</v>
      </c>
      <c r="D281" s="72">
        <v>592.04999999999995</v>
      </c>
      <c r="E281" s="72">
        <v>6483035</v>
      </c>
      <c r="F281" s="72" t="s">
        <v>301</v>
      </c>
      <c r="G281" s="25">
        <f t="shared" si="8"/>
        <v>-2.2802128198630145E-3</v>
      </c>
      <c r="I281" s="72">
        <v>26.87</v>
      </c>
      <c r="J281" s="72">
        <v>27.903199999999998</v>
      </c>
      <c r="K281" s="72">
        <v>26.8</v>
      </c>
      <c r="L281" s="72">
        <v>27.72</v>
      </c>
      <c r="M281" s="72">
        <v>1886024</v>
      </c>
      <c r="N281" s="72" t="s">
        <v>301</v>
      </c>
      <c r="O281" s="25">
        <f t="shared" si="7"/>
        <v>-3.0663780663780615E-2</v>
      </c>
      <c r="Q281" s="73">
        <v>0.11000000000000006</v>
      </c>
      <c r="R281">
        <v>0</v>
      </c>
      <c r="T281" s="25">
        <f t="shared" si="9"/>
        <v>0.10500000000000005</v>
      </c>
      <c r="U281" s="1">
        <f t="shared" si="11"/>
        <v>0.70558128023081668</v>
      </c>
    </row>
    <row r="282" spans="1:21" ht="15">
      <c r="A282" s="72">
        <v>593.21</v>
      </c>
      <c r="B282" s="72">
        <v>594.32000000000005</v>
      </c>
      <c r="C282" s="72">
        <v>585.84</v>
      </c>
      <c r="D282" s="72">
        <v>586.27</v>
      </c>
      <c r="E282" s="72">
        <v>6368542</v>
      </c>
      <c r="F282" s="72" t="s">
        <v>302</v>
      </c>
      <c r="G282" s="25">
        <f t="shared" si="8"/>
        <v>1.1837549252051272E-2</v>
      </c>
      <c r="I282" s="72">
        <v>27.72</v>
      </c>
      <c r="J282" s="72">
        <v>28</v>
      </c>
      <c r="K282" s="72">
        <v>26.09</v>
      </c>
      <c r="L282" s="72">
        <v>26.15</v>
      </c>
      <c r="M282" s="72">
        <v>2722138</v>
      </c>
      <c r="N282" s="72" t="s">
        <v>302</v>
      </c>
      <c r="O282" s="25">
        <f t="shared" ref="O282:O330" si="12">I282/L282-1</f>
        <v>6.0038240917781982E-2</v>
      </c>
      <c r="Q282" s="73">
        <v>0.11250000000000006</v>
      </c>
      <c r="R282">
        <v>0</v>
      </c>
      <c r="T282" s="25">
        <f t="shared" si="9"/>
        <v>0.10750000000000005</v>
      </c>
      <c r="U282" s="1">
        <f t="shared" si="11"/>
        <v>0.6247327762288033</v>
      </c>
    </row>
    <row r="283" spans="1:21" ht="15">
      <c r="A283" s="72">
        <v>584.27</v>
      </c>
      <c r="B283" s="72">
        <v>586.46</v>
      </c>
      <c r="C283" s="72">
        <v>582.65</v>
      </c>
      <c r="D283" s="72">
        <v>584.92999999999995</v>
      </c>
      <c r="E283" s="72">
        <v>4807277</v>
      </c>
      <c r="F283" s="72" t="s">
        <v>303</v>
      </c>
      <c r="G283" s="25">
        <f t="shared" ref="G283:G346" si="13">A283/D283-1</f>
        <v>-1.1283401432649054E-3</v>
      </c>
      <c r="I283" s="72">
        <v>26.18</v>
      </c>
      <c r="J283" s="72">
        <v>26.925000000000001</v>
      </c>
      <c r="K283" s="72">
        <v>26.1</v>
      </c>
      <c r="L283" s="72">
        <v>26.5</v>
      </c>
      <c r="M283" s="72">
        <v>1632229</v>
      </c>
      <c r="N283" s="72" t="s">
        <v>303</v>
      </c>
      <c r="O283" s="25">
        <f t="shared" si="12"/>
        <v>-1.2075471698113183E-2</v>
      </c>
      <c r="Q283" s="73">
        <v>0.11500000000000006</v>
      </c>
      <c r="R283">
        <v>0</v>
      </c>
      <c r="T283" s="25">
        <f t="shared" si="9"/>
        <v>0.11000000000000006</v>
      </c>
      <c r="U283" s="1">
        <f t="shared" si="11"/>
        <v>0.55154993803849783</v>
      </c>
    </row>
    <row r="284" spans="1:21" ht="15">
      <c r="A284" s="72">
        <v>586.58000000000004</v>
      </c>
      <c r="B284" s="72">
        <v>588</v>
      </c>
      <c r="C284" s="72">
        <v>581.85</v>
      </c>
      <c r="D284" s="72">
        <v>587.80999999999995</v>
      </c>
      <c r="E284" s="72">
        <v>7054266</v>
      </c>
      <c r="F284" s="72" t="s">
        <v>304</v>
      </c>
      <c r="G284" s="25">
        <f t="shared" si="13"/>
        <v>-2.0925128868169995E-3</v>
      </c>
      <c r="I284" s="72">
        <v>26.57</v>
      </c>
      <c r="J284" s="72">
        <v>27.8</v>
      </c>
      <c r="K284" s="72">
        <v>26.34</v>
      </c>
      <c r="L284" s="72">
        <v>27.64</v>
      </c>
      <c r="M284" s="72">
        <v>3707951</v>
      </c>
      <c r="N284" s="72" t="s">
        <v>304</v>
      </c>
      <c r="O284" s="25">
        <f t="shared" si="12"/>
        <v>-3.8712011577423988E-2</v>
      </c>
      <c r="Q284" s="73">
        <v>0.11750000000000006</v>
      </c>
      <c r="R284">
        <v>0</v>
      </c>
      <c r="T284" s="25">
        <f t="shared" si="9"/>
        <v>0.11250000000000006</v>
      </c>
      <c r="U284" s="1">
        <f t="shared" si="11"/>
        <v>0.48553293633399219</v>
      </c>
    </row>
    <row r="285" spans="1:21" ht="15">
      <c r="A285" s="72">
        <v>588.13</v>
      </c>
      <c r="B285" s="72">
        <v>592.12</v>
      </c>
      <c r="C285" s="72">
        <v>586.94000000000005</v>
      </c>
      <c r="D285" s="72">
        <v>591.25</v>
      </c>
      <c r="E285" s="72">
        <v>6689596</v>
      </c>
      <c r="F285" s="72" t="s">
        <v>305</v>
      </c>
      <c r="G285" s="25">
        <f t="shared" si="13"/>
        <v>-5.2769556025370479E-3</v>
      </c>
      <c r="I285" s="72">
        <v>28.02</v>
      </c>
      <c r="J285" s="72">
        <v>30.39</v>
      </c>
      <c r="K285" s="72">
        <v>28</v>
      </c>
      <c r="L285" s="72">
        <v>30.08</v>
      </c>
      <c r="M285" s="72">
        <v>2541755</v>
      </c>
      <c r="N285" s="72" t="s">
        <v>305</v>
      </c>
      <c r="O285" s="25">
        <f t="shared" si="12"/>
        <v>-6.8484042553191404E-2</v>
      </c>
      <c r="Q285" s="73">
        <v>0.12000000000000006</v>
      </c>
      <c r="R285">
        <v>0</v>
      </c>
      <c r="T285" s="25">
        <f t="shared" si="9"/>
        <v>0.11500000000000006</v>
      </c>
      <c r="U285" s="1">
        <f t="shared" si="11"/>
        <v>0.4261827412791705</v>
      </c>
    </row>
    <row r="286" spans="1:21" ht="15">
      <c r="A286" s="72">
        <v>591.36</v>
      </c>
      <c r="B286" s="72">
        <v>592.02</v>
      </c>
      <c r="C286" s="72">
        <v>590.35</v>
      </c>
      <c r="D286" s="72">
        <v>590.98</v>
      </c>
      <c r="E286" s="72">
        <v>5311743</v>
      </c>
      <c r="F286" s="72" t="s">
        <v>306</v>
      </c>
      <c r="G286" s="25">
        <f t="shared" si="13"/>
        <v>6.4299976310544515E-4</v>
      </c>
      <c r="I286" s="72">
        <v>30.06</v>
      </c>
      <c r="J286" s="72">
        <v>30.46</v>
      </c>
      <c r="K286" s="72">
        <v>29.21</v>
      </c>
      <c r="L286" s="72">
        <v>29.45</v>
      </c>
      <c r="M286" s="72">
        <v>1997006</v>
      </c>
      <c r="N286" s="72" t="s">
        <v>306</v>
      </c>
      <c r="O286" s="25">
        <f t="shared" si="12"/>
        <v>2.0713073005093285E-2</v>
      </c>
      <c r="Q286" s="73">
        <v>0.12250000000000007</v>
      </c>
      <c r="R286">
        <v>0</v>
      </c>
      <c r="T286" s="25">
        <f t="shared" si="9"/>
        <v>0.11750000000000006</v>
      </c>
      <c r="U286" s="1">
        <f t="shared" si="11"/>
        <v>0.37300643853316212</v>
      </c>
    </row>
    <row r="287" spans="1:21" ht="15">
      <c r="A287" s="72">
        <v>591.57000000000005</v>
      </c>
      <c r="B287" s="72">
        <v>593.95000000000005</v>
      </c>
      <c r="C287" s="72">
        <v>590.66</v>
      </c>
      <c r="D287" s="72">
        <v>593.86</v>
      </c>
      <c r="E287" s="72">
        <v>7196315</v>
      </c>
      <c r="F287" s="72" t="s">
        <v>307</v>
      </c>
      <c r="G287" s="25">
        <f t="shared" si="13"/>
        <v>-3.8561277068668298E-3</v>
      </c>
      <c r="I287" s="72">
        <v>29.38</v>
      </c>
      <c r="J287" s="72">
        <v>29.42</v>
      </c>
      <c r="K287" s="72">
        <v>28.2</v>
      </c>
      <c r="L287" s="72">
        <v>29.2</v>
      </c>
      <c r="M287" s="72">
        <v>1739043</v>
      </c>
      <c r="N287" s="72" t="s">
        <v>307</v>
      </c>
      <c r="O287" s="25">
        <f t="shared" si="12"/>
        <v>6.164383561643838E-3</v>
      </c>
      <c r="Q287" s="73">
        <v>0.12500000000000006</v>
      </c>
      <c r="R287">
        <v>0</v>
      </c>
      <c r="T287" s="25">
        <f t="shared" si="9"/>
        <v>0.12000000000000006</v>
      </c>
      <c r="U287" s="1">
        <f t="shared" si="11"/>
        <v>0.32552182012367958</v>
      </c>
    </row>
    <row r="288" spans="1:21" ht="15">
      <c r="A288" s="72">
        <v>592.85</v>
      </c>
      <c r="B288" s="72">
        <v>593.51</v>
      </c>
      <c r="C288" s="72">
        <v>590.5</v>
      </c>
      <c r="D288" s="72">
        <v>590.91999999999996</v>
      </c>
      <c r="E288" s="72">
        <v>6236666</v>
      </c>
      <c r="F288" s="72" t="s">
        <v>308</v>
      </c>
      <c r="G288" s="25">
        <f t="shared" si="13"/>
        <v>3.2660935490422816E-3</v>
      </c>
      <c r="I288" s="72">
        <v>29.25</v>
      </c>
      <c r="J288" s="72">
        <v>30.02</v>
      </c>
      <c r="K288" s="72">
        <v>28.89</v>
      </c>
      <c r="L288" s="72">
        <v>29.25</v>
      </c>
      <c r="M288" s="72">
        <v>1593224</v>
      </c>
      <c r="N288" s="72" t="s">
        <v>308</v>
      </c>
      <c r="O288" s="25">
        <f t="shared" si="12"/>
        <v>0</v>
      </c>
      <c r="Q288" s="73">
        <v>0.12750000000000006</v>
      </c>
      <c r="R288">
        <v>0</v>
      </c>
      <c r="T288" s="25">
        <f t="shared" si="9"/>
        <v>0.12250000000000007</v>
      </c>
      <c r="U288" s="1">
        <f t="shared" si="11"/>
        <v>0.28326126420445835</v>
      </c>
    </row>
    <row r="289" spans="1:21" ht="15">
      <c r="A289" s="72">
        <v>592.84</v>
      </c>
      <c r="B289" s="72">
        <v>594.03</v>
      </c>
      <c r="C289" s="72">
        <v>590.80999999999995</v>
      </c>
      <c r="D289" s="72">
        <v>592.86</v>
      </c>
      <c r="E289" s="72">
        <v>5392973</v>
      </c>
      <c r="F289" s="72" t="s">
        <v>309</v>
      </c>
      <c r="G289" s="25">
        <f t="shared" si="13"/>
        <v>-3.3734777181715359E-5</v>
      </c>
      <c r="I289" s="72">
        <v>30</v>
      </c>
      <c r="J289" s="72">
        <v>30.230599999999999</v>
      </c>
      <c r="K289" s="72">
        <v>29.4</v>
      </c>
      <c r="L289" s="72">
        <v>29.56</v>
      </c>
      <c r="M289" s="72">
        <v>2073825</v>
      </c>
      <c r="N289" s="72" t="s">
        <v>309</v>
      </c>
      <c r="O289" s="25">
        <f t="shared" si="12"/>
        <v>1.4884979702300516E-2</v>
      </c>
      <c r="Q289" s="73">
        <v>0.13000000000000006</v>
      </c>
      <c r="R289">
        <v>0</v>
      </c>
      <c r="T289" s="25">
        <f t="shared" si="9"/>
        <v>0.12500000000000006</v>
      </c>
      <c r="U289" s="1">
        <f t="shared" si="11"/>
        <v>0.24577492943241605</v>
      </c>
    </row>
    <row r="290" spans="1:21" ht="15">
      <c r="A290" s="72">
        <v>590.78</v>
      </c>
      <c r="B290" s="72">
        <v>590.96</v>
      </c>
      <c r="C290" s="72">
        <v>585.43499999999995</v>
      </c>
      <c r="D290" s="72">
        <v>586.75</v>
      </c>
      <c r="E290" s="72">
        <v>5874245</v>
      </c>
      <c r="F290" s="72" t="s">
        <v>310</v>
      </c>
      <c r="G290" s="25">
        <f t="shared" si="13"/>
        <v>6.8683425649764818E-3</v>
      </c>
      <c r="I290" s="72">
        <v>29.76</v>
      </c>
      <c r="J290" s="72">
        <v>30.62</v>
      </c>
      <c r="K290" s="72">
        <v>29.25</v>
      </c>
      <c r="L290" s="72">
        <v>30.45</v>
      </c>
      <c r="M290" s="72">
        <v>2365389</v>
      </c>
      <c r="N290" s="72" t="s">
        <v>310</v>
      </c>
      <c r="O290" s="25">
        <f t="shared" si="12"/>
        <v>-2.2660098522167438E-2</v>
      </c>
      <c r="Q290" s="73">
        <v>0.13250000000000006</v>
      </c>
      <c r="R290">
        <v>0</v>
      </c>
      <c r="T290" s="25">
        <f t="shared" si="9"/>
        <v>0.12750000000000006</v>
      </c>
      <c r="U290" s="1">
        <f t="shared" si="11"/>
        <v>0.21263329940437062</v>
      </c>
    </row>
    <row r="291" spans="1:21" ht="15">
      <c r="A291" s="72">
        <v>584.54</v>
      </c>
      <c r="B291" s="72">
        <v>587.36</v>
      </c>
      <c r="C291" s="72">
        <v>583.44000000000005</v>
      </c>
      <c r="D291" s="72">
        <v>586.03</v>
      </c>
      <c r="E291" s="72">
        <v>5373949</v>
      </c>
      <c r="F291" s="72" t="s">
        <v>311</v>
      </c>
      <c r="G291" s="25">
        <f t="shared" si="13"/>
        <v>-2.542531952289151E-3</v>
      </c>
      <c r="I291" s="72">
        <v>30.21</v>
      </c>
      <c r="J291" s="72">
        <v>31.17</v>
      </c>
      <c r="K291" s="72">
        <v>28.96</v>
      </c>
      <c r="L291" s="72">
        <v>29</v>
      </c>
      <c r="M291" s="72">
        <v>3872142</v>
      </c>
      <c r="N291" s="72" t="s">
        <v>311</v>
      </c>
      <c r="O291" s="25">
        <f t="shared" si="12"/>
        <v>4.1724137931034466E-2</v>
      </c>
      <c r="Q291" s="73">
        <v>0.13500000000000006</v>
      </c>
      <c r="R291">
        <v>0</v>
      </c>
      <c r="T291" s="25">
        <f t="shared" si="9"/>
        <v>0.13000000000000006</v>
      </c>
      <c r="U291" s="1">
        <f t="shared" si="11"/>
        <v>0.18342912030028921</v>
      </c>
    </row>
    <row r="292" spans="1:21" ht="15">
      <c r="A292" s="72">
        <v>585.74</v>
      </c>
      <c r="B292" s="72">
        <v>586.16999999999996</v>
      </c>
      <c r="C292" s="72">
        <v>582.6</v>
      </c>
      <c r="D292" s="72">
        <v>582.92999999999995</v>
      </c>
      <c r="E292" s="72">
        <v>4342341</v>
      </c>
      <c r="F292" s="72" t="s">
        <v>312</v>
      </c>
      <c r="G292" s="25">
        <f t="shared" si="13"/>
        <v>4.8204758718886076E-3</v>
      </c>
      <c r="I292" s="72">
        <v>28.89</v>
      </c>
      <c r="J292" s="72">
        <v>32.4</v>
      </c>
      <c r="K292" s="72">
        <v>28.684999999999999</v>
      </c>
      <c r="L292" s="72">
        <v>31.89</v>
      </c>
      <c r="M292" s="72">
        <v>7241484</v>
      </c>
      <c r="N292" s="72" t="s">
        <v>312</v>
      </c>
      <c r="O292" s="25">
        <f t="shared" si="12"/>
        <v>-9.4073377234242694E-2</v>
      </c>
      <c r="Q292" s="73">
        <v>0.13750000000000007</v>
      </c>
      <c r="R292">
        <v>0</v>
      </c>
      <c r="T292" s="25">
        <f t="shared" si="9"/>
        <v>0.13250000000000006</v>
      </c>
      <c r="U292" s="1">
        <f t="shared" si="11"/>
        <v>0.15777878065956052</v>
      </c>
    </row>
    <row r="293" spans="1:21" ht="15">
      <c r="A293" s="72">
        <v>581.29</v>
      </c>
      <c r="B293" s="72">
        <v>585.52</v>
      </c>
      <c r="C293" s="72">
        <v>578.31269999999995</v>
      </c>
      <c r="D293" s="72">
        <v>584.87</v>
      </c>
      <c r="E293" s="72">
        <v>4594260</v>
      </c>
      <c r="F293" s="72" t="s">
        <v>313</v>
      </c>
      <c r="G293" s="25">
        <f t="shared" si="13"/>
        <v>-6.1210183459572409E-3</v>
      </c>
      <c r="I293" s="72">
        <v>33.86</v>
      </c>
      <c r="J293" s="72">
        <v>33.99</v>
      </c>
      <c r="K293" s="72">
        <v>31.7</v>
      </c>
      <c r="L293" s="72">
        <v>33.5</v>
      </c>
      <c r="M293" s="72">
        <v>3231339</v>
      </c>
      <c r="N293" s="72" t="s">
        <v>313</v>
      </c>
      <c r="O293" s="25">
        <f t="shared" si="12"/>
        <v>1.0746268656716351E-2</v>
      </c>
      <c r="Q293" s="73">
        <v>0.14000000000000007</v>
      </c>
      <c r="R293">
        <v>1</v>
      </c>
      <c r="T293" s="25">
        <f t="shared" si="9"/>
        <v>0.13500000000000006</v>
      </c>
      <c r="U293" s="1">
        <f t="shared" si="11"/>
        <v>0.13532318618115607</v>
      </c>
    </row>
    <row r="294" spans="1:21" ht="15.75" thickBot="1">
      <c r="A294" s="72">
        <v>581.64</v>
      </c>
      <c r="B294" s="72">
        <v>582.27</v>
      </c>
      <c r="C294" s="72">
        <v>577.41</v>
      </c>
      <c r="D294" s="72">
        <v>578.25</v>
      </c>
      <c r="E294" s="72">
        <v>4545015</v>
      </c>
      <c r="F294" s="72" t="s">
        <v>314</v>
      </c>
      <c r="G294" s="25">
        <f t="shared" si="13"/>
        <v>5.8625162127108332E-3</v>
      </c>
      <c r="I294" s="72">
        <v>33.49</v>
      </c>
      <c r="J294" s="72">
        <v>33.799999999999997</v>
      </c>
      <c r="K294" s="72">
        <v>32.15</v>
      </c>
      <c r="L294" s="72">
        <v>33.435000000000002</v>
      </c>
      <c r="M294" s="72">
        <v>1979487</v>
      </c>
      <c r="N294" s="72" t="s">
        <v>314</v>
      </c>
      <c r="O294" s="25">
        <f t="shared" si="12"/>
        <v>1.6449828024525104E-3</v>
      </c>
      <c r="Q294" s="74" t="s">
        <v>927</v>
      </c>
      <c r="R294" s="74">
        <v>1</v>
      </c>
      <c r="T294" s="25">
        <f t="shared" si="9"/>
        <v>0.13750000000000007</v>
      </c>
      <c r="U294" s="1">
        <f t="shared" si="11"/>
        <v>0.1157281847339327</v>
      </c>
    </row>
    <row r="295" spans="1:21">
      <c r="A295" s="72">
        <v>577.35</v>
      </c>
      <c r="B295" s="72">
        <v>581.5</v>
      </c>
      <c r="C295" s="72">
        <v>576.4</v>
      </c>
      <c r="D295" s="72">
        <v>580.79</v>
      </c>
      <c r="E295" s="72">
        <v>4647381</v>
      </c>
      <c r="F295" s="72" t="s">
        <v>315</v>
      </c>
      <c r="G295" s="25">
        <f t="shared" si="13"/>
        <v>-5.9229669932332474E-3</v>
      </c>
      <c r="I295" s="72">
        <v>33.799999999999997</v>
      </c>
      <c r="J295" s="72">
        <v>33.99</v>
      </c>
      <c r="K295" s="72">
        <v>32.25</v>
      </c>
      <c r="L295" s="72">
        <v>33.770000000000003</v>
      </c>
      <c r="M295" s="72">
        <v>1575874</v>
      </c>
      <c r="N295" s="72" t="s">
        <v>315</v>
      </c>
      <c r="O295" s="25">
        <f t="shared" si="12"/>
        <v>8.8836245188028684E-4</v>
      </c>
      <c r="T295" s="25">
        <f t="shared" si="9"/>
        <v>0.14000000000000007</v>
      </c>
      <c r="U295" s="1">
        <f t="shared" si="11"/>
        <v>9.8684597561090076E-2</v>
      </c>
    </row>
    <row r="296" spans="1:21">
      <c r="A296" s="72">
        <v>580.14</v>
      </c>
      <c r="B296" s="72">
        <v>580.21</v>
      </c>
      <c r="C296" s="72">
        <v>575.08000000000004</v>
      </c>
      <c r="D296" s="72">
        <v>575.16999999999996</v>
      </c>
      <c r="E296" s="72">
        <v>6640089</v>
      </c>
      <c r="F296" s="72" t="s">
        <v>316</v>
      </c>
      <c r="G296" s="25">
        <f t="shared" si="13"/>
        <v>8.6409235530364725E-3</v>
      </c>
      <c r="I296" s="72">
        <v>33.884999999999998</v>
      </c>
      <c r="J296" s="72">
        <v>34.54</v>
      </c>
      <c r="K296" s="72">
        <v>32.75</v>
      </c>
      <c r="L296" s="72">
        <v>33</v>
      </c>
      <c r="M296" s="72">
        <v>1632040</v>
      </c>
      <c r="N296" s="72" t="s">
        <v>316</v>
      </c>
      <c r="O296" s="25">
        <f t="shared" si="12"/>
        <v>2.6818181818181852E-2</v>
      </c>
      <c r="T296" s="25">
        <f t="shared" si="9"/>
        <v>0.14250000000000007</v>
      </c>
      <c r="U296" s="1">
        <f t="shared" si="11"/>
        <v>8.3907912150860173E-2</v>
      </c>
    </row>
    <row r="297" spans="1:21">
      <c r="A297" s="72">
        <v>571.45000000000005</v>
      </c>
      <c r="B297" s="72">
        <v>575.74</v>
      </c>
      <c r="C297" s="72">
        <v>569.29</v>
      </c>
      <c r="D297" s="72">
        <v>575.73</v>
      </c>
      <c r="E297" s="72">
        <v>8781254</v>
      </c>
      <c r="F297" s="72" t="s">
        <v>317</v>
      </c>
      <c r="G297" s="25">
        <f t="shared" si="13"/>
        <v>-7.4340402619282875E-3</v>
      </c>
      <c r="I297" s="72">
        <v>32.630000000000003</v>
      </c>
      <c r="J297" s="72">
        <v>33.814999999999998</v>
      </c>
      <c r="K297" s="72">
        <v>31.67</v>
      </c>
      <c r="L297" s="72">
        <v>33.799999999999997</v>
      </c>
      <c r="M297" s="72">
        <v>1791333</v>
      </c>
      <c r="N297" s="72" t="s">
        <v>317</v>
      </c>
      <c r="O297" s="25">
        <f t="shared" si="12"/>
        <v>-3.4615384615384492E-2</v>
      </c>
      <c r="T297" s="25">
        <f t="shared" si="9"/>
        <v>0.14500000000000007</v>
      </c>
      <c r="U297" s="1">
        <f t="shared" si="11"/>
        <v>7.113769062056273E-2</v>
      </c>
    </row>
    <row r="298" spans="1:21">
      <c r="A298" s="72">
        <v>581.02</v>
      </c>
      <c r="B298" s="72">
        <v>588.16139999999996</v>
      </c>
      <c r="C298" s="72">
        <v>579.84</v>
      </c>
      <c r="D298" s="72">
        <v>587.83000000000004</v>
      </c>
      <c r="E298" s="72">
        <v>7046843</v>
      </c>
      <c r="F298" s="72" t="s">
        <v>318</v>
      </c>
      <c r="G298" s="25">
        <f t="shared" si="13"/>
        <v>-1.1584982052634363E-2</v>
      </c>
      <c r="I298" s="72">
        <v>34.409999999999997</v>
      </c>
      <c r="J298" s="72">
        <v>35.340000000000003</v>
      </c>
      <c r="K298" s="72">
        <v>32.774999999999999</v>
      </c>
      <c r="L298" s="72">
        <v>33.770000000000003</v>
      </c>
      <c r="M298" s="72">
        <v>1712268</v>
      </c>
      <c r="N298" s="72" t="s">
        <v>318</v>
      </c>
      <c r="O298" s="25">
        <f t="shared" si="12"/>
        <v>1.8951732306780933E-2</v>
      </c>
    </row>
    <row r="299" spans="1:21">
      <c r="A299" s="72">
        <v>583.21</v>
      </c>
      <c r="B299" s="72">
        <v>586.15</v>
      </c>
      <c r="C299" s="72">
        <v>580.54999999999995</v>
      </c>
      <c r="D299" s="72">
        <v>584.66</v>
      </c>
      <c r="E299" s="72">
        <v>6974729</v>
      </c>
      <c r="F299" s="72" t="s">
        <v>319</v>
      </c>
      <c r="G299" s="25">
        <f t="shared" si="13"/>
        <v>-2.4800738890977669E-3</v>
      </c>
      <c r="I299" s="72">
        <v>33.82</v>
      </c>
      <c r="J299" s="72">
        <v>34.18</v>
      </c>
      <c r="K299" s="72">
        <v>32.32</v>
      </c>
      <c r="L299" s="72">
        <v>32.340000000000003</v>
      </c>
      <c r="M299" s="72">
        <v>1150001</v>
      </c>
      <c r="N299" s="72" t="s">
        <v>319</v>
      </c>
      <c r="O299" s="25">
        <f t="shared" si="12"/>
        <v>4.5763760049474245E-2</v>
      </c>
    </row>
    <row r="300" spans="1:21">
      <c r="A300" s="72">
        <v>583.91999999999996</v>
      </c>
      <c r="B300" s="72">
        <v>587.08000000000004</v>
      </c>
      <c r="C300" s="72">
        <v>583.12</v>
      </c>
      <c r="D300" s="72">
        <v>586.82000000000005</v>
      </c>
      <c r="E300" s="72">
        <v>5033308</v>
      </c>
      <c r="F300" s="72" t="s">
        <v>320</v>
      </c>
      <c r="G300" s="25">
        <f t="shared" si="13"/>
        <v>-4.9418901877920085E-3</v>
      </c>
      <c r="I300" s="72">
        <v>32.625</v>
      </c>
      <c r="J300" s="72">
        <v>34.75</v>
      </c>
      <c r="K300" s="72">
        <v>32.5</v>
      </c>
      <c r="L300" s="72">
        <v>33.5</v>
      </c>
      <c r="M300" s="72">
        <v>1602069</v>
      </c>
      <c r="N300" s="72" t="s">
        <v>320</v>
      </c>
      <c r="O300" s="25">
        <f t="shared" si="12"/>
        <v>-2.6119402985074647E-2</v>
      </c>
    </row>
    <row r="301" spans="1:21">
      <c r="A301" s="72">
        <v>585.44000000000005</v>
      </c>
      <c r="B301" s="72">
        <v>586.5</v>
      </c>
      <c r="C301" s="72">
        <v>584.24</v>
      </c>
      <c r="D301" s="72">
        <v>586.04</v>
      </c>
      <c r="E301" s="72">
        <v>4169858</v>
      </c>
      <c r="F301" s="72" t="s">
        <v>321</v>
      </c>
      <c r="G301" s="25">
        <f t="shared" si="13"/>
        <v>-1.0238208995971831E-3</v>
      </c>
      <c r="I301" s="72">
        <v>33.43</v>
      </c>
      <c r="J301" s="72">
        <v>35.270000000000003</v>
      </c>
      <c r="K301" s="72">
        <v>33.130000000000003</v>
      </c>
      <c r="L301" s="72">
        <v>34.479999999999997</v>
      </c>
      <c r="M301" s="72">
        <v>1247353</v>
      </c>
      <c r="N301" s="72" t="s">
        <v>321</v>
      </c>
      <c r="O301" s="25">
        <f t="shared" si="12"/>
        <v>-3.045243619489546E-2</v>
      </c>
    </row>
    <row r="302" spans="1:21">
      <c r="A302" s="72">
        <v>585.58000000000004</v>
      </c>
      <c r="B302" s="72">
        <v>586.04</v>
      </c>
      <c r="C302" s="72">
        <v>583.59</v>
      </c>
      <c r="D302" s="72">
        <v>583.80999999999995</v>
      </c>
      <c r="E302" s="72">
        <v>3189061</v>
      </c>
      <c r="F302" s="72" t="s">
        <v>322</v>
      </c>
      <c r="G302" s="25">
        <f t="shared" si="13"/>
        <v>3.0318082937943469E-3</v>
      </c>
      <c r="I302" s="72">
        <v>34.549999999999997</v>
      </c>
      <c r="J302" s="72">
        <v>36.15</v>
      </c>
      <c r="K302" s="72">
        <v>34.340000000000003</v>
      </c>
      <c r="L302" s="72">
        <v>36.15</v>
      </c>
      <c r="M302" s="72">
        <v>1745957</v>
      </c>
      <c r="N302" s="72" t="s">
        <v>322</v>
      </c>
      <c r="O302" s="25">
        <f t="shared" si="12"/>
        <v>-4.4260027662517354E-2</v>
      </c>
    </row>
    <row r="303" spans="1:21">
      <c r="A303" s="72">
        <v>583.26</v>
      </c>
      <c r="B303" s="72">
        <v>584.75</v>
      </c>
      <c r="C303" s="72">
        <v>582.72</v>
      </c>
      <c r="D303" s="72">
        <v>583.34</v>
      </c>
      <c r="E303" s="72">
        <v>3840901</v>
      </c>
      <c r="F303" s="72" t="s">
        <v>323</v>
      </c>
      <c r="G303" s="25">
        <f t="shared" si="13"/>
        <v>-1.3714128981390239E-4</v>
      </c>
      <c r="I303" s="72">
        <v>36.200000000000003</v>
      </c>
      <c r="J303" s="72">
        <v>36.479999999999997</v>
      </c>
      <c r="K303" s="72">
        <v>34.67</v>
      </c>
      <c r="L303" s="72">
        <v>35.520000000000003</v>
      </c>
      <c r="M303" s="72">
        <v>1480533</v>
      </c>
      <c r="N303" s="72" t="s">
        <v>323</v>
      </c>
      <c r="O303" s="25">
        <f t="shared" si="12"/>
        <v>1.9144144144144226E-2</v>
      </c>
    </row>
    <row r="304" spans="1:21">
      <c r="A304" s="72">
        <v>582.86</v>
      </c>
      <c r="B304" s="72">
        <v>582.96</v>
      </c>
      <c r="C304" s="72">
        <v>578.87</v>
      </c>
      <c r="D304" s="72">
        <v>580.57000000000005</v>
      </c>
      <c r="E304" s="72">
        <v>4257345</v>
      </c>
      <c r="F304" s="72" t="s">
        <v>324</v>
      </c>
      <c r="G304" s="25">
        <f t="shared" si="13"/>
        <v>3.9443994694867701E-3</v>
      </c>
      <c r="I304" s="72">
        <v>35.799999999999997</v>
      </c>
      <c r="J304" s="72">
        <v>38.67</v>
      </c>
      <c r="K304" s="72">
        <v>33.9</v>
      </c>
      <c r="L304" s="72">
        <v>33.9</v>
      </c>
      <c r="M304" s="72">
        <v>7049279</v>
      </c>
      <c r="N304" s="72" t="s">
        <v>324</v>
      </c>
      <c r="O304" s="25">
        <f t="shared" si="12"/>
        <v>5.6047197640118007E-2</v>
      </c>
    </row>
    <row r="305" spans="1:15">
      <c r="A305" s="72">
        <v>577.95000000000005</v>
      </c>
      <c r="B305" s="72">
        <v>578.84</v>
      </c>
      <c r="C305" s="72">
        <v>575.64</v>
      </c>
      <c r="D305" s="72">
        <v>578.28</v>
      </c>
      <c r="E305" s="72">
        <v>4743679</v>
      </c>
      <c r="F305" s="72" t="s">
        <v>325</v>
      </c>
      <c r="G305" s="25">
        <f t="shared" si="13"/>
        <v>-5.7065781282406025E-4</v>
      </c>
      <c r="I305" s="72">
        <v>33.47</v>
      </c>
      <c r="J305" s="72">
        <v>33.951300000000003</v>
      </c>
      <c r="K305" s="72">
        <v>32.229999999999997</v>
      </c>
      <c r="L305" s="72">
        <v>33.14</v>
      </c>
      <c r="M305" s="72">
        <v>1712118</v>
      </c>
      <c r="N305" s="72" t="s">
        <v>325</v>
      </c>
      <c r="O305" s="25">
        <f t="shared" si="12"/>
        <v>9.9577549788774089E-3</v>
      </c>
    </row>
    <row r="306" spans="1:15">
      <c r="A306" s="72">
        <v>577.95000000000005</v>
      </c>
      <c r="B306" s="72">
        <v>580.53</v>
      </c>
      <c r="C306" s="72">
        <v>577.59</v>
      </c>
      <c r="D306" s="72">
        <v>577.98</v>
      </c>
      <c r="E306" s="72">
        <v>5892207</v>
      </c>
      <c r="F306" s="72" t="s">
        <v>326</v>
      </c>
      <c r="G306" s="25">
        <f t="shared" si="13"/>
        <v>-5.1904910204458865E-5</v>
      </c>
      <c r="I306" s="72">
        <v>33.21</v>
      </c>
      <c r="J306" s="72">
        <v>34.299999999999997</v>
      </c>
      <c r="K306" s="72">
        <v>31.67</v>
      </c>
      <c r="L306" s="72">
        <v>31.81</v>
      </c>
      <c r="M306" s="72">
        <v>4361408</v>
      </c>
      <c r="N306" s="72" t="s">
        <v>326</v>
      </c>
      <c r="O306" s="25">
        <f t="shared" si="12"/>
        <v>4.4011317195850497E-2</v>
      </c>
    </row>
    <row r="307" spans="1:15">
      <c r="A307" s="72">
        <v>576.91999999999996</v>
      </c>
      <c r="B307" s="72">
        <v>578.5</v>
      </c>
      <c r="C307" s="72">
        <v>575.84</v>
      </c>
      <c r="D307" s="72">
        <v>578.47</v>
      </c>
      <c r="E307" s="72">
        <v>4244147</v>
      </c>
      <c r="F307" s="72" t="s">
        <v>327</v>
      </c>
      <c r="G307" s="25">
        <f t="shared" si="13"/>
        <v>-2.6794820820441601E-3</v>
      </c>
      <c r="I307" s="72">
        <v>31.55</v>
      </c>
      <c r="J307" s="72">
        <v>32.119</v>
      </c>
      <c r="K307" s="72">
        <v>30.55</v>
      </c>
      <c r="L307" s="72">
        <v>31.53</v>
      </c>
      <c r="M307" s="72">
        <v>1503917</v>
      </c>
      <c r="N307" s="72" t="s">
        <v>327</v>
      </c>
      <c r="O307" s="25">
        <f t="shared" si="12"/>
        <v>6.3431652394552174E-4</v>
      </c>
    </row>
    <row r="308" spans="1:15">
      <c r="A308" s="72">
        <v>577.17999999999995</v>
      </c>
      <c r="B308" s="72">
        <v>577.65</v>
      </c>
      <c r="C308" s="72">
        <v>573.79999999999995</v>
      </c>
      <c r="D308" s="72">
        <v>574.02</v>
      </c>
      <c r="E308" s="72">
        <v>5391575</v>
      </c>
      <c r="F308" s="72" t="s">
        <v>328</v>
      </c>
      <c r="G308" s="25">
        <f t="shared" si="13"/>
        <v>5.5050346677816275E-3</v>
      </c>
      <c r="I308" s="72">
        <v>31.51</v>
      </c>
      <c r="J308" s="72">
        <v>32.42</v>
      </c>
      <c r="K308" s="72">
        <v>31.145</v>
      </c>
      <c r="L308" s="72">
        <v>31.48</v>
      </c>
      <c r="M308" s="72">
        <v>1517432</v>
      </c>
      <c r="N308" s="72" t="s">
        <v>328</v>
      </c>
      <c r="O308" s="25">
        <f t="shared" si="12"/>
        <v>9.5298602287163803E-4</v>
      </c>
    </row>
    <row r="309" spans="1:15">
      <c r="A309" s="72">
        <v>573.74</v>
      </c>
      <c r="B309" s="72">
        <v>574.26</v>
      </c>
      <c r="C309" s="72">
        <v>568.16999999999996</v>
      </c>
      <c r="D309" s="72">
        <v>573.4</v>
      </c>
      <c r="E309" s="72">
        <v>6119852</v>
      </c>
      <c r="F309" s="72" t="s">
        <v>329</v>
      </c>
      <c r="G309" s="25">
        <f t="shared" si="13"/>
        <v>5.9295430763861567E-4</v>
      </c>
      <c r="I309" s="72">
        <v>31.63</v>
      </c>
      <c r="J309" s="72">
        <v>31.75</v>
      </c>
      <c r="K309" s="72">
        <v>29.85</v>
      </c>
      <c r="L309" s="72">
        <v>30.28</v>
      </c>
      <c r="M309" s="72">
        <v>1935162</v>
      </c>
      <c r="N309" s="72" t="s">
        <v>329</v>
      </c>
      <c r="O309" s="25">
        <f t="shared" si="12"/>
        <v>4.4583883751651232E-2</v>
      </c>
    </row>
    <row r="310" spans="1:15">
      <c r="A310" s="72">
        <v>571.86</v>
      </c>
      <c r="B310" s="72">
        <v>577.16</v>
      </c>
      <c r="C310" s="72">
        <v>571.85</v>
      </c>
      <c r="D310" s="72">
        <v>576.85</v>
      </c>
      <c r="E310" s="72">
        <v>5338268</v>
      </c>
      <c r="F310" s="72" t="s">
        <v>330</v>
      </c>
      <c r="G310" s="25">
        <f t="shared" si="13"/>
        <v>-8.6504290543468754E-3</v>
      </c>
      <c r="I310" s="72">
        <v>30.44</v>
      </c>
      <c r="J310" s="72">
        <v>30.73</v>
      </c>
      <c r="K310" s="72">
        <v>29.86</v>
      </c>
      <c r="L310" s="72">
        <v>30.3</v>
      </c>
      <c r="M310" s="72">
        <v>1544541</v>
      </c>
      <c r="N310" s="72" t="s">
        <v>330</v>
      </c>
      <c r="O310" s="25">
        <f t="shared" si="12"/>
        <v>4.6204620462046986E-3</v>
      </c>
    </row>
    <row r="311" spans="1:15">
      <c r="A311" s="72">
        <v>574.35</v>
      </c>
      <c r="B311" s="72">
        <v>574.67899999999997</v>
      </c>
      <c r="C311" s="72">
        <v>571.58000000000004</v>
      </c>
      <c r="D311" s="72">
        <v>572.85</v>
      </c>
      <c r="E311" s="72">
        <v>4719971</v>
      </c>
      <c r="F311" s="72" t="s">
        <v>331</v>
      </c>
      <c r="G311" s="25">
        <f t="shared" si="13"/>
        <v>2.6184865147944603E-3</v>
      </c>
      <c r="I311" s="72">
        <v>30.15</v>
      </c>
      <c r="J311" s="72">
        <v>31.099399999999999</v>
      </c>
      <c r="K311" s="72">
        <v>29.57</v>
      </c>
      <c r="L311" s="72">
        <v>29.79</v>
      </c>
      <c r="M311" s="72">
        <v>1636069</v>
      </c>
      <c r="N311" s="72" t="s">
        <v>331</v>
      </c>
      <c r="O311" s="25">
        <f t="shared" si="12"/>
        <v>1.2084592145015005E-2</v>
      </c>
    </row>
    <row r="312" spans="1:15">
      <c r="A312" s="72">
        <v>573.22</v>
      </c>
      <c r="B312" s="72">
        <v>574.37570000000005</v>
      </c>
      <c r="C312" s="72">
        <v>571.37</v>
      </c>
      <c r="D312" s="72">
        <v>572.45000000000005</v>
      </c>
      <c r="E312" s="72">
        <v>4414258</v>
      </c>
      <c r="F312" s="72" t="s">
        <v>332</v>
      </c>
      <c r="G312" s="25">
        <f t="shared" si="13"/>
        <v>1.3450956415406168E-3</v>
      </c>
      <c r="I312" s="72">
        <v>30.13</v>
      </c>
      <c r="J312" s="72">
        <v>31.8</v>
      </c>
      <c r="K312" s="72">
        <v>29.6</v>
      </c>
      <c r="L312" s="72">
        <v>30.62</v>
      </c>
      <c r="M312" s="72">
        <v>3492792</v>
      </c>
      <c r="N312" s="72" t="s">
        <v>332</v>
      </c>
      <c r="O312" s="25">
        <f t="shared" si="12"/>
        <v>-1.600261267145664E-2</v>
      </c>
    </row>
    <row r="313" spans="1:15">
      <c r="A313" s="72">
        <v>575.29</v>
      </c>
      <c r="B313" s="72">
        <v>576.26</v>
      </c>
      <c r="C313" s="72">
        <v>572.70000000000005</v>
      </c>
      <c r="D313" s="72">
        <v>573.78</v>
      </c>
      <c r="E313" s="72">
        <v>4920279</v>
      </c>
      <c r="F313" s="72" t="s">
        <v>333</v>
      </c>
      <c r="G313" s="25">
        <f t="shared" si="13"/>
        <v>2.6316706751716712E-3</v>
      </c>
      <c r="I313" s="72">
        <v>30.81</v>
      </c>
      <c r="J313" s="72">
        <v>31.4</v>
      </c>
      <c r="K313" s="72">
        <v>30.3</v>
      </c>
      <c r="L313" s="72">
        <v>30.94</v>
      </c>
      <c r="M313" s="72">
        <v>1117711</v>
      </c>
      <c r="N313" s="72" t="s">
        <v>333</v>
      </c>
      <c r="O313" s="25">
        <f t="shared" si="12"/>
        <v>-4.2016806722690037E-3</v>
      </c>
    </row>
    <row r="314" spans="1:15">
      <c r="A314" s="72">
        <v>573.61</v>
      </c>
      <c r="B314" s="72">
        <v>574.26</v>
      </c>
      <c r="C314" s="72">
        <v>570.76</v>
      </c>
      <c r="D314" s="72">
        <v>572.46</v>
      </c>
      <c r="E314" s="72">
        <v>6833139</v>
      </c>
      <c r="F314" s="72" t="s">
        <v>334</v>
      </c>
      <c r="G314" s="25">
        <f t="shared" si="13"/>
        <v>2.0088739824615232E-3</v>
      </c>
      <c r="I314" s="72">
        <v>31.03</v>
      </c>
      <c r="J314" s="72">
        <v>31.79</v>
      </c>
      <c r="K314" s="72">
        <v>30.01</v>
      </c>
      <c r="L314" s="72">
        <v>31.09</v>
      </c>
      <c r="M314" s="72">
        <v>2359584</v>
      </c>
      <c r="N314" s="72" t="s">
        <v>334</v>
      </c>
      <c r="O314" s="25">
        <f t="shared" si="12"/>
        <v>-1.9298809906721504E-3</v>
      </c>
    </row>
    <row r="315" spans="1:15">
      <c r="A315" s="72">
        <v>570.23</v>
      </c>
      <c r="B315" s="72">
        <v>571.83000000000004</v>
      </c>
      <c r="C315" s="72">
        <v>569.48</v>
      </c>
      <c r="D315" s="72">
        <v>571.15</v>
      </c>
      <c r="E315" s="72">
        <v>6916815</v>
      </c>
      <c r="F315" s="72" t="s">
        <v>335</v>
      </c>
      <c r="G315" s="25">
        <f t="shared" si="13"/>
        <v>-1.6107852578131077E-3</v>
      </c>
      <c r="I315" s="72">
        <v>31.1</v>
      </c>
      <c r="J315" s="72">
        <v>32.789900000000003</v>
      </c>
      <c r="K315" s="72">
        <v>30.73</v>
      </c>
      <c r="L315" s="72">
        <v>32.11</v>
      </c>
      <c r="M315" s="72">
        <v>2279490</v>
      </c>
      <c r="N315" s="72" t="s">
        <v>335</v>
      </c>
      <c r="O315" s="25">
        <f t="shared" si="12"/>
        <v>-3.1454375583930161E-2</v>
      </c>
    </row>
    <row r="316" spans="1:15">
      <c r="A316" s="72">
        <v>570.61</v>
      </c>
      <c r="B316" s="72">
        <v>573.59</v>
      </c>
      <c r="C316" s="72">
        <v>567.98</v>
      </c>
      <c r="D316" s="72">
        <v>573</v>
      </c>
      <c r="E316" s="72">
        <v>6347907</v>
      </c>
      <c r="F316" s="72" t="s">
        <v>336</v>
      </c>
      <c r="G316" s="25">
        <f t="shared" si="13"/>
        <v>-4.1710296684118742E-3</v>
      </c>
      <c r="I316" s="72">
        <v>31.65</v>
      </c>
      <c r="J316" s="72">
        <v>32.92</v>
      </c>
      <c r="K316" s="72">
        <v>30.934999999999999</v>
      </c>
      <c r="L316" s="72">
        <v>31.49</v>
      </c>
      <c r="M316" s="72">
        <v>3201948</v>
      </c>
      <c r="N316" s="72" t="s">
        <v>336</v>
      </c>
      <c r="O316" s="25">
        <f t="shared" si="12"/>
        <v>5.0809780882818956E-3</v>
      </c>
    </row>
    <row r="317" spans="1:15">
      <c r="A317" s="72">
        <v>575.22</v>
      </c>
      <c r="B317" s="72">
        <v>575.66999999999996</v>
      </c>
      <c r="C317" s="72">
        <v>572.13</v>
      </c>
      <c r="D317" s="72">
        <v>572.17999999999995</v>
      </c>
      <c r="E317" s="72">
        <v>4833973</v>
      </c>
      <c r="F317" s="72" t="s">
        <v>337</v>
      </c>
      <c r="G317" s="25">
        <f t="shared" si="13"/>
        <v>5.3130133873957597E-3</v>
      </c>
      <c r="I317" s="72">
        <v>31.32</v>
      </c>
      <c r="J317" s="72">
        <v>31.75</v>
      </c>
      <c r="K317" s="72">
        <v>30</v>
      </c>
      <c r="L317" s="72">
        <v>30.22</v>
      </c>
      <c r="M317" s="72">
        <v>1424592</v>
      </c>
      <c r="N317" s="72" t="s">
        <v>337</v>
      </c>
      <c r="O317" s="25">
        <f t="shared" si="12"/>
        <v>3.6399735274652567E-2</v>
      </c>
    </row>
    <row r="318" spans="1:15">
      <c r="A318" s="72">
        <v>570.29</v>
      </c>
      <c r="B318" s="72">
        <v>570.34</v>
      </c>
      <c r="C318" s="72">
        <v>566.80999999999995</v>
      </c>
      <c r="D318" s="72">
        <v>567.37</v>
      </c>
      <c r="E318" s="72">
        <v>6134026</v>
      </c>
      <c r="F318" s="72" t="s">
        <v>338</v>
      </c>
      <c r="G318" s="25">
        <f t="shared" si="13"/>
        <v>5.1465533954913045E-3</v>
      </c>
      <c r="I318" s="72">
        <v>30.01</v>
      </c>
      <c r="J318" s="72">
        <v>32.137999999999998</v>
      </c>
      <c r="K318" s="72">
        <v>29.74</v>
      </c>
      <c r="L318" s="72">
        <v>31.5</v>
      </c>
      <c r="M318" s="72">
        <v>4518388</v>
      </c>
      <c r="N318" s="72" t="s">
        <v>338</v>
      </c>
      <c r="O318" s="25">
        <f t="shared" si="12"/>
        <v>-4.7301587301587289E-2</v>
      </c>
    </row>
    <row r="319" spans="1:15">
      <c r="A319" s="72">
        <v>567.77</v>
      </c>
      <c r="B319" s="72">
        <v>568.79999999999995</v>
      </c>
      <c r="C319" s="72">
        <v>565.79999999999995</v>
      </c>
      <c r="D319" s="72">
        <v>566.55999999999995</v>
      </c>
      <c r="E319" s="72">
        <v>7369350</v>
      </c>
      <c r="F319" s="72" t="s">
        <v>339</v>
      </c>
      <c r="G319" s="25">
        <f t="shared" si="13"/>
        <v>2.1356961310365907E-3</v>
      </c>
      <c r="I319" s="72">
        <v>32.39</v>
      </c>
      <c r="J319" s="72">
        <v>34.01</v>
      </c>
      <c r="K319" s="72">
        <v>31.62</v>
      </c>
      <c r="L319" s="72">
        <v>33.64</v>
      </c>
      <c r="M319" s="72">
        <v>4345372</v>
      </c>
      <c r="N319" s="72" t="s">
        <v>339</v>
      </c>
      <c r="O319" s="25">
        <f t="shared" si="12"/>
        <v>-3.7158145065398385E-2</v>
      </c>
    </row>
    <row r="320" spans="1:15">
      <c r="A320" s="72">
        <v>568.03</v>
      </c>
      <c r="B320" s="72">
        <v>569.15</v>
      </c>
      <c r="C320" s="72">
        <v>565.375</v>
      </c>
      <c r="D320" s="72">
        <v>567.5</v>
      </c>
      <c r="E320" s="72">
        <v>5719188</v>
      </c>
      <c r="F320" s="72" t="s">
        <v>340</v>
      </c>
      <c r="G320" s="25">
        <f t="shared" si="13"/>
        <v>9.3392070484576983E-4</v>
      </c>
      <c r="I320" s="72">
        <v>34.51</v>
      </c>
      <c r="J320" s="72">
        <v>36.1</v>
      </c>
      <c r="K320" s="72">
        <v>32.57</v>
      </c>
      <c r="L320" s="72">
        <v>33.4</v>
      </c>
      <c r="M320" s="72">
        <v>5724497</v>
      </c>
      <c r="N320" s="72" t="s">
        <v>340</v>
      </c>
      <c r="O320" s="25">
        <f t="shared" si="12"/>
        <v>3.3233532934131782E-2</v>
      </c>
    </row>
    <row r="321" spans="1:15">
      <c r="A321" s="72">
        <v>566.95000000000005</v>
      </c>
      <c r="B321" s="72">
        <v>568.33000000000004</v>
      </c>
      <c r="C321" s="72">
        <v>563.21</v>
      </c>
      <c r="D321" s="72">
        <v>565.11</v>
      </c>
      <c r="E321" s="72">
        <v>6056524</v>
      </c>
      <c r="F321" s="72" t="s">
        <v>341</v>
      </c>
      <c r="G321" s="25">
        <f t="shared" si="13"/>
        <v>3.2560032560033925E-3</v>
      </c>
      <c r="I321" s="72">
        <v>33.06</v>
      </c>
      <c r="J321" s="72">
        <v>33.44</v>
      </c>
      <c r="K321" s="72">
        <v>31.51</v>
      </c>
      <c r="L321" s="72">
        <v>33.19</v>
      </c>
      <c r="M321" s="72">
        <v>3882305</v>
      </c>
      <c r="N321" s="72" t="s">
        <v>341</v>
      </c>
      <c r="O321" s="25">
        <f t="shared" si="12"/>
        <v>-3.9168424224163001E-3</v>
      </c>
    </row>
    <row r="322" spans="1:15">
      <c r="A322" s="72">
        <v>564.15</v>
      </c>
      <c r="B322" s="72">
        <v>564.54999999999995</v>
      </c>
      <c r="C322" s="72">
        <v>560.96</v>
      </c>
      <c r="D322" s="72">
        <v>561.52</v>
      </c>
      <c r="E322" s="72">
        <v>6081444</v>
      </c>
      <c r="F322" s="72" t="s">
        <v>342</v>
      </c>
      <c r="G322" s="25">
        <f t="shared" si="13"/>
        <v>4.6837156290069348E-3</v>
      </c>
      <c r="I322" s="72">
        <v>33.19</v>
      </c>
      <c r="J322" s="72">
        <v>33.25</v>
      </c>
      <c r="K322" s="72">
        <v>30.01</v>
      </c>
      <c r="L322" s="72">
        <v>31.69</v>
      </c>
      <c r="M322" s="72">
        <v>3760569</v>
      </c>
      <c r="N322" s="72" t="s">
        <v>342</v>
      </c>
      <c r="O322" s="25">
        <f t="shared" si="12"/>
        <v>4.7333543704638492E-2</v>
      </c>
    </row>
    <row r="323" spans="1:15">
      <c r="A323" s="72">
        <v>559.72</v>
      </c>
      <c r="B323" s="72">
        <v>561.02</v>
      </c>
      <c r="C323" s="72">
        <v>558.34</v>
      </c>
      <c r="D323" s="72">
        <v>560.52</v>
      </c>
      <c r="E323" s="72">
        <v>16472305</v>
      </c>
      <c r="F323" s="72" t="s">
        <v>343</v>
      </c>
      <c r="G323" s="25">
        <f t="shared" si="13"/>
        <v>-1.4272461285947946E-3</v>
      </c>
      <c r="I323" s="72">
        <v>31.59</v>
      </c>
      <c r="J323" s="72">
        <v>33.396700000000003</v>
      </c>
      <c r="K323" s="72">
        <v>29.11</v>
      </c>
      <c r="L323" s="72">
        <v>29.77</v>
      </c>
      <c r="M323" s="72">
        <v>7172928</v>
      </c>
      <c r="N323" s="72" t="s">
        <v>343</v>
      </c>
      <c r="O323" s="25">
        <f t="shared" si="12"/>
        <v>6.1135371179039222E-2</v>
      </c>
    </row>
    <row r="324" spans="1:15">
      <c r="A324" s="72">
        <v>559.44000000000005</v>
      </c>
      <c r="B324" s="72">
        <v>560.42999999999995</v>
      </c>
      <c r="C324" s="72">
        <v>556.37</v>
      </c>
      <c r="D324" s="72">
        <v>557.17999999999995</v>
      </c>
      <c r="E324" s="72">
        <v>6770036</v>
      </c>
      <c r="F324" s="72" t="s">
        <v>344</v>
      </c>
      <c r="G324" s="25">
        <f t="shared" si="13"/>
        <v>4.0561398470873034E-3</v>
      </c>
      <c r="I324" s="72">
        <v>29</v>
      </c>
      <c r="J324" s="72">
        <v>30.06</v>
      </c>
      <c r="K324" s="72">
        <v>28.545200000000001</v>
      </c>
      <c r="L324" s="72">
        <v>29.93</v>
      </c>
      <c r="M324" s="72">
        <v>3321323</v>
      </c>
      <c r="N324" s="72" t="s">
        <v>344</v>
      </c>
      <c r="O324" s="25">
        <f t="shared" si="12"/>
        <v>-3.1072502505846922E-2</v>
      </c>
    </row>
    <row r="325" spans="1:15">
      <c r="A325" s="72">
        <v>553.36</v>
      </c>
      <c r="B325" s="72">
        <v>553.70000000000005</v>
      </c>
      <c r="C325" s="72">
        <v>545.75</v>
      </c>
      <c r="D325" s="72">
        <v>548.66</v>
      </c>
      <c r="E325" s="72">
        <v>9691151</v>
      </c>
      <c r="F325" s="72" t="s">
        <v>345</v>
      </c>
      <c r="G325" s="25">
        <f t="shared" si="13"/>
        <v>8.5663252287391245E-3</v>
      </c>
      <c r="I325" s="72">
        <v>29.76</v>
      </c>
      <c r="J325" s="72">
        <v>30.6099</v>
      </c>
      <c r="K325" s="72">
        <v>28.21</v>
      </c>
      <c r="L325" s="72">
        <v>28.965</v>
      </c>
      <c r="M325" s="72">
        <v>4088742</v>
      </c>
      <c r="N325" s="72" t="s">
        <v>345</v>
      </c>
      <c r="O325" s="25">
        <f t="shared" si="12"/>
        <v>2.7446918694976841E-2</v>
      </c>
    </row>
    <row r="326" spans="1:15">
      <c r="A326" s="72">
        <v>547.72</v>
      </c>
      <c r="B326" s="72">
        <v>552.72</v>
      </c>
      <c r="C326" s="72">
        <v>546.62</v>
      </c>
      <c r="D326" s="72">
        <v>551.72</v>
      </c>
      <c r="E326" s="72">
        <v>9942858</v>
      </c>
      <c r="F326" s="72" t="s">
        <v>346</v>
      </c>
      <c r="G326" s="25">
        <f t="shared" si="13"/>
        <v>-7.2500543754078217E-3</v>
      </c>
      <c r="I326" s="72">
        <v>29.53</v>
      </c>
      <c r="J326" s="72">
        <v>32.14</v>
      </c>
      <c r="K326" s="72">
        <v>29.3</v>
      </c>
      <c r="L326" s="72">
        <v>31.85</v>
      </c>
      <c r="M326" s="72">
        <v>5163492</v>
      </c>
      <c r="N326" s="72" t="s">
        <v>346</v>
      </c>
      <c r="O326" s="25">
        <f t="shared" si="12"/>
        <v>-7.2841444270015709E-2</v>
      </c>
    </row>
    <row r="327" spans="1:15">
      <c r="A327" s="72">
        <v>549.24</v>
      </c>
      <c r="B327" s="72">
        <v>552.71</v>
      </c>
      <c r="C327" s="72">
        <v>548.39</v>
      </c>
      <c r="D327" s="72">
        <v>550.16</v>
      </c>
      <c r="E327" s="72">
        <v>4602329</v>
      </c>
      <c r="F327" s="72" t="s">
        <v>347</v>
      </c>
      <c r="G327" s="25">
        <f t="shared" si="13"/>
        <v>-1.6722408026754731E-3</v>
      </c>
      <c r="I327" s="72">
        <v>31.65</v>
      </c>
      <c r="J327" s="72">
        <v>34.4</v>
      </c>
      <c r="K327" s="72">
        <v>31.21</v>
      </c>
      <c r="L327" s="72">
        <v>34.25</v>
      </c>
      <c r="M327" s="72">
        <v>6519114</v>
      </c>
      <c r="N327" s="72" t="s">
        <v>347</v>
      </c>
      <c r="O327" s="25">
        <f t="shared" si="12"/>
        <v>-7.5912408759124084E-2</v>
      </c>
    </row>
    <row r="328" spans="1:15">
      <c r="A328" s="72">
        <v>549.35</v>
      </c>
      <c r="B328" s="72">
        <v>553.16</v>
      </c>
      <c r="C328" s="72">
        <v>548.63499999999999</v>
      </c>
      <c r="D328" s="72">
        <v>551.79</v>
      </c>
      <c r="E328" s="72">
        <v>4753344</v>
      </c>
      <c r="F328" s="72" t="s">
        <v>348</v>
      </c>
      <c r="G328" s="25">
        <f t="shared" si="13"/>
        <v>-4.4219721270771783E-3</v>
      </c>
      <c r="I328" s="72">
        <v>34.450000000000003</v>
      </c>
      <c r="J328" s="72">
        <v>36.79</v>
      </c>
      <c r="K328" s="72">
        <v>33.880000000000003</v>
      </c>
      <c r="L328" s="72">
        <v>36.1</v>
      </c>
      <c r="M328" s="72">
        <v>3428048</v>
      </c>
      <c r="N328" s="72" t="s">
        <v>348</v>
      </c>
      <c r="O328" s="25">
        <f t="shared" si="12"/>
        <v>-4.5706371191135742E-2</v>
      </c>
    </row>
    <row r="329" spans="1:15">
      <c r="A329" s="72">
        <v>554.07000000000005</v>
      </c>
      <c r="B329" s="72">
        <v>555.69000000000005</v>
      </c>
      <c r="C329" s="72">
        <v>551.87</v>
      </c>
      <c r="D329" s="72">
        <v>551.94000000000005</v>
      </c>
      <c r="E329" s="72">
        <v>7421327</v>
      </c>
      <c r="F329" s="72" t="s">
        <v>349</v>
      </c>
      <c r="G329" s="25">
        <f t="shared" si="13"/>
        <v>3.8591151212088448E-3</v>
      </c>
      <c r="I329" s="72">
        <v>36.81</v>
      </c>
      <c r="J329" s="72">
        <v>38.299999999999997</v>
      </c>
      <c r="K329" s="72">
        <v>35.11</v>
      </c>
      <c r="L329" s="72">
        <v>35.11</v>
      </c>
      <c r="M329" s="72">
        <v>6001788</v>
      </c>
      <c r="N329" s="72" t="s">
        <v>349</v>
      </c>
      <c r="O329" s="25">
        <f t="shared" si="12"/>
        <v>4.8419253773853699E-2</v>
      </c>
    </row>
    <row r="330" spans="1:15">
      <c r="A330" s="72">
        <v>548.77</v>
      </c>
      <c r="B330" s="72">
        <v>553.245</v>
      </c>
      <c r="C330" s="72">
        <v>547.41</v>
      </c>
      <c r="D330" s="72">
        <v>550.24</v>
      </c>
      <c r="E330" s="72">
        <v>7062316</v>
      </c>
      <c r="F330" s="72" t="s">
        <v>350</v>
      </c>
      <c r="G330" s="25">
        <f t="shared" si="13"/>
        <v>-2.671561500436237E-3</v>
      </c>
      <c r="I330" s="72">
        <v>34.79</v>
      </c>
      <c r="J330" s="72">
        <v>36.869999999999997</v>
      </c>
      <c r="K330" s="72">
        <v>33</v>
      </c>
      <c r="L330" s="72">
        <v>36.625</v>
      </c>
      <c r="M330" s="72">
        <v>9467017</v>
      </c>
      <c r="N330" s="72" t="s">
        <v>350</v>
      </c>
      <c r="O330" s="25">
        <f t="shared" si="12"/>
        <v>-5.0102389078498288E-2</v>
      </c>
    </row>
    <row r="331" spans="1:15">
      <c r="A331" s="72">
        <v>554.95000000000005</v>
      </c>
      <c r="B331" s="72">
        <v>555</v>
      </c>
      <c r="C331" s="72">
        <v>551.13220000000001</v>
      </c>
      <c r="D331" s="72">
        <v>551.6</v>
      </c>
      <c r="E331" s="72">
        <v>8422943</v>
      </c>
      <c r="F331" s="72" t="s">
        <v>351</v>
      </c>
      <c r="G331" s="25">
        <f t="shared" si="13"/>
        <v>6.0732414793329692E-3</v>
      </c>
      <c r="I331" s="72">
        <v>37.11</v>
      </c>
      <c r="J331" s="72">
        <v>44.94</v>
      </c>
      <c r="K331" s="72">
        <v>36.19</v>
      </c>
      <c r="L331" s="72">
        <v>27</v>
      </c>
      <c r="M331" s="72">
        <v>36148246</v>
      </c>
      <c r="N331" s="72" t="s">
        <v>351</v>
      </c>
      <c r="O331" s="25">
        <f>I331/L331-1</f>
        <v>0.37444444444444436</v>
      </c>
    </row>
    <row r="332" spans="1:15">
      <c r="A332" s="72">
        <v>552.86</v>
      </c>
      <c r="B332" s="72">
        <v>556.22500000000002</v>
      </c>
      <c r="C332" s="72">
        <v>550.91</v>
      </c>
      <c r="D332" s="72">
        <v>555.41</v>
      </c>
      <c r="E332" s="72">
        <v>20800557</v>
      </c>
      <c r="F332" s="72" t="s">
        <v>352</v>
      </c>
      <c r="G332" s="25">
        <f t="shared" si="13"/>
        <v>-4.5912028951584638E-3</v>
      </c>
      <c r="O332" s="25"/>
    </row>
    <row r="333" spans="1:15">
      <c r="A333" s="72">
        <v>554.39</v>
      </c>
      <c r="B333" s="72">
        <v>554.74</v>
      </c>
      <c r="C333" s="72">
        <v>550.74</v>
      </c>
      <c r="D333" s="72">
        <v>551.78</v>
      </c>
      <c r="E333" s="72">
        <v>5951290</v>
      </c>
      <c r="F333" s="72" t="s">
        <v>353</v>
      </c>
      <c r="G333" s="25">
        <f t="shared" si="13"/>
        <v>4.7301460727102729E-3</v>
      </c>
      <c r="O333" s="25"/>
    </row>
    <row r="334" spans="1:15">
      <c r="A334" s="72">
        <v>551.25</v>
      </c>
      <c r="B334" s="72">
        <v>552.70000000000005</v>
      </c>
      <c r="C334" s="72">
        <v>550.20000000000005</v>
      </c>
      <c r="D334" s="72">
        <v>551.29999999999995</v>
      </c>
      <c r="E334" s="72">
        <v>4482378</v>
      </c>
      <c r="F334" s="72" t="s">
        <v>354</v>
      </c>
      <c r="G334" s="25">
        <f t="shared" si="13"/>
        <v>-9.0694721567086134E-5</v>
      </c>
      <c r="O334" s="25"/>
    </row>
    <row r="335" spans="1:15">
      <c r="A335" s="72">
        <v>550.66</v>
      </c>
      <c r="B335" s="72">
        <v>552.32000000000005</v>
      </c>
      <c r="C335" s="72">
        <v>548.69989999999996</v>
      </c>
      <c r="D335" s="72">
        <v>550.29999999999995</v>
      </c>
      <c r="E335" s="72">
        <v>4712599</v>
      </c>
      <c r="F335" s="72" t="s">
        <v>355</v>
      </c>
      <c r="G335" s="25">
        <f t="shared" si="13"/>
        <v>6.5418862438670899E-4</v>
      </c>
      <c r="O335" s="25"/>
    </row>
    <row r="336" spans="1:15">
      <c r="A336" s="72">
        <v>545.09</v>
      </c>
      <c r="B336" s="72">
        <v>550.63</v>
      </c>
      <c r="C336" s="72">
        <v>543.33749999999998</v>
      </c>
      <c r="D336" s="72">
        <v>549.48</v>
      </c>
      <c r="E336" s="72">
        <v>6334538</v>
      </c>
      <c r="F336" s="72" t="s">
        <v>356</v>
      </c>
      <c r="G336" s="25">
        <f t="shared" si="13"/>
        <v>-7.9893717696730704E-3</v>
      </c>
      <c r="O336" s="25"/>
    </row>
    <row r="337" spans="1:15">
      <c r="A337" s="72">
        <v>547.65</v>
      </c>
      <c r="B337" s="72">
        <v>549.65</v>
      </c>
      <c r="C337" s="72">
        <v>547.44259999999997</v>
      </c>
      <c r="D337" s="72">
        <v>548.75</v>
      </c>
      <c r="E337" s="72">
        <v>4510272</v>
      </c>
      <c r="F337" s="72" t="s">
        <v>357</v>
      </c>
      <c r="G337" s="25">
        <f t="shared" si="13"/>
        <v>-2.0045558086561055E-3</v>
      </c>
      <c r="O337" s="25"/>
    </row>
    <row r="338" spans="1:15">
      <c r="A338" s="72">
        <v>548</v>
      </c>
      <c r="B338" s="72">
        <v>548.87</v>
      </c>
      <c r="C338" s="72">
        <v>544.09</v>
      </c>
      <c r="D338" s="72">
        <v>544.53</v>
      </c>
      <c r="E338" s="72">
        <v>4968649</v>
      </c>
      <c r="F338" s="72" t="s">
        <v>358</v>
      </c>
      <c r="G338" s="25">
        <f t="shared" si="13"/>
        <v>6.3724679999266343E-3</v>
      </c>
      <c r="O338" s="25"/>
    </row>
    <row r="339" spans="1:15">
      <c r="A339" s="72">
        <v>544.91</v>
      </c>
      <c r="B339" s="72">
        <v>544.91</v>
      </c>
      <c r="C339" s="72">
        <v>537.79999999999995</v>
      </c>
      <c r="D339" s="72">
        <v>540.25</v>
      </c>
      <c r="E339" s="72">
        <v>5900870</v>
      </c>
      <c r="F339" s="72" t="s">
        <v>359</v>
      </c>
      <c r="G339" s="25">
        <f t="shared" si="13"/>
        <v>8.6256362795000818E-3</v>
      </c>
      <c r="O339" s="25"/>
    </row>
    <row r="340" spans="1:15">
      <c r="A340" s="72">
        <v>541.76</v>
      </c>
      <c r="B340" s="72">
        <v>543.39</v>
      </c>
      <c r="C340" s="72">
        <v>536.16</v>
      </c>
      <c r="D340" s="72">
        <v>541.35</v>
      </c>
      <c r="E340" s="72">
        <v>6160101</v>
      </c>
      <c r="F340" s="72" t="s">
        <v>360</v>
      </c>
      <c r="G340" s="25">
        <f t="shared" si="13"/>
        <v>7.5736584464758394E-4</v>
      </c>
      <c r="O340" s="25"/>
    </row>
    <row r="341" spans="1:15">
      <c r="A341" s="72">
        <v>542.32000000000005</v>
      </c>
      <c r="B341" s="72">
        <v>545.28</v>
      </c>
      <c r="C341" s="72">
        <v>538.74</v>
      </c>
      <c r="D341" s="72">
        <v>545.15</v>
      </c>
      <c r="E341" s="72">
        <v>4668939</v>
      </c>
      <c r="F341" s="72" t="s">
        <v>361</v>
      </c>
      <c r="G341" s="25">
        <f t="shared" si="13"/>
        <v>-5.1912317710720579E-3</v>
      </c>
      <c r="O341" s="25"/>
    </row>
    <row r="342" spans="1:15">
      <c r="A342" s="72">
        <v>540.24</v>
      </c>
      <c r="B342" s="72">
        <v>544.9</v>
      </c>
      <c r="C342" s="72">
        <v>539.61</v>
      </c>
      <c r="D342" s="72">
        <v>543.79</v>
      </c>
      <c r="E342" s="72">
        <v>4806244</v>
      </c>
      <c r="F342" s="72" t="s">
        <v>362</v>
      </c>
      <c r="G342" s="25">
        <f t="shared" si="13"/>
        <v>-6.5282553927066278E-3</v>
      </c>
      <c r="O342" s="25"/>
    </row>
    <row r="343" spans="1:15">
      <c r="A343" s="72">
        <v>543.34</v>
      </c>
      <c r="B343" s="72">
        <v>543.52</v>
      </c>
      <c r="C343" s="72">
        <v>537.17999999999995</v>
      </c>
      <c r="D343" s="72">
        <v>538.72</v>
      </c>
      <c r="E343" s="72">
        <v>6086299</v>
      </c>
      <c r="F343" s="72" t="s">
        <v>363</v>
      </c>
      <c r="G343" s="25">
        <f t="shared" si="13"/>
        <v>8.5758835758835694E-3</v>
      </c>
      <c r="O343" s="25"/>
    </row>
    <row r="344" spans="1:15">
      <c r="A344" s="72">
        <v>532.4</v>
      </c>
      <c r="B344" s="72">
        <v>534.80989999999997</v>
      </c>
      <c r="C344" s="72">
        <v>529.11</v>
      </c>
      <c r="D344" s="72">
        <v>529.42999999999995</v>
      </c>
      <c r="E344" s="72">
        <v>6455875</v>
      </c>
      <c r="F344" s="72" t="s">
        <v>364</v>
      </c>
      <c r="G344" s="25">
        <f t="shared" si="13"/>
        <v>5.6098067733223456E-3</v>
      </c>
      <c r="O344" s="25"/>
    </row>
    <row r="345" spans="1:15">
      <c r="A345" s="72">
        <v>536.02</v>
      </c>
      <c r="B345" s="72">
        <v>539.22500000000002</v>
      </c>
      <c r="C345" s="72">
        <v>534.44000000000005</v>
      </c>
      <c r="D345" s="72">
        <v>535.6</v>
      </c>
      <c r="E345" s="72">
        <v>5816572</v>
      </c>
      <c r="F345" s="72" t="s">
        <v>365</v>
      </c>
      <c r="G345" s="25">
        <f t="shared" si="13"/>
        <v>7.8416728902164223E-4</v>
      </c>
      <c r="O345" s="25"/>
    </row>
    <row r="346" spans="1:15">
      <c r="A346" s="72">
        <v>535.77</v>
      </c>
      <c r="B346" s="72">
        <v>544.69050000000004</v>
      </c>
      <c r="C346" s="72">
        <v>534.82000000000005</v>
      </c>
      <c r="D346" s="72">
        <v>540.91</v>
      </c>
      <c r="E346" s="72">
        <v>6339491</v>
      </c>
      <c r="F346" s="72" t="s">
        <v>366</v>
      </c>
      <c r="G346" s="25">
        <f t="shared" si="13"/>
        <v>-9.5025050378065856E-3</v>
      </c>
      <c r="O346" s="25"/>
    </row>
    <row r="347" spans="1:15">
      <c r="A347" s="72">
        <v>544.88</v>
      </c>
      <c r="B347" s="72">
        <v>546.05999999999995</v>
      </c>
      <c r="C347" s="72">
        <v>541.99</v>
      </c>
      <c r="D347" s="72">
        <v>545.22</v>
      </c>
      <c r="E347" s="72">
        <v>7158205</v>
      </c>
      <c r="F347" s="72" t="s">
        <v>367</v>
      </c>
      <c r="G347" s="25">
        <f t="shared" ref="G347:G410" si="14">A347/D347-1</f>
        <v>-6.2360148197060372E-4</v>
      </c>
      <c r="O347" s="25"/>
    </row>
    <row r="348" spans="1:15">
      <c r="A348" s="72">
        <v>546.82000000000005</v>
      </c>
      <c r="B348" s="72">
        <v>547.45000000000005</v>
      </c>
      <c r="C348" s="72">
        <v>540.58000000000004</v>
      </c>
      <c r="D348" s="72">
        <v>540.63</v>
      </c>
      <c r="E348" s="72">
        <v>7766058</v>
      </c>
      <c r="F348" s="72" t="s">
        <v>368</v>
      </c>
      <c r="G348" s="25">
        <f t="shared" si="14"/>
        <v>1.144960509035764E-2</v>
      </c>
      <c r="O348" s="25"/>
    </row>
    <row r="349" spans="1:15">
      <c r="A349" s="72">
        <v>546.26</v>
      </c>
      <c r="B349" s="72">
        <v>546.47</v>
      </c>
      <c r="C349" s="72">
        <v>541.70000000000005</v>
      </c>
      <c r="D349" s="72">
        <v>543.47</v>
      </c>
      <c r="E349" s="72">
        <v>7255342</v>
      </c>
      <c r="F349" s="72" t="s">
        <v>369</v>
      </c>
      <c r="G349" s="25">
        <f t="shared" si="14"/>
        <v>5.1336780319060082E-3</v>
      </c>
      <c r="O349" s="25"/>
    </row>
    <row r="350" spans="1:15">
      <c r="A350" s="72">
        <v>542.76</v>
      </c>
      <c r="B350" s="72">
        <v>543.24890000000005</v>
      </c>
      <c r="C350" s="72">
        <v>537.84</v>
      </c>
      <c r="D350" s="72">
        <v>538.26</v>
      </c>
      <c r="E350" s="72">
        <v>7362193</v>
      </c>
      <c r="F350" s="72" t="s">
        <v>370</v>
      </c>
      <c r="G350" s="25">
        <f t="shared" si="14"/>
        <v>8.360271987515322E-3</v>
      </c>
      <c r="O350" s="25"/>
    </row>
    <row r="351" spans="1:15">
      <c r="A351" s="72">
        <v>540.11</v>
      </c>
      <c r="B351" s="72">
        <v>541.41999999999996</v>
      </c>
      <c r="C351" s="72">
        <v>538.24</v>
      </c>
      <c r="D351" s="72">
        <v>540.37</v>
      </c>
      <c r="E351" s="72">
        <v>5031301</v>
      </c>
      <c r="F351" s="72" t="s">
        <v>371</v>
      </c>
      <c r="G351" s="25">
        <f t="shared" si="14"/>
        <v>-4.8115180339391994E-4</v>
      </c>
      <c r="O351" s="25"/>
    </row>
    <row r="352" spans="1:15">
      <c r="A352" s="72">
        <v>539.44000000000005</v>
      </c>
      <c r="B352" s="72">
        <v>541.48</v>
      </c>
      <c r="C352" s="72">
        <v>535.78</v>
      </c>
      <c r="D352" s="72">
        <v>536.33000000000004</v>
      </c>
      <c r="E352" s="72">
        <v>7356804</v>
      </c>
      <c r="F352" s="72" t="s">
        <v>372</v>
      </c>
      <c r="G352" s="25">
        <f t="shared" si="14"/>
        <v>5.7986687300728423E-3</v>
      </c>
      <c r="O352" s="25"/>
    </row>
    <row r="353" spans="1:15">
      <c r="A353" s="72">
        <v>535.91999999999996</v>
      </c>
      <c r="B353" s="72">
        <v>535.91999999999996</v>
      </c>
      <c r="C353" s="72">
        <v>530.39</v>
      </c>
      <c r="D353" s="72">
        <v>534.5</v>
      </c>
      <c r="E353" s="72">
        <v>7793576</v>
      </c>
      <c r="F353" s="72" t="s">
        <v>373</v>
      </c>
      <c r="G353" s="25">
        <f t="shared" si="14"/>
        <v>2.6566884939194235E-3</v>
      </c>
      <c r="O353" s="25"/>
    </row>
    <row r="354" spans="1:15">
      <c r="A354" s="72">
        <v>518.65</v>
      </c>
      <c r="B354" s="72">
        <v>521.63059999999996</v>
      </c>
      <c r="C354" s="72">
        <v>517.36</v>
      </c>
      <c r="D354" s="72">
        <v>520.69000000000005</v>
      </c>
      <c r="E354" s="72">
        <v>4739506</v>
      </c>
      <c r="F354" s="72" t="s">
        <v>374</v>
      </c>
      <c r="G354" s="25">
        <f t="shared" si="14"/>
        <v>-3.9178782000808265E-3</v>
      </c>
      <c r="O354" s="25"/>
    </row>
    <row r="355" spans="1:15">
      <c r="A355" s="72">
        <v>519.34</v>
      </c>
      <c r="B355" s="72">
        <v>524.23</v>
      </c>
      <c r="C355" s="72">
        <v>516.34500000000003</v>
      </c>
      <c r="D355" s="72">
        <v>519.54</v>
      </c>
      <c r="E355" s="72">
        <v>5088200</v>
      </c>
      <c r="F355" s="72" t="s">
        <v>375</v>
      </c>
      <c r="G355" s="25">
        <f t="shared" si="14"/>
        <v>-3.8495592254672584E-4</v>
      </c>
      <c r="O355" s="25"/>
    </row>
    <row r="356" spans="1:15">
      <c r="A356" s="72">
        <v>515.9</v>
      </c>
      <c r="B356" s="72">
        <v>518.17999999999995</v>
      </c>
      <c r="C356" s="72">
        <v>511.1</v>
      </c>
      <c r="D356" s="72">
        <v>514.91999999999996</v>
      </c>
      <c r="E356" s="72">
        <v>5467344</v>
      </c>
      <c r="F356" s="72" t="s">
        <v>376</v>
      </c>
      <c r="G356" s="25">
        <f t="shared" si="14"/>
        <v>1.9032082653616111E-3</v>
      </c>
      <c r="O356" s="25"/>
    </row>
    <row r="357" spans="1:15">
      <c r="A357" s="72">
        <v>513.58000000000004</v>
      </c>
      <c r="B357" s="72">
        <v>517.82500000000005</v>
      </c>
      <c r="C357" s="72">
        <v>511.94</v>
      </c>
      <c r="D357" s="72">
        <v>512.89</v>
      </c>
      <c r="E357" s="72">
        <v>4694270</v>
      </c>
      <c r="F357" s="72" t="s">
        <v>377</v>
      </c>
      <c r="G357" s="25">
        <f t="shared" si="14"/>
        <v>1.3453177094504554E-3</v>
      </c>
      <c r="O357" s="25"/>
    </row>
    <row r="358" spans="1:15">
      <c r="A358" s="72">
        <v>517.99</v>
      </c>
      <c r="B358" s="72">
        <v>520.85</v>
      </c>
      <c r="C358" s="72">
        <v>516.27</v>
      </c>
      <c r="D358" s="72">
        <v>517.08000000000004</v>
      </c>
      <c r="E358" s="72">
        <v>4793497</v>
      </c>
      <c r="F358" s="72" t="s">
        <v>378</v>
      </c>
      <c r="G358" s="25">
        <f t="shared" si="14"/>
        <v>1.7598824166473737E-3</v>
      </c>
      <c r="O358" s="25"/>
    </row>
    <row r="359" spans="1:15">
      <c r="A359" s="72">
        <v>520.71</v>
      </c>
      <c r="B359" s="72">
        <v>522.41</v>
      </c>
      <c r="C359" s="72">
        <v>516.89</v>
      </c>
      <c r="D359" s="72">
        <v>519.12</v>
      </c>
      <c r="E359" s="72">
        <v>6285390</v>
      </c>
      <c r="F359" s="72" t="s">
        <v>379</v>
      </c>
      <c r="G359" s="25">
        <f t="shared" si="14"/>
        <v>3.0628756356911868E-3</v>
      </c>
      <c r="O359" s="25"/>
    </row>
    <row r="360" spans="1:15">
      <c r="A360" s="72">
        <v>513.35</v>
      </c>
      <c r="B360" s="72">
        <v>518.44000000000005</v>
      </c>
      <c r="C360" s="72">
        <v>512.77</v>
      </c>
      <c r="D360" s="72">
        <v>515.13</v>
      </c>
      <c r="E360" s="72">
        <v>5784483</v>
      </c>
      <c r="F360" s="72" t="s">
        <v>380</v>
      </c>
      <c r="G360" s="25">
        <f t="shared" si="14"/>
        <v>-3.4554384330168775E-3</v>
      </c>
      <c r="O360" s="25"/>
    </row>
    <row r="361" spans="1:15">
      <c r="A361" s="72">
        <v>509.74</v>
      </c>
      <c r="B361" s="72">
        <v>511.5</v>
      </c>
      <c r="C361" s="72">
        <v>497.76</v>
      </c>
      <c r="D361" s="72">
        <v>503.26</v>
      </c>
      <c r="E361" s="72">
        <v>7873686</v>
      </c>
      <c r="F361" s="72" t="s">
        <v>381</v>
      </c>
      <c r="G361" s="25">
        <f t="shared" si="14"/>
        <v>1.2876048165957998E-2</v>
      </c>
      <c r="O361" s="25"/>
    </row>
    <row r="362" spans="1:15">
      <c r="A362" s="72">
        <v>509.49</v>
      </c>
      <c r="B362" s="72">
        <v>510.54969999999997</v>
      </c>
      <c r="C362" s="72">
        <v>504.26</v>
      </c>
      <c r="D362" s="72">
        <v>504.54</v>
      </c>
      <c r="E362" s="72">
        <v>6525457</v>
      </c>
      <c r="F362" s="72" t="s">
        <v>382</v>
      </c>
      <c r="G362" s="25">
        <f t="shared" si="14"/>
        <v>9.810916874777087E-3</v>
      </c>
      <c r="O362" s="25"/>
    </row>
    <row r="363" spans="1:15">
      <c r="A363" s="72">
        <v>506.42</v>
      </c>
      <c r="B363" s="72">
        <v>508.74</v>
      </c>
      <c r="C363" s="72">
        <v>500.96</v>
      </c>
      <c r="D363" s="72">
        <v>506.81</v>
      </c>
      <c r="E363" s="72">
        <v>4210016</v>
      </c>
      <c r="F363" s="72" t="s">
        <v>383</v>
      </c>
      <c r="G363" s="25">
        <f t="shared" si="14"/>
        <v>-7.6951914918799158E-4</v>
      </c>
      <c r="O363" s="25"/>
    </row>
    <row r="364" spans="1:15">
      <c r="A364" s="72">
        <v>506.11</v>
      </c>
      <c r="B364" s="72">
        <v>506.52</v>
      </c>
      <c r="C364" s="72">
        <v>499.75</v>
      </c>
      <c r="D364" s="72">
        <v>502.44</v>
      </c>
      <c r="E364" s="72">
        <v>6933423</v>
      </c>
      <c r="F364" s="72" t="s">
        <v>384</v>
      </c>
      <c r="G364" s="25">
        <f t="shared" si="14"/>
        <v>7.3043547488258476E-3</v>
      </c>
      <c r="O364" s="25"/>
    </row>
    <row r="365" spans="1:15">
      <c r="A365" s="72">
        <v>502.41</v>
      </c>
      <c r="B365" s="72">
        <v>503</v>
      </c>
      <c r="C365" s="72">
        <v>492.22309999999999</v>
      </c>
      <c r="D365" s="72">
        <v>493.26</v>
      </c>
      <c r="E365" s="72">
        <v>6184333</v>
      </c>
      <c r="F365" s="72" t="s">
        <v>385</v>
      </c>
      <c r="G365" s="25">
        <f t="shared" si="14"/>
        <v>1.8550054737866528E-2</v>
      </c>
      <c r="O365" s="25"/>
    </row>
    <row r="366" spans="1:15">
      <c r="A366" s="72">
        <v>492.07</v>
      </c>
      <c r="B366" s="72">
        <v>501.18</v>
      </c>
      <c r="C366" s="72">
        <v>490.7</v>
      </c>
      <c r="D366" s="72">
        <v>496.69</v>
      </c>
      <c r="E366" s="72">
        <v>8047601</v>
      </c>
      <c r="F366" s="72" t="s">
        <v>386</v>
      </c>
      <c r="G366" s="25">
        <f t="shared" si="14"/>
        <v>-9.3015764360063757E-3</v>
      </c>
      <c r="O366" s="25"/>
    </row>
    <row r="367" spans="1:15">
      <c r="A367" s="72">
        <v>484.29</v>
      </c>
      <c r="B367" s="72">
        <v>486.48</v>
      </c>
      <c r="C367" s="72">
        <v>477.19</v>
      </c>
      <c r="D367" s="72">
        <v>478.07</v>
      </c>
      <c r="E367" s="72">
        <v>6236319</v>
      </c>
      <c r="F367" s="72" t="s">
        <v>387</v>
      </c>
      <c r="G367" s="25">
        <f t="shared" si="14"/>
        <v>1.301064697638421E-2</v>
      </c>
      <c r="O367" s="25"/>
    </row>
    <row r="368" spans="1:15">
      <c r="A368" s="72">
        <v>472.37</v>
      </c>
      <c r="B368" s="72">
        <v>479.49</v>
      </c>
      <c r="C368" s="72">
        <v>467.33</v>
      </c>
      <c r="D368" s="72">
        <v>479.02</v>
      </c>
      <c r="E368" s="72">
        <v>7762501</v>
      </c>
      <c r="F368" s="72" t="s">
        <v>388</v>
      </c>
      <c r="G368" s="25">
        <f t="shared" si="14"/>
        <v>-1.388251012483821E-2</v>
      </c>
      <c r="O368" s="25"/>
    </row>
    <row r="369" spans="1:15">
      <c r="A369" s="72">
        <v>483.9</v>
      </c>
      <c r="B369" s="72">
        <v>488.16</v>
      </c>
      <c r="C369" s="72">
        <v>481.5</v>
      </c>
      <c r="D369" s="72">
        <v>484.79</v>
      </c>
      <c r="E369" s="72">
        <v>5638939</v>
      </c>
      <c r="F369" s="72" t="s">
        <v>389</v>
      </c>
      <c r="G369" s="25">
        <f t="shared" si="14"/>
        <v>-1.8358464489780513E-3</v>
      </c>
      <c r="O369" s="25"/>
    </row>
    <row r="370" spans="1:15">
      <c r="A370" s="72">
        <v>483.23</v>
      </c>
      <c r="B370" s="72">
        <v>491.76499999999999</v>
      </c>
      <c r="C370" s="72">
        <v>478.23</v>
      </c>
      <c r="D370" s="72">
        <v>488.65</v>
      </c>
      <c r="E370" s="72">
        <v>6374869</v>
      </c>
      <c r="F370" s="72" t="s">
        <v>390</v>
      </c>
      <c r="G370" s="25">
        <f t="shared" si="14"/>
        <v>-1.1091783485111972E-2</v>
      </c>
      <c r="O370" s="25"/>
    </row>
    <row r="371" spans="1:15">
      <c r="A371" s="72">
        <v>494.09</v>
      </c>
      <c r="B371" s="72">
        <v>499.27</v>
      </c>
      <c r="C371" s="72">
        <v>493.42</v>
      </c>
      <c r="D371" s="72">
        <v>496.03</v>
      </c>
      <c r="E371" s="72">
        <v>8200583</v>
      </c>
      <c r="F371" s="72" t="s">
        <v>391</v>
      </c>
      <c r="G371" s="25">
        <f t="shared" si="14"/>
        <v>-3.911053766909256E-3</v>
      </c>
      <c r="O371" s="25"/>
    </row>
    <row r="372" spans="1:15">
      <c r="A372" s="72">
        <v>495.48</v>
      </c>
      <c r="B372" s="72">
        <v>500.26</v>
      </c>
      <c r="C372" s="72">
        <v>490.69</v>
      </c>
      <c r="D372" s="72">
        <v>500.05</v>
      </c>
      <c r="E372" s="72">
        <v>7701488</v>
      </c>
      <c r="F372" s="72" t="s">
        <v>392</v>
      </c>
      <c r="G372" s="25">
        <f t="shared" si="14"/>
        <v>-9.1390860913908023E-3</v>
      </c>
      <c r="O372" s="25"/>
    </row>
    <row r="373" spans="1:15">
      <c r="A373" s="72">
        <v>490.55</v>
      </c>
      <c r="B373" s="72">
        <v>493</v>
      </c>
      <c r="C373" s="72">
        <v>478</v>
      </c>
      <c r="D373" s="72">
        <v>480.69</v>
      </c>
      <c r="E373" s="72">
        <v>11541195</v>
      </c>
      <c r="F373" s="72" t="s">
        <v>393</v>
      </c>
      <c r="G373" s="25">
        <f t="shared" si="14"/>
        <v>2.051218040733116E-2</v>
      </c>
      <c r="O373" s="25"/>
    </row>
    <row r="374" spans="1:15">
      <c r="A374" s="72">
        <v>482.06</v>
      </c>
      <c r="B374" s="72">
        <v>490.3</v>
      </c>
      <c r="C374" s="72">
        <v>468.33</v>
      </c>
      <c r="D374" s="72">
        <v>489.15</v>
      </c>
      <c r="E374" s="72">
        <v>16651303</v>
      </c>
      <c r="F374" s="72" t="s">
        <v>394</v>
      </c>
      <c r="G374" s="25">
        <f t="shared" si="14"/>
        <v>-1.4494531329857896E-2</v>
      </c>
      <c r="O374" s="25"/>
    </row>
    <row r="375" spans="1:15">
      <c r="A375" s="72">
        <v>499.1</v>
      </c>
      <c r="B375" s="72">
        <v>502.06119999999999</v>
      </c>
      <c r="C375" s="72">
        <v>453.16</v>
      </c>
      <c r="D375" s="72">
        <v>453.49</v>
      </c>
      <c r="E375" s="72">
        <v>29286594</v>
      </c>
      <c r="F375" s="72" t="s">
        <v>395</v>
      </c>
      <c r="G375" s="25">
        <f t="shared" si="14"/>
        <v>0.10057553639551031</v>
      </c>
      <c r="O375" s="25"/>
    </row>
    <row r="376" spans="1:15">
      <c r="A376" s="72">
        <v>456.74</v>
      </c>
      <c r="B376" s="72">
        <v>482.49</v>
      </c>
      <c r="C376" s="72">
        <v>449.6</v>
      </c>
      <c r="D376" s="72">
        <v>479.68</v>
      </c>
      <c r="E376" s="72">
        <v>19002684</v>
      </c>
      <c r="F376" s="72" t="s">
        <v>396</v>
      </c>
      <c r="G376" s="25">
        <f t="shared" si="14"/>
        <v>-4.7823549032688484E-2</v>
      </c>
      <c r="O376" s="25"/>
    </row>
    <row r="377" spans="1:15">
      <c r="A377" s="72">
        <v>463.56</v>
      </c>
      <c r="B377" s="72">
        <v>480.76</v>
      </c>
      <c r="C377" s="72">
        <v>442.8</v>
      </c>
      <c r="D377" s="72">
        <v>449.54</v>
      </c>
      <c r="E377" s="72">
        <v>31285267</v>
      </c>
      <c r="F377" s="72" t="s">
        <v>397</v>
      </c>
      <c r="G377" s="25">
        <f t="shared" si="14"/>
        <v>3.1187436045735595E-2</v>
      </c>
      <c r="O377" s="25"/>
    </row>
    <row r="378" spans="1:15">
      <c r="A378" s="72">
        <v>465.52</v>
      </c>
      <c r="B378" s="72">
        <v>483.3</v>
      </c>
      <c r="C378" s="72">
        <v>464.24</v>
      </c>
      <c r="D378" s="72">
        <v>481.28</v>
      </c>
      <c r="E378" s="72">
        <v>30966508</v>
      </c>
      <c r="F378" s="72" t="s">
        <v>398</v>
      </c>
      <c r="G378" s="25">
        <f t="shared" si="14"/>
        <v>-3.2746010638297851E-2</v>
      </c>
      <c r="O378" s="25"/>
    </row>
    <row r="379" spans="1:15">
      <c r="A379" s="72">
        <v>494.16</v>
      </c>
      <c r="B379" s="72">
        <v>503.66</v>
      </c>
      <c r="C379" s="72">
        <v>493.5</v>
      </c>
      <c r="D379" s="72">
        <v>501</v>
      </c>
      <c r="E379" s="72">
        <v>16226023</v>
      </c>
      <c r="F379" s="72" t="s">
        <v>399</v>
      </c>
      <c r="G379" s="25">
        <f t="shared" si="14"/>
        <v>-1.3652694610778449E-2</v>
      </c>
      <c r="O379" s="25"/>
    </row>
    <row r="380" spans="1:15">
      <c r="A380" s="72">
        <v>518.91</v>
      </c>
      <c r="B380" s="72">
        <v>521.49</v>
      </c>
      <c r="C380" s="72">
        <v>509.9298</v>
      </c>
      <c r="D380" s="72">
        <v>510.14</v>
      </c>
      <c r="E380" s="72">
        <v>6308643</v>
      </c>
      <c r="F380" s="72" t="s">
        <v>400</v>
      </c>
      <c r="G380" s="25">
        <f t="shared" si="14"/>
        <v>1.7191359234719927E-2</v>
      </c>
      <c r="O380" s="25"/>
    </row>
    <row r="381" spans="1:15">
      <c r="A381" s="72">
        <v>515.79999999999995</v>
      </c>
      <c r="B381" s="72">
        <v>517.35</v>
      </c>
      <c r="C381" s="72">
        <v>508.88</v>
      </c>
      <c r="D381" s="72">
        <v>512.36</v>
      </c>
      <c r="E381" s="72">
        <v>7697017</v>
      </c>
      <c r="F381" s="72" t="s">
        <v>401</v>
      </c>
      <c r="G381" s="25">
        <f t="shared" si="14"/>
        <v>6.7140291982199507E-3</v>
      </c>
      <c r="O381" s="25"/>
    </row>
    <row r="382" spans="1:15">
      <c r="A382" s="72">
        <v>513.91</v>
      </c>
      <c r="B382" s="72">
        <v>515.33000000000004</v>
      </c>
      <c r="C382" s="72">
        <v>502.64</v>
      </c>
      <c r="D382" s="72">
        <v>505.31</v>
      </c>
      <c r="E382" s="72">
        <v>8196668</v>
      </c>
      <c r="F382" s="72" t="s">
        <v>402</v>
      </c>
      <c r="G382" s="25">
        <f t="shared" si="14"/>
        <v>1.7019255506520725E-2</v>
      </c>
      <c r="O382" s="25"/>
    </row>
    <row r="383" spans="1:15">
      <c r="A383" s="72">
        <v>510.8</v>
      </c>
      <c r="B383" s="72">
        <v>520.46</v>
      </c>
      <c r="C383" s="72">
        <v>510.16</v>
      </c>
      <c r="D383" s="72">
        <v>519.76</v>
      </c>
      <c r="E383" s="72">
        <v>5831793</v>
      </c>
      <c r="F383" s="72" t="s">
        <v>403</v>
      </c>
      <c r="G383" s="25">
        <f t="shared" si="14"/>
        <v>-1.7238725565645652E-2</v>
      </c>
      <c r="O383" s="25"/>
    </row>
    <row r="384" spans="1:15">
      <c r="A384" s="72">
        <v>521.21</v>
      </c>
      <c r="B384" s="72">
        <v>524.678</v>
      </c>
      <c r="C384" s="72">
        <v>519.23</v>
      </c>
      <c r="D384" s="72">
        <v>521.29</v>
      </c>
      <c r="E384" s="72">
        <v>5534928</v>
      </c>
      <c r="F384" s="72" t="s">
        <v>404</v>
      </c>
      <c r="G384" s="25">
        <f t="shared" si="14"/>
        <v>-1.5346544150074415E-4</v>
      </c>
      <c r="O384" s="25"/>
    </row>
    <row r="385" spans="1:15">
      <c r="A385" s="72">
        <v>522.64789999999982</v>
      </c>
      <c r="B385" s="72">
        <v>529.57388654806823</v>
      </c>
      <c r="C385" s="72">
        <v>521.2925990351979</v>
      </c>
      <c r="D385" s="72">
        <v>528.72682344506711</v>
      </c>
      <c r="E385" s="72">
        <v>4444984.1890879134</v>
      </c>
      <c r="F385" s="72" t="s">
        <v>405</v>
      </c>
      <c r="G385" s="25">
        <f t="shared" si="14"/>
        <v>-1.1497285886610364E-2</v>
      </c>
      <c r="O385" s="25"/>
    </row>
    <row r="386" spans="1:15">
      <c r="A386" s="72">
        <v>528.81651247950253</v>
      </c>
      <c r="B386" s="72">
        <v>529.76323006520977</v>
      </c>
      <c r="C386" s="72">
        <v>527.28183344582988</v>
      </c>
      <c r="D386" s="72">
        <v>528.75671978987896</v>
      </c>
      <c r="E386" s="72">
        <v>6281904.064935497</v>
      </c>
      <c r="F386" s="72" t="s">
        <v>406</v>
      </c>
      <c r="G386" s="25">
        <f t="shared" si="14"/>
        <v>1.1308166380818996E-4</v>
      </c>
      <c r="O386" s="25"/>
    </row>
    <row r="387" spans="1:15">
      <c r="A387" s="72">
        <v>527.56086599740661</v>
      </c>
      <c r="B387" s="72">
        <v>528.55741082446684</v>
      </c>
      <c r="C387" s="72">
        <v>524.06299365442533</v>
      </c>
      <c r="D387" s="72">
        <v>524.66092055066144</v>
      </c>
      <c r="E387" s="72">
        <v>22453848.931221198</v>
      </c>
      <c r="F387" s="72" t="s">
        <v>407</v>
      </c>
      <c r="G387" s="25">
        <f t="shared" si="14"/>
        <v>5.5272754900470566E-3</v>
      </c>
      <c r="O387" s="25"/>
    </row>
    <row r="388" spans="1:15">
      <c r="A388" s="72">
        <v>518.46241172634689</v>
      </c>
      <c r="B388" s="72">
        <v>519.15002765701854</v>
      </c>
      <c r="C388" s="72">
        <v>512.87677797067442</v>
      </c>
      <c r="D388" s="72">
        <v>514.00785634938768</v>
      </c>
      <c r="E388" s="72">
        <v>5076551.3628965141</v>
      </c>
      <c r="F388" s="72" t="s">
        <v>408</v>
      </c>
      <c r="G388" s="25">
        <f t="shared" si="14"/>
        <v>8.666317687431091E-3</v>
      </c>
      <c r="O388" s="25"/>
    </row>
    <row r="389" spans="1:15">
      <c r="A389" s="72">
        <v>518.33286089882904</v>
      </c>
      <c r="B389" s="72">
        <v>522.80236444819411</v>
      </c>
      <c r="C389" s="72">
        <v>515.53256993478999</v>
      </c>
      <c r="D389" s="72">
        <v>516.17035862410842</v>
      </c>
      <c r="E389" s="72">
        <v>6050643.0180241829</v>
      </c>
      <c r="F389" s="72" t="s">
        <v>409</v>
      </c>
      <c r="G389" s="25">
        <f t="shared" si="14"/>
        <v>4.1895127036835067E-3</v>
      </c>
      <c r="O389" s="25"/>
    </row>
    <row r="390" spans="1:15">
      <c r="A390" s="72">
        <v>519.52871469130139</v>
      </c>
      <c r="B390" s="72">
        <v>523.14617241352994</v>
      </c>
      <c r="C390" s="72">
        <v>514.63478270009125</v>
      </c>
      <c r="D390" s="72">
        <v>515.75180979674315</v>
      </c>
      <c r="E390" s="72">
        <v>5392581.3009867659</v>
      </c>
      <c r="F390" s="72" t="s">
        <v>410</v>
      </c>
      <c r="G390" s="25">
        <f t="shared" si="14"/>
        <v>7.3231054604474544E-3</v>
      </c>
      <c r="O390" s="25"/>
    </row>
    <row r="391" spans="1:15">
      <c r="A391" s="72">
        <v>514.12744172863495</v>
      </c>
      <c r="B391" s="72">
        <v>517.72496855432234</v>
      </c>
      <c r="C391" s="72">
        <v>512.29459648270586</v>
      </c>
      <c r="D391" s="72">
        <v>517.52565958891034</v>
      </c>
      <c r="E391" s="72">
        <v>6031437.6601914996</v>
      </c>
      <c r="F391" s="72" t="s">
        <v>411</v>
      </c>
      <c r="G391" s="25">
        <f t="shared" si="14"/>
        <v>-6.5662789802050092E-3</v>
      </c>
      <c r="O391" s="25"/>
    </row>
    <row r="392" spans="1:15">
      <c r="A392" s="72">
        <v>519.60843827746612</v>
      </c>
      <c r="B392" s="72">
        <v>522.03004220722255</v>
      </c>
      <c r="C392" s="72">
        <v>515.29339917629545</v>
      </c>
      <c r="D392" s="72">
        <v>515.66212076230772</v>
      </c>
      <c r="E392" s="72">
        <v>6291581.5021547033</v>
      </c>
      <c r="F392" s="72" t="s">
        <v>412</v>
      </c>
      <c r="G392" s="25">
        <f t="shared" si="14"/>
        <v>7.6529133249587655E-3</v>
      </c>
      <c r="O392" s="25"/>
    </row>
    <row r="393" spans="1:15">
      <c r="A393" s="72">
        <v>515.6720862105783</v>
      </c>
      <c r="B393" s="72">
        <v>516.62876924455611</v>
      </c>
      <c r="C393" s="72">
        <v>509.07495945543968</v>
      </c>
      <c r="D393" s="72">
        <v>509.51343917934616</v>
      </c>
      <c r="E393" s="72">
        <v>7437960.4396382375</v>
      </c>
      <c r="F393" s="72" t="s">
        <v>413</v>
      </c>
      <c r="G393" s="25">
        <f t="shared" si="14"/>
        <v>1.2087310280081365E-2</v>
      </c>
      <c r="O393" s="25"/>
    </row>
    <row r="394" spans="1:15">
      <c r="A394" s="72">
        <v>505.2980545608815</v>
      </c>
      <c r="B394" s="72">
        <v>512.28383379857348</v>
      </c>
      <c r="C394" s="72">
        <v>503.67368649277336</v>
      </c>
      <c r="D394" s="72">
        <v>511.73573414369048</v>
      </c>
      <c r="E394" s="72">
        <v>21725060.842337649</v>
      </c>
      <c r="F394" s="72" t="s">
        <v>414</v>
      </c>
      <c r="G394" s="25">
        <f t="shared" si="14"/>
        <v>-1.2580086074273189E-2</v>
      </c>
      <c r="O394" s="25"/>
    </row>
    <row r="395" spans="1:15">
      <c r="A395" s="72">
        <v>511.98487035045554</v>
      </c>
      <c r="B395" s="72">
        <v>515.95111876215515</v>
      </c>
      <c r="C395" s="72">
        <v>507.34097145635496</v>
      </c>
      <c r="D395" s="72">
        <v>515.10405565915403</v>
      </c>
      <c r="E395" s="72">
        <v>8620339.7646867074</v>
      </c>
      <c r="F395" s="72" t="s">
        <v>415</v>
      </c>
      <c r="G395" s="25">
        <f t="shared" si="14"/>
        <v>-6.0554470003288952E-3</v>
      </c>
      <c r="O395" s="25"/>
    </row>
    <row r="396" spans="1:15">
      <c r="A396" s="72">
        <v>509.51343917934616</v>
      </c>
      <c r="B396" s="72">
        <v>515.74174469398986</v>
      </c>
      <c r="C396" s="72">
        <v>505.77639607787034</v>
      </c>
      <c r="D396" s="72">
        <v>512.55290090187987</v>
      </c>
      <c r="E396" s="72">
        <v>11247777.014774196</v>
      </c>
      <c r="F396" s="72" t="s">
        <v>416</v>
      </c>
      <c r="G396" s="25">
        <f t="shared" si="14"/>
        <v>-5.9300449127992483E-3</v>
      </c>
      <c r="O396" s="25"/>
    </row>
    <row r="397" spans="1:15">
      <c r="A397" s="72">
        <v>513.72882379781095</v>
      </c>
      <c r="B397" s="72">
        <v>521.89052593143413</v>
      </c>
      <c r="C397" s="72">
        <v>509.0649940071691</v>
      </c>
      <c r="D397" s="72">
        <v>520.09674524272566</v>
      </c>
      <c r="E397" s="72">
        <v>11215642.986148039</v>
      </c>
      <c r="F397" s="72" t="s">
        <v>417</v>
      </c>
      <c r="G397" s="25">
        <f t="shared" si="14"/>
        <v>-1.2243724851504045E-2</v>
      </c>
      <c r="O397" s="25"/>
    </row>
    <row r="398" spans="1:15">
      <c r="A398" s="72">
        <v>527.68045137665388</v>
      </c>
      <c r="B398" s="72">
        <v>529.04571778972638</v>
      </c>
      <c r="C398" s="72">
        <v>518.33286089882904</v>
      </c>
      <c r="D398" s="72">
        <v>523.08637972390625</v>
      </c>
      <c r="E398" s="72">
        <v>7333618.9216487836</v>
      </c>
      <c r="F398" s="72" t="s">
        <v>418</v>
      </c>
      <c r="G398" s="25">
        <f t="shared" si="14"/>
        <v>8.782625261954724E-3</v>
      </c>
      <c r="O398" s="25"/>
    </row>
    <row r="399" spans="1:15">
      <c r="A399" s="72">
        <v>524.85026406780287</v>
      </c>
      <c r="B399" s="72">
        <v>531.58690709872985</v>
      </c>
      <c r="C399" s="72">
        <v>522.4087292415054</v>
      </c>
      <c r="D399" s="72">
        <v>527.36155703199472</v>
      </c>
      <c r="E399" s="72">
        <v>7253989.7892252151</v>
      </c>
      <c r="F399" s="72" t="s">
        <v>419</v>
      </c>
      <c r="G399" s="25">
        <f t="shared" si="14"/>
        <v>-4.7619947466885915E-3</v>
      </c>
      <c r="O399" s="25"/>
    </row>
    <row r="400" spans="1:15">
      <c r="A400" s="72">
        <v>534.54664523509871</v>
      </c>
      <c r="B400" s="72">
        <v>535.93194219919519</v>
      </c>
      <c r="C400" s="72">
        <v>525.10936572283845</v>
      </c>
      <c r="D400" s="72">
        <v>528.41789454867842</v>
      </c>
      <c r="E400" s="72">
        <v>6243316.7390512833</v>
      </c>
      <c r="F400" s="72" t="s">
        <v>420</v>
      </c>
      <c r="G400" s="25">
        <f t="shared" si="14"/>
        <v>1.1598302687411577E-2</v>
      </c>
      <c r="O400" s="25"/>
    </row>
    <row r="401" spans="1:15">
      <c r="A401" s="72">
        <v>528.61720351409053</v>
      </c>
      <c r="B401" s="72">
        <v>536.42004985548931</v>
      </c>
      <c r="C401" s="72">
        <v>524.34202620600217</v>
      </c>
      <c r="D401" s="72">
        <v>531.21818551271758</v>
      </c>
      <c r="E401" s="72">
        <v>10513761.865493005</v>
      </c>
      <c r="F401" s="72" t="s">
        <v>421</v>
      </c>
      <c r="G401" s="25">
        <f t="shared" si="14"/>
        <v>-4.8962593329079374E-3</v>
      </c>
      <c r="O401" s="25"/>
    </row>
    <row r="402" spans="1:15">
      <c r="A402" s="72">
        <v>535.06484854517009</v>
      </c>
      <c r="B402" s="72">
        <v>547.39210805590494</v>
      </c>
      <c r="C402" s="72">
        <v>531.40852557468611</v>
      </c>
      <c r="D402" s="72">
        <v>546.3058741944094</v>
      </c>
      <c r="E402" s="72">
        <v>7315273.535165838</v>
      </c>
      <c r="F402" s="72" t="s">
        <v>422</v>
      </c>
      <c r="G402" s="25">
        <f t="shared" si="14"/>
        <v>-2.0576431959139163E-2</v>
      </c>
      <c r="O402" s="25"/>
    </row>
    <row r="403" spans="1:15">
      <c r="A403" s="72">
        <v>544.44233536780678</v>
      </c>
      <c r="B403" s="72">
        <v>545.00040047096036</v>
      </c>
      <c r="C403" s="72">
        <v>533.72947847690943</v>
      </c>
      <c r="D403" s="72">
        <v>536.55966578576033</v>
      </c>
      <c r="E403" s="72">
        <v>7353458.470721879</v>
      </c>
      <c r="F403" s="72" t="s">
        <v>423</v>
      </c>
      <c r="G403" s="25">
        <f t="shared" si="14"/>
        <v>1.4691133315998917E-2</v>
      </c>
      <c r="O403" s="25"/>
    </row>
    <row r="404" spans="1:15">
      <c r="A404" s="72">
        <v>536.11122061358333</v>
      </c>
      <c r="B404" s="72">
        <v>547.98006950387048</v>
      </c>
      <c r="C404" s="72">
        <v>535.74249902757106</v>
      </c>
      <c r="D404" s="72">
        <v>546.93369743545725</v>
      </c>
      <c r="E404" s="72">
        <v>5540494.3662071563</v>
      </c>
      <c r="F404" s="72" t="s">
        <v>424</v>
      </c>
      <c r="G404" s="25">
        <f t="shared" si="14"/>
        <v>-1.9787548056775295E-2</v>
      </c>
      <c r="O404" s="25"/>
    </row>
    <row r="405" spans="1:15">
      <c r="A405" s="72">
        <v>544.86088419517193</v>
      </c>
      <c r="B405" s="72">
        <v>549.4400076755137</v>
      </c>
      <c r="C405" s="72">
        <v>542.36952212752146</v>
      </c>
      <c r="D405" s="72">
        <v>546.11653067726786</v>
      </c>
      <c r="E405" s="72">
        <v>4195298.4817886017</v>
      </c>
      <c r="F405" s="72" t="s">
        <v>425</v>
      </c>
      <c r="G405" s="25">
        <f t="shared" si="14"/>
        <v>-2.2992281162753647E-3</v>
      </c>
      <c r="O405" s="25"/>
    </row>
    <row r="406" spans="1:15">
      <c r="A406" s="72">
        <v>544.52205895397151</v>
      </c>
      <c r="B406" s="72">
        <v>547.87044957289379</v>
      </c>
      <c r="C406" s="72">
        <v>540.2951144155129</v>
      </c>
      <c r="D406" s="72">
        <v>547.28248812492825</v>
      </c>
      <c r="E406" s="72">
        <v>5510533.8474334273</v>
      </c>
      <c r="F406" s="72" t="s">
        <v>426</v>
      </c>
      <c r="G406" s="25">
        <f t="shared" si="14"/>
        <v>-5.0438836082886684E-3</v>
      </c>
      <c r="O406" s="25"/>
    </row>
    <row r="407" spans="1:15">
      <c r="A407" s="72">
        <v>547.24262633184594</v>
      </c>
      <c r="B407" s="72">
        <v>552.59407205315927</v>
      </c>
      <c r="C407" s="72">
        <v>546.61809168872719</v>
      </c>
      <c r="D407" s="72">
        <v>551.69718170880503</v>
      </c>
      <c r="E407" s="72">
        <v>4788801.1360994671</v>
      </c>
      <c r="F407" s="72" t="s">
        <v>427</v>
      </c>
      <c r="G407" s="25">
        <f t="shared" si="14"/>
        <v>-8.0742761149544817E-3</v>
      </c>
      <c r="O407" s="25"/>
    </row>
    <row r="408" spans="1:15">
      <c r="A408" s="72">
        <v>549.8436083304731</v>
      </c>
      <c r="B408" s="72">
        <v>559.2609569461921</v>
      </c>
      <c r="C408" s="72">
        <v>549.36028408934885</v>
      </c>
      <c r="D408" s="72">
        <v>559.16130246348609</v>
      </c>
      <c r="E408" s="72">
        <v>6170012.4600902461</v>
      </c>
      <c r="F408" s="72" t="s">
        <v>428</v>
      </c>
      <c r="G408" s="25">
        <f t="shared" si="14"/>
        <v>-1.6663696310817988E-2</v>
      </c>
      <c r="O408" s="25"/>
    </row>
    <row r="409" spans="1:15">
      <c r="A409" s="72">
        <v>559.3606114288981</v>
      </c>
      <c r="B409" s="72">
        <v>560.54101877655091</v>
      </c>
      <c r="C409" s="72">
        <v>556.29125336155266</v>
      </c>
      <c r="D409" s="72">
        <v>560.44684529039375</v>
      </c>
      <c r="E409" s="72">
        <v>4462199.6715570865</v>
      </c>
      <c r="F409" s="72" t="s">
        <v>429</v>
      </c>
      <c r="G409" s="25">
        <f t="shared" si="14"/>
        <v>-1.9381567951066714E-3</v>
      </c>
      <c r="O409" s="25"/>
    </row>
    <row r="410" spans="1:15">
      <c r="A410" s="72">
        <v>561.72242266903072</v>
      </c>
      <c r="B410" s="72">
        <v>561.97155887579584</v>
      </c>
      <c r="C410" s="72">
        <v>558.5942684568887</v>
      </c>
      <c r="D410" s="72">
        <v>559.08157887732125</v>
      </c>
      <c r="E410" s="72">
        <v>3870935.7524635624</v>
      </c>
      <c r="F410" s="72" t="s">
        <v>430</v>
      </c>
      <c r="G410" s="25">
        <f t="shared" si="14"/>
        <v>4.7235392677620336E-3</v>
      </c>
      <c r="O410" s="25"/>
    </row>
    <row r="411" spans="1:15">
      <c r="A411" s="72">
        <v>560.36712170422891</v>
      </c>
      <c r="B411" s="72">
        <v>560.36712170422891</v>
      </c>
      <c r="C411" s="72">
        <v>557.55686529191917</v>
      </c>
      <c r="D411" s="72">
        <v>559.85888384242821</v>
      </c>
      <c r="E411" s="72">
        <v>3858235.8721808712</v>
      </c>
      <c r="F411" s="72" t="s">
        <v>431</v>
      </c>
      <c r="G411" s="25">
        <f t="shared" ref="G411:G474" si="15">A411/D411-1</f>
        <v>9.077963688144397E-4</v>
      </c>
      <c r="O411" s="25"/>
    </row>
    <row r="412" spans="1:15">
      <c r="A412" s="72">
        <v>558.7527190843914</v>
      </c>
      <c r="B412" s="72">
        <v>559.91867653205179</v>
      </c>
      <c r="C412" s="72">
        <v>558.13486129161413</v>
      </c>
      <c r="D412" s="72">
        <v>558.96199349807398</v>
      </c>
      <c r="E412" s="72">
        <v>3392290.9519008892</v>
      </c>
      <c r="F412" s="72" t="s">
        <v>432</v>
      </c>
      <c r="G412" s="25">
        <f t="shared" si="15"/>
        <v>-3.7439828846486112E-4</v>
      </c>
      <c r="O412" s="25"/>
    </row>
    <row r="413" spans="1:15">
      <c r="A413" s="72">
        <v>558.73278818785013</v>
      </c>
      <c r="B413" s="72">
        <v>558.94206260153283</v>
      </c>
      <c r="C413" s="72">
        <v>552.7784328461654</v>
      </c>
      <c r="D413" s="72">
        <v>553.94937301796119</v>
      </c>
      <c r="E413" s="72">
        <v>3400246.4394863169</v>
      </c>
      <c r="F413" s="72" t="s">
        <v>433</v>
      </c>
      <c r="G413" s="25">
        <f t="shared" si="15"/>
        <v>8.6351125263099959E-3</v>
      </c>
      <c r="O413" s="25"/>
    </row>
    <row r="414" spans="1:15">
      <c r="A414" s="72">
        <v>552.89303550127727</v>
      </c>
      <c r="B414" s="72">
        <v>553.99421753517879</v>
      </c>
      <c r="C414" s="72">
        <v>548.48830736567118</v>
      </c>
      <c r="D414" s="72">
        <v>549.09619971017787</v>
      </c>
      <c r="E414" s="72">
        <v>3591893.6136163576</v>
      </c>
      <c r="F414" s="72" t="s">
        <v>434</v>
      </c>
      <c r="G414" s="25">
        <f t="shared" si="15"/>
        <v>6.9147005444645249E-3</v>
      </c>
      <c r="O414" s="25"/>
    </row>
    <row r="415" spans="1:15">
      <c r="A415" s="72">
        <v>554.72667798306804</v>
      </c>
      <c r="B415" s="72">
        <v>555.19007132765114</v>
      </c>
      <c r="C415" s="72">
        <v>552.07586874308799</v>
      </c>
      <c r="D415" s="72">
        <v>552.18548867406457</v>
      </c>
      <c r="E415" s="72">
        <v>2762467.8040034226</v>
      </c>
      <c r="F415" s="72" t="s">
        <v>435</v>
      </c>
      <c r="G415" s="25">
        <f t="shared" si="15"/>
        <v>4.6020573903626794E-3</v>
      </c>
      <c r="O415" s="25"/>
    </row>
    <row r="416" spans="1:15">
      <c r="A416" s="72">
        <v>554.22840556953793</v>
      </c>
      <c r="B416" s="72">
        <v>554.85174435886415</v>
      </c>
      <c r="C416" s="72">
        <v>552.325004949853</v>
      </c>
      <c r="D416" s="72">
        <v>553.52085874232534</v>
      </c>
      <c r="E416" s="72">
        <v>3529747.8893916928</v>
      </c>
      <c r="F416" s="72" t="s">
        <v>436</v>
      </c>
      <c r="G416" s="25">
        <f t="shared" si="15"/>
        <v>1.2782658793026869E-3</v>
      </c>
      <c r="O416" s="25"/>
    </row>
    <row r="417" spans="1:15">
      <c r="A417" s="72">
        <v>550.29205350265022</v>
      </c>
      <c r="B417" s="72">
        <v>557.26786729207174</v>
      </c>
      <c r="C417" s="72">
        <v>549.8884528476907</v>
      </c>
      <c r="D417" s="72">
        <v>556.17166798230539</v>
      </c>
      <c r="E417" s="72">
        <v>10196785.657877898</v>
      </c>
      <c r="F417" s="72" t="s">
        <v>437</v>
      </c>
      <c r="G417" s="25">
        <f t="shared" si="15"/>
        <v>-1.057158215373577E-2</v>
      </c>
      <c r="O417" s="25"/>
    </row>
    <row r="418" spans="1:15">
      <c r="A418" s="72">
        <v>555.69332646531655</v>
      </c>
      <c r="B418" s="72">
        <v>555.72322281012828</v>
      </c>
      <c r="C418" s="72">
        <v>552.2751777085</v>
      </c>
      <c r="D418" s="72">
        <v>555.36446667238658</v>
      </c>
      <c r="E418" s="72">
        <v>3618802.5887791775</v>
      </c>
      <c r="F418" s="72" t="s">
        <v>438</v>
      </c>
      <c r="G418" s="25">
        <f t="shared" si="15"/>
        <v>5.9215130363021728E-4</v>
      </c>
      <c r="O418" s="25"/>
    </row>
    <row r="419" spans="1:15">
      <c r="A419" s="72">
        <v>553.70023681119608</v>
      </c>
      <c r="B419" s="72">
        <v>553.80985674217277</v>
      </c>
      <c r="C419" s="72">
        <v>548.50823826221233</v>
      </c>
      <c r="D419" s="72">
        <v>550.43156977843864</v>
      </c>
      <c r="E419" s="72">
        <v>3436056.1682922682</v>
      </c>
      <c r="F419" s="72" t="s">
        <v>439</v>
      </c>
      <c r="G419" s="25">
        <f t="shared" si="15"/>
        <v>5.9383712930440868E-3</v>
      </c>
      <c r="O419" s="25"/>
    </row>
    <row r="420" spans="1:15">
      <c r="A420" s="72">
        <v>551.43808005376945</v>
      </c>
      <c r="B420" s="72">
        <v>551.9164215707583</v>
      </c>
      <c r="C420" s="72">
        <v>547.33231536628136</v>
      </c>
      <c r="D420" s="72">
        <v>547.80069143499964</v>
      </c>
      <c r="E420" s="72">
        <v>4195910.5967516582</v>
      </c>
      <c r="F420" s="72" t="s">
        <v>440</v>
      </c>
      <c r="G420" s="25">
        <f t="shared" si="15"/>
        <v>6.6399854466072661E-3</v>
      </c>
      <c r="O420" s="25"/>
    </row>
    <row r="421" spans="1:15">
      <c r="A421" s="72">
        <v>547.80069143499964</v>
      </c>
      <c r="B421" s="72">
        <v>550.05278308967297</v>
      </c>
      <c r="C421" s="72">
        <v>541.10391019715496</v>
      </c>
      <c r="D421" s="72">
        <v>543.106965299546</v>
      </c>
      <c r="E421" s="72">
        <v>7851164.1298472667</v>
      </c>
      <c r="F421" s="72" t="s">
        <v>441</v>
      </c>
      <c r="G421" s="25">
        <f t="shared" si="15"/>
        <v>8.6423604102827678E-3</v>
      </c>
      <c r="O421" s="25"/>
    </row>
    <row r="422" spans="1:15">
      <c r="A422" s="72">
        <v>551.41814915722819</v>
      </c>
      <c r="B422" s="72">
        <v>558.9520280498034</v>
      </c>
      <c r="C422" s="72">
        <v>550.80029136445091</v>
      </c>
      <c r="D422" s="72">
        <v>556.68987129237678</v>
      </c>
      <c r="E422" s="72">
        <v>6264968.5498018861</v>
      </c>
      <c r="F422" s="72" t="s">
        <v>442</v>
      </c>
      <c r="G422" s="25">
        <f t="shared" si="15"/>
        <v>-9.4697647774875104E-3</v>
      </c>
      <c r="O422" s="25"/>
    </row>
    <row r="423" spans="1:15">
      <c r="A423" s="72">
        <v>554.37788729359704</v>
      </c>
      <c r="B423" s="72">
        <v>555.85277363764612</v>
      </c>
      <c r="C423" s="72">
        <v>550.47143157152095</v>
      </c>
      <c r="D423" s="72">
        <v>553.45110060443108</v>
      </c>
      <c r="E423" s="72">
        <v>4311434.7526891446</v>
      </c>
      <c r="F423" s="72" t="s">
        <v>443</v>
      </c>
      <c r="G423" s="25">
        <f t="shared" si="15"/>
        <v>1.6745593028071326E-3</v>
      </c>
      <c r="O423" s="25"/>
    </row>
    <row r="424" spans="1:15">
      <c r="A424" s="72">
        <v>551.49787274339303</v>
      </c>
      <c r="B424" s="72">
        <v>553.58065143194881</v>
      </c>
      <c r="C424" s="72">
        <v>549.06640301984885</v>
      </c>
      <c r="D424" s="72">
        <v>553.25179163901896</v>
      </c>
      <c r="E424" s="72">
        <v>4188944.5277786455</v>
      </c>
      <c r="F424" s="72" t="s">
        <v>444</v>
      </c>
      <c r="G424" s="25">
        <f t="shared" si="15"/>
        <v>-3.1702001188824713E-3</v>
      </c>
      <c r="O424" s="25"/>
    </row>
    <row r="425" spans="1:15">
      <c r="A425" s="72">
        <v>553.92944212141992</v>
      </c>
      <c r="B425" s="72">
        <v>554.72667798306804</v>
      </c>
      <c r="C425" s="72">
        <v>547.32234991801079</v>
      </c>
      <c r="D425" s="72">
        <v>550.39170798535611</v>
      </c>
      <c r="E425" s="72">
        <v>4179113.5600850987</v>
      </c>
      <c r="F425" s="72" t="s">
        <v>445</v>
      </c>
      <c r="G425" s="25">
        <f t="shared" si="15"/>
        <v>6.4276661234836663E-3</v>
      </c>
      <c r="O425" s="25"/>
    </row>
    <row r="426" spans="1:15">
      <c r="A426" s="72">
        <v>549.32540502040172</v>
      </c>
      <c r="B426" s="72">
        <v>549.48485219273141</v>
      </c>
      <c r="C426" s="72">
        <v>544.94060778133689</v>
      </c>
      <c r="D426" s="72">
        <v>545.04026226404278</v>
      </c>
      <c r="E426" s="72">
        <v>7643795.6358382031</v>
      </c>
      <c r="F426" s="72" t="s">
        <v>446</v>
      </c>
      <c r="G426" s="25">
        <f t="shared" si="15"/>
        <v>7.8620664436033216E-3</v>
      </c>
      <c r="O426" s="25"/>
    </row>
    <row r="427" spans="1:15">
      <c r="A427" s="72">
        <v>557.0785237749302</v>
      </c>
      <c r="B427" s="72">
        <v>559.71936756663979</v>
      </c>
      <c r="C427" s="72">
        <v>556.09194439614055</v>
      </c>
      <c r="D427" s="72">
        <v>558.82247722228556</v>
      </c>
      <c r="E427" s="72">
        <v>3624664.8438843829</v>
      </c>
      <c r="F427" s="72" t="s">
        <v>447</v>
      </c>
      <c r="G427" s="25">
        <f t="shared" si="15"/>
        <v>-3.1207646765104569E-3</v>
      </c>
      <c r="O427" s="25"/>
    </row>
    <row r="428" spans="1:15">
      <c r="A428" s="72">
        <v>558.76268453266198</v>
      </c>
      <c r="B428" s="72">
        <v>558.76268453266198</v>
      </c>
      <c r="C428" s="72">
        <v>554.87615970712704</v>
      </c>
      <c r="D428" s="72">
        <v>555.11533046562158</v>
      </c>
      <c r="E428" s="72">
        <v>6239436.3315723669</v>
      </c>
      <c r="F428" s="72" t="s">
        <v>448</v>
      </c>
      <c r="G428" s="25">
        <f t="shared" si="15"/>
        <v>6.5704437742353239E-3</v>
      </c>
      <c r="O428" s="25"/>
    </row>
    <row r="429" spans="1:15">
      <c r="A429" s="72">
        <v>555.68336101704597</v>
      </c>
      <c r="B429" s="72">
        <v>556.99870053428265</v>
      </c>
      <c r="C429" s="72">
        <v>554.80640156923289</v>
      </c>
      <c r="D429" s="72">
        <v>555.2648121896807</v>
      </c>
      <c r="E429" s="72">
        <v>4796609.1140134707</v>
      </c>
      <c r="F429" s="72" t="s">
        <v>449</v>
      </c>
      <c r="G429" s="25">
        <f t="shared" si="15"/>
        <v>7.5378237226075839E-4</v>
      </c>
      <c r="O429" s="25"/>
    </row>
    <row r="430" spans="1:15">
      <c r="A430" s="72">
        <v>552.54424481180627</v>
      </c>
      <c r="B430" s="72">
        <v>552.54424481180627</v>
      </c>
      <c r="C430" s="72">
        <v>548.59792729664775</v>
      </c>
      <c r="D430" s="72">
        <v>550.41163888189737</v>
      </c>
      <c r="E430" s="72">
        <v>5320059.7264047191</v>
      </c>
      <c r="F430" s="72" t="s">
        <v>450</v>
      </c>
      <c r="G430" s="25">
        <f t="shared" si="15"/>
        <v>3.8745654692933229E-3</v>
      </c>
      <c r="O430" s="25"/>
    </row>
    <row r="431" spans="1:15">
      <c r="A431" s="72">
        <v>547.56152067650521</v>
      </c>
      <c r="B431" s="72">
        <v>549.21578508942514</v>
      </c>
      <c r="C431" s="72">
        <v>545.7876708843379</v>
      </c>
      <c r="D431" s="72">
        <v>547.02338646989256</v>
      </c>
      <c r="E431" s="72">
        <v>6581390.843548785</v>
      </c>
      <c r="F431" s="72" t="s">
        <v>451</v>
      </c>
      <c r="G431" s="25">
        <f t="shared" si="15"/>
        <v>9.83749908912257E-4</v>
      </c>
      <c r="O431" s="25"/>
    </row>
    <row r="432" spans="1:15">
      <c r="A432" s="72">
        <v>542.35955667925089</v>
      </c>
      <c r="B432" s="72">
        <v>544.62171343667751</v>
      </c>
      <c r="C432" s="72">
        <v>541.51249357624965</v>
      </c>
      <c r="D432" s="72">
        <v>544.46226626434793</v>
      </c>
      <c r="E432" s="72">
        <v>3645347.3053656211</v>
      </c>
      <c r="F432" s="72" t="s">
        <v>452</v>
      </c>
      <c r="G432" s="25">
        <f t="shared" si="15"/>
        <v>-3.8619932277843549E-3</v>
      </c>
      <c r="O432" s="25"/>
    </row>
    <row r="433" spans="1:15">
      <c r="A433" s="72">
        <v>543.16675798916958</v>
      </c>
      <c r="B433" s="72">
        <v>544.24302640239466</v>
      </c>
      <c r="C433" s="72">
        <v>539.88812550814146</v>
      </c>
      <c r="D433" s="72">
        <v>540.96439392136654</v>
      </c>
      <c r="E433" s="72">
        <v>5325719.2811451089</v>
      </c>
      <c r="F433" s="72" t="s">
        <v>453</v>
      </c>
      <c r="G433" s="25">
        <f t="shared" si="15"/>
        <v>4.0711811951956722E-3</v>
      </c>
      <c r="O433" s="25"/>
    </row>
    <row r="434" spans="1:15">
      <c r="A434" s="72">
        <v>533.41058413225016</v>
      </c>
      <c r="B434" s="72">
        <v>536.04784036258229</v>
      </c>
      <c r="C434" s="72">
        <v>529.97738754854493</v>
      </c>
      <c r="D434" s="72">
        <v>535.46346647599421</v>
      </c>
      <c r="E434" s="72">
        <v>8850583.2959053349</v>
      </c>
      <c r="F434" s="72" t="s">
        <v>454</v>
      </c>
      <c r="G434" s="25">
        <f t="shared" si="15"/>
        <v>-3.8338420308196008E-3</v>
      </c>
      <c r="O434" s="25"/>
    </row>
    <row r="435" spans="1:15">
      <c r="A435" s="72">
        <v>532.7329336498492</v>
      </c>
      <c r="B435" s="72">
        <v>533.06179344277905</v>
      </c>
      <c r="C435" s="72">
        <v>527.19214441139434</v>
      </c>
      <c r="D435" s="72">
        <v>527.5708314456773</v>
      </c>
      <c r="E435" s="72">
        <v>5640499.9026304344</v>
      </c>
      <c r="F435" s="72" t="s">
        <v>455</v>
      </c>
      <c r="G435" s="25">
        <f t="shared" si="15"/>
        <v>9.7846618813750563E-3</v>
      </c>
      <c r="O435" s="25"/>
    </row>
    <row r="436" spans="1:15">
      <c r="A436" s="72">
        <v>532.04531771917766</v>
      </c>
      <c r="B436" s="72">
        <v>536.88852557869029</v>
      </c>
      <c r="C436" s="72">
        <v>530.16184799603388</v>
      </c>
      <c r="D436" s="72">
        <v>536.84866378560787</v>
      </c>
      <c r="E436" s="72">
        <v>7962714.5558606498</v>
      </c>
      <c r="F436" s="72" t="s">
        <v>456</v>
      </c>
      <c r="G436" s="25">
        <f t="shared" si="15"/>
        <v>-8.9473000315568596E-3</v>
      </c>
      <c r="O436" s="25"/>
    </row>
    <row r="437" spans="1:15">
      <c r="A437" s="72">
        <v>540.26681254242442</v>
      </c>
      <c r="B437" s="72">
        <v>541.12384109369623</v>
      </c>
      <c r="C437" s="72">
        <v>536.22084054456002</v>
      </c>
      <c r="D437" s="72">
        <v>539.44964578423503</v>
      </c>
      <c r="E437" s="72">
        <v>4331966.6940975003</v>
      </c>
      <c r="F437" s="72" t="s">
        <v>457</v>
      </c>
      <c r="G437" s="25">
        <f t="shared" si="15"/>
        <v>1.5148156358530951E-3</v>
      </c>
      <c r="O437" s="25"/>
    </row>
    <row r="438" spans="1:15">
      <c r="A438" s="72">
        <v>539.53933481867045</v>
      </c>
      <c r="B438" s="72">
        <v>547.70103695229363</v>
      </c>
      <c r="C438" s="72">
        <v>537.69572688860899</v>
      </c>
      <c r="D438" s="72">
        <v>547.42200440071679</v>
      </c>
      <c r="E438" s="72">
        <v>5401899.496965358</v>
      </c>
      <c r="F438" s="72" t="s">
        <v>458</v>
      </c>
      <c r="G438" s="25">
        <f t="shared" si="15"/>
        <v>-1.439962135003281E-2</v>
      </c>
      <c r="O438" s="25"/>
    </row>
    <row r="439" spans="1:15">
      <c r="A439" s="72">
        <v>545.67805095336143</v>
      </c>
      <c r="B439" s="72">
        <v>549.52471398581372</v>
      </c>
      <c r="C439" s="72">
        <v>543.93409750600608</v>
      </c>
      <c r="D439" s="72">
        <v>546.38559778057413</v>
      </c>
      <c r="E439" s="72">
        <v>6004180.4819267448</v>
      </c>
      <c r="F439" s="72" t="s">
        <v>459</v>
      </c>
      <c r="G439" s="25">
        <f t="shared" si="15"/>
        <v>-1.2949587801851514E-3</v>
      </c>
      <c r="O439" s="25"/>
    </row>
    <row r="440" spans="1:15">
      <c r="A440" s="72">
        <v>542.51900385158046</v>
      </c>
      <c r="B440" s="72">
        <v>542.99734536856943</v>
      </c>
      <c r="C440" s="72">
        <v>537.33697075086741</v>
      </c>
      <c r="D440" s="72">
        <v>538.32355012965706</v>
      </c>
      <c r="E440" s="72">
        <v>6441920.9509499632</v>
      </c>
      <c r="F440" s="72" t="s">
        <v>460</v>
      </c>
      <c r="G440" s="25">
        <f t="shared" si="15"/>
        <v>7.7935541198466129E-3</v>
      </c>
      <c r="O440" s="25"/>
    </row>
    <row r="441" spans="1:15">
      <c r="A441" s="72">
        <v>535.60298275178263</v>
      </c>
      <c r="B441" s="72">
        <v>541.66187564582594</v>
      </c>
      <c r="C441" s="72">
        <v>531.95064596060683</v>
      </c>
      <c r="D441" s="72">
        <v>540.14722716317715</v>
      </c>
      <c r="E441" s="72">
        <v>7167462.8235950079</v>
      </c>
      <c r="F441" s="72" t="s">
        <v>461</v>
      </c>
      <c r="G441" s="25">
        <f t="shared" si="15"/>
        <v>-8.4129736910075748E-3</v>
      </c>
      <c r="O441" s="25"/>
    </row>
    <row r="442" spans="1:15">
      <c r="A442" s="72">
        <v>536.94831826831387</v>
      </c>
      <c r="B442" s="72">
        <v>541.1887161619378</v>
      </c>
      <c r="C442" s="72">
        <v>535.54328971664165</v>
      </c>
      <c r="D442" s="72">
        <v>540.57574143881311</v>
      </c>
      <c r="E442" s="72">
        <v>6061694.2017752314</v>
      </c>
      <c r="F442" s="72" t="s">
        <v>462</v>
      </c>
      <c r="G442" s="25">
        <f t="shared" si="15"/>
        <v>-6.7102958798046508E-3</v>
      </c>
      <c r="O442" s="25"/>
    </row>
    <row r="443" spans="1:15">
      <c r="A443" s="72">
        <v>539.12078599130518</v>
      </c>
      <c r="B443" s="72">
        <v>542.21007495519189</v>
      </c>
      <c r="C443" s="72">
        <v>535.54319006215894</v>
      </c>
      <c r="D443" s="72">
        <v>538.69227171566922</v>
      </c>
      <c r="E443" s="72">
        <v>6527643.1359238243</v>
      </c>
      <c r="F443" s="72" t="s">
        <v>463</v>
      </c>
      <c r="G443" s="25">
        <f t="shared" si="15"/>
        <v>7.9547136303115273E-4</v>
      </c>
      <c r="O443" s="25"/>
    </row>
    <row r="444" spans="1:15">
      <c r="A444" s="72">
        <v>545.1897439881019</v>
      </c>
      <c r="B444" s="72">
        <v>547.72096784883479</v>
      </c>
      <c r="C444" s="72">
        <v>541.32324971359094</v>
      </c>
      <c r="D444" s="72">
        <v>547.47183164206979</v>
      </c>
      <c r="E444" s="72">
        <v>7101672.5066722762</v>
      </c>
      <c r="F444" s="72" t="s">
        <v>464</v>
      </c>
      <c r="G444" s="25">
        <f t="shared" si="15"/>
        <v>-4.1684110890656267E-3</v>
      </c>
      <c r="O444" s="25"/>
    </row>
    <row r="445" spans="1:15">
      <c r="A445" s="72">
        <v>550.8999458471568</v>
      </c>
      <c r="B445" s="72">
        <v>552.05593784654673</v>
      </c>
      <c r="C445" s="72">
        <v>548.02003095143561</v>
      </c>
      <c r="D445" s="72">
        <v>549.29550867558999</v>
      </c>
      <c r="E445" s="72">
        <v>4511857.2470682478</v>
      </c>
      <c r="F445" s="72" t="s">
        <v>465</v>
      </c>
      <c r="G445" s="25">
        <f t="shared" si="15"/>
        <v>2.9208998548619913E-3</v>
      </c>
      <c r="O445" s="25"/>
    </row>
    <row r="446" spans="1:15">
      <c r="A446" s="72">
        <v>550.90991129542749</v>
      </c>
      <c r="B446" s="72">
        <v>550.98963488159222</v>
      </c>
      <c r="C446" s="72">
        <v>545.64815460854948</v>
      </c>
      <c r="D446" s="72">
        <v>546.16635791862086</v>
      </c>
      <c r="E446" s="72">
        <v>3451174.4044126086</v>
      </c>
      <c r="F446" s="72" t="s">
        <v>466</v>
      </c>
      <c r="G446" s="25">
        <f t="shared" si="15"/>
        <v>8.6851804546947964E-3</v>
      </c>
      <c r="O446" s="25"/>
    </row>
    <row r="447" spans="1:15">
      <c r="A447" s="72">
        <v>545.29936391907859</v>
      </c>
      <c r="B447" s="72">
        <v>545.46877653967874</v>
      </c>
      <c r="C447" s="72">
        <v>538.45310095717491</v>
      </c>
      <c r="D447" s="72">
        <v>541.43276999008481</v>
      </c>
      <c r="E447" s="72">
        <v>7087844.7293101177</v>
      </c>
      <c r="F447" s="72" t="s">
        <v>467</v>
      </c>
      <c r="G447" s="25">
        <f t="shared" si="15"/>
        <v>7.1414109808398685E-3</v>
      </c>
      <c r="O447" s="25"/>
    </row>
    <row r="448" spans="1:15">
      <c r="A448" s="72">
        <v>541.42429935905466</v>
      </c>
      <c r="B448" s="72">
        <v>545.89444714108117</v>
      </c>
      <c r="C448" s="72">
        <v>532.29526422198273</v>
      </c>
      <c r="D448" s="72">
        <v>533.05022251405831</v>
      </c>
      <c r="E448" s="72">
        <v>9452116.6995613053</v>
      </c>
      <c r="F448" s="72" t="s">
        <v>468</v>
      </c>
      <c r="G448" s="25">
        <f t="shared" si="15"/>
        <v>1.5709733325879105E-2</v>
      </c>
      <c r="O448" s="25"/>
    </row>
    <row r="449" spans="1:15">
      <c r="A449" s="72">
        <v>535.36476569897434</v>
      </c>
      <c r="B449" s="72">
        <v>541.48390132948168</v>
      </c>
      <c r="C449" s="72">
        <v>535.07668950857703</v>
      </c>
      <c r="D449" s="72">
        <v>540.08325502444677</v>
      </c>
      <c r="E449" s="72">
        <v>16904264.956033021</v>
      </c>
      <c r="F449" s="72" t="s">
        <v>469</v>
      </c>
      <c r="G449" s="25">
        <f t="shared" si="15"/>
        <v>-8.7365962221117588E-3</v>
      </c>
      <c r="O449" s="25"/>
    </row>
    <row r="450" spans="1:15">
      <c r="A450" s="72">
        <v>535.56343893373094</v>
      </c>
      <c r="B450" s="72">
        <v>553.83144286961283</v>
      </c>
      <c r="C450" s="72">
        <v>534.95748556772298</v>
      </c>
      <c r="D450" s="72">
        <v>551.61623630207521</v>
      </c>
      <c r="E450" s="72">
        <v>24749111.303395186</v>
      </c>
      <c r="F450" s="72" t="s">
        <v>470</v>
      </c>
      <c r="G450" s="25">
        <f t="shared" si="15"/>
        <v>-2.9101386637853555E-2</v>
      </c>
      <c r="O450" s="25"/>
    </row>
    <row r="451" spans="1:15">
      <c r="A451" s="72">
        <v>551.76524122814283</v>
      </c>
      <c r="B451" s="72">
        <v>552.69403860063051</v>
      </c>
      <c r="C451" s="72">
        <v>550.61293646655361</v>
      </c>
      <c r="D451" s="72">
        <v>551.78510855161846</v>
      </c>
      <c r="E451" s="72">
        <v>6151689.2373373276</v>
      </c>
      <c r="F451" s="72" t="s">
        <v>471</v>
      </c>
      <c r="G451" s="25">
        <f t="shared" si="15"/>
        <v>-3.6005544853834337E-5</v>
      </c>
      <c r="O451" s="25"/>
    </row>
    <row r="452" spans="1:15">
      <c r="A452" s="72">
        <v>554.08971807479656</v>
      </c>
      <c r="B452" s="72">
        <v>555.09132918782268</v>
      </c>
      <c r="C452" s="72">
        <v>552.72383958584396</v>
      </c>
      <c r="D452" s="72">
        <v>553.43409640009929</v>
      </c>
      <c r="E452" s="72">
        <v>22999352.708959177</v>
      </c>
      <c r="F452" s="72" t="s">
        <v>472</v>
      </c>
      <c r="G452" s="25">
        <f t="shared" si="15"/>
        <v>1.1846427225243872E-3</v>
      </c>
      <c r="O452" s="25"/>
    </row>
    <row r="453" spans="1:15">
      <c r="A453" s="72">
        <v>551.92417981594815</v>
      </c>
      <c r="B453" s="72">
        <v>554.45726355909653</v>
      </c>
      <c r="C453" s="72">
        <v>550.5279043220778</v>
      </c>
      <c r="D453" s="72">
        <v>553.81157554613708</v>
      </c>
      <c r="E453" s="72">
        <v>4698028.9073304981</v>
      </c>
      <c r="F453" s="72" t="s">
        <v>473</v>
      </c>
      <c r="G453" s="25">
        <f t="shared" si="15"/>
        <v>-3.4080106186434866E-3</v>
      </c>
      <c r="O453" s="25"/>
    </row>
    <row r="454" spans="1:15">
      <c r="A454" s="72">
        <v>551.96391446289942</v>
      </c>
      <c r="B454" s="72">
        <v>554.49699820604792</v>
      </c>
      <c r="C454" s="72">
        <v>551.93411347768597</v>
      </c>
      <c r="D454" s="72">
        <v>553.97051413394252</v>
      </c>
      <c r="E454" s="72">
        <v>4075639.0813863762</v>
      </c>
      <c r="F454" s="72" t="s">
        <v>474</v>
      </c>
      <c r="G454" s="25">
        <f t="shared" si="15"/>
        <v>-3.6222138540715765E-3</v>
      </c>
      <c r="O454" s="25"/>
    </row>
    <row r="455" spans="1:15">
      <c r="A455" s="72">
        <v>554.8248090433965</v>
      </c>
      <c r="B455" s="72">
        <v>555.67910395285048</v>
      </c>
      <c r="C455" s="72">
        <v>552.96721429842103</v>
      </c>
      <c r="D455" s="72">
        <v>553.22548950360476</v>
      </c>
      <c r="E455" s="72">
        <v>3537886.7257114095</v>
      </c>
      <c r="F455" s="72" t="s">
        <v>475</v>
      </c>
      <c r="G455" s="25">
        <f t="shared" si="15"/>
        <v>2.8908999497234689E-3</v>
      </c>
      <c r="O455" s="25"/>
    </row>
    <row r="456" spans="1:15">
      <c r="A456" s="72">
        <v>550.65267111350511</v>
      </c>
      <c r="B456" s="72">
        <v>553.18575485665338</v>
      </c>
      <c r="C456" s="72">
        <v>549.89771282142954</v>
      </c>
      <c r="D456" s="72">
        <v>552.88774500451837</v>
      </c>
      <c r="E456" s="72">
        <v>4137560.8597027324</v>
      </c>
      <c r="F456" s="72" t="s">
        <v>476</v>
      </c>
      <c r="G456" s="25">
        <f t="shared" si="15"/>
        <v>-4.0425455460131321E-3</v>
      </c>
      <c r="O456" s="25"/>
    </row>
    <row r="457" spans="1:15">
      <c r="A457" s="72">
        <v>552.22218966808327</v>
      </c>
      <c r="B457" s="72">
        <v>555.15758671161404</v>
      </c>
      <c r="C457" s="72">
        <v>551.69570559597787</v>
      </c>
      <c r="D457" s="72">
        <v>555.00361495467757</v>
      </c>
      <c r="E457" s="72">
        <v>4441741.7428196585</v>
      </c>
      <c r="F457" s="72" t="s">
        <v>477</v>
      </c>
      <c r="G457" s="25">
        <f t="shared" si="15"/>
        <v>-5.0115444506094731E-3</v>
      </c>
      <c r="O457" s="25"/>
    </row>
    <row r="458" spans="1:15">
      <c r="A458" s="72">
        <v>555.1128852337938</v>
      </c>
      <c r="B458" s="72">
        <v>556.24532267190716</v>
      </c>
      <c r="C458" s="72">
        <v>554.37779426519387</v>
      </c>
      <c r="D458" s="72">
        <v>554.76520707296947</v>
      </c>
      <c r="E458" s="72">
        <v>5169171.3846481517</v>
      </c>
      <c r="F458" s="72" t="s">
        <v>478</v>
      </c>
      <c r="G458" s="25">
        <f t="shared" si="15"/>
        <v>6.2671226744503983E-4</v>
      </c>
      <c r="O458" s="25"/>
    </row>
    <row r="459" spans="1:15">
      <c r="A459" s="72">
        <v>554.0102487808939</v>
      </c>
      <c r="B459" s="72">
        <v>555.69897127632612</v>
      </c>
      <c r="C459" s="72">
        <v>553.76190723744799</v>
      </c>
      <c r="D459" s="72">
        <v>554.9241456607748</v>
      </c>
      <c r="E459" s="72">
        <v>3041739.3703784416</v>
      </c>
      <c r="F459" s="72" t="s">
        <v>479</v>
      </c>
      <c r="G459" s="25">
        <f t="shared" si="15"/>
        <v>-1.6468861321445871E-3</v>
      </c>
      <c r="O459" s="25"/>
    </row>
    <row r="460" spans="1:15">
      <c r="A460" s="72">
        <v>554.93407932251262</v>
      </c>
      <c r="B460" s="72">
        <v>555.17248720422072</v>
      </c>
      <c r="C460" s="72">
        <v>552.48145823944083</v>
      </c>
      <c r="D460" s="72">
        <v>553.13608654796428</v>
      </c>
      <c r="E460" s="72">
        <v>5526986.0650556246</v>
      </c>
      <c r="F460" s="72" t="s">
        <v>480</v>
      </c>
      <c r="G460" s="25">
        <f t="shared" si="15"/>
        <v>3.2505432537757173E-3</v>
      </c>
      <c r="O460" s="25"/>
    </row>
    <row r="461" spans="1:15">
      <c r="A461" s="72">
        <v>551.45729771426977</v>
      </c>
      <c r="B461" s="72">
        <v>551.74547324128446</v>
      </c>
      <c r="C461" s="72">
        <v>550.11625337966177</v>
      </c>
      <c r="D461" s="72">
        <v>551.11955321518337</v>
      </c>
      <c r="E461" s="72">
        <v>4230973.5432115309</v>
      </c>
      <c r="F461" s="72" t="s">
        <v>481</v>
      </c>
      <c r="G461" s="25">
        <f t="shared" si="15"/>
        <v>6.1283345349671947E-4</v>
      </c>
      <c r="O461" s="25"/>
    </row>
    <row r="462" spans="1:15">
      <c r="A462" s="72">
        <v>551.3281601116779</v>
      </c>
      <c r="B462" s="72">
        <v>551.88444516899688</v>
      </c>
      <c r="C462" s="72">
        <v>550.21558999704018</v>
      </c>
      <c r="D462" s="72">
        <v>550.68247209871856</v>
      </c>
      <c r="E462" s="72">
        <v>5477346.7665760098</v>
      </c>
      <c r="F462" s="72" t="s">
        <v>482</v>
      </c>
      <c r="G462" s="25">
        <f t="shared" si="15"/>
        <v>1.1725232700772192E-3</v>
      </c>
      <c r="O462" s="25"/>
    </row>
    <row r="463" spans="1:15">
      <c r="A463" s="72">
        <v>549.77850888057549</v>
      </c>
      <c r="B463" s="72">
        <v>551.02021659780507</v>
      </c>
      <c r="C463" s="72">
        <v>547.41429738697036</v>
      </c>
      <c r="D463" s="72">
        <v>547.6328379452026</v>
      </c>
      <c r="E463" s="72">
        <v>4015364.2284870273</v>
      </c>
      <c r="F463" s="72" t="s">
        <v>483</v>
      </c>
      <c r="G463" s="25">
        <f t="shared" si="15"/>
        <v>3.9180830415936896E-3</v>
      </c>
      <c r="O463" s="25"/>
    </row>
    <row r="464" spans="1:15">
      <c r="A464" s="72">
        <v>546.89774697660266</v>
      </c>
      <c r="B464" s="72">
        <v>548.71560707462686</v>
      </c>
      <c r="C464" s="72">
        <v>545.46729968635429</v>
      </c>
      <c r="D464" s="72">
        <v>548.37786257554035</v>
      </c>
      <c r="E464" s="72">
        <v>3334338.4216355425</v>
      </c>
      <c r="F464" s="72" t="s">
        <v>484</v>
      </c>
      <c r="G464" s="25">
        <f t="shared" si="15"/>
        <v>-2.6990797768278174E-3</v>
      </c>
      <c r="O464" s="25"/>
    </row>
    <row r="465" spans="1:15">
      <c r="A465" s="72">
        <v>548.64607144246202</v>
      </c>
      <c r="B465" s="72">
        <v>549.15258885447429</v>
      </c>
      <c r="C465" s="72">
        <v>546.20239065495423</v>
      </c>
      <c r="D465" s="72">
        <v>546.84807866791357</v>
      </c>
      <c r="E465" s="72">
        <v>4468215.3642233675</v>
      </c>
      <c r="F465" s="72" t="s">
        <v>485</v>
      </c>
      <c r="G465" s="25">
        <f t="shared" si="15"/>
        <v>3.2879200726612101E-3</v>
      </c>
      <c r="O465" s="25"/>
    </row>
    <row r="466" spans="1:15">
      <c r="A466" s="72">
        <v>545.58650362720834</v>
      </c>
      <c r="B466" s="72">
        <v>548.71560707462686</v>
      </c>
      <c r="C466" s="72">
        <v>543.56987095781005</v>
      </c>
      <c r="D466" s="72">
        <v>547.54343498956223</v>
      </c>
      <c r="E466" s="72">
        <v>4333750.3466647081</v>
      </c>
      <c r="F466" s="72" t="s">
        <v>486</v>
      </c>
      <c r="G466" s="25">
        <f t="shared" si="15"/>
        <v>-3.5740203193034281E-3</v>
      </c>
      <c r="O466" s="25"/>
    </row>
    <row r="467" spans="1:15">
      <c r="A467" s="72">
        <v>543.8381791613491</v>
      </c>
      <c r="B467" s="72">
        <v>544.41393419567407</v>
      </c>
      <c r="C467" s="72">
        <v>541.75211019640335</v>
      </c>
      <c r="D467" s="72">
        <v>542.19912497460598</v>
      </c>
      <c r="E467" s="72">
        <v>5611815.81084718</v>
      </c>
      <c r="F467" s="72" t="s">
        <v>487</v>
      </c>
      <c r="G467" s="25">
        <f t="shared" si="15"/>
        <v>3.0229746070133956E-3</v>
      </c>
      <c r="O467" s="25"/>
    </row>
    <row r="468" spans="1:15">
      <c r="A468" s="72">
        <v>542.02031906332491</v>
      </c>
      <c r="B468" s="72">
        <v>543.44083269183557</v>
      </c>
      <c r="C468" s="72">
        <v>536.45746849013631</v>
      </c>
      <c r="D468" s="72">
        <v>541.96071709289788</v>
      </c>
      <c r="E468" s="72">
        <v>4560875.0524926046</v>
      </c>
      <c r="F468" s="72" t="s">
        <v>488</v>
      </c>
      <c r="G468" s="25">
        <f t="shared" si="15"/>
        <v>1.0997470581775026E-4</v>
      </c>
      <c r="O468" s="25"/>
    </row>
    <row r="469" spans="1:15">
      <c r="A469" s="72">
        <v>539.29849574715763</v>
      </c>
      <c r="B469" s="72">
        <v>539.46736799670089</v>
      </c>
      <c r="C469" s="72">
        <v>533.87471643829883</v>
      </c>
      <c r="D469" s="72">
        <v>539.17929180630358</v>
      </c>
      <c r="E469" s="72">
        <v>3975432.327193358</v>
      </c>
      <c r="F469" s="72" t="s">
        <v>489</v>
      </c>
      <c r="G469" s="25">
        <f t="shared" si="15"/>
        <v>2.2108404878595778E-4</v>
      </c>
      <c r="O469" s="25"/>
    </row>
    <row r="470" spans="1:15">
      <c r="A470" s="72">
        <v>539.09982251240092</v>
      </c>
      <c r="B470" s="72">
        <v>539.76537784883601</v>
      </c>
      <c r="C470" s="72">
        <v>533.3382987044555</v>
      </c>
      <c r="D470" s="72">
        <v>533.93431840872574</v>
      </c>
      <c r="E470" s="72">
        <v>7024975.4664181583</v>
      </c>
      <c r="F470" s="72" t="s">
        <v>490</v>
      </c>
      <c r="G470" s="25">
        <f t="shared" si="15"/>
        <v>9.674418604651347E-3</v>
      </c>
      <c r="O470" s="25"/>
    </row>
    <row r="471" spans="1:15">
      <c r="A471" s="72">
        <v>537.14289115004703</v>
      </c>
      <c r="B471" s="72">
        <v>538.33493055858742</v>
      </c>
      <c r="C471" s="72">
        <v>534.57503959081623</v>
      </c>
      <c r="D471" s="72">
        <v>535.34489837549859</v>
      </c>
      <c r="E471" s="72">
        <v>4534325.9302293137</v>
      </c>
      <c r="F471" s="72" t="s">
        <v>491</v>
      </c>
      <c r="G471" s="25">
        <f t="shared" si="15"/>
        <v>3.3585689898314453E-3</v>
      </c>
      <c r="O471" s="25"/>
    </row>
    <row r="472" spans="1:15">
      <c r="A472" s="72">
        <v>534.92768458250941</v>
      </c>
      <c r="B472" s="72">
        <v>538.97068490980905</v>
      </c>
      <c r="C472" s="72">
        <v>533.18929377838799</v>
      </c>
      <c r="D472" s="72">
        <v>538.53360379334424</v>
      </c>
      <c r="E472" s="72">
        <v>7409265.7815855956</v>
      </c>
      <c r="F472" s="72" t="s">
        <v>492</v>
      </c>
      <c r="G472" s="25">
        <f t="shared" si="15"/>
        <v>-6.6958109678492139E-3</v>
      </c>
      <c r="O472" s="25"/>
    </row>
    <row r="473" spans="1:15">
      <c r="A473" s="72">
        <v>541.92098244594649</v>
      </c>
      <c r="B473" s="72">
        <v>545.92424812629474</v>
      </c>
      <c r="C473" s="72">
        <v>541.26536077124933</v>
      </c>
      <c r="D473" s="72">
        <v>545.45736602461648</v>
      </c>
      <c r="E473" s="72">
        <v>3966595.7065879218</v>
      </c>
      <c r="F473" s="72" t="s">
        <v>493</v>
      </c>
      <c r="G473" s="25">
        <f t="shared" si="15"/>
        <v>-6.4833363686033207E-3</v>
      </c>
      <c r="O473" s="25"/>
    </row>
    <row r="474" spans="1:15">
      <c r="A474" s="72">
        <v>545.38783039245152</v>
      </c>
      <c r="B474" s="72">
        <v>547.22555781395135</v>
      </c>
      <c r="C474" s="72">
        <v>543.34149607445727</v>
      </c>
      <c r="D474" s="72">
        <v>545.51696799504339</v>
      </c>
      <c r="E474" s="72">
        <v>3726289.5573551976</v>
      </c>
      <c r="F474" s="72" t="s">
        <v>494</v>
      </c>
      <c r="G474" s="25">
        <f t="shared" si="15"/>
        <v>-2.3672518027528788E-4</v>
      </c>
      <c r="O474" s="25"/>
    </row>
    <row r="475" spans="1:15">
      <c r="A475" s="72">
        <v>545.10968786379215</v>
      </c>
      <c r="B475" s="72">
        <v>547.28515978437838</v>
      </c>
      <c r="C475" s="72">
        <v>542.80507834061393</v>
      </c>
      <c r="D475" s="72">
        <v>546.73880838879734</v>
      </c>
      <c r="E475" s="72">
        <v>4850792.3132173652</v>
      </c>
      <c r="F475" s="72" t="s">
        <v>495</v>
      </c>
      <c r="G475" s="25">
        <f t="shared" ref="G475:G538" si="16">A475/D475-1</f>
        <v>-2.9797052998782325E-3</v>
      </c>
      <c r="O475" s="25"/>
    </row>
    <row r="476" spans="1:15">
      <c r="A476" s="72">
        <v>546.74874205053516</v>
      </c>
      <c r="B476" s="72">
        <v>548.06991906166752</v>
      </c>
      <c r="C476" s="72">
        <v>545.20902448117056</v>
      </c>
      <c r="D476" s="72">
        <v>547.77190920953228</v>
      </c>
      <c r="E476" s="72">
        <v>4925805.9405851793</v>
      </c>
      <c r="F476" s="72" t="s">
        <v>496</v>
      </c>
      <c r="G476" s="25">
        <f t="shared" si="16"/>
        <v>-1.8678708086247164E-3</v>
      </c>
      <c r="O476" s="25"/>
    </row>
    <row r="477" spans="1:15">
      <c r="A477" s="72">
        <v>546.30172727233264</v>
      </c>
      <c r="B477" s="72">
        <v>547.5831696365135</v>
      </c>
      <c r="C477" s="72">
        <v>544.4242652038813</v>
      </c>
      <c r="D477" s="72">
        <v>544.43419886561924</v>
      </c>
      <c r="E477" s="72">
        <v>6843373.7522054855</v>
      </c>
      <c r="F477" s="72" t="s">
        <v>497</v>
      </c>
      <c r="G477" s="25">
        <f t="shared" si="16"/>
        <v>3.4302187676757967E-3</v>
      </c>
      <c r="O477" s="25"/>
    </row>
    <row r="478" spans="1:15">
      <c r="A478" s="72">
        <v>543.89778113177601</v>
      </c>
      <c r="B478" s="72">
        <v>544.83651216600163</v>
      </c>
      <c r="C478" s="72">
        <v>541.53356963817089</v>
      </c>
      <c r="D478" s="72">
        <v>541.60310527033573</v>
      </c>
      <c r="E478" s="72">
        <v>6091687.1942106001</v>
      </c>
      <c r="F478" s="72" t="s">
        <v>498</v>
      </c>
      <c r="G478" s="25">
        <f t="shared" si="16"/>
        <v>4.23682183338836E-3</v>
      </c>
      <c r="O478" s="25"/>
    </row>
    <row r="479" spans="1:15">
      <c r="A479" s="72">
        <v>539.69584221667105</v>
      </c>
      <c r="B479" s="72">
        <v>540.5302698026494</v>
      </c>
      <c r="C479" s="72">
        <v>534.59987374516083</v>
      </c>
      <c r="D479" s="72">
        <v>538.05678802992804</v>
      </c>
      <c r="E479" s="72">
        <v>7533311.6805219874</v>
      </c>
      <c r="F479" s="72" t="s">
        <v>499</v>
      </c>
      <c r="G479" s="25">
        <f t="shared" si="16"/>
        <v>3.0462475768484598E-3</v>
      </c>
      <c r="O479" s="25"/>
    </row>
    <row r="480" spans="1:15">
      <c r="A480" s="72">
        <v>526.58340872272663</v>
      </c>
      <c r="B480" s="72">
        <v>526.65294435489136</v>
      </c>
      <c r="C480" s="72">
        <v>521.00069082606228</v>
      </c>
      <c r="D480" s="72">
        <v>521.23909870777038</v>
      </c>
      <c r="E480" s="72">
        <v>3322318.6847901442</v>
      </c>
      <c r="F480" s="72" t="s">
        <v>500</v>
      </c>
      <c r="G480" s="25">
        <f t="shared" si="16"/>
        <v>1.0253087360878377E-2</v>
      </c>
      <c r="O480" s="25"/>
    </row>
    <row r="481" spans="1:15">
      <c r="A481" s="72">
        <v>520.32520182788937</v>
      </c>
      <c r="B481" s="72">
        <v>522.78874993887291</v>
      </c>
      <c r="C481" s="72">
        <v>518.56704303690969</v>
      </c>
      <c r="D481" s="72">
        <v>521.57684320685678</v>
      </c>
      <c r="E481" s="72">
        <v>3706046.2668841663</v>
      </c>
      <c r="F481" s="72" t="s">
        <v>501</v>
      </c>
      <c r="G481" s="25">
        <f t="shared" si="16"/>
        <v>-2.3997257456290777E-3</v>
      </c>
      <c r="O481" s="25"/>
    </row>
    <row r="482" spans="1:15">
      <c r="A482" s="72">
        <v>521.45763926600284</v>
      </c>
      <c r="B482" s="72">
        <v>525.57017522546732</v>
      </c>
      <c r="C482" s="72">
        <v>521.0603921331068</v>
      </c>
      <c r="D482" s="72">
        <v>521.67617982423519</v>
      </c>
      <c r="E482" s="72">
        <v>6147724.938870227</v>
      </c>
      <c r="F482" s="72" t="s">
        <v>502</v>
      </c>
      <c r="G482" s="25">
        <f t="shared" si="16"/>
        <v>-4.1891994820619782E-4</v>
      </c>
      <c r="O482" s="25"/>
    </row>
    <row r="483" spans="1:15">
      <c r="A483" s="72">
        <v>519.20269805151383</v>
      </c>
      <c r="B483" s="72">
        <v>525.71918015153483</v>
      </c>
      <c r="C483" s="72">
        <v>519.04375946370851</v>
      </c>
      <c r="D483" s="72">
        <v>525.58010888720514</v>
      </c>
      <c r="E483" s="72">
        <v>8026017.2033361597</v>
      </c>
      <c r="F483" s="72" t="s">
        <v>503</v>
      </c>
      <c r="G483" s="25">
        <f t="shared" si="16"/>
        <v>-1.213404146742536E-2</v>
      </c>
      <c r="O483" s="25"/>
    </row>
    <row r="484" spans="1:15">
      <c r="A484" s="72">
        <v>529.62310921450455</v>
      </c>
      <c r="B484" s="72">
        <v>532.64294238280706</v>
      </c>
      <c r="C484" s="72">
        <v>529.05689049544799</v>
      </c>
      <c r="D484" s="72">
        <v>530.80521496130723</v>
      </c>
      <c r="E484" s="72">
        <v>3087496.9179974315</v>
      </c>
      <c r="F484" s="72" t="s">
        <v>504</v>
      </c>
      <c r="G484" s="25">
        <f t="shared" si="16"/>
        <v>-2.2270047721533182E-3</v>
      </c>
      <c r="O484" s="25"/>
    </row>
    <row r="485" spans="1:15">
      <c r="A485" s="72">
        <v>531.22242875429629</v>
      </c>
      <c r="B485" s="72">
        <v>532.26546323676928</v>
      </c>
      <c r="C485" s="72">
        <v>528.22246290946964</v>
      </c>
      <c r="D485" s="72">
        <v>529.58337456755328</v>
      </c>
      <c r="E485" s="72">
        <v>3047829.7730513616</v>
      </c>
      <c r="F485" s="72" t="s">
        <v>505</v>
      </c>
      <c r="G485" s="25">
        <f t="shared" si="16"/>
        <v>3.0949879951980286E-3</v>
      </c>
      <c r="O485" s="25"/>
    </row>
    <row r="486" spans="1:15">
      <c r="A486" s="72">
        <v>530.37806750658012</v>
      </c>
      <c r="B486" s="72">
        <v>532.01712169332336</v>
      </c>
      <c r="C486" s="72">
        <v>530.13052065607326</v>
      </c>
      <c r="D486" s="72">
        <v>531.97738704637186</v>
      </c>
      <c r="E486" s="72">
        <v>3430729.8657243685</v>
      </c>
      <c r="F486" s="72" t="s">
        <v>506</v>
      </c>
      <c r="G486" s="25">
        <f t="shared" si="16"/>
        <v>-3.0063675237614884E-3</v>
      </c>
      <c r="O486" s="25"/>
    </row>
    <row r="487" spans="1:15">
      <c r="A487" s="72">
        <v>528.72907965809929</v>
      </c>
      <c r="B487" s="72">
        <v>533.69600986363503</v>
      </c>
      <c r="C487" s="72">
        <v>527.88869187507828</v>
      </c>
      <c r="D487" s="72">
        <v>531.10322481344224</v>
      </c>
      <c r="E487" s="72">
        <v>4356087.5276414705</v>
      </c>
      <c r="F487" s="72" t="s">
        <v>507</v>
      </c>
      <c r="G487" s="25">
        <f t="shared" si="16"/>
        <v>-4.4702141587954491E-3</v>
      </c>
      <c r="O487" s="25"/>
    </row>
    <row r="488" spans="1:15">
      <c r="A488" s="72">
        <v>528.93768655459394</v>
      </c>
      <c r="B488" s="72">
        <v>529.6429765379803</v>
      </c>
      <c r="C488" s="72">
        <v>526.52380675229949</v>
      </c>
      <c r="D488" s="72">
        <v>529.63304287624237</v>
      </c>
      <c r="E488" s="72">
        <v>4507665.0666938424</v>
      </c>
      <c r="F488" s="72" t="s">
        <v>508</v>
      </c>
      <c r="G488" s="25">
        <f t="shared" si="16"/>
        <v>-1.3129020762605581E-3</v>
      </c>
      <c r="O488" s="25"/>
    </row>
    <row r="489" spans="1:15">
      <c r="A489" s="72">
        <v>527.74564714605344</v>
      </c>
      <c r="B489" s="72">
        <v>531.1727604456072</v>
      </c>
      <c r="C489" s="72">
        <v>524.51720708125652</v>
      </c>
      <c r="D489" s="72">
        <v>530.73567932914227</v>
      </c>
      <c r="E489" s="72">
        <v>5262665.6090852972</v>
      </c>
      <c r="F489" s="72" t="s">
        <v>509</v>
      </c>
      <c r="G489" s="25">
        <f t="shared" si="16"/>
        <v>-5.6337500935838003E-3</v>
      </c>
      <c r="O489" s="25"/>
    </row>
    <row r="490" spans="1:15">
      <c r="A490" s="72">
        <v>532.60320773585568</v>
      </c>
      <c r="B490" s="72">
        <v>533.7157778504934</v>
      </c>
      <c r="C490" s="72">
        <v>529.93105272837761</v>
      </c>
      <c r="D490" s="72">
        <v>530.56680707959913</v>
      </c>
      <c r="E490" s="72">
        <v>3389077.5515103652</v>
      </c>
      <c r="F490" s="72" t="s">
        <v>510</v>
      </c>
      <c r="G490" s="25">
        <f t="shared" si="16"/>
        <v>3.8381606785118372E-3</v>
      </c>
      <c r="O490" s="25"/>
    </row>
    <row r="491" spans="1:15">
      <c r="A491" s="72">
        <v>532.97075322015553</v>
      </c>
      <c r="B491" s="72">
        <v>534.04358868784198</v>
      </c>
      <c r="C491" s="72">
        <v>530.16946061008571</v>
      </c>
      <c r="D491" s="72">
        <v>533.15949279317454</v>
      </c>
      <c r="E491" s="72">
        <v>3695949.2852627807</v>
      </c>
      <c r="F491" s="72" t="s">
        <v>511</v>
      </c>
      <c r="G491" s="25">
        <f t="shared" si="16"/>
        <v>-3.5400208674929434E-4</v>
      </c>
      <c r="O491" s="25"/>
    </row>
    <row r="492" spans="1:15">
      <c r="A492" s="72">
        <v>533.79524714439606</v>
      </c>
      <c r="B492" s="72">
        <v>534.53033811299599</v>
      </c>
      <c r="C492" s="72">
        <v>532.00718803158543</v>
      </c>
      <c r="D492" s="72">
        <v>533.3382987044555</v>
      </c>
      <c r="E492" s="72">
        <v>5104272.8591080224</v>
      </c>
      <c r="F492" s="72" t="s">
        <v>512</v>
      </c>
      <c r="G492" s="25">
        <f t="shared" si="16"/>
        <v>8.5677034829600984E-4</v>
      </c>
      <c r="O492" s="25"/>
    </row>
    <row r="493" spans="1:15">
      <c r="A493" s="72">
        <v>531.74891282640169</v>
      </c>
      <c r="B493" s="72">
        <v>535.18595978769315</v>
      </c>
      <c r="C493" s="72">
        <v>531.59990790033407</v>
      </c>
      <c r="D493" s="72">
        <v>535.04688852336346</v>
      </c>
      <c r="E493" s="72">
        <v>3246835.945414796</v>
      </c>
      <c r="F493" s="72" t="s">
        <v>513</v>
      </c>
      <c r="G493" s="25">
        <f t="shared" si="16"/>
        <v>-6.1639003379004853E-3</v>
      </c>
      <c r="O493" s="25"/>
    </row>
    <row r="494" spans="1:15">
      <c r="A494" s="72">
        <v>531.66944353249903</v>
      </c>
      <c r="B494" s="72">
        <v>532.17606028112868</v>
      </c>
      <c r="C494" s="72">
        <v>528.68437818027905</v>
      </c>
      <c r="D494" s="72">
        <v>529.39463499453439</v>
      </c>
      <c r="E494" s="72">
        <v>3258834.5420195116</v>
      </c>
      <c r="F494" s="72" t="s">
        <v>514</v>
      </c>
      <c r="G494" s="25">
        <f t="shared" si="16"/>
        <v>4.2969996059520899E-3</v>
      </c>
      <c r="O494" s="25"/>
    </row>
    <row r="495" spans="1:15">
      <c r="A495" s="72">
        <v>529.44430330322359</v>
      </c>
      <c r="B495" s="72">
        <v>534.04358868784198</v>
      </c>
      <c r="C495" s="72">
        <v>528.2919985416346</v>
      </c>
      <c r="D495" s="72">
        <v>533.81511446787169</v>
      </c>
      <c r="E495" s="72">
        <v>4843460.6764129233</v>
      </c>
      <c r="F495" s="72" t="s">
        <v>515</v>
      </c>
      <c r="G495" s="25">
        <f t="shared" si="16"/>
        <v>-8.1878745022143651E-3</v>
      </c>
      <c r="O495" s="25"/>
    </row>
    <row r="496" spans="1:15">
      <c r="A496" s="72">
        <v>533.50717095399887</v>
      </c>
      <c r="B496" s="72">
        <v>534.41113417214194</v>
      </c>
      <c r="C496" s="72">
        <v>530.42773581526944</v>
      </c>
      <c r="D496" s="72">
        <v>530.70587834392882</v>
      </c>
      <c r="E496" s="72">
        <v>2656552.1049991744</v>
      </c>
      <c r="F496" s="72" t="s">
        <v>516</v>
      </c>
      <c r="G496" s="25">
        <f t="shared" si="16"/>
        <v>5.2784277023867343E-3</v>
      </c>
      <c r="O496" s="25"/>
    </row>
    <row r="497" spans="1:15">
      <c r="A497" s="72">
        <v>529.17609443630204</v>
      </c>
      <c r="B497" s="72">
        <v>529.89131808142622</v>
      </c>
      <c r="C497" s="72">
        <v>525.87811873934015</v>
      </c>
      <c r="D497" s="72">
        <v>525.98738901845638</v>
      </c>
      <c r="E497" s="72">
        <v>5465424.6775090043</v>
      </c>
      <c r="F497" s="72" t="s">
        <v>517</v>
      </c>
      <c r="G497" s="25">
        <f t="shared" si="16"/>
        <v>6.0623229461758132E-3</v>
      </c>
      <c r="O497" s="25"/>
    </row>
    <row r="498" spans="1:15">
      <c r="A498" s="72">
        <v>526.04699098888329</v>
      </c>
      <c r="B498" s="72">
        <v>527.37810166175348</v>
      </c>
      <c r="C498" s="72">
        <v>524.58674271342147</v>
      </c>
      <c r="D498" s="72">
        <v>525.7589147984861</v>
      </c>
      <c r="E498" s="72">
        <v>3661925.577900907</v>
      </c>
      <c r="F498" s="72" t="s">
        <v>518</v>
      </c>
      <c r="G498" s="25">
        <f t="shared" si="16"/>
        <v>5.4792449978258162E-4</v>
      </c>
      <c r="O498" s="25"/>
    </row>
    <row r="499" spans="1:15">
      <c r="A499" s="72">
        <v>526.93108688355096</v>
      </c>
      <c r="B499" s="72">
        <v>527.50723926434534</v>
      </c>
      <c r="C499" s="72">
        <v>522.81855092408637</v>
      </c>
      <c r="D499" s="72">
        <v>523.37483598140534</v>
      </c>
      <c r="E499" s="72">
        <v>2961430.6160586346</v>
      </c>
      <c r="F499" s="72" t="s">
        <v>519</v>
      </c>
      <c r="G499" s="25">
        <f t="shared" si="16"/>
        <v>6.7948450281853923E-3</v>
      </c>
      <c r="O499" s="25"/>
    </row>
    <row r="500" spans="1:15">
      <c r="A500" s="72">
        <v>523.3549686579297</v>
      </c>
      <c r="B500" s="72">
        <v>523.88145273003499</v>
      </c>
      <c r="C500" s="72">
        <v>520.02719197575436</v>
      </c>
      <c r="D500" s="72">
        <v>520.84175223825696</v>
      </c>
      <c r="E500" s="72">
        <v>2644208.2177966391</v>
      </c>
      <c r="F500" s="72" t="s">
        <v>520</v>
      </c>
      <c r="G500" s="25">
        <f t="shared" si="16"/>
        <v>4.8252975282270238E-3</v>
      </c>
      <c r="O500" s="25"/>
    </row>
    <row r="501" spans="1:15">
      <c r="A501" s="72">
        <v>518.44773975943826</v>
      </c>
      <c r="B501" s="72">
        <v>522.23256421817143</v>
      </c>
      <c r="C501" s="72">
        <v>517.35503696827618</v>
      </c>
      <c r="D501" s="72">
        <v>521.65631250075955</v>
      </c>
      <c r="E501" s="72">
        <v>3997020.5396430702</v>
      </c>
      <c r="F501" s="72" t="s">
        <v>521</v>
      </c>
      <c r="G501" s="25">
        <f t="shared" si="16"/>
        <v>-6.15074075484634E-3</v>
      </c>
      <c r="O501" s="25"/>
    </row>
    <row r="502" spans="1:15">
      <c r="A502" s="72">
        <v>523.15629542317288</v>
      </c>
      <c r="B502" s="72">
        <v>523.52384090747285</v>
      </c>
      <c r="C502" s="72">
        <v>518.83515256721387</v>
      </c>
      <c r="D502" s="72">
        <v>522.66954599801886</v>
      </c>
      <c r="E502" s="72">
        <v>5393957.5771852722</v>
      </c>
      <c r="F502" s="72" t="s">
        <v>522</v>
      </c>
      <c r="G502" s="25">
        <f t="shared" si="16"/>
        <v>9.312756575947656E-4</v>
      </c>
      <c r="O502" s="25"/>
    </row>
    <row r="503" spans="1:15">
      <c r="A503" s="72">
        <v>518.37820412727342</v>
      </c>
      <c r="B503" s="72">
        <v>520.28050035006913</v>
      </c>
      <c r="C503" s="72">
        <v>516.37160445623044</v>
      </c>
      <c r="D503" s="72">
        <v>518.10006159861393</v>
      </c>
      <c r="E503" s="72">
        <v>4034717.615493123</v>
      </c>
      <c r="F503" s="72" t="s">
        <v>523</v>
      </c>
      <c r="G503" s="25">
        <f t="shared" si="16"/>
        <v>5.3685098550504406E-4</v>
      </c>
      <c r="O503" s="25"/>
    </row>
    <row r="504" spans="1:15">
      <c r="A504" s="72">
        <v>519.36163663931927</v>
      </c>
      <c r="B504" s="72">
        <v>520.37487013657858</v>
      </c>
      <c r="C504" s="72">
        <v>516.13329591113973</v>
      </c>
      <c r="D504" s="72">
        <v>518.38813778901124</v>
      </c>
      <c r="E504" s="72">
        <v>3292424.3711083229</v>
      </c>
      <c r="F504" s="72" t="s">
        <v>524</v>
      </c>
      <c r="G504" s="25">
        <f t="shared" si="16"/>
        <v>1.877934272300541E-3</v>
      </c>
      <c r="O504" s="25"/>
    </row>
    <row r="505" spans="1:15">
      <c r="A505" s="72">
        <v>519.27223368367868</v>
      </c>
      <c r="B505" s="72">
        <v>523.60331020137562</v>
      </c>
      <c r="C505" s="72">
        <v>516.77888458748168</v>
      </c>
      <c r="D505" s="72">
        <v>523.54370823094848</v>
      </c>
      <c r="E505" s="72">
        <v>9260086.8066232149</v>
      </c>
      <c r="F505" s="72" t="s">
        <v>525</v>
      </c>
      <c r="G505" s="25">
        <f t="shared" si="16"/>
        <v>-8.158773527625951E-3</v>
      </c>
      <c r="O505" s="25"/>
    </row>
    <row r="506" spans="1:15">
      <c r="A506" s="72">
        <v>524.16952892043219</v>
      </c>
      <c r="B506" s="72">
        <v>524.45263827996064</v>
      </c>
      <c r="C506" s="72">
        <v>518.72588228809775</v>
      </c>
      <c r="D506" s="72">
        <v>520.84175223825696</v>
      </c>
      <c r="E506" s="72">
        <v>8070889.8808808522</v>
      </c>
      <c r="F506" s="72" t="s">
        <v>526</v>
      </c>
      <c r="G506" s="25">
        <f t="shared" si="16"/>
        <v>6.3892279523953821E-3</v>
      </c>
      <c r="O506" s="25"/>
    </row>
    <row r="507" spans="1:15">
      <c r="A507" s="72">
        <v>521.89472038246765</v>
      </c>
      <c r="B507" s="72">
        <v>524.2688655378106</v>
      </c>
      <c r="C507" s="72">
        <v>520.84175223825696</v>
      </c>
      <c r="D507" s="72">
        <v>523.59337653963769</v>
      </c>
      <c r="E507" s="72">
        <v>5635982.1259820741</v>
      </c>
      <c r="F507" s="72" t="s">
        <v>527</v>
      </c>
      <c r="G507" s="25">
        <f t="shared" si="16"/>
        <v>-3.2442277409928666E-3</v>
      </c>
      <c r="O507" s="25"/>
    </row>
    <row r="508" spans="1:15">
      <c r="A508" s="72">
        <v>522.57160009328379</v>
      </c>
      <c r="B508" s="72">
        <v>524.77002524432999</v>
      </c>
      <c r="C508" s="72">
        <v>520.3830777582333</v>
      </c>
      <c r="D508" s="72">
        <v>524.52245484443733</v>
      </c>
      <c r="E508" s="72">
        <v>5325672.0131809711</v>
      </c>
      <c r="F508" s="72" t="s">
        <v>528</v>
      </c>
      <c r="G508" s="25">
        <f t="shared" si="16"/>
        <v>-3.7192969207240356E-3</v>
      </c>
      <c r="O508" s="25"/>
    </row>
    <row r="509" spans="1:15">
      <c r="A509" s="72">
        <v>520.50191155018172</v>
      </c>
      <c r="B509" s="72">
        <v>522.17548745345562</v>
      </c>
      <c r="C509" s="72">
        <v>519.55124121459414</v>
      </c>
      <c r="D509" s="72">
        <v>521.4921931497521</v>
      </c>
      <c r="E509" s="72">
        <v>35765633.750405967</v>
      </c>
      <c r="F509" s="72" t="s">
        <v>529</v>
      </c>
      <c r="G509" s="25">
        <f t="shared" si="16"/>
        <v>-1.8989384933821851E-3</v>
      </c>
      <c r="O509" s="25"/>
    </row>
    <row r="510" spans="1:15">
      <c r="A510" s="72">
        <v>521.56151286172189</v>
      </c>
      <c r="B510" s="72">
        <v>521.71995791765323</v>
      </c>
      <c r="C510" s="72">
        <v>518.29358358313982</v>
      </c>
      <c r="D510" s="72">
        <v>520.89802419000989</v>
      </c>
      <c r="E510" s="72">
        <v>4696248.0187632013</v>
      </c>
      <c r="F510" s="72" t="s">
        <v>530</v>
      </c>
      <c r="G510" s="25">
        <f t="shared" si="16"/>
        <v>1.2737400429647661E-3</v>
      </c>
      <c r="O510" s="25"/>
    </row>
    <row r="511" spans="1:15">
      <c r="A511" s="72">
        <v>520.06618764637074</v>
      </c>
      <c r="B511" s="72">
        <v>520.71977350208726</v>
      </c>
      <c r="C511" s="72">
        <v>518.7392103029465</v>
      </c>
      <c r="D511" s="72">
        <v>519.89783977444381</v>
      </c>
      <c r="E511" s="72">
        <v>29576592.1660132</v>
      </c>
      <c r="F511" s="72" t="s">
        <v>531</v>
      </c>
      <c r="G511" s="25">
        <f t="shared" si="16"/>
        <v>3.2380952380939299E-4</v>
      </c>
      <c r="O511" s="25"/>
    </row>
    <row r="512" spans="1:15">
      <c r="A512" s="72">
        <v>518.78872438292501</v>
      </c>
      <c r="B512" s="72">
        <v>519.81861724647808</v>
      </c>
      <c r="C512" s="72">
        <v>516.05554716811071</v>
      </c>
      <c r="D512" s="72">
        <v>518.42232019108394</v>
      </c>
      <c r="E512" s="72">
        <v>5667759.5569129474</v>
      </c>
      <c r="F512" s="72" t="s">
        <v>532</v>
      </c>
      <c r="G512" s="25">
        <f t="shared" si="16"/>
        <v>7.0676777903000421E-4</v>
      </c>
      <c r="O512" s="25"/>
    </row>
    <row r="513" spans="1:15">
      <c r="A513" s="72">
        <v>519.80871443048238</v>
      </c>
      <c r="B513" s="72">
        <v>521.4822903337564</v>
      </c>
      <c r="C513" s="72">
        <v>517.11514847965111</v>
      </c>
      <c r="D513" s="72">
        <v>519.77900598249528</v>
      </c>
      <c r="E513" s="72">
        <v>5612919.6002545981</v>
      </c>
      <c r="F513" s="72" t="s">
        <v>533</v>
      </c>
      <c r="G513" s="25">
        <f t="shared" si="16"/>
        <v>5.7155921353357897E-5</v>
      </c>
      <c r="O513" s="25"/>
    </row>
    <row r="514" spans="1:15">
      <c r="A514" s="72">
        <v>510.89618003434907</v>
      </c>
      <c r="B514" s="72">
        <v>517.64990054341911</v>
      </c>
      <c r="C514" s="72">
        <v>510.4604561305382</v>
      </c>
      <c r="D514" s="72">
        <v>513.14411926537377</v>
      </c>
      <c r="E514" s="72">
        <v>6989201.8623821521</v>
      </c>
      <c r="F514" s="72" t="s">
        <v>534</v>
      </c>
      <c r="G514" s="25">
        <f t="shared" si="16"/>
        <v>-4.3807171253231747E-3</v>
      </c>
      <c r="O514" s="25"/>
    </row>
    <row r="515" spans="1:15">
      <c r="A515" s="72">
        <v>512.55985312162738</v>
      </c>
      <c r="B515" s="72">
        <v>515.6742887522762</v>
      </c>
      <c r="C515" s="72">
        <v>510.49016457852525</v>
      </c>
      <c r="D515" s="72">
        <v>514.39187408083262</v>
      </c>
      <c r="E515" s="72">
        <v>8229938.8411698611</v>
      </c>
      <c r="F515" s="72" t="s">
        <v>535</v>
      </c>
      <c r="G515" s="25">
        <f t="shared" si="16"/>
        <v>-3.5615277991684069E-3</v>
      </c>
      <c r="O515" s="25"/>
    </row>
    <row r="516" spans="1:15">
      <c r="A516" s="72">
        <v>512.32218553773043</v>
      </c>
      <c r="B516" s="72">
        <v>512.55985312162738</v>
      </c>
      <c r="C516" s="72">
        <v>509.64842521889045</v>
      </c>
      <c r="D516" s="72">
        <v>511.32200112216441</v>
      </c>
      <c r="E516" s="72">
        <v>4298022.9076724881</v>
      </c>
      <c r="F516" s="72" t="s">
        <v>536</v>
      </c>
      <c r="G516" s="25">
        <f t="shared" si="16"/>
        <v>1.9560754541581016E-3</v>
      </c>
      <c r="O516" s="25"/>
    </row>
    <row r="517" spans="1:15">
      <c r="A517" s="72">
        <v>511.5497658900656</v>
      </c>
      <c r="B517" s="72">
        <v>512.50043622565306</v>
      </c>
      <c r="C517" s="72">
        <v>509.23250694707093</v>
      </c>
      <c r="D517" s="72">
        <v>509.4305632669849</v>
      </c>
      <c r="E517" s="72">
        <v>4459984.9193564206</v>
      </c>
      <c r="F517" s="72" t="s">
        <v>537</v>
      </c>
      <c r="G517" s="25">
        <f t="shared" si="16"/>
        <v>4.1599440157069623E-3</v>
      </c>
      <c r="O517" s="25"/>
    </row>
    <row r="518" spans="1:15">
      <c r="A518" s="72">
        <v>508.84629712323851</v>
      </c>
      <c r="B518" s="72">
        <v>509.14318354678971</v>
      </c>
      <c r="C518" s="72">
        <v>503.12246947772172</v>
      </c>
      <c r="D518" s="72">
        <v>505.13274112484953</v>
      </c>
      <c r="E518" s="72">
        <v>4139769.9419827382</v>
      </c>
      <c r="F518" s="72" t="s">
        <v>538</v>
      </c>
      <c r="G518" s="25">
        <f t="shared" si="16"/>
        <v>7.3516438275600393E-3</v>
      </c>
      <c r="O518" s="25"/>
    </row>
    <row r="519" spans="1:15">
      <c r="A519" s="72">
        <v>504.50886371712022</v>
      </c>
      <c r="B519" s="72">
        <v>505.4793396846992</v>
      </c>
      <c r="C519" s="72">
        <v>491.42724378679566</v>
      </c>
      <c r="D519" s="72">
        <v>499.40891347933285</v>
      </c>
      <c r="E519" s="72">
        <v>4994369.2805619482</v>
      </c>
      <c r="F519" s="72" t="s">
        <v>539</v>
      </c>
      <c r="G519" s="25">
        <f t="shared" si="16"/>
        <v>1.0211972794511137E-2</v>
      </c>
      <c r="O519" s="25"/>
    </row>
    <row r="520" spans="1:15">
      <c r="A520" s="72">
        <v>499.39901066333715</v>
      </c>
      <c r="B520" s="72">
        <v>499.80007471116312</v>
      </c>
      <c r="C520" s="72">
        <v>494.64536190091951</v>
      </c>
      <c r="D520" s="72">
        <v>499.05241210348748</v>
      </c>
      <c r="E520" s="72">
        <v>3004584.7578010764</v>
      </c>
      <c r="F520" s="72" t="s">
        <v>540</v>
      </c>
      <c r="G520" s="25">
        <f t="shared" si="16"/>
        <v>6.9451334457792946E-4</v>
      </c>
      <c r="O520" s="25"/>
    </row>
    <row r="521" spans="1:15">
      <c r="A521" s="72">
        <v>497.34912775222648</v>
      </c>
      <c r="B521" s="72">
        <v>498.47804877573668</v>
      </c>
      <c r="C521" s="72">
        <v>493.90294778572161</v>
      </c>
      <c r="D521" s="72">
        <v>495.73496874492679</v>
      </c>
      <c r="E521" s="72">
        <v>3692683.9815932065</v>
      </c>
      <c r="F521" s="72" t="s">
        <v>541</v>
      </c>
      <c r="G521" s="25">
        <f t="shared" si="16"/>
        <v>3.2560926887734709E-3</v>
      </c>
      <c r="O521" s="25"/>
    </row>
    <row r="522" spans="1:15">
      <c r="A522" s="72">
        <v>491.81345361062807</v>
      </c>
      <c r="B522" s="72">
        <v>502.01335408620292</v>
      </c>
      <c r="C522" s="72">
        <v>490.98161706698903</v>
      </c>
      <c r="D522" s="72">
        <v>500.42890352689028</v>
      </c>
      <c r="E522" s="72">
        <v>7484173.1919642175</v>
      </c>
      <c r="F522" s="72" t="s">
        <v>542</v>
      </c>
      <c r="G522" s="25">
        <f t="shared" si="16"/>
        <v>-1.7216131713301941E-2</v>
      </c>
      <c r="O522" s="25"/>
    </row>
    <row r="523" spans="1:15">
      <c r="A523" s="72">
        <v>500.14172186301494</v>
      </c>
      <c r="B523" s="72">
        <v>503.99391728534363</v>
      </c>
      <c r="C523" s="72">
        <v>497.95319952796439</v>
      </c>
      <c r="D523" s="72">
        <v>501.43899075845212</v>
      </c>
      <c r="E523" s="72">
        <v>3459186.762115113</v>
      </c>
      <c r="F523" s="72" t="s">
        <v>543</v>
      </c>
      <c r="G523" s="25">
        <f t="shared" si="16"/>
        <v>-2.5870921873766273E-3</v>
      </c>
      <c r="O523" s="25"/>
    </row>
    <row r="524" spans="1:15">
      <c r="A524" s="72">
        <v>501.37957386247791</v>
      </c>
      <c r="B524" s="72">
        <v>504.57818342909013</v>
      </c>
      <c r="C524" s="72">
        <v>500.11201341502777</v>
      </c>
      <c r="D524" s="72">
        <v>500.76559927074425</v>
      </c>
      <c r="E524" s="72">
        <v>3636716.0629486055</v>
      </c>
      <c r="F524" s="72" t="s">
        <v>544</v>
      </c>
      <c r="G524" s="25">
        <f t="shared" si="16"/>
        <v>1.2260718240786339E-3</v>
      </c>
      <c r="O524" s="25"/>
    </row>
    <row r="525" spans="1:15">
      <c r="A525" s="72">
        <v>502.62732867793653</v>
      </c>
      <c r="B525" s="72">
        <v>510.42084486655529</v>
      </c>
      <c r="C525" s="72">
        <v>500.19123594299344</v>
      </c>
      <c r="D525" s="72">
        <v>510.11385757068854</v>
      </c>
      <c r="E525" s="72">
        <v>5924012.9298021281</v>
      </c>
      <c r="F525" s="72" t="s">
        <v>545</v>
      </c>
      <c r="G525" s="25">
        <f t="shared" si="16"/>
        <v>-1.4676191955272588E-2</v>
      </c>
      <c r="O525" s="25"/>
    </row>
    <row r="526" spans="1:15">
      <c r="A526" s="72">
        <v>513.00547984143395</v>
      </c>
      <c r="B526" s="72">
        <v>513.54023190520206</v>
      </c>
      <c r="C526" s="72">
        <v>507.14301277197745</v>
      </c>
      <c r="D526" s="72">
        <v>510.41094205055958</v>
      </c>
      <c r="E526" s="72">
        <v>5693052.3625258831</v>
      </c>
      <c r="F526" s="72" t="s">
        <v>546</v>
      </c>
      <c r="G526" s="25">
        <f t="shared" si="16"/>
        <v>5.0832330914594159E-3</v>
      </c>
      <c r="O526" s="25"/>
    </row>
    <row r="527" spans="1:15">
      <c r="A527" s="72">
        <v>508.22241971550915</v>
      </c>
      <c r="B527" s="72">
        <v>513.05499392141257</v>
      </c>
      <c r="C527" s="72">
        <v>507.1529155879731</v>
      </c>
      <c r="D527" s="72">
        <v>509.98512096274442</v>
      </c>
      <c r="E527" s="72">
        <v>3521367.0551011832</v>
      </c>
      <c r="F527" s="72" t="s">
        <v>547</v>
      </c>
      <c r="G527" s="25">
        <f t="shared" si="16"/>
        <v>-3.4563777937436369E-3</v>
      </c>
      <c r="O527" s="25"/>
    </row>
    <row r="528" spans="1:15">
      <c r="A528" s="72">
        <v>508.14319718754348</v>
      </c>
      <c r="B528" s="72">
        <v>511.21307014621163</v>
      </c>
      <c r="C528" s="72">
        <v>505.2020608368195</v>
      </c>
      <c r="D528" s="72">
        <v>510.78724905839636</v>
      </c>
      <c r="E528" s="72">
        <v>3979098.4723027707</v>
      </c>
      <c r="F528" s="72" t="s">
        <v>548</v>
      </c>
      <c r="G528" s="25">
        <f t="shared" si="16"/>
        <v>-5.1764249709189691E-3</v>
      </c>
      <c r="O528" s="25"/>
    </row>
    <row r="529" spans="1:15">
      <c r="A529" s="72">
        <v>511.06452790627611</v>
      </c>
      <c r="B529" s="72">
        <v>511.569571522057</v>
      </c>
      <c r="C529" s="72">
        <v>508.17290563553058</v>
      </c>
      <c r="D529" s="72">
        <v>509.26221539505798</v>
      </c>
      <c r="E529" s="72">
        <v>3061531.1859932854</v>
      </c>
      <c r="F529" s="72" t="s">
        <v>549</v>
      </c>
      <c r="G529" s="25">
        <f t="shared" si="16"/>
        <v>3.5390658421812216E-3</v>
      </c>
      <c r="O529" s="25"/>
    </row>
    <row r="530" spans="1:15">
      <c r="A530" s="72">
        <v>510.38123360257254</v>
      </c>
      <c r="B530" s="72">
        <v>513.2530502413266</v>
      </c>
      <c r="C530" s="72">
        <v>508.88095697922341</v>
      </c>
      <c r="D530" s="72">
        <v>512.60936720160589</v>
      </c>
      <c r="E530" s="72">
        <v>3431993.4869783409</v>
      </c>
      <c r="F530" s="72" t="s">
        <v>550</v>
      </c>
      <c r="G530" s="25">
        <f t="shared" si="16"/>
        <v>-4.3466501815934144E-3</v>
      </c>
      <c r="O530" s="25"/>
    </row>
    <row r="531" spans="1:15">
      <c r="A531" s="72">
        <v>511.63889123402686</v>
      </c>
      <c r="B531" s="72">
        <v>512.52024185764446</v>
      </c>
      <c r="C531" s="72">
        <v>507.27382897128069</v>
      </c>
      <c r="D531" s="72">
        <v>509.331535107028</v>
      </c>
      <c r="E531" s="72">
        <v>5152868.6408127062</v>
      </c>
      <c r="F531" s="72" t="s">
        <v>551</v>
      </c>
      <c r="G531" s="25">
        <f t="shared" si="16"/>
        <v>4.5301654579743555E-3</v>
      </c>
      <c r="O531" s="25"/>
    </row>
    <row r="532" spans="1:15">
      <c r="A532" s="72">
        <v>506.16263398840277</v>
      </c>
      <c r="B532" s="72">
        <v>512.59946438561019</v>
      </c>
      <c r="C532" s="72">
        <v>505.14264394084529</v>
      </c>
      <c r="D532" s="72">
        <v>512.02510105785927</v>
      </c>
      <c r="E532" s="72">
        <v>3713173.1030802694</v>
      </c>
      <c r="F532" s="72" t="s">
        <v>552</v>
      </c>
      <c r="G532" s="25">
        <f t="shared" si="16"/>
        <v>-1.1449569674112592E-2</v>
      </c>
      <c r="O532" s="25"/>
    </row>
    <row r="533" spans="1:15">
      <c r="A533" s="72">
        <v>510.29210825861117</v>
      </c>
      <c r="B533" s="72">
        <v>511.63879220586693</v>
      </c>
      <c r="C533" s="72">
        <v>507.86591833966384</v>
      </c>
      <c r="D533" s="72">
        <v>509.47017453096782</v>
      </c>
      <c r="E533" s="72">
        <v>3376867.7530217734</v>
      </c>
      <c r="F533" s="72" t="s">
        <v>553</v>
      </c>
      <c r="G533" s="25">
        <f t="shared" si="16"/>
        <v>1.6133107858571361E-3</v>
      </c>
      <c r="O533" s="25"/>
    </row>
    <row r="534" spans="1:15">
      <c r="A534" s="72">
        <v>508.50960137938455</v>
      </c>
      <c r="B534" s="72">
        <v>510.47025991837393</v>
      </c>
      <c r="C534" s="72">
        <v>507.27174937992157</v>
      </c>
      <c r="D534" s="72">
        <v>508.92551965120407</v>
      </c>
      <c r="E534" s="72">
        <v>3186953.0862425533</v>
      </c>
      <c r="F534" s="72" t="s">
        <v>554</v>
      </c>
      <c r="G534" s="25">
        <f t="shared" si="16"/>
        <v>-8.1724782067238433E-4</v>
      </c>
      <c r="O534" s="25"/>
    </row>
    <row r="535" spans="1:15">
      <c r="A535" s="72">
        <v>509.35134073901935</v>
      </c>
      <c r="B535" s="72">
        <v>509.35134073901935</v>
      </c>
      <c r="C535" s="72">
        <v>504.1127510772921</v>
      </c>
      <c r="D535" s="72">
        <v>504.9049763569484</v>
      </c>
      <c r="E535" s="72">
        <v>3841647.6703702165</v>
      </c>
      <c r="F535" s="72" t="s">
        <v>555</v>
      </c>
      <c r="G535" s="25">
        <f t="shared" si="16"/>
        <v>8.8063389950181481E-3</v>
      </c>
      <c r="O535" s="25"/>
    </row>
    <row r="536" spans="1:15">
      <c r="A536" s="72">
        <v>504.49896090112452</v>
      </c>
      <c r="B536" s="72">
        <v>505.15254675684099</v>
      </c>
      <c r="C536" s="72">
        <v>501.72617242232747</v>
      </c>
      <c r="D536" s="72">
        <v>501.91432592624585</v>
      </c>
      <c r="E536" s="72">
        <v>3483136.5154078021</v>
      </c>
      <c r="F536" s="72" t="s">
        <v>556</v>
      </c>
      <c r="G536" s="25">
        <f t="shared" si="16"/>
        <v>5.149554099913134E-3</v>
      </c>
      <c r="O536" s="25"/>
    </row>
    <row r="537" spans="1:15">
      <c r="A537" s="72">
        <v>503.43935958958423</v>
      </c>
      <c r="B537" s="72">
        <v>503.64731872549402</v>
      </c>
      <c r="C537" s="72">
        <v>499.58290595637737</v>
      </c>
      <c r="D537" s="72">
        <v>500.18133312699769</v>
      </c>
      <c r="E537" s="72">
        <v>4320945.680356387</v>
      </c>
      <c r="F537" s="72" t="s">
        <v>557</v>
      </c>
      <c r="G537" s="25">
        <f t="shared" si="16"/>
        <v>6.5136906293927765E-3</v>
      </c>
      <c r="O537" s="25"/>
    </row>
    <row r="538" spans="1:15">
      <c r="A538" s="72">
        <v>494.9427434652705</v>
      </c>
      <c r="B538" s="72">
        <v>495.98253914481938</v>
      </c>
      <c r="C538" s="72">
        <v>491.65302799149771</v>
      </c>
      <c r="D538" s="72">
        <v>494.07129565764859</v>
      </c>
      <c r="E538" s="72">
        <v>3736818.9024267974</v>
      </c>
      <c r="F538" s="72" t="s">
        <v>558</v>
      </c>
      <c r="G538" s="25">
        <f t="shared" si="16"/>
        <v>1.7638098292311888E-3</v>
      </c>
      <c r="O538" s="25"/>
    </row>
    <row r="539" spans="1:15">
      <c r="A539" s="72">
        <v>493.36819572195355</v>
      </c>
      <c r="B539" s="72">
        <v>493.53654359388054</v>
      </c>
      <c r="C539" s="72">
        <v>488.12960606022637</v>
      </c>
      <c r="D539" s="72">
        <v>488.3474680121318</v>
      </c>
      <c r="E539" s="72">
        <v>3279761.0310128825</v>
      </c>
      <c r="F539" s="72" t="s">
        <v>559</v>
      </c>
      <c r="G539" s="25">
        <f t="shared" ref="G539:G602" si="17">A539/D539-1</f>
        <v>1.0281056089548546E-2</v>
      </c>
      <c r="O539" s="25"/>
    </row>
    <row r="540" spans="1:15">
      <c r="A540" s="72">
        <v>485.3073035014508</v>
      </c>
      <c r="B540" s="72">
        <v>487.56514554847126</v>
      </c>
      <c r="C540" s="72">
        <v>483.23761495834873</v>
      </c>
      <c r="D540" s="72">
        <v>486.16884849307701</v>
      </c>
      <c r="E540" s="72">
        <v>3613249.0006401851</v>
      </c>
      <c r="F540" s="72" t="s">
        <v>560</v>
      </c>
      <c r="G540" s="25">
        <f t="shared" si="17"/>
        <v>-1.7721106448852497E-3</v>
      </c>
      <c r="O540" s="25"/>
    </row>
    <row r="541" spans="1:15">
      <c r="A541" s="72">
        <v>485.05973310155821</v>
      </c>
      <c r="B541" s="72">
        <v>486.43622452496101</v>
      </c>
      <c r="C541" s="72">
        <v>481.09860670327669</v>
      </c>
      <c r="D541" s="72">
        <v>482.19781927879984</v>
      </c>
      <c r="E541" s="72">
        <v>7736517.5757318391</v>
      </c>
      <c r="F541" s="72" t="s">
        <v>561</v>
      </c>
      <c r="G541" s="25">
        <f t="shared" si="17"/>
        <v>5.9351446819870812E-3</v>
      </c>
      <c r="O541" s="25"/>
    </row>
    <row r="542" spans="1:15">
      <c r="A542" s="72">
        <v>482.99004455845613</v>
      </c>
      <c r="B542" s="72">
        <v>483.52479662222407</v>
      </c>
      <c r="C542" s="72">
        <v>474.97866641793183</v>
      </c>
      <c r="D542" s="72">
        <v>476.81068737713701</v>
      </c>
      <c r="E542" s="72">
        <v>4218228.4330157014</v>
      </c>
      <c r="F542" s="72" t="s">
        <v>562</v>
      </c>
      <c r="G542" s="25">
        <f t="shared" si="17"/>
        <v>1.295977071174903E-2</v>
      </c>
      <c r="O542" s="25"/>
    </row>
    <row r="543" spans="1:15">
      <c r="A543" s="72">
        <v>471.97811317123364</v>
      </c>
      <c r="B543" s="72">
        <v>483.80207547010383</v>
      </c>
      <c r="C543" s="72">
        <v>471.48297237144845</v>
      </c>
      <c r="D543" s="72">
        <v>480.97977291132827</v>
      </c>
      <c r="E543" s="72">
        <v>6035001.5617707362</v>
      </c>
      <c r="F543" s="72" t="s">
        <v>563</v>
      </c>
      <c r="G543" s="25">
        <f t="shared" si="17"/>
        <v>-1.8715256331068519E-2</v>
      </c>
      <c r="O543" s="25"/>
    </row>
    <row r="544" spans="1:15">
      <c r="A544" s="72">
        <v>475.27575089780294</v>
      </c>
      <c r="B544" s="72">
        <v>482.12849956682993</v>
      </c>
      <c r="C544" s="72">
        <v>471.31462449952147</v>
      </c>
      <c r="D544" s="72">
        <v>472.75053281889848</v>
      </c>
      <c r="E544" s="72">
        <v>8336053.1020483728</v>
      </c>
      <c r="F544" s="72" t="s">
        <v>564</v>
      </c>
      <c r="G544" s="25">
        <f t="shared" si="17"/>
        <v>5.3415446490290286E-3</v>
      </c>
      <c r="O544" s="25"/>
    </row>
    <row r="545" spans="1:15">
      <c r="A545" s="72">
        <v>470.58181611583939</v>
      </c>
      <c r="B545" s="72">
        <v>476.50370008127021</v>
      </c>
      <c r="C545" s="72">
        <v>464.33313922255036</v>
      </c>
      <c r="D545" s="72">
        <v>465.60069967000044</v>
      </c>
      <c r="E545" s="72">
        <v>15393879.888926227</v>
      </c>
      <c r="F545" s="72" t="s">
        <v>565</v>
      </c>
      <c r="G545" s="25">
        <f t="shared" si="17"/>
        <v>1.0698258076865752E-2</v>
      </c>
      <c r="O545" s="25"/>
    </row>
    <row r="546" spans="1:15">
      <c r="A546" s="72">
        <v>485.14885844551952</v>
      </c>
      <c r="B546" s="72">
        <v>488.72377501996851</v>
      </c>
      <c r="C546" s="72">
        <v>481.07880107128534</v>
      </c>
      <c r="D546" s="72">
        <v>487.62456244444547</v>
      </c>
      <c r="E546" s="72">
        <v>8645183.3536180388</v>
      </c>
      <c r="F546" s="72" t="s">
        <v>566</v>
      </c>
      <c r="G546" s="25">
        <f t="shared" si="17"/>
        <v>-5.0770699214069959E-3</v>
      </c>
      <c r="O546" s="25"/>
    </row>
    <row r="547" spans="1:15">
      <c r="A547" s="72">
        <v>494.18022663360125</v>
      </c>
      <c r="B547" s="72">
        <v>504.9445876209312</v>
      </c>
      <c r="C547" s="72">
        <v>490.93210298701047</v>
      </c>
      <c r="D547" s="72">
        <v>502.90460752581623</v>
      </c>
      <c r="E547" s="72">
        <v>7007316.9116850803</v>
      </c>
      <c r="F547" s="72" t="s">
        <v>567</v>
      </c>
      <c r="G547" s="25">
        <f t="shared" si="17"/>
        <v>-1.7347983616887275E-2</v>
      </c>
      <c r="O547" s="25"/>
    </row>
    <row r="548" spans="1:15">
      <c r="A548" s="72">
        <v>501.01316967063684</v>
      </c>
      <c r="B548" s="72">
        <v>503.7099045225869</v>
      </c>
      <c r="C548" s="72">
        <v>498.41368047176462</v>
      </c>
      <c r="D548" s="72">
        <v>499.57726135125984</v>
      </c>
      <c r="E548" s="72">
        <v>5420263.289077281</v>
      </c>
      <c r="F548" s="72" t="s">
        <v>568</v>
      </c>
      <c r="G548" s="25">
        <f t="shared" si="17"/>
        <v>2.8742467491278401E-3</v>
      </c>
      <c r="O548" s="25"/>
    </row>
    <row r="549" spans="1:15">
      <c r="A549" s="72">
        <v>493.23945911400943</v>
      </c>
      <c r="B549" s="72">
        <v>498.12154739989137</v>
      </c>
      <c r="C549" s="72">
        <v>490.10521785136922</v>
      </c>
      <c r="D549" s="72">
        <v>497.1708770643038</v>
      </c>
      <c r="E549" s="72">
        <v>3855267.0287485314</v>
      </c>
      <c r="F549" s="72" t="s">
        <v>569</v>
      </c>
      <c r="G549" s="25">
        <f t="shared" si="17"/>
        <v>-7.9075789264017038E-3</v>
      </c>
      <c r="O549" s="25"/>
    </row>
    <row r="550" spans="1:15">
      <c r="A550" s="72">
        <v>495.8339969048838</v>
      </c>
      <c r="B550" s="72">
        <v>497.87892840799663</v>
      </c>
      <c r="C550" s="72">
        <v>493.92730871307106</v>
      </c>
      <c r="D550" s="72">
        <v>496.9431122964026</v>
      </c>
      <c r="E550" s="72">
        <v>3126563.1930788858</v>
      </c>
      <c r="F550" s="72" t="s">
        <v>570</v>
      </c>
      <c r="G550" s="25">
        <f t="shared" si="17"/>
        <v>-2.2318759714637926E-3</v>
      </c>
      <c r="O550" s="25"/>
    </row>
    <row r="551" spans="1:15">
      <c r="A551" s="72">
        <v>495.46759271304273</v>
      </c>
      <c r="B551" s="72">
        <v>497.99776219994504</v>
      </c>
      <c r="C551" s="72">
        <v>492.83344365818562</v>
      </c>
      <c r="D551" s="72">
        <v>493.51673796188913</v>
      </c>
      <c r="E551" s="72">
        <v>3671666.7275020173</v>
      </c>
      <c r="F551" s="72" t="s">
        <v>571</v>
      </c>
      <c r="G551" s="25">
        <f t="shared" si="17"/>
        <v>3.9529657275865215E-3</v>
      </c>
      <c r="O551" s="25"/>
    </row>
    <row r="552" spans="1:15">
      <c r="A552" s="72">
        <v>489.97152983542719</v>
      </c>
      <c r="B552" s="72">
        <v>498.25028400783549</v>
      </c>
      <c r="C552" s="72">
        <v>489.11988765979675</v>
      </c>
      <c r="D552" s="72">
        <v>492.71460986623714</v>
      </c>
      <c r="E552" s="72">
        <v>5702015.4695894197</v>
      </c>
      <c r="F552" s="72" t="s">
        <v>572</v>
      </c>
      <c r="G552" s="25">
        <f t="shared" si="17"/>
        <v>-5.5672796703849503E-3</v>
      </c>
      <c r="O552" s="25"/>
    </row>
    <row r="553" spans="1:15">
      <c r="A553" s="72">
        <v>492.45713665034884</v>
      </c>
      <c r="B553" s="72">
        <v>499.79512330316527</v>
      </c>
      <c r="C553" s="72">
        <v>491.71937685866897</v>
      </c>
      <c r="D553" s="72">
        <v>499.52774727128127</v>
      </c>
      <c r="E553" s="72">
        <v>6217829.3554796651</v>
      </c>
      <c r="F553" s="72" t="s">
        <v>573</v>
      </c>
      <c r="G553" s="25">
        <f t="shared" si="17"/>
        <v>-1.4154590329679029E-2</v>
      </c>
      <c r="O553" s="25"/>
    </row>
    <row r="554" spans="1:15">
      <c r="A554" s="72">
        <v>503.99391728534363</v>
      </c>
      <c r="B554" s="72">
        <v>506.67758042017931</v>
      </c>
      <c r="C554" s="72">
        <v>503.548290565537</v>
      </c>
      <c r="D554" s="72">
        <v>504.70692003703437</v>
      </c>
      <c r="E554" s="72">
        <v>3146625.1633392838</v>
      </c>
      <c r="F554" s="72" t="s">
        <v>574</v>
      </c>
      <c r="G554" s="25">
        <f t="shared" si="17"/>
        <v>-1.4127065102226277E-3</v>
      </c>
      <c r="O554" s="25"/>
    </row>
    <row r="555" spans="1:15">
      <c r="A555" s="72">
        <v>504.83565664497849</v>
      </c>
      <c r="B555" s="72">
        <v>505.36050589275072</v>
      </c>
      <c r="C555" s="72">
        <v>501.51821328641773</v>
      </c>
      <c r="D555" s="72">
        <v>503.33042861363151</v>
      </c>
      <c r="E555" s="72">
        <v>4385549.5264015486</v>
      </c>
      <c r="F555" s="72" t="s">
        <v>575</v>
      </c>
      <c r="G555" s="25">
        <f t="shared" si="17"/>
        <v>2.9905365258622307E-3</v>
      </c>
      <c r="O555" s="25"/>
    </row>
    <row r="556" spans="1:15">
      <c r="A556" s="72">
        <v>499.64658106322975</v>
      </c>
      <c r="B556" s="72">
        <v>504.25139050123192</v>
      </c>
      <c r="C556" s="72">
        <v>498.66620227965507</v>
      </c>
      <c r="D556" s="72">
        <v>502.70655120590214</v>
      </c>
      <c r="E556" s="72">
        <v>4079079.1243142341</v>
      </c>
      <c r="F556" s="72" t="s">
        <v>576</v>
      </c>
      <c r="G556" s="25">
        <f t="shared" si="17"/>
        <v>-6.0869907808682733E-3</v>
      </c>
      <c r="O556" s="25"/>
    </row>
    <row r="557" spans="1:15">
      <c r="A557" s="72">
        <v>503.0036356857733</v>
      </c>
      <c r="B557" s="72">
        <v>509.19289568308812</v>
      </c>
      <c r="C557" s="72">
        <v>500.95474305626215</v>
      </c>
      <c r="D557" s="72">
        <v>508.26203097949195</v>
      </c>
      <c r="E557" s="72">
        <v>5105466.9724182151</v>
      </c>
      <c r="F557" s="72" t="s">
        <v>577</v>
      </c>
      <c r="G557" s="25">
        <f t="shared" si="17"/>
        <v>-1.0345835362883582E-2</v>
      </c>
      <c r="O557" s="25"/>
    </row>
    <row r="558" spans="1:15">
      <c r="A558" s="72">
        <v>506.81621984411925</v>
      </c>
      <c r="B558" s="72">
        <v>510.10395475469284</v>
      </c>
      <c r="C558" s="72">
        <v>506.588455076218</v>
      </c>
      <c r="D558" s="72">
        <v>508.5690182753587</v>
      </c>
      <c r="E558" s="72">
        <v>5033220.8557267217</v>
      </c>
      <c r="F558" s="72" t="s">
        <v>578</v>
      </c>
      <c r="G558" s="25">
        <f t="shared" si="17"/>
        <v>-3.4465301035904172E-3</v>
      </c>
      <c r="O558" s="25"/>
    </row>
    <row r="559" spans="1:15">
      <c r="A559" s="72">
        <v>513.99576144100433</v>
      </c>
      <c r="B559" s="72">
        <v>514.3522628168497</v>
      </c>
      <c r="C559" s="72">
        <v>511.57947433805271</v>
      </c>
      <c r="D559" s="72">
        <v>512.30237990573903</v>
      </c>
      <c r="E559" s="72">
        <v>4205167.5016547516</v>
      </c>
      <c r="F559" s="72" t="s">
        <v>579</v>
      </c>
      <c r="G559" s="25">
        <f t="shared" si="17"/>
        <v>3.3054336690312436E-3</v>
      </c>
      <c r="O559" s="25"/>
    </row>
    <row r="560" spans="1:15">
      <c r="A560" s="72">
        <v>511.09423635426322</v>
      </c>
      <c r="B560" s="72">
        <v>514.07498396897006</v>
      </c>
      <c r="C560" s="72">
        <v>509.34143792302365</v>
      </c>
      <c r="D560" s="72">
        <v>511.5596687060613</v>
      </c>
      <c r="E560" s="72">
        <v>7847791.9849986648</v>
      </c>
      <c r="F560" s="72" t="s">
        <v>580</v>
      </c>
      <c r="G560" s="25">
        <f t="shared" si="17"/>
        <v>-9.0983003600608736E-4</v>
      </c>
      <c r="O560" s="25"/>
    </row>
    <row r="561" spans="1:15">
      <c r="A561" s="72">
        <v>509.54939705893338</v>
      </c>
      <c r="B561" s="72">
        <v>512.99557702543825</v>
      </c>
      <c r="C561" s="72">
        <v>507.1925268519559</v>
      </c>
      <c r="D561" s="72">
        <v>507.50941696381847</v>
      </c>
      <c r="E561" s="72">
        <v>5289576.2198071387</v>
      </c>
      <c r="F561" s="72" t="s">
        <v>581</v>
      </c>
      <c r="G561" s="25">
        <f t="shared" si="17"/>
        <v>4.0195906261584202E-3</v>
      </c>
      <c r="O561" s="25"/>
    </row>
    <row r="562" spans="1:15">
      <c r="A562" s="72">
        <v>506.42010720429101</v>
      </c>
      <c r="B562" s="72">
        <v>511.76762784197103</v>
      </c>
      <c r="C562" s="72">
        <v>505.86059810053376</v>
      </c>
      <c r="D562" s="72">
        <v>510.98530537831044</v>
      </c>
      <c r="E562" s="72">
        <v>5600738.2166913431</v>
      </c>
      <c r="F562" s="72" t="s">
        <v>582</v>
      </c>
      <c r="G562" s="25">
        <f t="shared" si="17"/>
        <v>-8.9341085271318343E-3</v>
      </c>
      <c r="O562" s="25"/>
    </row>
    <row r="563" spans="1:15">
      <c r="A563" s="72">
        <v>510.79715187439206</v>
      </c>
      <c r="B563" s="72">
        <v>511.16850747423092</v>
      </c>
      <c r="C563" s="72">
        <v>506.71719168416217</v>
      </c>
      <c r="D563" s="72">
        <v>507.00437334803757</v>
      </c>
      <c r="E563" s="72">
        <v>3480750.3254583725</v>
      </c>
      <c r="F563" s="72" t="s">
        <v>583</v>
      </c>
      <c r="G563" s="25">
        <f t="shared" si="17"/>
        <v>7.480760967225164E-3</v>
      </c>
      <c r="O563" s="25"/>
    </row>
    <row r="564" spans="1:15">
      <c r="A564" s="72">
        <v>505.92496640450588</v>
      </c>
      <c r="B564" s="72">
        <v>507.03408179602468</v>
      </c>
      <c r="C564" s="72">
        <v>505.57836784465627</v>
      </c>
      <c r="D564" s="72">
        <v>506.24185651636839</v>
      </c>
      <c r="E564" s="72">
        <v>3176695.3979199519</v>
      </c>
      <c r="F564" s="72" t="s">
        <v>584</v>
      </c>
      <c r="G564" s="25">
        <f t="shared" si="17"/>
        <v>-6.2596584573848535E-4</v>
      </c>
      <c r="O564" s="25"/>
    </row>
    <row r="565" spans="1:15">
      <c r="A565" s="72">
        <v>505.37040870874642</v>
      </c>
      <c r="B565" s="72">
        <v>506.23690510837054</v>
      </c>
      <c r="C565" s="72">
        <v>504.3702242931804</v>
      </c>
      <c r="D565" s="72">
        <v>505.53875658067341</v>
      </c>
      <c r="E565" s="72">
        <v>3174227.4130547778</v>
      </c>
      <c r="F565" s="72" t="s">
        <v>585</v>
      </c>
      <c r="G565" s="25">
        <f t="shared" si="17"/>
        <v>-3.330068560235544E-4</v>
      </c>
      <c r="O565" s="25"/>
    </row>
    <row r="566" spans="1:15">
      <c r="A566" s="72">
        <v>504.88517072495694</v>
      </c>
      <c r="B566" s="72">
        <v>505.14264394084529</v>
      </c>
      <c r="C566" s="72">
        <v>501.56772736639624</v>
      </c>
      <c r="D566" s="72">
        <v>502.20150759012125</v>
      </c>
      <c r="E566" s="72">
        <v>3187903.3210044717</v>
      </c>
      <c r="F566" s="72" t="s">
        <v>586</v>
      </c>
      <c r="G566" s="25">
        <f t="shared" si="17"/>
        <v>5.3437974483860895E-3</v>
      </c>
      <c r="O566" s="25"/>
    </row>
    <row r="567" spans="1:15">
      <c r="A567" s="72">
        <v>501.88461747825875</v>
      </c>
      <c r="B567" s="72">
        <v>502.21141040611695</v>
      </c>
      <c r="C567" s="72">
        <v>499.31978813537154</v>
      </c>
      <c r="D567" s="72">
        <v>499.31978813537154</v>
      </c>
      <c r="E567" s="72">
        <v>2151999.9977022349</v>
      </c>
      <c r="F567" s="72" t="s">
        <v>587</v>
      </c>
      <c r="G567" s="25">
        <f t="shared" si="17"/>
        <v>5.1366467018363338E-3</v>
      </c>
      <c r="O567" s="25"/>
    </row>
    <row r="568" spans="1:15">
      <c r="A568" s="72">
        <v>499.62677543123829</v>
      </c>
      <c r="B568" s="72">
        <v>499.70599795920396</v>
      </c>
      <c r="C568" s="72">
        <v>494.75458996135211</v>
      </c>
      <c r="D568" s="72">
        <v>494.83381248931772</v>
      </c>
      <c r="E568" s="72">
        <v>4251399.8056982309</v>
      </c>
      <c r="F568" s="72" t="s">
        <v>588</v>
      </c>
      <c r="G568" s="25">
        <f t="shared" si="17"/>
        <v>9.6860053233003285E-3</v>
      </c>
      <c r="O568" s="25"/>
    </row>
    <row r="569" spans="1:15">
      <c r="A569" s="72">
        <v>496.40836023263461</v>
      </c>
      <c r="B569" s="72">
        <v>496.8043738443028</v>
      </c>
      <c r="C569" s="72">
        <v>493.75440554578603</v>
      </c>
      <c r="D569" s="72">
        <v>496.6163193685444</v>
      </c>
      <c r="E569" s="72">
        <v>4411397.7295905249</v>
      </c>
      <c r="F569" s="72" t="s">
        <v>589</v>
      </c>
      <c r="G569" s="25">
        <f t="shared" si="17"/>
        <v>-4.1875211868636075E-4</v>
      </c>
      <c r="O569" s="25"/>
    </row>
    <row r="570" spans="1:15">
      <c r="A570" s="72">
        <v>495.2695363931287</v>
      </c>
      <c r="B570" s="72">
        <v>500.81511335072275</v>
      </c>
      <c r="C570" s="72">
        <v>494.16042100160985</v>
      </c>
      <c r="D570" s="72">
        <v>498.08193613590856</v>
      </c>
      <c r="E570" s="72">
        <v>5653514.1139943674</v>
      </c>
      <c r="F570" s="72" t="s">
        <v>590</v>
      </c>
      <c r="G570" s="25">
        <f t="shared" si="17"/>
        <v>-5.6464600274370724E-3</v>
      </c>
      <c r="O570" s="25"/>
    </row>
    <row r="571" spans="1:15">
      <c r="A571" s="72">
        <v>497.18721671069676</v>
      </c>
      <c r="B571" s="72">
        <v>497.80888575213316</v>
      </c>
      <c r="C571" s="72">
        <v>495.67744903863684</v>
      </c>
      <c r="D571" s="72">
        <v>496.34845689288568</v>
      </c>
      <c r="E571" s="72">
        <v>3668161.832107625</v>
      </c>
      <c r="F571" s="72" t="s">
        <v>591</v>
      </c>
      <c r="G571" s="25">
        <f t="shared" si="17"/>
        <v>1.6898608349902311E-3</v>
      </c>
      <c r="O571" s="25"/>
    </row>
    <row r="572" spans="1:15">
      <c r="A572" s="72">
        <v>496.41753123082304</v>
      </c>
      <c r="B572" s="72">
        <v>497.10827461019687</v>
      </c>
      <c r="C572" s="72">
        <v>494.26635899220179</v>
      </c>
      <c r="D572" s="72">
        <v>494.83868922082587</v>
      </c>
      <c r="E572" s="72">
        <v>3245619.2371071526</v>
      </c>
      <c r="F572" s="72" t="s">
        <v>592</v>
      </c>
      <c r="G572" s="25">
        <f t="shared" si="17"/>
        <v>3.1906195784392466E-3</v>
      </c>
      <c r="O572" s="25"/>
    </row>
    <row r="573" spans="1:15">
      <c r="A573" s="72">
        <v>495.86493652732401</v>
      </c>
      <c r="B573" s="72">
        <v>496.18070492932344</v>
      </c>
      <c r="C573" s="72">
        <v>493.70389652614028</v>
      </c>
      <c r="D573" s="72">
        <v>495.07551552232536</v>
      </c>
      <c r="E573" s="72">
        <v>6421642.1502602752</v>
      </c>
      <c r="F573" s="72" t="s">
        <v>593</v>
      </c>
      <c r="G573" s="25">
        <f t="shared" si="17"/>
        <v>1.5945466504554417E-3</v>
      </c>
      <c r="O573" s="25"/>
    </row>
    <row r="574" spans="1:15">
      <c r="A574" s="72">
        <v>493.81244191432762</v>
      </c>
      <c r="B574" s="72">
        <v>497.76892131375513</v>
      </c>
      <c r="C574" s="72">
        <v>493.81244191432762</v>
      </c>
      <c r="D574" s="72">
        <v>495.39128392432485</v>
      </c>
      <c r="E574" s="72">
        <v>7116956.8131896658</v>
      </c>
      <c r="F574" s="72" t="s">
        <v>594</v>
      </c>
      <c r="G574" s="25">
        <f t="shared" si="17"/>
        <v>-3.1870605342310121E-3</v>
      </c>
      <c r="O574" s="25"/>
    </row>
    <row r="575" spans="1:15">
      <c r="A575" s="72">
        <v>495.14458986026278</v>
      </c>
      <c r="B575" s="72">
        <v>496.56130453135847</v>
      </c>
      <c r="C575" s="72">
        <v>494.22688794195193</v>
      </c>
      <c r="D575" s="72">
        <v>495.46035826226228</v>
      </c>
      <c r="E575" s="72">
        <v>4406103.1793878563</v>
      </c>
      <c r="F575" s="72" t="s">
        <v>595</v>
      </c>
      <c r="G575" s="25">
        <f t="shared" si="17"/>
        <v>-6.3732324238208182E-4</v>
      </c>
      <c r="O575" s="25"/>
    </row>
    <row r="576" spans="1:15">
      <c r="A576" s="72">
        <v>496.23004374213588</v>
      </c>
      <c r="B576" s="72">
        <v>499.05222383500598</v>
      </c>
      <c r="C576" s="72">
        <v>494.56239186907629</v>
      </c>
      <c r="D576" s="72">
        <v>498.46015808125702</v>
      </c>
      <c r="E576" s="72">
        <v>4875337.2099678321</v>
      </c>
      <c r="F576" s="72" t="s">
        <v>596</v>
      </c>
      <c r="G576" s="25">
        <f t="shared" si="17"/>
        <v>-4.4740072059231695E-3</v>
      </c>
      <c r="O576" s="25"/>
    </row>
    <row r="577" spans="1:15">
      <c r="A577" s="72">
        <v>497.61153050088348</v>
      </c>
      <c r="B577" s="72">
        <v>497.68573607535336</v>
      </c>
      <c r="C577" s="72">
        <v>495.98334967807381</v>
      </c>
      <c r="D577" s="72">
        <v>496.39779570569812</v>
      </c>
      <c r="E577" s="72">
        <v>3477652.5866635391</v>
      </c>
      <c r="F577" s="72" t="s">
        <v>597</v>
      </c>
      <c r="G577" s="25">
        <f t="shared" si="17"/>
        <v>2.4450849816122222E-3</v>
      </c>
      <c r="O577" s="25"/>
    </row>
    <row r="578" spans="1:15">
      <c r="A578" s="72">
        <v>496.28925031751078</v>
      </c>
      <c r="B578" s="72">
        <v>497.51285287525866</v>
      </c>
      <c r="C578" s="72">
        <v>491.32576574858194</v>
      </c>
      <c r="D578" s="72">
        <v>491.88822821464345</v>
      </c>
      <c r="E578" s="72">
        <v>4671311.2225920837</v>
      </c>
      <c r="F578" s="72" t="s">
        <v>598</v>
      </c>
      <c r="G578" s="25">
        <f t="shared" si="17"/>
        <v>8.9471994864387394E-3</v>
      </c>
      <c r="O578" s="25"/>
    </row>
    <row r="579" spans="1:15">
      <c r="A579" s="72">
        <v>492.38161634276764</v>
      </c>
      <c r="B579" s="72">
        <v>492.44082291814249</v>
      </c>
      <c r="C579" s="72">
        <v>489.72718821345973</v>
      </c>
      <c r="D579" s="72">
        <v>490.68436118202055</v>
      </c>
      <c r="E579" s="72">
        <v>5889932.9642338268</v>
      </c>
      <c r="F579" s="72" t="s">
        <v>599</v>
      </c>
      <c r="G579" s="25">
        <f t="shared" si="17"/>
        <v>3.4589550738044483E-3</v>
      </c>
      <c r="O579" s="25"/>
    </row>
    <row r="580" spans="1:15">
      <c r="A580" s="72">
        <v>491.98690584026826</v>
      </c>
      <c r="B580" s="72">
        <v>492.84540118320427</v>
      </c>
      <c r="C580" s="72">
        <v>489.50022967452264</v>
      </c>
      <c r="D580" s="72">
        <v>492.69738474476708</v>
      </c>
      <c r="E580" s="72">
        <v>8926926.3870325722</v>
      </c>
      <c r="F580" s="72" t="s">
        <v>600</v>
      </c>
      <c r="G580" s="25">
        <f t="shared" si="17"/>
        <v>-1.4420188263569722E-3</v>
      </c>
      <c r="O580" s="25"/>
    </row>
    <row r="581" spans="1:15">
      <c r="A581" s="72">
        <v>491.05933615939489</v>
      </c>
      <c r="B581" s="72">
        <v>493.53614456257804</v>
      </c>
      <c r="C581" s="72">
        <v>490.14163424108398</v>
      </c>
      <c r="D581" s="72">
        <v>491.34550127370693</v>
      </c>
      <c r="E581" s="72">
        <v>3748354.2764423308</v>
      </c>
      <c r="F581" s="72" t="s">
        <v>601</v>
      </c>
      <c r="G581" s="25">
        <f t="shared" si="17"/>
        <v>-5.8241118229473976E-4</v>
      </c>
      <c r="O581" s="25"/>
    </row>
    <row r="582" spans="1:15">
      <c r="A582" s="72">
        <v>487.00368574621444</v>
      </c>
      <c r="B582" s="72">
        <v>487.13196665952677</v>
      </c>
      <c r="C582" s="72">
        <v>482.64114791734079</v>
      </c>
      <c r="D582" s="72">
        <v>484.49727405534384</v>
      </c>
      <c r="E582" s="72">
        <v>4082407.7134932731</v>
      </c>
      <c r="F582" s="72" t="s">
        <v>602</v>
      </c>
      <c r="G582" s="25">
        <f t="shared" si="17"/>
        <v>5.1732214505386676E-3</v>
      </c>
      <c r="O582" s="25"/>
    </row>
    <row r="583" spans="1:15">
      <c r="A583" s="72">
        <v>485.89849633921642</v>
      </c>
      <c r="B583" s="72">
        <v>486.17479369096588</v>
      </c>
      <c r="C583" s="72">
        <v>483.08618400890879</v>
      </c>
      <c r="D583" s="72">
        <v>483.68811752522026</v>
      </c>
      <c r="E583" s="72">
        <v>3511659.2824950577</v>
      </c>
      <c r="F583" s="72" t="s">
        <v>603</v>
      </c>
      <c r="G583" s="25">
        <f t="shared" si="17"/>
        <v>4.5698431156537822E-3</v>
      </c>
      <c r="O583" s="25"/>
    </row>
    <row r="584" spans="1:15">
      <c r="A584" s="72">
        <v>484.30978656665667</v>
      </c>
      <c r="B584" s="72">
        <v>487.00368574621444</v>
      </c>
      <c r="C584" s="72">
        <v>483.06644848378386</v>
      </c>
      <c r="D584" s="72">
        <v>484.0630925025946</v>
      </c>
      <c r="E584" s="72">
        <v>3104641.9901181473</v>
      </c>
      <c r="F584" s="72" t="s">
        <v>604</v>
      </c>
      <c r="G584" s="25">
        <f t="shared" si="17"/>
        <v>5.0963204566301101E-4</v>
      </c>
      <c r="O584" s="25"/>
    </row>
    <row r="585" spans="1:15">
      <c r="A585" s="72">
        <v>484.94132337065554</v>
      </c>
      <c r="B585" s="72">
        <v>485.67153780027928</v>
      </c>
      <c r="C585" s="72">
        <v>483.16522478703428</v>
      </c>
      <c r="D585" s="72">
        <v>485.33603387315486</v>
      </c>
      <c r="E585" s="72">
        <v>21629993.491280023</v>
      </c>
      <c r="F585" s="72" t="s">
        <v>605</v>
      </c>
      <c r="G585" s="25">
        <f t="shared" si="17"/>
        <v>-8.1327260897856579E-4</v>
      </c>
      <c r="O585" s="25"/>
    </row>
    <row r="586" spans="1:15">
      <c r="A586" s="72">
        <v>485.04986875884288</v>
      </c>
      <c r="B586" s="72">
        <v>485.04986875884288</v>
      </c>
      <c r="C586" s="72">
        <v>479.63246711203982</v>
      </c>
      <c r="D586" s="72">
        <v>481.4185321358492</v>
      </c>
      <c r="E586" s="72">
        <v>3066699.244979193</v>
      </c>
      <c r="F586" s="72" t="s">
        <v>606</v>
      </c>
      <c r="G586" s="25">
        <f t="shared" si="17"/>
        <v>7.5429930104331522E-3</v>
      </c>
      <c r="O586" s="25"/>
    </row>
    <row r="587" spans="1:15">
      <c r="A587" s="72">
        <v>479.31669871004038</v>
      </c>
      <c r="B587" s="72">
        <v>479.9778388017267</v>
      </c>
      <c r="C587" s="72">
        <v>476.17875021517079</v>
      </c>
      <c r="D587" s="72">
        <v>477.59970802416836</v>
      </c>
      <c r="E587" s="72">
        <v>2594579.0484806858</v>
      </c>
      <c r="F587" s="72" t="s">
        <v>607</v>
      </c>
      <c r="G587" s="25">
        <f t="shared" si="17"/>
        <v>3.5950413223140298E-3</v>
      </c>
      <c r="O587" s="25"/>
    </row>
    <row r="588" spans="1:15">
      <c r="A588" s="72">
        <v>478.73450071885384</v>
      </c>
      <c r="B588" s="72">
        <v>479.9778388017267</v>
      </c>
      <c r="C588" s="72">
        <v>474.04731350167452</v>
      </c>
      <c r="D588" s="72">
        <v>479.86929341353942</v>
      </c>
      <c r="E588" s="72">
        <v>4267690.8502147933</v>
      </c>
      <c r="F588" s="72" t="s">
        <v>608</v>
      </c>
      <c r="G588" s="25">
        <f t="shared" si="17"/>
        <v>-2.3647953937899757E-3</v>
      </c>
      <c r="O588" s="25"/>
    </row>
    <row r="589" spans="1:15">
      <c r="A589" s="72">
        <v>478.21150930304231</v>
      </c>
      <c r="B589" s="72">
        <v>478.49767441735429</v>
      </c>
      <c r="C589" s="72">
        <v>470.17421669590004</v>
      </c>
      <c r="D589" s="72">
        <v>474.87620555692308</v>
      </c>
      <c r="E589" s="72">
        <v>5405451.3028918337</v>
      </c>
      <c r="F589" s="72" t="s">
        <v>609</v>
      </c>
      <c r="G589" s="25">
        <f t="shared" si="17"/>
        <v>7.0235225667028001E-3</v>
      </c>
      <c r="O589" s="25"/>
    </row>
    <row r="590" spans="1:15">
      <c r="A590" s="72">
        <v>474.08678455192444</v>
      </c>
      <c r="B590" s="72">
        <v>476.36663241436048</v>
      </c>
      <c r="C590" s="72">
        <v>472.86318199417656</v>
      </c>
      <c r="D590" s="72">
        <v>475.74456866242156</v>
      </c>
      <c r="E590" s="72">
        <v>3439066.3319184515</v>
      </c>
      <c r="F590" s="72" t="s">
        <v>610</v>
      </c>
      <c r="G590" s="25">
        <f t="shared" si="17"/>
        <v>-3.4846096407533667E-3</v>
      </c>
      <c r="O590" s="25"/>
    </row>
    <row r="591" spans="1:15">
      <c r="A591" s="72">
        <v>477.29380738473139</v>
      </c>
      <c r="B591" s="72">
        <v>478.27071587841715</v>
      </c>
      <c r="C591" s="72">
        <v>476.57346071767012</v>
      </c>
      <c r="D591" s="72">
        <v>476.80041925660726</v>
      </c>
      <c r="E591" s="72">
        <v>5680072.8275627885</v>
      </c>
      <c r="F591" s="72" t="s">
        <v>611</v>
      </c>
      <c r="G591" s="25">
        <f t="shared" si="17"/>
        <v>1.0347896272686619E-3</v>
      </c>
      <c r="O591" s="25"/>
    </row>
    <row r="592" spans="1:15">
      <c r="A592" s="72">
        <v>480.678449943663</v>
      </c>
      <c r="B592" s="72">
        <v>481.19650747819333</v>
      </c>
      <c r="C592" s="72">
        <v>478.11776555869864</v>
      </c>
      <c r="D592" s="72">
        <v>480.95474729541246</v>
      </c>
      <c r="E592" s="72">
        <v>4088785.0457001971</v>
      </c>
      <c r="F592" s="72" t="s">
        <v>612</v>
      </c>
      <c r="G592" s="25">
        <f t="shared" si="17"/>
        <v>-5.7447681575695242E-4</v>
      </c>
      <c r="O592" s="25"/>
    </row>
    <row r="593" spans="1:15">
      <c r="A593" s="72">
        <v>480.29360720372614</v>
      </c>
      <c r="B593" s="72">
        <v>480.95474729541246</v>
      </c>
      <c r="C593" s="72">
        <v>477.92534418873026</v>
      </c>
      <c r="D593" s="72">
        <v>478.76410400654134</v>
      </c>
      <c r="E593" s="72">
        <v>2589483.6684812554</v>
      </c>
      <c r="F593" s="72" t="s">
        <v>613</v>
      </c>
      <c r="G593" s="25">
        <f t="shared" si="17"/>
        <v>3.1946906302815492E-3</v>
      </c>
      <c r="O593" s="25"/>
    </row>
    <row r="594" spans="1:15">
      <c r="A594" s="72">
        <v>477.04711332066933</v>
      </c>
      <c r="B594" s="72">
        <v>483.51049779909556</v>
      </c>
      <c r="C594" s="72">
        <v>475.9123206259838</v>
      </c>
      <c r="D594" s="72">
        <v>483.43155569859573</v>
      </c>
      <c r="E594" s="72">
        <v>3862382.1518472382</v>
      </c>
      <c r="F594" s="72" t="s">
        <v>614</v>
      </c>
      <c r="G594" s="25">
        <f t="shared" si="17"/>
        <v>-1.320650731767059E-2</v>
      </c>
      <c r="O594" s="25"/>
    </row>
    <row r="595" spans="1:15">
      <c r="A595" s="72">
        <v>480.6192433682881</v>
      </c>
      <c r="B595" s="72">
        <v>481.97112683934824</v>
      </c>
      <c r="C595" s="72">
        <v>478.52727770504174</v>
      </c>
      <c r="D595" s="72">
        <v>481.33959003534937</v>
      </c>
      <c r="E595" s="72">
        <v>3294141.8882115106</v>
      </c>
      <c r="F595" s="72" t="s">
        <v>615</v>
      </c>
      <c r="G595" s="25">
        <f t="shared" si="17"/>
        <v>-1.4965456446421888E-3</v>
      </c>
      <c r="O595" s="25"/>
    </row>
    <row r="596" spans="1:15">
      <c r="A596" s="72">
        <v>482.02046565216068</v>
      </c>
      <c r="B596" s="72">
        <v>482.11914327778544</v>
      </c>
      <c r="C596" s="72">
        <v>479.9186322263518</v>
      </c>
      <c r="D596" s="72">
        <v>480.09625195247645</v>
      </c>
      <c r="E596" s="72">
        <v>2486456.2604378862</v>
      </c>
      <c r="F596" s="72" t="s">
        <v>616</v>
      </c>
      <c r="G596" s="25">
        <f t="shared" si="17"/>
        <v>4.0079748422503503E-3</v>
      </c>
      <c r="O596" s="25"/>
    </row>
    <row r="597" spans="1:15">
      <c r="A597" s="72">
        <v>480.72778875647543</v>
      </c>
      <c r="B597" s="72">
        <v>482.14864788784729</v>
      </c>
      <c r="C597" s="72">
        <v>480.01730985197662</v>
      </c>
      <c r="D597" s="72">
        <v>480.34294601653852</v>
      </c>
      <c r="E597" s="72">
        <v>2634421.9204094037</v>
      </c>
      <c r="F597" s="72" t="s">
        <v>617</v>
      </c>
      <c r="G597" s="25">
        <f t="shared" si="17"/>
        <v>8.0118328608413947E-4</v>
      </c>
      <c r="O597" s="25"/>
    </row>
    <row r="598" spans="1:15">
      <c r="A598" s="72">
        <v>480.25413615347622</v>
      </c>
      <c r="B598" s="72">
        <v>480.29360720372614</v>
      </c>
      <c r="C598" s="72">
        <v>478.29045140354214</v>
      </c>
      <c r="D598" s="72">
        <v>479.66207039972721</v>
      </c>
      <c r="E598" s="72">
        <v>3317910.1941993055</v>
      </c>
      <c r="F598" s="72" t="s">
        <v>618</v>
      </c>
      <c r="G598" s="25">
        <f t="shared" si="17"/>
        <v>1.2343393198790409E-3</v>
      </c>
      <c r="O598" s="25"/>
    </row>
    <row r="599" spans="1:15">
      <c r="A599" s="72">
        <v>479.54365724897747</v>
      </c>
      <c r="B599" s="72">
        <v>482.10927551522298</v>
      </c>
      <c r="C599" s="72">
        <v>479.40550857310268</v>
      </c>
      <c r="D599" s="72">
        <v>480.60937560572563</v>
      </c>
      <c r="E599" s="72">
        <v>3392239.1006110399</v>
      </c>
      <c r="F599" s="72" t="s">
        <v>619</v>
      </c>
      <c r="G599" s="25">
        <f t="shared" si="17"/>
        <v>-2.2174314752079205E-3</v>
      </c>
      <c r="O599" s="25"/>
    </row>
    <row r="600" spans="1:15">
      <c r="A600" s="72">
        <v>480.46135916728832</v>
      </c>
      <c r="B600" s="72">
        <v>480.78699533185028</v>
      </c>
      <c r="C600" s="72">
        <v>476.35143606001429</v>
      </c>
      <c r="D600" s="72">
        <v>476.94843569504445</v>
      </c>
      <c r="E600" s="72">
        <v>4458442.2984870141</v>
      </c>
      <c r="F600" s="72" t="s">
        <v>620</v>
      </c>
      <c r="G600" s="25">
        <f t="shared" si="17"/>
        <v>7.3654156494393774E-3</v>
      </c>
      <c r="O600" s="25"/>
    </row>
    <row r="601" spans="1:15">
      <c r="A601" s="72">
        <v>474.67885030567345</v>
      </c>
      <c r="B601" s="72">
        <v>475.10316409586022</v>
      </c>
      <c r="C601" s="72">
        <v>472.15270308967786</v>
      </c>
      <c r="D601" s="72">
        <v>472.646091217802</v>
      </c>
      <c r="E601" s="72">
        <v>3301380.6112297941</v>
      </c>
      <c r="F601" s="72" t="s">
        <v>621</v>
      </c>
      <c r="G601" s="25">
        <f t="shared" si="17"/>
        <v>4.3008058791598192E-3</v>
      </c>
      <c r="O601" s="25"/>
    </row>
    <row r="602" spans="1:15">
      <c r="A602" s="72">
        <v>472.43886820398978</v>
      </c>
      <c r="B602" s="72">
        <v>474.06704902679951</v>
      </c>
      <c r="C602" s="72">
        <v>471.41262089749165</v>
      </c>
      <c r="D602" s="72">
        <v>473.99797468886214</v>
      </c>
      <c r="E602" s="72">
        <v>3150098.0899340655</v>
      </c>
      <c r="F602" s="72" t="s">
        <v>622</v>
      </c>
      <c r="G602" s="25">
        <f t="shared" si="17"/>
        <v>-3.2892682419071173E-3</v>
      </c>
      <c r="O602" s="25"/>
    </row>
    <row r="603" spans="1:15">
      <c r="A603" s="72">
        <v>472.40926491630239</v>
      </c>
      <c r="B603" s="72">
        <v>474.037445739112</v>
      </c>
      <c r="C603" s="72">
        <v>471.2744722216168</v>
      </c>
      <c r="D603" s="72">
        <v>473.34670235973823</v>
      </c>
      <c r="E603" s="72">
        <v>3392014.1255991319</v>
      </c>
      <c r="F603" s="72" t="s">
        <v>623</v>
      </c>
      <c r="G603" s="25">
        <f t="shared" ref="G603:G666" si="18">A603/D603-1</f>
        <v>-1.9804457045174972E-3</v>
      </c>
      <c r="O603" s="25"/>
    </row>
    <row r="604" spans="1:15">
      <c r="A604" s="72">
        <v>471.82706692511584</v>
      </c>
      <c r="B604" s="72">
        <v>471.82706692511584</v>
      </c>
      <c r="C604" s="72">
        <v>468.65951514255892</v>
      </c>
      <c r="D604" s="72">
        <v>469.30091970912025</v>
      </c>
      <c r="E604" s="72">
        <v>3532765.3841752745</v>
      </c>
      <c r="F604" s="72" t="s">
        <v>624</v>
      </c>
      <c r="G604" s="25">
        <f t="shared" si="18"/>
        <v>5.382787695283664E-3</v>
      </c>
      <c r="O604" s="25"/>
    </row>
    <row r="605" spans="1:15">
      <c r="A605" s="72">
        <v>469.13316774555813</v>
      </c>
      <c r="B605" s="72">
        <v>469.56734929830736</v>
      </c>
      <c r="C605" s="72">
        <v>467.2385573335614</v>
      </c>
      <c r="D605" s="72">
        <v>467.3273671966237</v>
      </c>
      <c r="E605" s="72">
        <v>3257960.4339315477</v>
      </c>
      <c r="F605" s="72" t="s">
        <v>625</v>
      </c>
      <c r="G605" s="25">
        <f t="shared" si="18"/>
        <v>3.8641018602589838E-3</v>
      </c>
      <c r="O605" s="25"/>
    </row>
    <row r="606" spans="1:15">
      <c r="A606" s="72">
        <v>469.11343222043308</v>
      </c>
      <c r="B606" s="72">
        <v>470.33703477818096</v>
      </c>
      <c r="C606" s="72">
        <v>468.43255660362178</v>
      </c>
      <c r="D606" s="72">
        <v>469.40946509730759</v>
      </c>
      <c r="E606" s="72">
        <v>3497552.7412078525</v>
      </c>
      <c r="F606" s="72" t="s">
        <v>626</v>
      </c>
      <c r="G606" s="25">
        <f t="shared" si="18"/>
        <v>-6.3064956905611869E-4</v>
      </c>
      <c r="O606" s="25"/>
    </row>
    <row r="607" spans="1:15">
      <c r="A607" s="72">
        <v>468.4424243661843</v>
      </c>
      <c r="B607" s="72">
        <v>468.53123422924665</v>
      </c>
      <c r="C607" s="72">
        <v>465.58077322306428</v>
      </c>
      <c r="D607" s="72">
        <v>465.97548372556361</v>
      </c>
      <c r="E607" s="72">
        <v>4846632.6279304698</v>
      </c>
      <c r="F607" s="72" t="s">
        <v>627</v>
      </c>
      <c r="G607" s="25">
        <f t="shared" si="18"/>
        <v>5.2941425606709558E-3</v>
      </c>
      <c r="O607" s="25"/>
    </row>
    <row r="608" spans="1:15">
      <c r="A608" s="72">
        <v>463.76510491156745</v>
      </c>
      <c r="B608" s="72">
        <v>464.77161669294065</v>
      </c>
      <c r="C608" s="72">
        <v>461.25879189832239</v>
      </c>
      <c r="D608" s="72">
        <v>463.54801413519277</v>
      </c>
      <c r="E608" s="72">
        <v>4648327.2889431035</v>
      </c>
      <c r="F608" s="72" t="s">
        <v>628</v>
      </c>
      <c r="G608" s="25">
        <f t="shared" si="18"/>
        <v>4.6832425068132899E-4</v>
      </c>
      <c r="O608" s="25"/>
    </row>
    <row r="609" spans="1:15">
      <c r="A609" s="72">
        <v>458.08127367557734</v>
      </c>
      <c r="B609" s="72">
        <v>458.80162034263856</v>
      </c>
      <c r="C609" s="72">
        <v>453.08818581896105</v>
      </c>
      <c r="D609" s="72">
        <v>457.23264609520379</v>
      </c>
      <c r="E609" s="72">
        <v>4025658.2734399545</v>
      </c>
      <c r="F609" s="72" t="s">
        <v>629</v>
      </c>
      <c r="G609" s="25">
        <f t="shared" si="18"/>
        <v>1.8560082872929318E-3</v>
      </c>
      <c r="O609" s="25"/>
    </row>
    <row r="610" spans="1:15">
      <c r="A610" s="72">
        <v>453.84800353627219</v>
      </c>
      <c r="B610" s="72">
        <v>460.89358600588491</v>
      </c>
      <c r="C610" s="72">
        <v>453.36448317071051</v>
      </c>
      <c r="D610" s="72">
        <v>454.67689559152075</v>
      </c>
      <c r="E610" s="72">
        <v>6197328.889175579</v>
      </c>
      <c r="F610" s="72" t="s">
        <v>630</v>
      </c>
      <c r="G610" s="25">
        <f t="shared" si="18"/>
        <v>-1.8230353538641886E-3</v>
      </c>
      <c r="O610" s="25"/>
    </row>
    <row r="611" spans="1:15">
      <c r="A611" s="72">
        <v>455.3281679206446</v>
      </c>
      <c r="B611" s="72">
        <v>462.14679185132024</v>
      </c>
      <c r="C611" s="72">
        <v>455.25909358270724</v>
      </c>
      <c r="D611" s="72">
        <v>461.23895769557186</v>
      </c>
      <c r="E611" s="72">
        <v>4423328.9688131372</v>
      </c>
      <c r="F611" s="72" t="s">
        <v>631</v>
      </c>
      <c r="G611" s="25">
        <f t="shared" si="18"/>
        <v>-1.2815027170424931E-2</v>
      </c>
      <c r="O611" s="25"/>
    </row>
    <row r="612" spans="1:15">
      <c r="A612" s="72">
        <v>462.64017997944438</v>
      </c>
      <c r="B612" s="72">
        <v>463.21251020806841</v>
      </c>
      <c r="C612" s="72">
        <v>460.04495842551137</v>
      </c>
      <c r="D612" s="72">
        <v>462.64017997944438</v>
      </c>
      <c r="E612" s="72">
        <v>3296801.0523162251</v>
      </c>
      <c r="F612" s="72" t="s">
        <v>632</v>
      </c>
      <c r="G612" s="25">
        <f t="shared" si="18"/>
        <v>0</v>
      </c>
      <c r="O612" s="25"/>
    </row>
    <row r="613" spans="1:15">
      <c r="A613" s="72">
        <v>461.03173468175964</v>
      </c>
      <c r="B613" s="72">
        <v>462.43295696563223</v>
      </c>
      <c r="C613" s="72">
        <v>458.66347166676383</v>
      </c>
      <c r="D613" s="72">
        <v>459.17659532001289</v>
      </c>
      <c r="E613" s="72">
        <v>4972872.9982385458</v>
      </c>
      <c r="F613" s="72" t="s">
        <v>633</v>
      </c>
      <c r="G613" s="25">
        <f t="shared" si="18"/>
        <v>4.0401435540369235E-3</v>
      </c>
      <c r="O613" s="25"/>
    </row>
    <row r="614" spans="1:15">
      <c r="A614" s="72">
        <v>456.46296061533013</v>
      </c>
      <c r="B614" s="72">
        <v>457.33132372082861</v>
      </c>
      <c r="C614" s="72">
        <v>451.21331093208926</v>
      </c>
      <c r="D614" s="72">
        <v>452.70334307902419</v>
      </c>
      <c r="E614" s="72">
        <v>4941574.1097575594</v>
      </c>
      <c r="F614" s="72" t="s">
        <v>634</v>
      </c>
      <c r="G614" s="25">
        <f t="shared" si="18"/>
        <v>8.3048150489350991E-3</v>
      </c>
      <c r="O614" s="25"/>
    </row>
    <row r="615" spans="1:15">
      <c r="A615" s="72">
        <v>458.35757102732686</v>
      </c>
      <c r="B615" s="72">
        <v>460.14363605113624</v>
      </c>
      <c r="C615" s="72">
        <v>456.3248119394554</v>
      </c>
      <c r="D615" s="72">
        <v>459.4134216215125</v>
      </c>
      <c r="E615" s="72">
        <v>7790861.3541524773</v>
      </c>
      <c r="F615" s="72" t="s">
        <v>635</v>
      </c>
      <c r="G615" s="25">
        <f t="shared" si="18"/>
        <v>-2.298258049272861E-3</v>
      </c>
      <c r="O615" s="25"/>
    </row>
    <row r="616" spans="1:15">
      <c r="A616" s="72">
        <v>458.69307495445122</v>
      </c>
      <c r="B616" s="72">
        <v>458.97924006876326</v>
      </c>
      <c r="C616" s="72">
        <v>454.57821796589593</v>
      </c>
      <c r="D616" s="72">
        <v>455.08147385658253</v>
      </c>
      <c r="E616" s="72">
        <v>4314453.2238611141</v>
      </c>
      <c r="F616" s="72" t="s">
        <v>636</v>
      </c>
      <c r="G616" s="25">
        <f t="shared" si="18"/>
        <v>7.9361637538488683E-3</v>
      </c>
      <c r="O616" s="25"/>
    </row>
    <row r="617" spans="1:15">
      <c r="A617" s="72">
        <v>452.97964043077371</v>
      </c>
      <c r="B617" s="72">
        <v>455.62410211989345</v>
      </c>
      <c r="C617" s="72">
        <v>449.32856828265511</v>
      </c>
      <c r="D617" s="72">
        <v>451.4994760464013</v>
      </c>
      <c r="E617" s="72">
        <v>5896055.932801161</v>
      </c>
      <c r="F617" s="72" t="s">
        <v>637</v>
      </c>
      <c r="G617" s="25">
        <f t="shared" si="18"/>
        <v>3.2783302371326428E-3</v>
      </c>
      <c r="O617" s="25"/>
    </row>
    <row r="618" spans="1:15">
      <c r="A618" s="72">
        <v>449.08187421859304</v>
      </c>
      <c r="B618" s="72">
        <v>453.85787129883465</v>
      </c>
      <c r="C618" s="72">
        <v>447.89774271109502</v>
      </c>
      <c r="D618" s="72">
        <v>452.92043385539881</v>
      </c>
      <c r="E618" s="72">
        <v>9918615.2261221297</v>
      </c>
      <c r="F618" s="72" t="s">
        <v>638</v>
      </c>
      <c r="G618" s="25">
        <f t="shared" si="18"/>
        <v>-8.4751301771279763E-3</v>
      </c>
      <c r="O618" s="25"/>
    </row>
    <row r="619" spans="1:15">
      <c r="A619" s="72">
        <v>452.87109504258638</v>
      </c>
      <c r="B619" s="72">
        <v>457.17343951982895</v>
      </c>
      <c r="C619" s="72">
        <v>452.15074837552515</v>
      </c>
      <c r="D619" s="72">
        <v>455.25909358270724</v>
      </c>
      <c r="E619" s="72">
        <v>5712831.0134183131</v>
      </c>
      <c r="F619" s="72" t="s">
        <v>639</v>
      </c>
      <c r="G619" s="25">
        <f t="shared" si="18"/>
        <v>-5.245361539795379E-3</v>
      </c>
      <c r="O619" s="25"/>
    </row>
    <row r="620" spans="1:15">
      <c r="A620" s="72">
        <v>453.90721011164709</v>
      </c>
      <c r="B620" s="72">
        <v>459.0877854569506</v>
      </c>
      <c r="C620" s="72">
        <v>452.66387202877428</v>
      </c>
      <c r="D620" s="72">
        <v>458.95950454363833</v>
      </c>
      <c r="E620" s="72">
        <v>7252129.2995110629</v>
      </c>
      <c r="F620" s="72" t="s">
        <v>640</v>
      </c>
      <c r="G620" s="25">
        <f t="shared" si="18"/>
        <v>-1.1008148610006319E-2</v>
      </c>
      <c r="O620" s="25"/>
    </row>
    <row r="621" spans="1:15">
      <c r="A621" s="72">
        <v>456.66031586657977</v>
      </c>
      <c r="B621" s="72">
        <v>459.3542150461376</v>
      </c>
      <c r="C621" s="72">
        <v>455.48605212164432</v>
      </c>
      <c r="D621" s="72">
        <v>457.91352171201515</v>
      </c>
      <c r="E621" s="72">
        <v>6852028.4686488919</v>
      </c>
      <c r="F621" s="72" t="s">
        <v>641</v>
      </c>
      <c r="G621" s="25">
        <f t="shared" si="18"/>
        <v>-2.736774054520108E-3</v>
      </c>
      <c r="O621" s="25"/>
    </row>
    <row r="622" spans="1:15">
      <c r="A622" s="72">
        <v>457.47934015926592</v>
      </c>
      <c r="B622" s="72">
        <v>467.3273671966237</v>
      </c>
      <c r="C622" s="72">
        <v>456.72939020451719</v>
      </c>
      <c r="D622" s="72">
        <v>467.20895404587395</v>
      </c>
      <c r="E622" s="72">
        <v>9657755.6864138376</v>
      </c>
      <c r="F622" s="72" t="s">
        <v>642</v>
      </c>
      <c r="G622" s="25">
        <f t="shared" si="18"/>
        <v>-2.0824973071155495E-2</v>
      </c>
      <c r="O622" s="25"/>
    </row>
    <row r="623" spans="1:15">
      <c r="A623" s="72">
        <v>463.3605266465056</v>
      </c>
      <c r="B623" s="72">
        <v>467.78128427449792</v>
      </c>
      <c r="C623" s="72">
        <v>461.72247806113353</v>
      </c>
      <c r="D623" s="72">
        <v>466.51821066650012</v>
      </c>
      <c r="E623" s="72">
        <v>7052989.9315381097</v>
      </c>
      <c r="F623" s="72" t="s">
        <v>643</v>
      </c>
      <c r="G623" s="25">
        <f t="shared" si="18"/>
        <v>-6.7686189902066429E-3</v>
      </c>
      <c r="O623" s="25"/>
    </row>
    <row r="624" spans="1:15">
      <c r="A624" s="72">
        <v>469.764704549557</v>
      </c>
      <c r="B624" s="72">
        <v>471.11658802061714</v>
      </c>
      <c r="C624" s="72">
        <v>464.44598052837875</v>
      </c>
      <c r="D624" s="72">
        <v>467.71220993656055</v>
      </c>
      <c r="E624" s="72">
        <v>5178378.5510079227</v>
      </c>
      <c r="F624" s="72" t="s">
        <v>644</v>
      </c>
      <c r="G624" s="25">
        <f t="shared" si="18"/>
        <v>4.3883708173340086E-3</v>
      </c>
      <c r="O624" s="25"/>
    </row>
    <row r="625" spans="1:15">
      <c r="A625" s="72">
        <v>466.39979751575032</v>
      </c>
      <c r="B625" s="72">
        <v>468.11678820162234</v>
      </c>
      <c r="C625" s="72">
        <v>464.44598052837875</v>
      </c>
      <c r="D625" s="72">
        <v>465.66958308612664</v>
      </c>
      <c r="E625" s="72">
        <v>7026302.0174002824</v>
      </c>
      <c r="F625" s="72" t="s">
        <v>645</v>
      </c>
      <c r="G625" s="25">
        <f t="shared" si="18"/>
        <v>1.5680956114512146E-3</v>
      </c>
      <c r="O625" s="25"/>
    </row>
    <row r="626" spans="1:15">
      <c r="A626" s="72">
        <v>470.95870381961737</v>
      </c>
      <c r="B626" s="72">
        <v>472.27111624042766</v>
      </c>
      <c r="C626" s="72">
        <v>466.48860737881267</v>
      </c>
      <c r="D626" s="72">
        <v>472.05402546405298</v>
      </c>
      <c r="E626" s="72">
        <v>5324602.174738585</v>
      </c>
      <c r="F626" s="72" t="s">
        <v>646</v>
      </c>
      <c r="G626" s="25">
        <f t="shared" si="18"/>
        <v>-2.3203311175217234E-3</v>
      </c>
      <c r="O626" s="25"/>
    </row>
    <row r="627" spans="1:15">
      <c r="A627" s="72">
        <v>470.37650582843094</v>
      </c>
      <c r="B627" s="72">
        <v>471.74812482461601</v>
      </c>
      <c r="C627" s="72">
        <v>469.67589468649464</v>
      </c>
      <c r="D627" s="72">
        <v>470.84029066886757</v>
      </c>
      <c r="E627" s="72">
        <v>4800255.3466468742</v>
      </c>
      <c r="F627" s="72" t="s">
        <v>647</v>
      </c>
      <c r="G627" s="25">
        <f t="shared" si="18"/>
        <v>-9.8501519438320972E-4</v>
      </c>
      <c r="O627" s="25"/>
    </row>
    <row r="628" spans="1:15">
      <c r="A628" s="72">
        <v>470.18901833974377</v>
      </c>
      <c r="B628" s="72">
        <v>472.00468665124055</v>
      </c>
      <c r="C628" s="72">
        <v>466.17283897681324</v>
      </c>
      <c r="D628" s="72">
        <v>466.59715276700001</v>
      </c>
      <c r="E628" s="72">
        <v>5663046.6781255519</v>
      </c>
      <c r="F628" s="72" t="s">
        <v>648</v>
      </c>
      <c r="G628" s="25">
        <f t="shared" si="18"/>
        <v>7.6980014803849084E-3</v>
      </c>
      <c r="O628" s="25"/>
    </row>
    <row r="629" spans="1:15">
      <c r="A629" s="72">
        <v>465.24526929593986</v>
      </c>
      <c r="B629" s="72">
        <v>475.11303185842269</v>
      </c>
      <c r="C629" s="72">
        <v>465.03804628212771</v>
      </c>
      <c r="D629" s="72">
        <v>474.83673450667311</v>
      </c>
      <c r="E629" s="72">
        <v>6963270.5048297672</v>
      </c>
      <c r="F629" s="72" t="s">
        <v>649</v>
      </c>
      <c r="G629" s="25">
        <f t="shared" si="18"/>
        <v>-2.0199501246882634E-2</v>
      </c>
      <c r="O629" s="25"/>
    </row>
    <row r="630" spans="1:15">
      <c r="A630" s="72">
        <v>471.04751368267978</v>
      </c>
      <c r="B630" s="72">
        <v>472.47044504418977</v>
      </c>
      <c r="C630" s="72">
        <v>469.49827496036994</v>
      </c>
      <c r="D630" s="72">
        <v>469.54761377318232</v>
      </c>
      <c r="E630" s="72">
        <v>6308230.4226357285</v>
      </c>
      <c r="F630" s="72" t="s">
        <v>650</v>
      </c>
      <c r="G630" s="25">
        <f t="shared" si="18"/>
        <v>3.194351042367316E-3</v>
      </c>
      <c r="O630" s="25"/>
    </row>
    <row r="631" spans="1:15">
      <c r="A631" s="72">
        <v>470.62319989249301</v>
      </c>
      <c r="B631" s="72">
        <v>470.68240646786791</v>
      </c>
      <c r="C631" s="72">
        <v>468.43255660362178</v>
      </c>
      <c r="D631" s="72">
        <v>470.03113413874399</v>
      </c>
      <c r="E631" s="72">
        <v>4882385.4136066614</v>
      </c>
      <c r="F631" s="72" t="s">
        <v>651</v>
      </c>
      <c r="G631" s="25">
        <f t="shared" si="18"/>
        <v>1.259630928138078E-3</v>
      </c>
      <c r="O631" s="25"/>
    </row>
    <row r="632" spans="1:15">
      <c r="A632" s="72">
        <v>473.72167733711257</v>
      </c>
      <c r="B632" s="72">
        <v>475.58668446142184</v>
      </c>
      <c r="C632" s="72">
        <v>472.49807477936469</v>
      </c>
      <c r="D632" s="72">
        <v>475.07356080817272</v>
      </c>
      <c r="E632" s="72">
        <v>5810800.5372975701</v>
      </c>
      <c r="F632" s="72" t="s">
        <v>652</v>
      </c>
      <c r="G632" s="25">
        <f t="shared" si="18"/>
        <v>-2.8456297773347128E-3</v>
      </c>
      <c r="O632" s="25"/>
    </row>
    <row r="633" spans="1:15">
      <c r="A633" s="72">
        <v>474.34334637854897</v>
      </c>
      <c r="B633" s="72">
        <v>475.78384235742027</v>
      </c>
      <c r="C633" s="72">
        <v>474.14934616657058</v>
      </c>
      <c r="D633" s="72">
        <v>474.51109834211121</v>
      </c>
      <c r="E633" s="72">
        <v>4119493.1214246862</v>
      </c>
      <c r="F633" s="72" t="s">
        <v>653</v>
      </c>
      <c r="G633" s="25">
        <f t="shared" si="18"/>
        <v>-3.5352590097126324E-4</v>
      </c>
      <c r="O633" s="25"/>
    </row>
    <row r="634" spans="1:15">
      <c r="A634" s="72">
        <v>474.40255295392387</v>
      </c>
      <c r="B634" s="72">
        <v>474.51109834211121</v>
      </c>
      <c r="C634" s="72">
        <v>471.13632354574207</v>
      </c>
      <c r="D634" s="72">
        <v>473.16908263361353</v>
      </c>
      <c r="E634" s="72">
        <v>5017782.8749399669</v>
      </c>
      <c r="F634" s="72" t="s">
        <v>654</v>
      </c>
      <c r="G634" s="25">
        <f t="shared" si="18"/>
        <v>2.6068278033826164E-3</v>
      </c>
      <c r="O634" s="25"/>
    </row>
    <row r="635" spans="1:15">
      <c r="A635" s="72">
        <v>470.29756372793105</v>
      </c>
      <c r="B635" s="72">
        <v>473.0309339577388</v>
      </c>
      <c r="C635" s="72">
        <v>470.12981176436887</v>
      </c>
      <c r="D635" s="72">
        <v>472.72503331830183</v>
      </c>
      <c r="E635" s="72">
        <v>8181694.6332853744</v>
      </c>
      <c r="F635" s="72" t="s">
        <v>655</v>
      </c>
      <c r="G635" s="25">
        <f t="shared" si="18"/>
        <v>-5.1350561516302351E-3</v>
      </c>
      <c r="O635" s="25"/>
    </row>
    <row r="636" spans="1:15">
      <c r="A636" s="72">
        <v>471.61984391130375</v>
      </c>
      <c r="B636" s="72">
        <v>472.45860372911483</v>
      </c>
      <c r="C636" s="72">
        <v>471.23500117136695</v>
      </c>
      <c r="D636" s="72">
        <v>471.41262089749165</v>
      </c>
      <c r="E636" s="72">
        <v>6162771.9166257447</v>
      </c>
      <c r="F636" s="72" t="s">
        <v>656</v>
      </c>
      <c r="G636" s="25">
        <f t="shared" si="18"/>
        <v>4.3957884160494842E-4</v>
      </c>
      <c r="O636" s="25"/>
    </row>
    <row r="637" spans="1:15">
      <c r="A637" s="72">
        <v>472.84344646905163</v>
      </c>
      <c r="B637" s="72">
        <v>473.96837140117464</v>
      </c>
      <c r="C637" s="72">
        <v>472.48820701680222</v>
      </c>
      <c r="D637" s="72">
        <v>473.52432208586293</v>
      </c>
      <c r="E637" s="72">
        <v>5960320.7543333527</v>
      </c>
      <c r="F637" s="72" t="s">
        <v>657</v>
      </c>
      <c r="G637" s="25">
        <f t="shared" si="18"/>
        <v>-1.4378894283868515E-3</v>
      </c>
      <c r="O637" s="25"/>
    </row>
    <row r="638" spans="1:15">
      <c r="A638" s="72">
        <v>473.46225385934514</v>
      </c>
      <c r="B638" s="72">
        <v>475.31636489814201</v>
      </c>
      <c r="C638" s="72">
        <v>473.32454799969969</v>
      </c>
      <c r="D638" s="72">
        <v>474.71144272898545</v>
      </c>
      <c r="E638" s="72">
        <v>5128722.9303001203</v>
      </c>
      <c r="F638" s="72" t="s">
        <v>658</v>
      </c>
      <c r="G638" s="25">
        <f t="shared" si="18"/>
        <v>-2.6314698934979397E-3</v>
      </c>
      <c r="O638" s="25"/>
    </row>
    <row r="639" spans="1:15">
      <c r="A639" s="72">
        <v>471.88847260625494</v>
      </c>
      <c r="B639" s="72">
        <v>472.1540481927139</v>
      </c>
      <c r="C639" s="72">
        <v>467.14745658132085</v>
      </c>
      <c r="D639" s="72">
        <v>467.74746068406148</v>
      </c>
      <c r="E639" s="72">
        <v>6282302.3089051498</v>
      </c>
      <c r="F639" s="72" t="s">
        <v>659</v>
      </c>
      <c r="G639" s="25">
        <f t="shared" si="18"/>
        <v>8.8530933254824529E-3</v>
      </c>
      <c r="O639" s="25"/>
    </row>
    <row r="640" spans="1:15">
      <c r="A640" s="72">
        <v>467.80647748105235</v>
      </c>
      <c r="B640" s="72">
        <v>467.94418334069775</v>
      </c>
      <c r="C640" s="72">
        <v>463.56710423054074</v>
      </c>
      <c r="D640" s="72">
        <v>464.46219231823574</v>
      </c>
      <c r="E640" s="72">
        <v>4626053.8341683242</v>
      </c>
      <c r="F640" s="72" t="s">
        <v>660</v>
      </c>
      <c r="G640" s="25">
        <f t="shared" si="18"/>
        <v>7.2003388394747958E-3</v>
      </c>
      <c r="O640" s="25"/>
    </row>
    <row r="641" spans="1:15">
      <c r="A641" s="72">
        <v>465.1999022806217</v>
      </c>
      <c r="B641" s="72">
        <v>467.49073761715113</v>
      </c>
      <c r="C641" s="72">
        <v>464.75727630319011</v>
      </c>
      <c r="D641" s="72">
        <v>466.1835155638031</v>
      </c>
      <c r="E641" s="72">
        <v>4004729.366056887</v>
      </c>
      <c r="F641" s="72" t="s">
        <v>661</v>
      </c>
      <c r="G641" s="25">
        <f t="shared" si="18"/>
        <v>-2.1099272075114639E-3</v>
      </c>
      <c r="O641" s="25"/>
    </row>
    <row r="642" spans="1:15">
      <c r="A642" s="72">
        <v>462.30807922806855</v>
      </c>
      <c r="B642" s="72">
        <v>464.05045179789602</v>
      </c>
      <c r="C642" s="72">
        <v>461.03931645409295</v>
      </c>
      <c r="D642" s="72">
        <v>462.70152454134114</v>
      </c>
      <c r="E642" s="72">
        <v>6920491.128366488</v>
      </c>
      <c r="F642" s="72" t="s">
        <v>662</v>
      </c>
      <c r="G642" s="25">
        <f t="shared" si="18"/>
        <v>-8.5032205948010198E-4</v>
      </c>
      <c r="O642" s="25"/>
    </row>
    <row r="643" spans="1:15">
      <c r="A643" s="72">
        <v>465.51465853123977</v>
      </c>
      <c r="B643" s="72">
        <v>467.53598382817745</v>
      </c>
      <c r="C643" s="72">
        <v>462.74086907266832</v>
      </c>
      <c r="D643" s="72">
        <v>467.37368763645253</v>
      </c>
      <c r="E643" s="72">
        <v>5238827.1774181742</v>
      </c>
      <c r="F643" s="72" t="s">
        <v>663</v>
      </c>
      <c r="G643" s="25">
        <f t="shared" si="18"/>
        <v>-3.9776075427224722E-3</v>
      </c>
      <c r="O643" s="25"/>
    </row>
    <row r="644" spans="1:15">
      <c r="A644" s="72">
        <v>466.5376163457484</v>
      </c>
      <c r="B644" s="72">
        <v>467.67860775423878</v>
      </c>
      <c r="C644" s="72">
        <v>465.15072161646265</v>
      </c>
      <c r="D644" s="72">
        <v>467.52122962892975</v>
      </c>
      <c r="E644" s="72">
        <v>3603576.792431822</v>
      </c>
      <c r="F644" s="72" t="s">
        <v>664</v>
      </c>
      <c r="G644" s="25">
        <f t="shared" si="18"/>
        <v>-2.1038900927815574E-3</v>
      </c>
      <c r="O644" s="25"/>
    </row>
    <row r="645" spans="1:15">
      <c r="A645" s="72">
        <v>467.2458179096389</v>
      </c>
      <c r="B645" s="72">
        <v>467.75729681689324</v>
      </c>
      <c r="C645" s="72">
        <v>461.87528938346873</v>
      </c>
      <c r="D645" s="72">
        <v>464.18678059894495</v>
      </c>
      <c r="E645" s="72">
        <v>4891186.4878841415</v>
      </c>
      <c r="F645" s="72" t="s">
        <v>665</v>
      </c>
      <c r="G645" s="25">
        <f t="shared" si="18"/>
        <v>6.5901000169519275E-3</v>
      </c>
      <c r="O645" s="25"/>
    </row>
    <row r="646" spans="1:15">
      <c r="A646" s="72">
        <v>462.29824309523673</v>
      </c>
      <c r="B646" s="72">
        <v>462.74578713908426</v>
      </c>
      <c r="C646" s="72">
        <v>459.73101242613342</v>
      </c>
      <c r="D646" s="72">
        <v>461.51135246869165</v>
      </c>
      <c r="E646" s="72">
        <v>5412560.0894497139</v>
      </c>
      <c r="F646" s="72" t="s">
        <v>666</v>
      </c>
      <c r="G646" s="25">
        <f t="shared" si="18"/>
        <v>1.7050298380221207E-3</v>
      </c>
      <c r="O646" s="25"/>
    </row>
    <row r="647" spans="1:15">
      <c r="A647" s="72">
        <v>462.68185227567744</v>
      </c>
      <c r="B647" s="72">
        <v>468.49441661130936</v>
      </c>
      <c r="C647" s="72">
        <v>462.1211927042641</v>
      </c>
      <c r="D647" s="72">
        <v>466.00646517283042</v>
      </c>
      <c r="E647" s="72">
        <v>6390341.7201423468</v>
      </c>
      <c r="F647" s="72" t="s">
        <v>667</v>
      </c>
      <c r="G647" s="25">
        <f t="shared" si="18"/>
        <v>-7.1342634611731848E-3</v>
      </c>
      <c r="O647" s="25"/>
    </row>
    <row r="648" spans="1:15">
      <c r="A648" s="72">
        <v>465.50482239840795</v>
      </c>
      <c r="B648" s="72">
        <v>466.4195827517666</v>
      </c>
      <c r="C648" s="72">
        <v>463.06546145611816</v>
      </c>
      <c r="D648" s="72">
        <v>463.90153274682234</v>
      </c>
      <c r="E648" s="72">
        <v>7268915.6625406686</v>
      </c>
      <c r="F648" s="72" t="s">
        <v>668</v>
      </c>
      <c r="G648" s="25">
        <f t="shared" si="18"/>
        <v>3.4560990607044317E-3</v>
      </c>
      <c r="O648" s="25"/>
    </row>
    <row r="649" spans="1:15">
      <c r="A649" s="72">
        <v>460.94085676444649</v>
      </c>
      <c r="B649" s="72">
        <v>462.94742786213646</v>
      </c>
      <c r="C649" s="72">
        <v>459.66206113498242</v>
      </c>
      <c r="D649" s="72">
        <v>461.56053313285071</v>
      </c>
      <c r="E649" s="72">
        <v>5413763.8145520939</v>
      </c>
      <c r="F649" s="72" t="s">
        <v>669</v>
      </c>
      <c r="G649" s="25">
        <f t="shared" si="18"/>
        <v>-1.3425679275438362E-3</v>
      </c>
      <c r="O649" s="25"/>
    </row>
    <row r="650" spans="1:15">
      <c r="A650" s="72">
        <v>458.51133195498852</v>
      </c>
      <c r="B650" s="72">
        <v>461.68840285966428</v>
      </c>
      <c r="C650" s="72">
        <v>456.4555801931395</v>
      </c>
      <c r="D650" s="72">
        <v>461.26544914789633</v>
      </c>
      <c r="E650" s="72">
        <v>4693412.6235755878</v>
      </c>
      <c r="F650" s="72" t="s">
        <v>670</v>
      </c>
      <c r="G650" s="25">
        <f t="shared" si="18"/>
        <v>-5.9707857980595413E-3</v>
      </c>
      <c r="O650" s="25"/>
    </row>
    <row r="651" spans="1:15">
      <c r="A651" s="72">
        <v>463.1539866516045</v>
      </c>
      <c r="B651" s="72">
        <v>464.85563763150827</v>
      </c>
      <c r="C651" s="72">
        <v>462.88841106514559</v>
      </c>
      <c r="D651" s="72">
        <v>462.89824719797735</v>
      </c>
      <c r="E651" s="72">
        <v>4036385.0995981134</v>
      </c>
      <c r="F651" s="72" t="s">
        <v>671</v>
      </c>
      <c r="G651" s="25">
        <f t="shared" si="18"/>
        <v>5.5247444805672785E-4</v>
      </c>
      <c r="O651" s="25"/>
    </row>
    <row r="652" spans="1:15">
      <c r="A652" s="72">
        <v>463.70481009018607</v>
      </c>
      <c r="B652" s="72">
        <v>464.03923860646773</v>
      </c>
      <c r="C652" s="72">
        <v>459.77035695746065</v>
      </c>
      <c r="D652" s="72">
        <v>460.16380227073319</v>
      </c>
      <c r="E652" s="72">
        <v>4920044.3738901056</v>
      </c>
      <c r="F652" s="72" t="s">
        <v>672</v>
      </c>
      <c r="G652" s="25">
        <f t="shared" si="18"/>
        <v>7.6951029220015954E-3</v>
      </c>
      <c r="O652" s="25"/>
    </row>
    <row r="653" spans="1:15">
      <c r="A653" s="72">
        <v>459.27855031587001</v>
      </c>
      <c r="B653" s="72">
        <v>460.81298703763292</v>
      </c>
      <c r="C653" s="72">
        <v>456.85886163924386</v>
      </c>
      <c r="D653" s="72">
        <v>459.31789484719724</v>
      </c>
      <c r="E653" s="72">
        <v>7455085.3728639456</v>
      </c>
      <c r="F653" s="72" t="s">
        <v>673</v>
      </c>
      <c r="G653" s="25">
        <f t="shared" si="18"/>
        <v>-8.5658607619332194E-5</v>
      </c>
      <c r="O653" s="25"/>
    </row>
    <row r="654" spans="1:15">
      <c r="A654" s="72">
        <v>457.58673546879805</v>
      </c>
      <c r="B654" s="72">
        <v>458.1965757043705</v>
      </c>
      <c r="C654" s="72">
        <v>456.50476085729855</v>
      </c>
      <c r="D654" s="72">
        <v>456.8785339049075</v>
      </c>
      <c r="E654" s="72">
        <v>2847259.2307231338</v>
      </c>
      <c r="F654" s="72" t="s">
        <v>674</v>
      </c>
      <c r="G654" s="25">
        <f t="shared" si="18"/>
        <v>1.55008719240457E-3</v>
      </c>
      <c r="O654" s="25"/>
    </row>
    <row r="655" spans="1:15">
      <c r="A655" s="72">
        <v>458.29493703268861</v>
      </c>
      <c r="B655" s="72">
        <v>458.48182355649311</v>
      </c>
      <c r="C655" s="72">
        <v>456.30803820066234</v>
      </c>
      <c r="D655" s="72">
        <v>458.0785421103887</v>
      </c>
      <c r="E655" s="72">
        <v>3646700.4475565357</v>
      </c>
      <c r="F655" s="72" t="s">
        <v>675</v>
      </c>
      <c r="G655" s="25">
        <f t="shared" si="18"/>
        <v>4.7239698524825791E-4</v>
      </c>
      <c r="O655" s="25"/>
    </row>
    <row r="656" spans="1:15">
      <c r="A656" s="72">
        <v>457.44902960915266</v>
      </c>
      <c r="B656" s="72">
        <v>459.92773508276963</v>
      </c>
      <c r="C656" s="72">
        <v>457.32115988233909</v>
      </c>
      <c r="D656" s="72">
        <v>459.53428976949715</v>
      </c>
      <c r="E656" s="72">
        <v>3508293.4106368246</v>
      </c>
      <c r="F656" s="72" t="s">
        <v>676</v>
      </c>
      <c r="G656" s="25">
        <f t="shared" si="18"/>
        <v>-4.5377683597680463E-3</v>
      </c>
      <c r="O656" s="25"/>
    </row>
    <row r="657" spans="1:15">
      <c r="A657" s="72">
        <v>459.13100832339273</v>
      </c>
      <c r="B657" s="72">
        <v>461.18676008524181</v>
      </c>
      <c r="C657" s="72">
        <v>458.4530036872959</v>
      </c>
      <c r="D657" s="72">
        <v>460.41954172436033</v>
      </c>
      <c r="E657" s="72">
        <v>4118103.1908178921</v>
      </c>
      <c r="F657" s="72" t="s">
        <v>677</v>
      </c>
      <c r="G657" s="25">
        <f t="shared" si="18"/>
        <v>-2.7986071054711958E-3</v>
      </c>
      <c r="O657" s="25"/>
    </row>
    <row r="658" spans="1:15">
      <c r="A658" s="72">
        <v>458.9244495339247</v>
      </c>
      <c r="B658" s="72">
        <v>459.67199562914249</v>
      </c>
      <c r="C658" s="72">
        <v>454.73917501398802</v>
      </c>
      <c r="D658" s="72">
        <v>455.62934503526719</v>
      </c>
      <c r="E658" s="72">
        <v>4400648.1754699135</v>
      </c>
      <c r="F658" s="72" t="s">
        <v>678</v>
      </c>
      <c r="G658" s="25">
        <f t="shared" si="18"/>
        <v>7.2319848020379052E-3</v>
      </c>
      <c r="O658" s="25"/>
    </row>
    <row r="659" spans="1:15">
      <c r="A659" s="72">
        <v>449.48176201538371</v>
      </c>
      <c r="B659" s="72">
        <v>449.62930400786092</v>
      </c>
      <c r="C659" s="72">
        <v>446.16698525106256</v>
      </c>
      <c r="D659" s="72">
        <v>447.85880009813445</v>
      </c>
      <c r="E659" s="72">
        <v>4293433.275261458</v>
      </c>
      <c r="F659" s="72" t="s">
        <v>679</v>
      </c>
      <c r="G659" s="25">
        <f t="shared" si="18"/>
        <v>3.6238250021962681E-3</v>
      </c>
      <c r="O659" s="25"/>
    </row>
    <row r="660" spans="1:15">
      <c r="A660" s="72">
        <v>449.02929990512024</v>
      </c>
      <c r="B660" s="72">
        <v>450.55390049405139</v>
      </c>
      <c r="C660" s="72">
        <v>446.98338427610304</v>
      </c>
      <c r="D660" s="72">
        <v>449.94406025847894</v>
      </c>
      <c r="E660" s="72">
        <v>5395193.508200678</v>
      </c>
      <c r="F660" s="72" t="s">
        <v>680</v>
      </c>
      <c r="G660" s="25">
        <f t="shared" si="18"/>
        <v>-2.0330535152152107E-3</v>
      </c>
      <c r="O660" s="25"/>
    </row>
    <row r="661" spans="1:15">
      <c r="A661" s="72">
        <v>451.50800537873727</v>
      </c>
      <c r="B661" s="72">
        <v>454.5768788222631</v>
      </c>
      <c r="C661" s="72">
        <v>450.888329010333</v>
      </c>
      <c r="D661" s="72">
        <v>453.52441260925906</v>
      </c>
      <c r="E661" s="72">
        <v>5619986.1210910352</v>
      </c>
      <c r="F661" s="72" t="s">
        <v>681</v>
      </c>
      <c r="G661" s="25">
        <f t="shared" si="18"/>
        <v>-4.4460831092218989E-3</v>
      </c>
      <c r="O661" s="25"/>
    </row>
    <row r="662" spans="1:15">
      <c r="A662" s="72">
        <v>453.82933272704526</v>
      </c>
      <c r="B662" s="72">
        <v>453.97687471952253</v>
      </c>
      <c r="C662" s="72">
        <v>450.91783740882846</v>
      </c>
      <c r="D662" s="72">
        <v>451.38013565192369</v>
      </c>
      <c r="E662" s="72">
        <v>5790599.9211174203</v>
      </c>
      <c r="F662" s="72" t="s">
        <v>682</v>
      </c>
      <c r="G662" s="25">
        <f t="shared" si="18"/>
        <v>5.4260187404662208E-3</v>
      </c>
      <c r="O662" s="25"/>
    </row>
    <row r="663" spans="1:15">
      <c r="A663" s="72">
        <v>450.78013154918312</v>
      </c>
      <c r="B663" s="72">
        <v>451.15390459679202</v>
      </c>
      <c r="C663" s="72">
        <v>446.95387587760757</v>
      </c>
      <c r="D663" s="72">
        <v>449.09323476852705</v>
      </c>
      <c r="E663" s="72">
        <v>5717703.3862433787</v>
      </c>
      <c r="F663" s="72" t="s">
        <v>683</v>
      </c>
      <c r="G663" s="25">
        <f t="shared" si="18"/>
        <v>3.7562284400154411E-3</v>
      </c>
      <c r="O663" s="25"/>
    </row>
    <row r="664" spans="1:15">
      <c r="A664" s="72">
        <v>446.53092216583963</v>
      </c>
      <c r="B664" s="72">
        <v>448.23257314574334</v>
      </c>
      <c r="C664" s="72">
        <v>443.60467264837507</v>
      </c>
      <c r="D664" s="72">
        <v>447.03256494026215</v>
      </c>
      <c r="E664" s="72">
        <v>8288056.0270930398</v>
      </c>
      <c r="F664" s="72" t="s">
        <v>684</v>
      </c>
      <c r="G664" s="25">
        <f t="shared" si="18"/>
        <v>-1.1221615912692107E-3</v>
      </c>
      <c r="O664" s="25"/>
    </row>
    <row r="665" spans="1:15">
      <c r="A665" s="72">
        <v>452.91457237368661</v>
      </c>
      <c r="B665" s="72">
        <v>455.15721065934014</v>
      </c>
      <c r="C665" s="72">
        <v>452.21620694262788</v>
      </c>
      <c r="D665" s="72">
        <v>453.06211436616383</v>
      </c>
      <c r="E665" s="72">
        <v>4640271.8202804755</v>
      </c>
      <c r="F665" s="72" t="s">
        <v>685</v>
      </c>
      <c r="G665" s="25">
        <f t="shared" si="18"/>
        <v>-3.2565510952864418E-4</v>
      </c>
      <c r="O665" s="25"/>
    </row>
    <row r="666" spans="1:15">
      <c r="A666" s="72">
        <v>453.1211311631547</v>
      </c>
      <c r="B666" s="72">
        <v>453.47523194509995</v>
      </c>
      <c r="C666" s="72">
        <v>450.66209795520132</v>
      </c>
      <c r="D666" s="72">
        <v>451.02603486997845</v>
      </c>
      <c r="E666" s="72">
        <v>4069276.0746928803</v>
      </c>
      <c r="F666" s="72" t="s">
        <v>686</v>
      </c>
      <c r="G666" s="25">
        <f t="shared" si="18"/>
        <v>4.6451781742049558E-3</v>
      </c>
      <c r="O666" s="25"/>
    </row>
    <row r="667" spans="1:15">
      <c r="A667" s="72">
        <v>450.56373662688316</v>
      </c>
      <c r="B667" s="72">
        <v>450.8194760805103</v>
      </c>
      <c r="C667" s="72">
        <v>449.54077881237453</v>
      </c>
      <c r="D667" s="72">
        <v>450.30799717325601</v>
      </c>
      <c r="E667" s="72">
        <v>4254306.1094758129</v>
      </c>
      <c r="F667" s="72" t="s">
        <v>687</v>
      </c>
      <c r="G667" s="25">
        <f t="shared" ref="G667:G730" si="19">A667/D667-1</f>
        <v>5.6792119001336516E-4</v>
      </c>
      <c r="O667" s="25"/>
    </row>
    <row r="668" spans="1:15">
      <c r="A668" s="72">
        <v>450.25881650909696</v>
      </c>
      <c r="B668" s="72">
        <v>450.67193408803314</v>
      </c>
      <c r="C668" s="72">
        <v>447.80961943397534</v>
      </c>
      <c r="D668" s="72">
        <v>448.67519912317493</v>
      </c>
      <c r="E668" s="72">
        <v>6876091.5652996404</v>
      </c>
      <c r="F668" s="72" t="s">
        <v>688</v>
      </c>
      <c r="G668" s="25">
        <f t="shared" si="19"/>
        <v>3.5295407212541097E-3</v>
      </c>
      <c r="O668" s="25"/>
    </row>
    <row r="669" spans="1:15">
      <c r="A669" s="72">
        <v>446.5899389628305</v>
      </c>
      <c r="B669" s="72">
        <v>446.8456784164577</v>
      </c>
      <c r="C669" s="72">
        <v>444.79976278744044</v>
      </c>
      <c r="D669" s="72">
        <v>446.14731298539886</v>
      </c>
      <c r="E669" s="72">
        <v>4456630.5426680259</v>
      </c>
      <c r="F669" s="72" t="s">
        <v>689</v>
      </c>
      <c r="G669" s="25">
        <f t="shared" si="19"/>
        <v>9.9210723576881321E-4</v>
      </c>
      <c r="O669" s="25"/>
    </row>
    <row r="670" spans="1:15">
      <c r="A670" s="72">
        <v>445.2030442335448</v>
      </c>
      <c r="B670" s="72">
        <v>446.70797255681225</v>
      </c>
      <c r="C670" s="72">
        <v>443.1571286045276</v>
      </c>
      <c r="D670" s="72">
        <v>446.29485497787613</v>
      </c>
      <c r="E670" s="72">
        <v>7220171.9125122745</v>
      </c>
      <c r="F670" s="72" t="s">
        <v>690</v>
      </c>
      <c r="G670" s="25">
        <f t="shared" si="19"/>
        <v>-2.4463888215459084E-3</v>
      </c>
      <c r="O670" s="25"/>
    </row>
    <row r="671" spans="1:15">
      <c r="A671" s="72">
        <v>446.83584228362582</v>
      </c>
      <c r="B671" s="72">
        <v>448.40962353671603</v>
      </c>
      <c r="C671" s="72">
        <v>442.32105731382342</v>
      </c>
      <c r="D671" s="72">
        <v>442.63581356444143</v>
      </c>
      <c r="E671" s="72">
        <v>6357663.2269279826</v>
      </c>
      <c r="F671" s="72" t="s">
        <v>691</v>
      </c>
      <c r="G671" s="25">
        <f t="shared" si="19"/>
        <v>9.488678029377029E-3</v>
      </c>
      <c r="O671" s="25"/>
    </row>
    <row r="672" spans="1:15">
      <c r="A672" s="72">
        <v>442.29154891532801</v>
      </c>
      <c r="B672" s="72">
        <v>442.29154891532801</v>
      </c>
      <c r="C672" s="72">
        <v>437.36384308924602</v>
      </c>
      <c r="D672" s="72">
        <v>438.05217566481639</v>
      </c>
      <c r="E672" s="72">
        <v>6240623.3272352358</v>
      </c>
      <c r="F672" s="72" t="s">
        <v>692</v>
      </c>
      <c r="G672" s="25">
        <f t="shared" si="19"/>
        <v>9.6777815201527506E-3</v>
      </c>
      <c r="O672" s="25"/>
    </row>
    <row r="673" spans="1:15">
      <c r="A673" s="72">
        <v>436.54724734154888</v>
      </c>
      <c r="B673" s="72">
        <v>442.09974432510762</v>
      </c>
      <c r="C673" s="72">
        <v>436.47839441172619</v>
      </c>
      <c r="D673" s="72">
        <v>441.68170867975556</v>
      </c>
      <c r="E673" s="72">
        <v>7226460.9695083257</v>
      </c>
      <c r="F673" s="72" t="s">
        <v>693</v>
      </c>
      <c r="G673" s="25">
        <f t="shared" si="19"/>
        <v>-1.1624799572421129E-2</v>
      </c>
      <c r="O673" s="25"/>
    </row>
    <row r="674" spans="1:15">
      <c r="A674" s="72">
        <v>443.77680497293187</v>
      </c>
      <c r="B674" s="72">
        <v>444.40631747416791</v>
      </c>
      <c r="C674" s="72">
        <v>443.05876727620944</v>
      </c>
      <c r="D674" s="72">
        <v>443.45221258948197</v>
      </c>
      <c r="E674" s="72">
        <v>3466761.8446255634</v>
      </c>
      <c r="F674" s="72" t="s">
        <v>694</v>
      </c>
      <c r="G674" s="25">
        <f t="shared" si="19"/>
        <v>7.3196699494282313E-4</v>
      </c>
      <c r="O674" s="25"/>
    </row>
    <row r="675" spans="1:15">
      <c r="A675" s="72">
        <v>444.09156122354989</v>
      </c>
      <c r="B675" s="72">
        <v>444.20939809487498</v>
      </c>
      <c r="C675" s="72">
        <v>440.37468334906418</v>
      </c>
      <c r="D675" s="72">
        <v>440.88498192037866</v>
      </c>
      <c r="E675" s="72">
        <v>4618941.2828032468</v>
      </c>
      <c r="F675" s="72" t="s">
        <v>695</v>
      </c>
      <c r="G675" s="25">
        <f t="shared" si="19"/>
        <v>7.2730517814514339E-3</v>
      </c>
      <c r="O675" s="25"/>
    </row>
    <row r="676" spans="1:15">
      <c r="A676" s="72">
        <v>440.88498192037866</v>
      </c>
      <c r="B676" s="72">
        <v>442.14400692285079</v>
      </c>
      <c r="C676" s="72">
        <v>439.83251570737463</v>
      </c>
      <c r="D676" s="72">
        <v>440.75711219356509</v>
      </c>
      <c r="E676" s="72">
        <v>6510712.1970609371</v>
      </c>
      <c r="F676" s="72" t="s">
        <v>696</v>
      </c>
      <c r="G676" s="25">
        <f t="shared" si="19"/>
        <v>2.9011381388088786E-4</v>
      </c>
      <c r="O676" s="25"/>
    </row>
    <row r="677" spans="1:15">
      <c r="A677" s="72">
        <v>441.15055750683763</v>
      </c>
      <c r="B677" s="72">
        <v>441.40629696046477</v>
      </c>
      <c r="C677" s="72">
        <v>438.79972176003417</v>
      </c>
      <c r="D677" s="72">
        <v>440.79645672489232</v>
      </c>
      <c r="E677" s="72">
        <v>4236476.9480565209</v>
      </c>
      <c r="F677" s="72" t="s">
        <v>697</v>
      </c>
      <c r="G677" s="25">
        <f t="shared" si="19"/>
        <v>8.033203909492137E-4</v>
      </c>
      <c r="O677" s="25"/>
    </row>
    <row r="678" spans="1:15">
      <c r="A678" s="72">
        <v>438.68168816605242</v>
      </c>
      <c r="B678" s="72">
        <v>441.82885722691947</v>
      </c>
      <c r="C678" s="72">
        <v>438.44562097808887</v>
      </c>
      <c r="D678" s="72">
        <v>440.97350711586495</v>
      </c>
      <c r="E678" s="72">
        <v>4644308.9760081377</v>
      </c>
      <c r="F678" s="72" t="s">
        <v>698</v>
      </c>
      <c r="G678" s="25">
        <f t="shared" si="19"/>
        <v>-5.1971805852961683E-3</v>
      </c>
      <c r="O678" s="25"/>
    </row>
    <row r="679" spans="1:15">
      <c r="A679" s="72">
        <v>438.3177512512753</v>
      </c>
      <c r="B679" s="72">
        <v>438.51447390791157</v>
      </c>
      <c r="C679" s="72">
        <v>436.50790281022159</v>
      </c>
      <c r="D679" s="72">
        <v>437.54069675756205</v>
      </c>
      <c r="E679" s="72">
        <v>3305756.4955642079</v>
      </c>
      <c r="F679" s="72" t="s">
        <v>699</v>
      </c>
      <c r="G679" s="25">
        <f t="shared" si="19"/>
        <v>1.7759593552593156E-3</v>
      </c>
      <c r="O679" s="25"/>
    </row>
    <row r="680" spans="1:15">
      <c r="A680" s="72">
        <v>437.01938171747594</v>
      </c>
      <c r="B680" s="72">
        <v>438.61283523622973</v>
      </c>
      <c r="C680" s="72">
        <v>436.40954148190349</v>
      </c>
      <c r="D680" s="72">
        <v>437.48167996057117</v>
      </c>
      <c r="E680" s="72">
        <v>5968211.3899611058</v>
      </c>
      <c r="F680" s="72" t="s">
        <v>700</v>
      </c>
      <c r="G680" s="25">
        <f t="shared" si="19"/>
        <v>-1.0567259482429092E-3</v>
      </c>
      <c r="O680" s="25"/>
    </row>
    <row r="681" spans="1:15">
      <c r="A681" s="72">
        <v>436.02593230146277</v>
      </c>
      <c r="B681" s="72">
        <v>436.34068855208079</v>
      </c>
      <c r="C681" s="72">
        <v>431.1275381512196</v>
      </c>
      <c r="D681" s="72">
        <v>431.80623131661474</v>
      </c>
      <c r="E681" s="72">
        <v>4917381.7420969186</v>
      </c>
      <c r="F681" s="72" t="s">
        <v>701</v>
      </c>
      <c r="G681" s="25">
        <f t="shared" si="19"/>
        <v>9.7722095671981535E-3</v>
      </c>
      <c r="O681" s="25"/>
    </row>
    <row r="682" spans="1:15">
      <c r="A682" s="72">
        <v>430.7537651036107</v>
      </c>
      <c r="B682" s="72">
        <v>431.20622721387412</v>
      </c>
      <c r="C682" s="72">
        <v>427.04554302601701</v>
      </c>
      <c r="D682" s="72">
        <v>428.44227388813448</v>
      </c>
      <c r="E682" s="72">
        <v>4403442.9730260307</v>
      </c>
      <c r="F682" s="72" t="s">
        <v>702</v>
      </c>
      <c r="G682" s="25">
        <f t="shared" si="19"/>
        <v>5.395105376739151E-3</v>
      </c>
      <c r="O682" s="25"/>
    </row>
    <row r="683" spans="1:15">
      <c r="A683" s="72">
        <v>426.95701783053067</v>
      </c>
      <c r="B683" s="72">
        <v>427.36029927663503</v>
      </c>
      <c r="C683" s="72">
        <v>424.73405181054079</v>
      </c>
      <c r="D683" s="72">
        <v>426.49471958743544</v>
      </c>
      <c r="E683" s="72">
        <v>6145312.4956279369</v>
      </c>
      <c r="F683" s="72" t="s">
        <v>703</v>
      </c>
      <c r="G683" s="25">
        <f t="shared" si="19"/>
        <v>1.0839483394833316E-3</v>
      </c>
      <c r="O683" s="25"/>
    </row>
    <row r="684" spans="1:15">
      <c r="A684" s="72">
        <v>429.34719810866136</v>
      </c>
      <c r="B684" s="72">
        <v>430.80294576776976</v>
      </c>
      <c r="C684" s="72">
        <v>427.61603873026218</v>
      </c>
      <c r="D684" s="72">
        <v>429.63244596078397</v>
      </c>
      <c r="E684" s="72">
        <v>5826313.1435806062</v>
      </c>
      <c r="F684" s="72" t="s">
        <v>704</v>
      </c>
      <c r="G684" s="25">
        <f t="shared" si="19"/>
        <v>-6.6393461388769559E-4</v>
      </c>
      <c r="O684" s="25"/>
    </row>
    <row r="685" spans="1:15">
      <c r="A685" s="72">
        <v>430.81278190060158</v>
      </c>
      <c r="B685" s="72">
        <v>432.59312194315982</v>
      </c>
      <c r="C685" s="72">
        <v>429.57342916379309</v>
      </c>
      <c r="D685" s="72">
        <v>431.91442877776473</v>
      </c>
      <c r="E685" s="72">
        <v>5269010.787692301</v>
      </c>
      <c r="F685" s="72" t="s">
        <v>705</v>
      </c>
      <c r="G685" s="25">
        <f t="shared" si="19"/>
        <v>-2.5506137414316177E-3</v>
      </c>
      <c r="O685" s="25"/>
    </row>
    <row r="686" spans="1:15">
      <c r="A686" s="72">
        <v>430.61605924396531</v>
      </c>
      <c r="B686" s="72">
        <v>432.15541403214417</v>
      </c>
      <c r="C686" s="72">
        <v>426.88816490070798</v>
      </c>
      <c r="D686" s="72">
        <v>431.74721451962387</v>
      </c>
      <c r="E686" s="72">
        <v>4876496.7716643009</v>
      </c>
      <c r="F686" s="72" t="s">
        <v>706</v>
      </c>
      <c r="G686" s="25">
        <f t="shared" si="19"/>
        <v>-2.6199480566819755E-3</v>
      </c>
      <c r="O686" s="25"/>
    </row>
    <row r="687" spans="1:15">
      <c r="A687" s="72">
        <v>430.76360123644253</v>
      </c>
      <c r="B687" s="72">
        <v>431.54557379657172</v>
      </c>
      <c r="C687" s="72">
        <v>428.34391255981637</v>
      </c>
      <c r="D687" s="72">
        <v>428.62916041193893</v>
      </c>
      <c r="E687" s="72">
        <v>4350125.2709405348</v>
      </c>
      <c r="F687" s="72" t="s">
        <v>707</v>
      </c>
      <c r="G687" s="25">
        <f t="shared" si="19"/>
        <v>4.9796911214632367E-3</v>
      </c>
      <c r="O687" s="25"/>
    </row>
    <row r="688" spans="1:15">
      <c r="A688" s="72">
        <v>427.94063111371202</v>
      </c>
      <c r="B688" s="72">
        <v>429.27834517883866</v>
      </c>
      <c r="C688" s="72">
        <v>426.06517566667014</v>
      </c>
      <c r="D688" s="72">
        <v>426.51439185309908</v>
      </c>
      <c r="E688" s="72">
        <v>8071837.922237711</v>
      </c>
      <c r="F688" s="72" t="s">
        <v>708</v>
      </c>
      <c r="G688" s="25">
        <f t="shared" si="19"/>
        <v>3.3439417001059901E-3</v>
      </c>
      <c r="O688" s="25"/>
    </row>
    <row r="689" spans="1:15">
      <c r="A689" s="72">
        <v>428.98326119388423</v>
      </c>
      <c r="B689" s="72">
        <v>429.12096705352963</v>
      </c>
      <c r="C689" s="72">
        <v>423.31764868275968</v>
      </c>
      <c r="D689" s="72">
        <v>423.39633774541414</v>
      </c>
      <c r="E689" s="72">
        <v>7342684.4914500499</v>
      </c>
      <c r="F689" s="72" t="s">
        <v>709</v>
      </c>
      <c r="G689" s="25">
        <f t="shared" si="19"/>
        <v>1.3195493088628218E-2</v>
      </c>
      <c r="O689" s="25"/>
    </row>
    <row r="690" spans="1:15">
      <c r="A690" s="72">
        <v>422.93403950231897</v>
      </c>
      <c r="B690" s="72">
        <v>425.21602231929967</v>
      </c>
      <c r="C690" s="72">
        <v>421.61599770285591</v>
      </c>
      <c r="D690" s="72">
        <v>422.5504303218782</v>
      </c>
      <c r="E690" s="72">
        <v>5819978.3368973872</v>
      </c>
      <c r="F690" s="72" t="s">
        <v>710</v>
      </c>
      <c r="G690" s="25">
        <f t="shared" si="19"/>
        <v>9.0784236132135376E-4</v>
      </c>
      <c r="O690" s="25"/>
    </row>
    <row r="691" spans="1:15">
      <c r="A691" s="72">
        <v>422.39305219656916</v>
      </c>
      <c r="B691" s="72">
        <v>425.68815669522667</v>
      </c>
      <c r="C691" s="72">
        <v>422.17665727426925</v>
      </c>
      <c r="D691" s="72">
        <v>423.27830415143239</v>
      </c>
      <c r="E691" s="72">
        <v>4010985.8899420621</v>
      </c>
      <c r="F691" s="72" t="s">
        <v>711</v>
      </c>
      <c r="G691" s="25">
        <f t="shared" si="19"/>
        <v>-2.0914182139288862E-3</v>
      </c>
      <c r="O691" s="25"/>
    </row>
    <row r="692" spans="1:15">
      <c r="A692" s="72">
        <v>423.73076626169586</v>
      </c>
      <c r="B692" s="72">
        <v>425.90455161752664</v>
      </c>
      <c r="C692" s="72">
        <v>423.19961508877788</v>
      </c>
      <c r="D692" s="72">
        <v>425.23569458496331</v>
      </c>
      <c r="E692" s="72">
        <v>4885099.7461713459</v>
      </c>
      <c r="F692" s="72" t="s">
        <v>712</v>
      </c>
      <c r="G692" s="25">
        <f t="shared" si="19"/>
        <v>-3.5390451517394172E-3</v>
      </c>
      <c r="O692" s="25"/>
    </row>
    <row r="693" spans="1:15">
      <c r="A693" s="72">
        <v>426.8980010335398</v>
      </c>
      <c r="B693" s="72">
        <v>428.13735377034828</v>
      </c>
      <c r="C693" s="72">
        <v>425.27503911629054</v>
      </c>
      <c r="D693" s="72">
        <v>426.79963970522169</v>
      </c>
      <c r="E693" s="72">
        <v>9227245.2550100368</v>
      </c>
      <c r="F693" s="72" t="s">
        <v>713</v>
      </c>
      <c r="G693" s="25">
        <f t="shared" si="19"/>
        <v>2.3046253831426888E-4</v>
      </c>
      <c r="O693" s="25"/>
    </row>
    <row r="694" spans="1:15">
      <c r="A694" s="72">
        <v>429.64228209361579</v>
      </c>
      <c r="B694" s="72">
        <v>431.15704654971501</v>
      </c>
      <c r="C694" s="72">
        <v>427.81276138689844</v>
      </c>
      <c r="D694" s="72">
        <v>430.69474830661983</v>
      </c>
      <c r="E694" s="72">
        <v>4449802.6560231056</v>
      </c>
      <c r="F694" s="72" t="s">
        <v>714</v>
      </c>
      <c r="G694" s="25">
        <f t="shared" si="19"/>
        <v>-2.4436476579806632E-3</v>
      </c>
      <c r="O694" s="25"/>
    </row>
    <row r="695" spans="1:15">
      <c r="A695" s="72">
        <v>430.79310963493799</v>
      </c>
      <c r="B695" s="72">
        <v>431.6488531913057</v>
      </c>
      <c r="C695" s="72">
        <v>430.48818951715174</v>
      </c>
      <c r="D695" s="72">
        <v>431.06852135422872</v>
      </c>
      <c r="E695" s="72">
        <v>4782016.5510440329</v>
      </c>
      <c r="F695" s="72" t="s">
        <v>715</v>
      </c>
      <c r="G695" s="25">
        <f t="shared" si="19"/>
        <v>-6.3890473474037535E-4</v>
      </c>
      <c r="O695" s="25"/>
    </row>
    <row r="696" spans="1:15">
      <c r="A696" s="72">
        <v>430.72425670511524</v>
      </c>
      <c r="B696" s="72">
        <v>430.84229029909699</v>
      </c>
      <c r="C696" s="72">
        <v>429.26850904600684</v>
      </c>
      <c r="D696" s="72">
        <v>429.73572535551796</v>
      </c>
      <c r="E696" s="72">
        <v>4342162.7920538438</v>
      </c>
      <c r="F696" s="72" t="s">
        <v>716</v>
      </c>
      <c r="G696" s="25">
        <f t="shared" si="19"/>
        <v>2.3003238764462974E-3</v>
      </c>
      <c r="O696" s="25"/>
    </row>
    <row r="697" spans="1:15">
      <c r="A697" s="72">
        <v>429.93736607857016</v>
      </c>
      <c r="B697" s="72">
        <v>430.74392897077888</v>
      </c>
      <c r="C697" s="72">
        <v>428.44227388813448</v>
      </c>
      <c r="D697" s="72">
        <v>428.52647118517484</v>
      </c>
      <c r="E697" s="72">
        <v>3899740.9506239491</v>
      </c>
      <c r="F697" s="72" t="s">
        <v>717</v>
      </c>
      <c r="G697" s="25">
        <f t="shared" si="19"/>
        <v>3.2924334627291163E-3</v>
      </c>
      <c r="O697" s="25"/>
    </row>
    <row r="698" spans="1:15">
      <c r="A698" s="72">
        <v>428.15702603601193</v>
      </c>
      <c r="B698" s="72">
        <v>429.67965939837666</v>
      </c>
      <c r="C698" s="72">
        <v>426.37668599345369</v>
      </c>
      <c r="D698" s="72">
        <v>428.32424029415273</v>
      </c>
      <c r="E698" s="72">
        <v>4105098.0797455548</v>
      </c>
      <c r="F698" s="72" t="s">
        <v>718</v>
      </c>
      <c r="G698" s="25">
        <f t="shared" si="19"/>
        <v>-3.9039176962285538E-4</v>
      </c>
      <c r="O698" s="25"/>
    </row>
    <row r="699" spans="1:15">
      <c r="A699" s="72">
        <v>427.16357661999871</v>
      </c>
      <c r="B699" s="72">
        <v>427.51767740194401</v>
      </c>
      <c r="C699" s="72">
        <v>423.79489784775927</v>
      </c>
      <c r="D699" s="72">
        <v>426.03242134434021</v>
      </c>
      <c r="E699" s="72">
        <v>4698600.6381004583</v>
      </c>
      <c r="F699" s="72" t="s">
        <v>719</v>
      </c>
      <c r="G699" s="25">
        <f t="shared" si="19"/>
        <v>2.6550920047097026E-3</v>
      </c>
      <c r="O699" s="25"/>
    </row>
    <row r="700" spans="1:15">
      <c r="A700" s="72">
        <v>423.04223696346884</v>
      </c>
      <c r="B700" s="72">
        <v>430.13900680162237</v>
      </c>
      <c r="C700" s="72">
        <v>422.85535043966439</v>
      </c>
      <c r="D700" s="72">
        <v>428.37342095831178</v>
      </c>
      <c r="E700" s="72">
        <v>5879581.0293400744</v>
      </c>
      <c r="F700" s="72" t="s">
        <v>720</v>
      </c>
      <c r="G700" s="25">
        <f t="shared" si="19"/>
        <v>-1.2445179215173074E-2</v>
      </c>
      <c r="O700" s="25"/>
    </row>
    <row r="701" spans="1:15">
      <c r="A701" s="72">
        <v>429.23791867290009</v>
      </c>
      <c r="B701" s="72">
        <v>429.2673057825105</v>
      </c>
      <c r="C701" s="72">
        <v>427.04368115532253</v>
      </c>
      <c r="D701" s="72">
        <v>427.13184248415382</v>
      </c>
      <c r="E701" s="72">
        <v>4146213.8201173837</v>
      </c>
      <c r="F701" s="72" t="s">
        <v>721</v>
      </c>
      <c r="G701" s="25">
        <f t="shared" si="19"/>
        <v>4.9307402990550475E-3</v>
      </c>
      <c r="O701" s="25"/>
    </row>
    <row r="702" spans="1:15">
      <c r="A702" s="72">
        <v>426.64205732398028</v>
      </c>
      <c r="B702" s="72">
        <v>427.48448779947876</v>
      </c>
      <c r="C702" s="72">
        <v>425.57432567480186</v>
      </c>
      <c r="D702" s="72">
        <v>425.76044403566783</v>
      </c>
      <c r="E702" s="72">
        <v>4369747.5424563875</v>
      </c>
      <c r="F702" s="72" t="s">
        <v>722</v>
      </c>
      <c r="G702" s="25">
        <f t="shared" si="19"/>
        <v>2.0706791827720394E-3</v>
      </c>
      <c r="O702" s="25"/>
    </row>
    <row r="703" spans="1:15">
      <c r="A703" s="72">
        <v>424.24211003912978</v>
      </c>
      <c r="B703" s="72">
        <v>425.37841161073248</v>
      </c>
      <c r="C703" s="72">
        <v>423.40947526683476</v>
      </c>
      <c r="D703" s="72">
        <v>424.34006707116453</v>
      </c>
      <c r="E703" s="72">
        <v>5437119.6119056791</v>
      </c>
      <c r="F703" s="72" t="s">
        <v>723</v>
      </c>
      <c r="G703" s="25">
        <f t="shared" si="19"/>
        <v>-2.3084558738661887E-4</v>
      </c>
      <c r="O703" s="25"/>
    </row>
    <row r="704" spans="1:15">
      <c r="A704" s="72">
        <v>424.88862645055889</v>
      </c>
      <c r="B704" s="72">
        <v>426.46984886166319</v>
      </c>
      <c r="C704" s="72">
        <v>422.42990494648768</v>
      </c>
      <c r="D704" s="72">
        <v>425.34902450112207</v>
      </c>
      <c r="E704" s="72">
        <v>8523270.6897872202</v>
      </c>
      <c r="F704" s="72" t="s">
        <v>724</v>
      </c>
      <c r="G704" s="25">
        <f t="shared" si="19"/>
        <v>-1.082400626410629E-3</v>
      </c>
      <c r="O704" s="25"/>
    </row>
    <row r="705" spans="1:15">
      <c r="A705" s="72">
        <v>423.64457214371811</v>
      </c>
      <c r="B705" s="72">
        <v>423.7719162853632</v>
      </c>
      <c r="C705" s="72">
        <v>417.79653733124582</v>
      </c>
      <c r="D705" s="72">
        <v>418.15897834977426</v>
      </c>
      <c r="E705" s="72">
        <v>8839708.4110629745</v>
      </c>
      <c r="F705" s="72" t="s">
        <v>725</v>
      </c>
      <c r="G705" s="25">
        <f t="shared" si="19"/>
        <v>1.311844077961033E-2</v>
      </c>
      <c r="O705" s="25"/>
    </row>
    <row r="706" spans="1:15">
      <c r="A706" s="72">
        <v>417.95326858250138</v>
      </c>
      <c r="B706" s="72">
        <v>417.95326858250138</v>
      </c>
      <c r="C706" s="72">
        <v>414.62654981757061</v>
      </c>
      <c r="D706" s="72">
        <v>415.553321297651</v>
      </c>
      <c r="E706" s="72">
        <v>6107327.7494566049</v>
      </c>
      <c r="F706" s="72" t="s">
        <v>726</v>
      </c>
      <c r="G706" s="25">
        <f t="shared" si="19"/>
        <v>5.7753052661353443E-3</v>
      </c>
      <c r="O706" s="25"/>
    </row>
    <row r="707" spans="1:15">
      <c r="A707" s="72">
        <v>415.88637520656897</v>
      </c>
      <c r="B707" s="72">
        <v>416.03331075462103</v>
      </c>
      <c r="C707" s="72">
        <v>413.59418065695678</v>
      </c>
      <c r="D707" s="72">
        <v>413.7802990178227</v>
      </c>
      <c r="E707" s="72">
        <v>5356517.9456853075</v>
      </c>
      <c r="F707" s="72" t="s">
        <v>727</v>
      </c>
      <c r="G707" s="25">
        <f t="shared" si="19"/>
        <v>5.0898416230675814E-3</v>
      </c>
      <c r="O707" s="25"/>
    </row>
    <row r="708" spans="1:15">
      <c r="A708" s="72">
        <v>414.27987988119975</v>
      </c>
      <c r="B708" s="72">
        <v>414.72068652535592</v>
      </c>
      <c r="C708" s="72">
        <v>411.56647009383818</v>
      </c>
      <c r="D708" s="72">
        <v>411.78197556431456</v>
      </c>
      <c r="E708" s="72">
        <v>5232169.5477501424</v>
      </c>
      <c r="F708" s="72" t="s">
        <v>728</v>
      </c>
      <c r="G708" s="25">
        <f t="shared" si="19"/>
        <v>6.0660846397222468E-3</v>
      </c>
      <c r="O708" s="25"/>
    </row>
    <row r="709" spans="1:15">
      <c r="A709" s="72">
        <v>412.52644900777841</v>
      </c>
      <c r="B709" s="72">
        <v>413.05541698076587</v>
      </c>
      <c r="C709" s="72">
        <v>410.71424391513619</v>
      </c>
      <c r="D709" s="72">
        <v>411.2334161849202</v>
      </c>
      <c r="E709" s="72">
        <v>3315995.7305045594</v>
      </c>
      <c r="F709" s="72" t="s">
        <v>729</v>
      </c>
      <c r="G709" s="25">
        <f t="shared" si="19"/>
        <v>3.1442795550369329E-3</v>
      </c>
      <c r="O709" s="25"/>
    </row>
    <row r="710" spans="1:15">
      <c r="A710" s="72">
        <v>409.32325406024336</v>
      </c>
      <c r="B710" s="72">
        <v>413.05541698076587</v>
      </c>
      <c r="C710" s="72">
        <v>408.9314259321045</v>
      </c>
      <c r="D710" s="72">
        <v>412.99664276154499</v>
      </c>
      <c r="E710" s="72">
        <v>4289432.7367034713</v>
      </c>
      <c r="F710" s="72" t="s">
        <v>730</v>
      </c>
      <c r="G710" s="25">
        <f t="shared" si="19"/>
        <v>-8.8944759374777194E-3</v>
      </c>
      <c r="O710" s="25"/>
    </row>
    <row r="711" spans="1:15">
      <c r="A711" s="72">
        <v>411.03750212085077</v>
      </c>
      <c r="B711" s="72">
        <v>411.87993259634931</v>
      </c>
      <c r="C711" s="72">
        <v>409.46039390509196</v>
      </c>
      <c r="D711" s="72">
        <v>409.79344781400994</v>
      </c>
      <c r="E711" s="72">
        <v>3490594.7321764301</v>
      </c>
      <c r="F711" s="72" t="s">
        <v>731</v>
      </c>
      <c r="G711" s="25">
        <f t="shared" si="19"/>
        <v>3.0358081942918336E-3</v>
      </c>
      <c r="O711" s="25"/>
    </row>
    <row r="712" spans="1:15">
      <c r="A712" s="72">
        <v>411.16484626249593</v>
      </c>
      <c r="B712" s="72">
        <v>411.29219040414102</v>
      </c>
      <c r="C712" s="72">
        <v>408.97060874491837</v>
      </c>
      <c r="D712" s="72">
        <v>410.09711461331756</v>
      </c>
      <c r="E712" s="72">
        <v>5927169.1673371857</v>
      </c>
      <c r="F712" s="72" t="s">
        <v>732</v>
      </c>
      <c r="G712" s="25">
        <f t="shared" si="19"/>
        <v>2.6036068314820859E-3</v>
      </c>
      <c r="O712" s="25"/>
    </row>
    <row r="713" spans="1:15">
      <c r="A713" s="72">
        <v>413.24153534163179</v>
      </c>
      <c r="B713" s="72">
        <v>413.74111620500884</v>
      </c>
      <c r="C713" s="72">
        <v>409.7052864851787</v>
      </c>
      <c r="D713" s="72">
        <v>410.27343727098003</v>
      </c>
      <c r="E713" s="72">
        <v>5077353.7097751191</v>
      </c>
      <c r="F713" s="72" t="s">
        <v>733</v>
      </c>
      <c r="G713" s="25">
        <f t="shared" si="19"/>
        <v>7.2344387937828269E-3</v>
      </c>
      <c r="O713" s="25"/>
    </row>
    <row r="714" spans="1:15">
      <c r="A714" s="72">
        <v>410.83179235357784</v>
      </c>
      <c r="B714" s="72">
        <v>411.12566344968201</v>
      </c>
      <c r="C714" s="72">
        <v>408.05960834699556</v>
      </c>
      <c r="D714" s="72">
        <v>409.98936187807942</v>
      </c>
      <c r="E714" s="72">
        <v>4497573.9959524777</v>
      </c>
      <c r="F714" s="72" t="s">
        <v>734</v>
      </c>
      <c r="G714" s="25">
        <f t="shared" si="19"/>
        <v>2.0547617909874027E-3</v>
      </c>
      <c r="O714" s="25"/>
    </row>
    <row r="715" spans="1:15">
      <c r="A715" s="72">
        <v>409.24488843461552</v>
      </c>
      <c r="B715" s="72">
        <v>412.5166533045749</v>
      </c>
      <c r="C715" s="72">
        <v>408.83836675167151</v>
      </c>
      <c r="D715" s="72">
        <v>411.47772102281476</v>
      </c>
      <c r="E715" s="72">
        <v>4177972.6426886683</v>
      </c>
      <c r="F715" s="72" t="s">
        <v>735</v>
      </c>
      <c r="G715" s="25">
        <f t="shared" si="19"/>
        <v>-5.4263754126203656E-3</v>
      </c>
      <c r="O715" s="25"/>
    </row>
    <row r="716" spans="1:15">
      <c r="A716" s="72">
        <v>409.50937242110928</v>
      </c>
      <c r="B716" s="72">
        <v>410.68485680552584</v>
      </c>
      <c r="C716" s="72">
        <v>408.19674819184416</v>
      </c>
      <c r="D716" s="72">
        <v>408.72571616483162</v>
      </c>
      <c r="E716" s="72">
        <v>3452985.3852671185</v>
      </c>
      <c r="F716" s="72" t="s">
        <v>736</v>
      </c>
      <c r="G716" s="25">
        <f t="shared" si="19"/>
        <v>1.9173157579388533E-3</v>
      </c>
      <c r="O716" s="25"/>
    </row>
    <row r="717" spans="1:15">
      <c r="A717" s="72">
        <v>409.10774858976697</v>
      </c>
      <c r="B717" s="72">
        <v>409.97692133501101</v>
      </c>
      <c r="C717" s="72">
        <v>408.70612475842466</v>
      </c>
      <c r="D717" s="72">
        <v>409.25468413781908</v>
      </c>
      <c r="E717" s="72">
        <v>3708311.6184173571</v>
      </c>
      <c r="F717" s="72" t="s">
        <v>737</v>
      </c>
      <c r="G717" s="25">
        <f t="shared" si="19"/>
        <v>-3.5903204959442103E-4</v>
      </c>
      <c r="O717" s="25"/>
    </row>
    <row r="718" spans="1:15">
      <c r="A718" s="72">
        <v>409.82283492362035</v>
      </c>
      <c r="B718" s="72">
        <v>409.94038336206205</v>
      </c>
      <c r="C718" s="72">
        <v>409.3036626538364</v>
      </c>
      <c r="D718" s="72">
        <v>409.64651226595788</v>
      </c>
      <c r="E718" s="72">
        <v>1379453.7992139023</v>
      </c>
      <c r="F718" s="72" t="s">
        <v>738</v>
      </c>
      <c r="G718" s="25">
        <f t="shared" si="19"/>
        <v>4.304263612233683E-4</v>
      </c>
      <c r="O718" s="25"/>
    </row>
    <row r="719" spans="1:15">
      <c r="A719" s="72">
        <v>409.59753374994051</v>
      </c>
      <c r="B719" s="72">
        <v>410.74363102474666</v>
      </c>
      <c r="C719" s="72">
        <v>408.53959780396565</v>
      </c>
      <c r="D719" s="72">
        <v>409.52896382751624</v>
      </c>
      <c r="E719" s="72">
        <v>3771106.4976846292</v>
      </c>
      <c r="F719" s="72" t="s">
        <v>739</v>
      </c>
      <c r="G719" s="25">
        <f t="shared" si="19"/>
        <v>1.6743607529834392E-4</v>
      </c>
      <c r="O719" s="25"/>
    </row>
    <row r="720" spans="1:15">
      <c r="A720" s="72">
        <v>407.83430717331572</v>
      </c>
      <c r="B720" s="72">
        <v>408.32409233348926</v>
      </c>
      <c r="C720" s="72">
        <v>406.81555404015472</v>
      </c>
      <c r="D720" s="72">
        <v>407.89308139253654</v>
      </c>
      <c r="E720" s="72">
        <v>5357641.9078727392</v>
      </c>
      <c r="F720" s="72" t="s">
        <v>740</v>
      </c>
      <c r="G720" s="25">
        <f t="shared" si="19"/>
        <v>-1.4409221902011993E-4</v>
      </c>
      <c r="O720" s="25"/>
    </row>
    <row r="721" spans="1:15">
      <c r="A721" s="72">
        <v>408.90203882249409</v>
      </c>
      <c r="B721" s="72">
        <v>409.65630796916133</v>
      </c>
      <c r="C721" s="72">
        <v>405.52242326026453</v>
      </c>
      <c r="D721" s="72">
        <v>405.53231692050002</v>
      </c>
      <c r="E721" s="72">
        <v>3597916.2769561326</v>
      </c>
      <c r="F721" s="72" t="s">
        <v>741</v>
      </c>
      <c r="G721" s="25">
        <f t="shared" si="19"/>
        <v>8.3093794536099885E-3</v>
      </c>
      <c r="O721" s="25"/>
    </row>
    <row r="722" spans="1:15">
      <c r="A722" s="72">
        <v>405.84577942301109</v>
      </c>
      <c r="B722" s="72">
        <v>406.31597317677773</v>
      </c>
      <c r="C722" s="72">
        <v>404.43519816171124</v>
      </c>
      <c r="D722" s="72">
        <v>405.48333840448265</v>
      </c>
      <c r="E722" s="72">
        <v>4798163.9524710281</v>
      </c>
      <c r="F722" s="72" t="s">
        <v>742</v>
      </c>
      <c r="G722" s="25">
        <f t="shared" si="19"/>
        <v>8.9384935014735767E-4</v>
      </c>
      <c r="O722" s="25"/>
    </row>
    <row r="723" spans="1:15">
      <c r="A723" s="72">
        <v>405.24824152759936</v>
      </c>
      <c r="B723" s="72">
        <v>405.4931341076861</v>
      </c>
      <c r="C723" s="72">
        <v>403.33807940292252</v>
      </c>
      <c r="D723" s="72">
        <v>404.30785402006615</v>
      </c>
      <c r="E723" s="72">
        <v>3878117.7023144872</v>
      </c>
      <c r="F723" s="72" t="s">
        <v>743</v>
      </c>
      <c r="G723" s="25">
        <f t="shared" si="19"/>
        <v>2.3259194650384618E-3</v>
      </c>
      <c r="O723" s="25"/>
    </row>
    <row r="724" spans="1:15">
      <c r="A724" s="72">
        <v>404.68009074179804</v>
      </c>
      <c r="B724" s="72">
        <v>406.24740325435346</v>
      </c>
      <c r="C724" s="72">
        <v>403.9454130015377</v>
      </c>
      <c r="D724" s="72">
        <v>405.09151027634385</v>
      </c>
      <c r="E724" s="72">
        <v>4506881.1378805526</v>
      </c>
      <c r="F724" s="72" t="s">
        <v>744</v>
      </c>
      <c r="G724" s="25">
        <f t="shared" si="19"/>
        <v>-1.0156212216473337E-3</v>
      </c>
      <c r="O724" s="25"/>
    </row>
    <row r="725" spans="1:15">
      <c r="A725" s="72">
        <v>403.79847745348565</v>
      </c>
      <c r="B725" s="72">
        <v>405.06212316673339</v>
      </c>
      <c r="C725" s="72">
        <v>401.51176849766733</v>
      </c>
      <c r="D725" s="72">
        <v>401.66301415512896</v>
      </c>
      <c r="E725" s="72">
        <v>7118544.5854760921</v>
      </c>
      <c r="F725" s="72" t="s">
        <v>745</v>
      </c>
      <c r="G725" s="25">
        <f t="shared" si="19"/>
        <v>5.3165544824895772E-3</v>
      </c>
      <c r="O725" s="25"/>
    </row>
    <row r="726" spans="1:15">
      <c r="A726" s="72">
        <v>396.18721606438856</v>
      </c>
      <c r="B726" s="72">
        <v>397.20596919754962</v>
      </c>
      <c r="C726" s="72">
        <v>394.59051644222279</v>
      </c>
      <c r="D726" s="72">
        <v>395.34478558889003</v>
      </c>
      <c r="E726" s="72">
        <v>2932858.3566945717</v>
      </c>
      <c r="F726" s="72" t="s">
        <v>746</v>
      </c>
      <c r="G726" s="25">
        <f t="shared" si="19"/>
        <v>2.1308753933446667E-3</v>
      </c>
      <c r="O726" s="25"/>
    </row>
    <row r="727" spans="1:15">
      <c r="A727" s="72">
        <v>396.58883989573093</v>
      </c>
      <c r="B727" s="72">
        <v>396.83275290549733</v>
      </c>
      <c r="C727" s="72">
        <v>390.98569766334543</v>
      </c>
      <c r="D727" s="72">
        <v>392.40607462784874</v>
      </c>
      <c r="E727" s="72">
        <v>4077746.0454136403</v>
      </c>
      <c r="F727" s="72" t="s">
        <v>747</v>
      </c>
      <c r="G727" s="25">
        <f t="shared" si="19"/>
        <v>1.065927756559093E-2</v>
      </c>
      <c r="O727" s="25"/>
    </row>
    <row r="728" spans="1:15">
      <c r="A728" s="72">
        <v>390.49591250317189</v>
      </c>
      <c r="B728" s="72">
        <v>394.64929066144362</v>
      </c>
      <c r="C728" s="72">
        <v>390.07469726542263</v>
      </c>
      <c r="D728" s="72">
        <v>394.58072073901934</v>
      </c>
      <c r="E728" s="72">
        <v>4232074.935193019</v>
      </c>
      <c r="F728" s="72" t="s">
        <v>748</v>
      </c>
      <c r="G728" s="25">
        <f t="shared" si="19"/>
        <v>-1.0352275266254596E-2</v>
      </c>
      <c r="O728" s="25"/>
    </row>
    <row r="729" spans="1:15">
      <c r="A729" s="72">
        <v>393.46401057382366</v>
      </c>
      <c r="B729" s="72">
        <v>394.27960082254458</v>
      </c>
      <c r="C729" s="72">
        <v>391.39711719789125</v>
      </c>
      <c r="D729" s="72">
        <v>393.77747307633473</v>
      </c>
      <c r="E729" s="72">
        <v>3809688.7201294741</v>
      </c>
      <c r="F729" s="72" t="s">
        <v>749</v>
      </c>
      <c r="G729" s="25">
        <f t="shared" si="19"/>
        <v>-7.9603970248010025E-4</v>
      </c>
      <c r="O729" s="25"/>
    </row>
    <row r="730" spans="1:15">
      <c r="A730" s="72">
        <v>393.14075236810908</v>
      </c>
      <c r="B730" s="72">
        <v>393.8264515923521</v>
      </c>
      <c r="C730" s="72">
        <v>391.07385899217672</v>
      </c>
      <c r="D730" s="72">
        <v>392.08281642213421</v>
      </c>
      <c r="E730" s="72">
        <v>3428623.6835043048</v>
      </c>
      <c r="F730" s="72" t="s">
        <v>750</v>
      </c>
      <c r="G730" s="25">
        <f t="shared" si="19"/>
        <v>2.6982461400089086E-3</v>
      </c>
      <c r="O730" s="25"/>
    </row>
    <row r="731" spans="1:15">
      <c r="A731" s="72">
        <v>392.03383790611684</v>
      </c>
      <c r="B731" s="72">
        <v>392.54615318365842</v>
      </c>
      <c r="C731" s="72">
        <v>390.31958984550937</v>
      </c>
      <c r="D731" s="72">
        <v>391.94567657728561</v>
      </c>
      <c r="E731" s="72">
        <v>4090676.2044200012</v>
      </c>
      <c r="F731" s="72" t="s">
        <v>751</v>
      </c>
      <c r="G731" s="25">
        <f t="shared" ref="G731:G794" si="20">A731/D731-1</f>
        <v>2.2493252024391452E-4</v>
      </c>
      <c r="O731" s="25"/>
    </row>
    <row r="732" spans="1:15">
      <c r="A732" s="72">
        <v>391.27956875944955</v>
      </c>
      <c r="B732" s="72">
        <v>392.66076291113905</v>
      </c>
      <c r="C732" s="72">
        <v>389.71225624689419</v>
      </c>
      <c r="D732" s="72">
        <v>389.79062187252197</v>
      </c>
      <c r="E732" s="72">
        <v>6106182.3492982965</v>
      </c>
      <c r="F732" s="72" t="s">
        <v>752</v>
      </c>
      <c r="G732" s="25">
        <f t="shared" si="20"/>
        <v>3.8198632891033313E-3</v>
      </c>
      <c r="O732" s="25"/>
    </row>
    <row r="733" spans="1:15">
      <c r="A733" s="72">
        <v>387.69434138697915</v>
      </c>
      <c r="B733" s="72">
        <v>387.82129370049614</v>
      </c>
      <c r="C733" s="72">
        <v>383.91319995043932</v>
      </c>
      <c r="D733" s="72">
        <v>383.92299565364277</v>
      </c>
      <c r="E733" s="72">
        <v>4851273.9731804803</v>
      </c>
      <c r="F733" s="72" t="s">
        <v>753</v>
      </c>
      <c r="G733" s="25">
        <f t="shared" si="20"/>
        <v>9.8231827111985304E-3</v>
      </c>
      <c r="O733" s="25"/>
    </row>
    <row r="734" spans="1:15">
      <c r="A734" s="72">
        <v>380.46511242281747</v>
      </c>
      <c r="B734" s="72">
        <v>381.13122024065348</v>
      </c>
      <c r="C734" s="72">
        <v>376.76233661190543</v>
      </c>
      <c r="D734" s="72">
        <v>377.2227346624685</v>
      </c>
      <c r="E734" s="72">
        <v>5664890.9064881224</v>
      </c>
      <c r="F734" s="72" t="s">
        <v>754</v>
      </c>
      <c r="G734" s="25">
        <f t="shared" si="20"/>
        <v>8.5953932846867254E-3</v>
      </c>
      <c r="O734" s="25"/>
    </row>
    <row r="735" spans="1:15">
      <c r="A735" s="72">
        <v>376.3215299677492</v>
      </c>
      <c r="B735" s="72">
        <v>376.62519676705682</v>
      </c>
      <c r="C735" s="72">
        <v>372.78528111129611</v>
      </c>
      <c r="D735" s="72">
        <v>374.53871198471751</v>
      </c>
      <c r="E735" s="72">
        <v>4617493.921617819</v>
      </c>
      <c r="F735" s="72" t="s">
        <v>755</v>
      </c>
      <c r="G735" s="25">
        <f t="shared" si="20"/>
        <v>4.7600366156661522E-3</v>
      </c>
      <c r="O735" s="25"/>
    </row>
    <row r="736" spans="1:15">
      <c r="A736" s="72">
        <v>374.05872252774742</v>
      </c>
      <c r="B736" s="72">
        <v>374.97951862887368</v>
      </c>
      <c r="C736" s="72">
        <v>370.97307601865396</v>
      </c>
      <c r="D736" s="72">
        <v>372.14856040307052</v>
      </c>
      <c r="E736" s="72">
        <v>5916635.9776460733</v>
      </c>
      <c r="F736" s="72" t="s">
        <v>756</v>
      </c>
      <c r="G736" s="25">
        <f t="shared" si="20"/>
        <v>5.1327946092496468E-3</v>
      </c>
      <c r="O736" s="25"/>
    </row>
    <row r="737" spans="1:15">
      <c r="A737" s="72">
        <v>369.61147327337147</v>
      </c>
      <c r="B737" s="72">
        <v>373.1085393170107</v>
      </c>
      <c r="C737" s="72">
        <v>368.2645640828942</v>
      </c>
      <c r="D737" s="72">
        <v>372.7558940016857</v>
      </c>
      <c r="E737" s="72">
        <v>5756352.4362415485</v>
      </c>
      <c r="F737" s="72" t="s">
        <v>757</v>
      </c>
      <c r="G737" s="25">
        <f t="shared" si="20"/>
        <v>-8.4356029747982841E-3</v>
      </c>
      <c r="O737" s="25"/>
    </row>
    <row r="738" spans="1:15">
      <c r="A738" s="72">
        <v>371.25715141155467</v>
      </c>
      <c r="B738" s="72">
        <v>375.56442006715292</v>
      </c>
      <c r="C738" s="72">
        <v>370.42451663925959</v>
      </c>
      <c r="D738" s="72">
        <v>374.81299167441466</v>
      </c>
      <c r="E738" s="72">
        <v>7104544.5696373712</v>
      </c>
      <c r="F738" s="72" t="s">
        <v>758</v>
      </c>
      <c r="G738" s="25">
        <f t="shared" si="20"/>
        <v>-9.4869717481639304E-3</v>
      </c>
      <c r="O738" s="25"/>
    </row>
    <row r="739" spans="1:15">
      <c r="A739" s="72">
        <v>375.87092762038952</v>
      </c>
      <c r="B739" s="72">
        <v>379.75982179216754</v>
      </c>
      <c r="C739" s="72">
        <v>375.29298113138475</v>
      </c>
      <c r="D739" s="72">
        <v>379.68145616653982</v>
      </c>
      <c r="E739" s="72">
        <v>5585320.3045813804</v>
      </c>
      <c r="F739" s="72" t="s">
        <v>759</v>
      </c>
      <c r="G739" s="25">
        <f t="shared" si="20"/>
        <v>-1.0036119711042457E-2</v>
      </c>
      <c r="O739" s="25"/>
    </row>
    <row r="740" spans="1:15">
      <c r="A740" s="72">
        <v>381.24876867909518</v>
      </c>
      <c r="B740" s="72">
        <v>382.28711321866308</v>
      </c>
      <c r="C740" s="72">
        <v>378.65290733017537</v>
      </c>
      <c r="D740" s="72">
        <v>380.34756398437582</v>
      </c>
      <c r="E740" s="72">
        <v>4544352.6692627948</v>
      </c>
      <c r="F740" s="72" t="s">
        <v>760</v>
      </c>
      <c r="G740" s="25">
        <f t="shared" si="20"/>
        <v>2.3694241269187621E-3</v>
      </c>
      <c r="O740" s="25"/>
    </row>
    <row r="741" spans="1:15">
      <c r="A741" s="72">
        <v>378.41781045329202</v>
      </c>
      <c r="B741" s="72">
        <v>381.97365071615201</v>
      </c>
      <c r="C741" s="72">
        <v>376.00806746523813</v>
      </c>
      <c r="D741" s="72">
        <v>377.60476708740396</v>
      </c>
      <c r="E741" s="72">
        <v>5652612.0534541337</v>
      </c>
      <c r="F741" s="72" t="s">
        <v>761</v>
      </c>
      <c r="G741" s="25">
        <f t="shared" si="20"/>
        <v>2.1531596970010281E-3</v>
      </c>
      <c r="O741" s="25"/>
    </row>
    <row r="742" spans="1:15">
      <c r="A742" s="72">
        <v>379.08391827112808</v>
      </c>
      <c r="B742" s="72">
        <v>383.81524291840458</v>
      </c>
      <c r="C742" s="72">
        <v>378.93698272307597</v>
      </c>
      <c r="D742" s="72">
        <v>383.38423197745186</v>
      </c>
      <c r="E742" s="72">
        <v>7707066.9079937013</v>
      </c>
      <c r="F742" s="72" t="s">
        <v>762</v>
      </c>
      <c r="G742" s="25">
        <f t="shared" si="20"/>
        <v>-1.1216720322959728E-2</v>
      </c>
      <c r="O742" s="25"/>
    </row>
    <row r="743" spans="1:15">
      <c r="A743" s="72">
        <v>383.86422143442195</v>
      </c>
      <c r="B743" s="72">
        <v>389.4771593700109</v>
      </c>
      <c r="C743" s="72">
        <v>383.14423724896682</v>
      </c>
      <c r="D743" s="72">
        <v>387.88045974784512</v>
      </c>
      <c r="E743" s="72">
        <v>6848822.2444537785</v>
      </c>
      <c r="F743" s="72" t="s">
        <v>763</v>
      </c>
      <c r="G743" s="25">
        <f t="shared" si="20"/>
        <v>-1.0354319771699982E-2</v>
      </c>
      <c r="O743" s="25"/>
    </row>
    <row r="744" spans="1:15">
      <c r="A744" s="72">
        <v>387.14578200758478</v>
      </c>
      <c r="B744" s="72">
        <v>391.64200977797799</v>
      </c>
      <c r="C744" s="72">
        <v>386.16621168723771</v>
      </c>
      <c r="D744" s="72">
        <v>390.74080508325864</v>
      </c>
      <c r="E744" s="72">
        <v>7482118.2795767868</v>
      </c>
      <c r="F744" s="72" t="s">
        <v>764</v>
      </c>
      <c r="G744" s="25">
        <f t="shared" si="20"/>
        <v>-9.2005314748425659E-3</v>
      </c>
      <c r="O744" s="25"/>
    </row>
    <row r="745" spans="1:15">
      <c r="A745" s="72">
        <v>392.39627892464529</v>
      </c>
      <c r="B745" s="72">
        <v>394.27705393971172</v>
      </c>
      <c r="C745" s="72">
        <v>389.19063505130936</v>
      </c>
      <c r="D745" s="72">
        <v>389.50654647962131</v>
      </c>
      <c r="E745" s="72">
        <v>4302507.8572271941</v>
      </c>
      <c r="F745" s="72" t="s">
        <v>765</v>
      </c>
      <c r="G745" s="25">
        <f t="shared" si="20"/>
        <v>7.4189573221337124E-3</v>
      </c>
      <c r="O745" s="25"/>
    </row>
    <row r="746" spans="1:15">
      <c r="A746" s="72">
        <v>392.38648322144178</v>
      </c>
      <c r="B746" s="72">
        <v>393.39544065139933</v>
      </c>
      <c r="C746" s="72">
        <v>390.20204140706772</v>
      </c>
      <c r="D746" s="72">
        <v>390.42734258074756</v>
      </c>
      <c r="E746" s="72">
        <v>5258367.7690181229</v>
      </c>
      <c r="F746" s="72" t="s">
        <v>766</v>
      </c>
      <c r="G746" s="25">
        <f t="shared" si="20"/>
        <v>5.0179391323983413E-3</v>
      </c>
      <c r="O746" s="25"/>
    </row>
    <row r="747" spans="1:15">
      <c r="A747" s="72">
        <v>388.32126639200129</v>
      </c>
      <c r="B747" s="72">
        <v>392.76851564637718</v>
      </c>
      <c r="C747" s="72">
        <v>386.89109372429448</v>
      </c>
      <c r="D747" s="72">
        <v>391.64200977797799</v>
      </c>
      <c r="E747" s="72">
        <v>3850891.479300146</v>
      </c>
      <c r="F747" s="72" t="s">
        <v>767</v>
      </c>
      <c r="G747" s="25">
        <f t="shared" si="20"/>
        <v>-8.4790275380806079E-3</v>
      </c>
      <c r="O747" s="25"/>
    </row>
    <row r="748" spans="1:15">
      <c r="A748" s="72">
        <v>390.37836406473019</v>
      </c>
      <c r="B748" s="72">
        <v>393.59135471546875</v>
      </c>
      <c r="C748" s="72">
        <v>388.1057609215249</v>
      </c>
      <c r="D748" s="72">
        <v>393.27789221295768</v>
      </c>
      <c r="E748" s="72">
        <v>3953701.8624937828</v>
      </c>
      <c r="F748" s="72" t="s">
        <v>768</v>
      </c>
      <c r="G748" s="25">
        <f t="shared" si="20"/>
        <v>-7.3727209325497034E-3</v>
      </c>
      <c r="O748" s="25"/>
    </row>
    <row r="749" spans="1:15">
      <c r="A749" s="72">
        <v>392.73912853676677</v>
      </c>
      <c r="B749" s="72">
        <v>392.89585978802228</v>
      </c>
      <c r="C749" s="72">
        <v>389.8591917949463</v>
      </c>
      <c r="D749" s="72">
        <v>392.09261212533767</v>
      </c>
      <c r="E749" s="72">
        <v>4268998.2670342531</v>
      </c>
      <c r="F749" s="72" t="s">
        <v>769</v>
      </c>
      <c r="G749" s="25">
        <f t="shared" si="20"/>
        <v>1.6488870012740797E-3</v>
      </c>
      <c r="O749" s="25"/>
    </row>
    <row r="750" spans="1:15">
      <c r="A750" s="72">
        <v>391.08365469538018</v>
      </c>
      <c r="B750" s="72">
        <v>393.47380627702711</v>
      </c>
      <c r="C750" s="72">
        <v>389.26900067693714</v>
      </c>
      <c r="D750" s="72">
        <v>389.64368632446991</v>
      </c>
      <c r="E750" s="72">
        <v>3358247.9293924696</v>
      </c>
      <c r="F750" s="72" t="s">
        <v>770</v>
      </c>
      <c r="G750" s="25">
        <f t="shared" si="20"/>
        <v>3.6956029866506146E-3</v>
      </c>
      <c r="O750" s="25"/>
    </row>
    <row r="751" spans="1:15">
      <c r="A751" s="72">
        <v>389.07553553866859</v>
      </c>
      <c r="B751" s="72">
        <v>389.56532069884213</v>
      </c>
      <c r="C751" s="72">
        <v>384.29523237537467</v>
      </c>
      <c r="D751" s="72">
        <v>384.77522183234476</v>
      </c>
      <c r="E751" s="72">
        <v>3021224.6517955987</v>
      </c>
      <c r="F751" s="72" t="s">
        <v>771</v>
      </c>
      <c r="G751" s="25">
        <f t="shared" si="20"/>
        <v>1.1176171079429809E-2</v>
      </c>
      <c r="O751" s="25"/>
    </row>
    <row r="752" spans="1:15">
      <c r="A752" s="72">
        <v>386.49926559615568</v>
      </c>
      <c r="B752" s="72">
        <v>387.99311033468501</v>
      </c>
      <c r="C752" s="72">
        <v>378.51615931345486</v>
      </c>
      <c r="D752" s="72">
        <v>379.76961749537105</v>
      </c>
      <c r="E752" s="72">
        <v>4999354.2048769658</v>
      </c>
      <c r="F752" s="72" t="s">
        <v>772</v>
      </c>
      <c r="G752" s="25">
        <f t="shared" si="20"/>
        <v>1.7720343573473629E-2</v>
      </c>
      <c r="O752" s="25"/>
    </row>
    <row r="753" spans="1:15">
      <c r="A753" s="72">
        <v>381.94426360654165</v>
      </c>
      <c r="B753" s="72">
        <v>382.80520796109471</v>
      </c>
      <c r="C753" s="72">
        <v>379.04473545831416</v>
      </c>
      <c r="D753" s="72">
        <v>381.92467220013464</v>
      </c>
      <c r="E753" s="72">
        <v>3398521.7098251195</v>
      </c>
      <c r="F753" s="72" t="s">
        <v>773</v>
      </c>
      <c r="G753" s="25">
        <f t="shared" si="20"/>
        <v>5.1296519531396356E-5</v>
      </c>
      <c r="O753" s="25"/>
    </row>
    <row r="754" spans="1:15">
      <c r="A754" s="72">
        <v>382.26752181225618</v>
      </c>
      <c r="B754" s="72">
        <v>382.86505970766791</v>
      </c>
      <c r="C754" s="72">
        <v>378.50597178212325</v>
      </c>
      <c r="D754" s="72">
        <v>379.80880030818491</v>
      </c>
      <c r="E754" s="72">
        <v>4424123.4243033649</v>
      </c>
      <c r="F754" s="72" t="s">
        <v>774</v>
      </c>
      <c r="G754" s="25">
        <f t="shared" si="20"/>
        <v>6.4735769736672388E-3</v>
      </c>
      <c r="O754" s="25"/>
    </row>
    <row r="755" spans="1:15">
      <c r="A755" s="72">
        <v>379.47574639926688</v>
      </c>
      <c r="B755" s="72">
        <v>383.92299565364277</v>
      </c>
      <c r="C755" s="72">
        <v>378.14353076359481</v>
      </c>
      <c r="D755" s="72">
        <v>382.60057572117415</v>
      </c>
      <c r="E755" s="72">
        <v>7030289.5636524763</v>
      </c>
      <c r="F755" s="72" t="s">
        <v>775</v>
      </c>
      <c r="G755" s="25">
        <f t="shared" si="20"/>
        <v>-8.167340877669127E-3</v>
      </c>
      <c r="O755" s="25"/>
    </row>
    <row r="756" spans="1:15">
      <c r="A756" s="72">
        <v>384.64787769069966</v>
      </c>
      <c r="B756" s="72">
        <v>385.71551138284599</v>
      </c>
      <c r="C756" s="72">
        <v>382.00303782576248</v>
      </c>
      <c r="D756" s="72">
        <v>383.89360854403236</v>
      </c>
      <c r="E756" s="72">
        <v>6008913.1711485982</v>
      </c>
      <c r="F756" s="72" t="s">
        <v>776</v>
      </c>
      <c r="G756" s="25">
        <f t="shared" si="20"/>
        <v>1.964786935442886E-3</v>
      </c>
      <c r="O756" s="25"/>
    </row>
    <row r="757" spans="1:15">
      <c r="A757" s="72">
        <v>384.67726480031007</v>
      </c>
      <c r="B757" s="72">
        <v>388.63472889451236</v>
      </c>
      <c r="C757" s="72">
        <v>383.30586635182414</v>
      </c>
      <c r="D757" s="72">
        <v>388.51718045607072</v>
      </c>
      <c r="E757" s="72">
        <v>5886851.490107025</v>
      </c>
      <c r="F757" s="72" t="s">
        <v>777</v>
      </c>
      <c r="G757" s="25">
        <f t="shared" si="20"/>
        <v>-9.8835157077302727E-3</v>
      </c>
      <c r="O757" s="25"/>
    </row>
    <row r="758" spans="1:15">
      <c r="A758" s="72">
        <v>385.59806090143633</v>
      </c>
      <c r="B758" s="72">
        <v>387.1947605236021</v>
      </c>
      <c r="C758" s="72">
        <v>382.35568314108741</v>
      </c>
      <c r="D758" s="72">
        <v>382.88465111407487</v>
      </c>
      <c r="E758" s="72">
        <v>4150569.8116285275</v>
      </c>
      <c r="F758" s="72" t="s">
        <v>778</v>
      </c>
      <c r="G758" s="25">
        <f t="shared" si="20"/>
        <v>7.0867551871465206E-3</v>
      </c>
      <c r="O758" s="25"/>
    </row>
    <row r="759" spans="1:15">
      <c r="A759" s="72">
        <v>383.36219164524408</v>
      </c>
      <c r="B759" s="72">
        <v>384.86499876025914</v>
      </c>
      <c r="C759" s="72">
        <v>380.04430580689905</v>
      </c>
      <c r="D759" s="72">
        <v>384.32828193346802</v>
      </c>
      <c r="E759" s="72">
        <v>4957425.903540004</v>
      </c>
      <c r="F759" s="72" t="s">
        <v>779</v>
      </c>
      <c r="G759" s="25">
        <f t="shared" si="20"/>
        <v>-2.5137111517365973E-3</v>
      </c>
      <c r="O759" s="25"/>
    </row>
    <row r="760" spans="1:15">
      <c r="A760" s="72">
        <v>383.27436525540548</v>
      </c>
      <c r="B760" s="72">
        <v>386.78742084894725</v>
      </c>
      <c r="C760" s="72">
        <v>382.49368623461845</v>
      </c>
      <c r="D760" s="72">
        <v>386.16287763231765</v>
      </c>
      <c r="E760" s="72">
        <v>5876662.5947943795</v>
      </c>
      <c r="F760" s="72" t="s">
        <v>780</v>
      </c>
      <c r="G760" s="25">
        <f t="shared" si="20"/>
        <v>-7.4800363893663402E-3</v>
      </c>
      <c r="O760" s="25"/>
    </row>
    <row r="761" spans="1:15">
      <c r="A761" s="72">
        <v>388.98308059491086</v>
      </c>
      <c r="B761" s="72">
        <v>389.01157537916959</v>
      </c>
      <c r="C761" s="72">
        <v>385.82133056072325</v>
      </c>
      <c r="D761" s="72">
        <v>386.20191158335695</v>
      </c>
      <c r="E761" s="72">
        <v>3307787.1074293554</v>
      </c>
      <c r="F761" s="72" t="s">
        <v>781</v>
      </c>
      <c r="G761" s="25">
        <f t="shared" si="20"/>
        <v>7.2013341419041588E-3</v>
      </c>
      <c r="O761" s="25"/>
    </row>
    <row r="762" spans="1:15">
      <c r="A762" s="72">
        <v>387.37293011453755</v>
      </c>
      <c r="B762" s="72">
        <v>390.65763709449914</v>
      </c>
      <c r="C762" s="72">
        <v>386.9777113602641</v>
      </c>
      <c r="D762" s="72">
        <v>389.16361261846788</v>
      </c>
      <c r="E762" s="72">
        <v>7384881.9380181106</v>
      </c>
      <c r="F762" s="72" t="s">
        <v>782</v>
      </c>
      <c r="G762" s="25">
        <f t="shared" si="20"/>
        <v>-4.6013616018255599E-3</v>
      </c>
      <c r="O762" s="25"/>
    </row>
    <row r="763" spans="1:15">
      <c r="A763" s="72">
        <v>388.30974493948202</v>
      </c>
      <c r="B763" s="72">
        <v>392.34000038429519</v>
      </c>
      <c r="C763" s="72">
        <v>388.08529972100575</v>
      </c>
      <c r="D763" s="72">
        <v>392.09603819029928</v>
      </c>
      <c r="E763" s="72">
        <v>4747804.284868842</v>
      </c>
      <c r="F763" s="72" t="s">
        <v>783</v>
      </c>
      <c r="G763" s="25">
        <f t="shared" si="20"/>
        <v>-9.656545545047357E-3</v>
      </c>
      <c r="O763" s="25"/>
    </row>
    <row r="764" spans="1:15">
      <c r="A764" s="72">
        <v>394.77962232425477</v>
      </c>
      <c r="B764" s="72">
        <v>399.94186234920915</v>
      </c>
      <c r="C764" s="72">
        <v>394.56493559353828</v>
      </c>
      <c r="D764" s="72">
        <v>399.57103981433528</v>
      </c>
      <c r="E764" s="72">
        <v>4108643.7762427176</v>
      </c>
      <c r="F764" s="72" t="s">
        <v>784</v>
      </c>
      <c r="G764" s="25">
        <f t="shared" si="20"/>
        <v>-1.1991403311678694E-2</v>
      </c>
      <c r="O764" s="25"/>
    </row>
    <row r="765" spans="1:15">
      <c r="A765" s="72">
        <v>398.50736464851298</v>
      </c>
      <c r="B765" s="72">
        <v>398.93185886606591</v>
      </c>
      <c r="C765" s="72">
        <v>395.91160690439597</v>
      </c>
      <c r="D765" s="72">
        <v>398.36098733211543</v>
      </c>
      <c r="E765" s="72">
        <v>3719606.0386923924</v>
      </c>
      <c r="F765" s="72" t="s">
        <v>785</v>
      </c>
      <c r="G765" s="25">
        <f t="shared" si="20"/>
        <v>3.6744892459950051E-4</v>
      </c>
      <c r="O765" s="25"/>
    </row>
    <row r="766" spans="1:15">
      <c r="A766" s="72">
        <v>399.30756064481966</v>
      </c>
      <c r="B766" s="72">
        <v>400.42978673720103</v>
      </c>
      <c r="C766" s="72">
        <v>398.30243640555636</v>
      </c>
      <c r="D766" s="72">
        <v>398.71229289146953</v>
      </c>
      <c r="E766" s="72">
        <v>3089178.4405435175</v>
      </c>
      <c r="F766" s="72" t="s">
        <v>786</v>
      </c>
      <c r="G766" s="25">
        <f t="shared" si="20"/>
        <v>1.4929756718391474E-3</v>
      </c>
      <c r="O766" s="25"/>
    </row>
    <row r="767" spans="1:15">
      <c r="A767" s="72">
        <v>398.86842869562696</v>
      </c>
      <c r="B767" s="72">
        <v>402.70351438524341</v>
      </c>
      <c r="C767" s="72">
        <v>398.61470801387117</v>
      </c>
      <c r="D767" s="72">
        <v>402.38148428916867</v>
      </c>
      <c r="E767" s="72">
        <v>4103125.5031941393</v>
      </c>
      <c r="F767" s="72" t="s">
        <v>787</v>
      </c>
      <c r="G767" s="25">
        <f t="shared" si="20"/>
        <v>-8.7306591647667853E-3</v>
      </c>
      <c r="O767" s="25"/>
    </row>
    <row r="768" spans="1:15">
      <c r="A768" s="72">
        <v>403.90380837970343</v>
      </c>
      <c r="B768" s="72">
        <v>404.49907613305362</v>
      </c>
      <c r="C768" s="72">
        <v>401.48370341526362</v>
      </c>
      <c r="D768" s="72">
        <v>402.70351438524341</v>
      </c>
      <c r="E768" s="72">
        <v>3751504.4237353187</v>
      </c>
      <c r="F768" s="72" t="s">
        <v>788</v>
      </c>
      <c r="G768" s="25">
        <f t="shared" si="20"/>
        <v>2.9805898175294665E-3</v>
      </c>
      <c r="O768" s="25"/>
    </row>
    <row r="769" spans="1:15">
      <c r="A769" s="72">
        <v>400.43954522496091</v>
      </c>
      <c r="B769" s="72">
        <v>401.46418643974391</v>
      </c>
      <c r="C769" s="72">
        <v>399.11239088962293</v>
      </c>
      <c r="D769" s="72">
        <v>400.12727361664605</v>
      </c>
      <c r="E769" s="72">
        <v>2592356.5846046028</v>
      </c>
      <c r="F769" s="72" t="s">
        <v>789</v>
      </c>
      <c r="G769" s="25">
        <f t="shared" si="20"/>
        <v>7.8043070019284677E-4</v>
      </c>
      <c r="O769" s="25"/>
    </row>
    <row r="770" spans="1:15">
      <c r="A770" s="72">
        <v>399.97113781248868</v>
      </c>
      <c r="B770" s="72">
        <v>402.19607302173176</v>
      </c>
      <c r="C770" s="72">
        <v>399.40514552241808</v>
      </c>
      <c r="D770" s="72">
        <v>400.78109229655524</v>
      </c>
      <c r="E770" s="72">
        <v>7783271.5344061935</v>
      </c>
      <c r="F770" s="72" t="s">
        <v>790</v>
      </c>
      <c r="G770" s="25">
        <f t="shared" si="20"/>
        <v>-2.020939858777715E-3</v>
      </c>
      <c r="O770" s="25"/>
    </row>
    <row r="771" spans="1:15">
      <c r="A771" s="72">
        <v>402.12776360741293</v>
      </c>
      <c r="B771" s="72">
        <v>402.42051824020808</v>
      </c>
      <c r="C771" s="72">
        <v>400.3809942984019</v>
      </c>
      <c r="D771" s="72">
        <v>401.93259385221614</v>
      </c>
      <c r="E771" s="72">
        <v>3429386.8910437454</v>
      </c>
      <c r="F771" s="72" t="s">
        <v>791</v>
      </c>
      <c r="G771" s="25">
        <f t="shared" si="20"/>
        <v>4.8557832378359755E-4</v>
      </c>
      <c r="O771" s="25"/>
    </row>
    <row r="772" spans="1:15">
      <c r="A772" s="72">
        <v>399.50273040001645</v>
      </c>
      <c r="B772" s="72">
        <v>400.91771112519297</v>
      </c>
      <c r="C772" s="72">
        <v>398.62446650163099</v>
      </c>
      <c r="D772" s="72">
        <v>398.94649659770567</v>
      </c>
      <c r="E772" s="72">
        <v>4227317.901629867</v>
      </c>
      <c r="F772" s="72" t="s">
        <v>792</v>
      </c>
      <c r="G772" s="25">
        <f t="shared" si="20"/>
        <v>1.3942566410645174E-3</v>
      </c>
      <c r="O772" s="25"/>
    </row>
    <row r="773" spans="1:15">
      <c r="A773" s="72">
        <v>398.9562550854655</v>
      </c>
      <c r="B773" s="72">
        <v>399.5417643510558</v>
      </c>
      <c r="C773" s="72">
        <v>397.02895375289745</v>
      </c>
      <c r="D773" s="72">
        <v>397.33634611733237</v>
      </c>
      <c r="E773" s="72">
        <v>2301339.1575307297</v>
      </c>
      <c r="F773" s="72" t="s">
        <v>793</v>
      </c>
      <c r="G773" s="25">
        <f t="shared" si="20"/>
        <v>4.0769211877103029E-3</v>
      </c>
      <c r="O773" s="25"/>
    </row>
    <row r="774" spans="1:15">
      <c r="A774" s="72">
        <v>400.14679059216576</v>
      </c>
      <c r="B774" s="72">
        <v>402.17655604621211</v>
      </c>
      <c r="C774" s="72">
        <v>397.98040630948168</v>
      </c>
      <c r="D774" s="72">
        <v>402.14728058293264</v>
      </c>
      <c r="E774" s="72">
        <v>3836729.7189314449</v>
      </c>
      <c r="F774" s="72" t="s">
        <v>794</v>
      </c>
      <c r="G774" s="25">
        <f t="shared" si="20"/>
        <v>-4.9745207473915753E-3</v>
      </c>
      <c r="O774" s="25"/>
    </row>
    <row r="775" spans="1:15">
      <c r="A775" s="72">
        <v>402.92795960371961</v>
      </c>
      <c r="B775" s="72">
        <v>404.46004218201426</v>
      </c>
      <c r="C775" s="72">
        <v>402.80109926284172</v>
      </c>
      <c r="D775" s="72">
        <v>404.19656301249859</v>
      </c>
      <c r="E775" s="72">
        <v>4536242.8164519137</v>
      </c>
      <c r="F775" s="72" t="s">
        <v>795</v>
      </c>
      <c r="G775" s="25">
        <f t="shared" si="20"/>
        <v>-3.1385803959439462E-3</v>
      </c>
      <c r="O775" s="25"/>
    </row>
    <row r="776" spans="1:15">
      <c r="A776" s="72">
        <v>404.69424588825035</v>
      </c>
      <c r="B776" s="72">
        <v>406.81183773213525</v>
      </c>
      <c r="C776" s="72">
        <v>403.23047272427465</v>
      </c>
      <c r="D776" s="72">
        <v>406.40198124622202</v>
      </c>
      <c r="E776" s="72">
        <v>3676769.4834506679</v>
      </c>
      <c r="F776" s="72" t="s">
        <v>796</v>
      </c>
      <c r="G776" s="25">
        <f t="shared" si="20"/>
        <v>-4.2020842337798792E-3</v>
      </c>
      <c r="O776" s="25"/>
    </row>
    <row r="777" spans="1:15">
      <c r="A777" s="72">
        <v>403.8354989653846</v>
      </c>
      <c r="B777" s="72">
        <v>406.07019266238757</v>
      </c>
      <c r="C777" s="72">
        <v>403.6696046734674</v>
      </c>
      <c r="D777" s="72">
        <v>404.95967675531801</v>
      </c>
      <c r="E777" s="72">
        <v>4868716.4619436599</v>
      </c>
      <c r="F777" s="72" t="s">
        <v>797</v>
      </c>
      <c r="G777" s="25">
        <f t="shared" si="20"/>
        <v>-2.7760240203190678E-3</v>
      </c>
      <c r="O777" s="25"/>
    </row>
    <row r="778" spans="1:15">
      <c r="A778" s="72">
        <v>404.35269881665607</v>
      </c>
      <c r="B778" s="72">
        <v>405.0057368175444</v>
      </c>
      <c r="C778" s="72">
        <v>402.44003521572773</v>
      </c>
      <c r="D778" s="72">
        <v>403.05481994459751</v>
      </c>
      <c r="E778" s="72">
        <v>3078874.5899393465</v>
      </c>
      <c r="F778" s="72" t="s">
        <v>798</v>
      </c>
      <c r="G778" s="25">
        <f t="shared" si="20"/>
        <v>3.2201050771132333E-3</v>
      </c>
      <c r="O778" s="25"/>
    </row>
    <row r="779" spans="1:15">
      <c r="A779" s="72">
        <v>402.67423892196388</v>
      </c>
      <c r="B779" s="72">
        <v>403.00602750579839</v>
      </c>
      <c r="C779" s="72">
        <v>396.75083685174206</v>
      </c>
      <c r="D779" s="72">
        <v>396.95576509469862</v>
      </c>
      <c r="E779" s="72">
        <v>3568856.2466954826</v>
      </c>
      <c r="F779" s="72" t="s">
        <v>799</v>
      </c>
      <c r="G779" s="25">
        <f t="shared" si="20"/>
        <v>1.4405821328482338E-2</v>
      </c>
      <c r="O779" s="25"/>
    </row>
    <row r="780" spans="1:15">
      <c r="A780" s="72">
        <v>397.03383299677739</v>
      </c>
      <c r="B780" s="72">
        <v>397.59982528684799</v>
      </c>
      <c r="C780" s="72">
        <v>395.3163391510459</v>
      </c>
      <c r="D780" s="72">
        <v>396.54590860878545</v>
      </c>
      <c r="E780" s="72">
        <v>3316816.1703506233</v>
      </c>
      <c r="F780" s="72" t="s">
        <v>800</v>
      </c>
      <c r="G780" s="25">
        <f t="shared" si="20"/>
        <v>1.2304360665420511E-3</v>
      </c>
      <c r="O780" s="25"/>
    </row>
    <row r="781" spans="1:15">
      <c r="A781" s="72">
        <v>394.43807525266038</v>
      </c>
      <c r="B781" s="72">
        <v>395.99943329423456</v>
      </c>
      <c r="C781" s="72">
        <v>390.05651424849304</v>
      </c>
      <c r="D781" s="72">
        <v>393.34512462355855</v>
      </c>
      <c r="E781" s="72">
        <v>4527171.7388240546</v>
      </c>
      <c r="F781" s="72" t="s">
        <v>801</v>
      </c>
      <c r="G781" s="25">
        <f t="shared" si="20"/>
        <v>2.7786047434750216E-3</v>
      </c>
      <c r="O781" s="25"/>
    </row>
    <row r="782" spans="1:15">
      <c r="A782" s="72">
        <v>391.84231750854349</v>
      </c>
      <c r="B782" s="72">
        <v>399.1992414306855</v>
      </c>
      <c r="C782" s="72">
        <v>391.70569867990571</v>
      </c>
      <c r="D782" s="72">
        <v>398.73180986698924</v>
      </c>
      <c r="E782" s="72">
        <v>3544392.4152212543</v>
      </c>
      <c r="F782" s="72" t="s">
        <v>802</v>
      </c>
      <c r="G782" s="25">
        <f t="shared" si="20"/>
        <v>-1.7278511992168344E-2</v>
      </c>
      <c r="O782" s="25"/>
    </row>
    <row r="783" spans="1:15">
      <c r="A783" s="72">
        <v>397.12165938661593</v>
      </c>
      <c r="B783" s="72">
        <v>397.82427050532431</v>
      </c>
      <c r="C783" s="72">
        <v>393.72570564619224</v>
      </c>
      <c r="D783" s="72">
        <v>393.81353203603078</v>
      </c>
      <c r="E783" s="72">
        <v>3330397.1680688797</v>
      </c>
      <c r="F783" s="72" t="s">
        <v>803</v>
      </c>
      <c r="G783" s="25">
        <f t="shared" si="20"/>
        <v>8.4002378828427204E-3</v>
      </c>
      <c r="O783" s="25"/>
    </row>
    <row r="784" spans="1:15">
      <c r="A784" s="72">
        <v>392.88647569884614</v>
      </c>
      <c r="B784" s="72">
        <v>395.60909378384099</v>
      </c>
      <c r="C784" s="72">
        <v>392.34975887205502</v>
      </c>
      <c r="D784" s="72">
        <v>395.56030134504181</v>
      </c>
      <c r="E784" s="72">
        <v>2713587.4586001462</v>
      </c>
      <c r="F784" s="72" t="s">
        <v>804</v>
      </c>
      <c r="G784" s="25">
        <f t="shared" si="20"/>
        <v>-6.7595904773651849E-3</v>
      </c>
      <c r="O784" s="25"/>
    </row>
    <row r="785" spans="1:15">
      <c r="A785" s="72">
        <v>393.98918481570786</v>
      </c>
      <c r="B785" s="72">
        <v>394.62348652009734</v>
      </c>
      <c r="C785" s="72">
        <v>390.32975190576855</v>
      </c>
      <c r="D785" s="72">
        <v>392.42782677413373</v>
      </c>
      <c r="E785" s="72">
        <v>3373918.2556033526</v>
      </c>
      <c r="F785" s="72" t="s">
        <v>805</v>
      </c>
      <c r="G785" s="25">
        <f t="shared" si="20"/>
        <v>3.9787138807381162E-3</v>
      </c>
      <c r="O785" s="25"/>
    </row>
    <row r="786" spans="1:15">
      <c r="A786" s="72">
        <v>391.40318555935073</v>
      </c>
      <c r="B786" s="72">
        <v>392.31072492101566</v>
      </c>
      <c r="C786" s="72">
        <v>388.24143552516318</v>
      </c>
      <c r="D786" s="72">
        <v>388.55370713347799</v>
      </c>
      <c r="E786" s="72">
        <v>4260564.8562794654</v>
      </c>
      <c r="F786" s="72" t="s">
        <v>806</v>
      </c>
      <c r="G786" s="25">
        <f t="shared" si="20"/>
        <v>7.3335509958056821E-3</v>
      </c>
      <c r="O786" s="25"/>
    </row>
    <row r="787" spans="1:15">
      <c r="A787" s="72">
        <v>391.04212151223675</v>
      </c>
      <c r="B787" s="72">
        <v>395.78474656351807</v>
      </c>
      <c r="C787" s="72">
        <v>390.70057444064236</v>
      </c>
      <c r="D787" s="72">
        <v>395.5407843695221</v>
      </c>
      <c r="E787" s="72">
        <v>7278283.4541545361</v>
      </c>
      <c r="F787" s="72" t="s">
        <v>807</v>
      </c>
      <c r="G787" s="25">
        <f t="shared" si="20"/>
        <v>-1.137344879480906E-2</v>
      </c>
      <c r="O787" s="25"/>
    </row>
    <row r="788" spans="1:15">
      <c r="A788" s="72">
        <v>394.23314700970383</v>
      </c>
      <c r="B788" s="72">
        <v>398.25364396675718</v>
      </c>
      <c r="C788" s="72">
        <v>394.11604515658576</v>
      </c>
      <c r="D788" s="72">
        <v>396.77035382726172</v>
      </c>
      <c r="E788" s="72">
        <v>3436652.3610371388</v>
      </c>
      <c r="F788" s="72" t="s">
        <v>808</v>
      </c>
      <c r="G788" s="25">
        <f t="shared" si="20"/>
        <v>-6.3946481713764713E-3</v>
      </c>
      <c r="O788" s="25"/>
    </row>
    <row r="789" spans="1:15">
      <c r="A789" s="72">
        <v>397.17045182541511</v>
      </c>
      <c r="B789" s="72">
        <v>401.76913918223886</v>
      </c>
      <c r="C789" s="72">
        <v>396.59470104758469</v>
      </c>
      <c r="D789" s="72">
        <v>400.18582454320511</v>
      </c>
      <c r="E789" s="72">
        <v>4802095.4837757498</v>
      </c>
      <c r="F789" s="72" t="s">
        <v>809</v>
      </c>
      <c r="G789" s="25">
        <f t="shared" si="20"/>
        <v>-7.5349313565314935E-3</v>
      </c>
      <c r="O789" s="25"/>
    </row>
    <row r="790" spans="1:15">
      <c r="A790" s="72">
        <v>401.77645804805877</v>
      </c>
      <c r="B790" s="72">
        <v>401.79597502357842</v>
      </c>
      <c r="C790" s="72">
        <v>398.44881372195391</v>
      </c>
      <c r="D790" s="72">
        <v>398.69277591594988</v>
      </c>
      <c r="E790" s="72">
        <v>2841538.6361523434</v>
      </c>
      <c r="F790" s="72" t="s">
        <v>810</v>
      </c>
      <c r="G790" s="25">
        <f t="shared" si="20"/>
        <v>7.7344820834148731E-3</v>
      </c>
      <c r="O790" s="25"/>
    </row>
    <row r="791" spans="1:15">
      <c r="A791" s="72">
        <v>399.52224737553615</v>
      </c>
      <c r="B791" s="72">
        <v>400.49809615151997</v>
      </c>
      <c r="C791" s="72">
        <v>397.50224040924957</v>
      </c>
      <c r="D791" s="72">
        <v>398.09750816259975</v>
      </c>
      <c r="E791" s="72">
        <v>2991100.7441263557</v>
      </c>
      <c r="F791" s="72" t="s">
        <v>811</v>
      </c>
      <c r="G791" s="25">
        <f t="shared" si="20"/>
        <v>3.5788699595540319E-3</v>
      </c>
      <c r="O791" s="25"/>
    </row>
    <row r="792" spans="1:15">
      <c r="A792" s="72">
        <v>399.89306991041002</v>
      </c>
      <c r="B792" s="72">
        <v>405.02603447208486</v>
      </c>
      <c r="C792" s="72">
        <v>398.75132684250889</v>
      </c>
      <c r="D792" s="72">
        <v>401.85452595013749</v>
      </c>
      <c r="E792" s="72">
        <v>4701882.2105650436</v>
      </c>
      <c r="F792" s="72" t="s">
        <v>812</v>
      </c>
      <c r="G792" s="25">
        <f t="shared" si="20"/>
        <v>-4.8810101991257904E-3</v>
      </c>
      <c r="O792" s="25"/>
    </row>
    <row r="793" spans="1:15">
      <c r="A793" s="72">
        <v>399.65886620417388</v>
      </c>
      <c r="B793" s="72">
        <v>402.76206531180242</v>
      </c>
      <c r="C793" s="72">
        <v>398.97577206098521</v>
      </c>
      <c r="D793" s="72">
        <v>402.69375589748358</v>
      </c>
      <c r="E793" s="72">
        <v>3223792.5357116582</v>
      </c>
      <c r="F793" s="72" t="s">
        <v>813</v>
      </c>
      <c r="G793" s="25">
        <f t="shared" si="20"/>
        <v>-7.5364707022731459E-3</v>
      </c>
      <c r="O793" s="25"/>
    </row>
    <row r="794" spans="1:15">
      <c r="A794" s="72">
        <v>402.33269185036954</v>
      </c>
      <c r="B794" s="72">
        <v>402.77182379956224</v>
      </c>
      <c r="C794" s="72">
        <v>399.24413047438071</v>
      </c>
      <c r="D794" s="72">
        <v>401.81549199909807</v>
      </c>
      <c r="E794" s="72">
        <v>3873639.1262970357</v>
      </c>
      <c r="F794" s="72" t="s">
        <v>814</v>
      </c>
      <c r="G794" s="25">
        <f t="shared" si="20"/>
        <v>1.2871575675150737E-3</v>
      </c>
      <c r="O794" s="25"/>
    </row>
    <row r="795" spans="1:15">
      <c r="A795" s="72">
        <v>404.07946115938057</v>
      </c>
      <c r="B795" s="72">
        <v>404.235596963538</v>
      </c>
      <c r="C795" s="72">
        <v>401.69839014598006</v>
      </c>
      <c r="D795" s="72">
        <v>402.33269185036954</v>
      </c>
      <c r="E795" s="72">
        <v>2662274.1801164825</v>
      </c>
      <c r="F795" s="72" t="s">
        <v>815</v>
      </c>
      <c r="G795" s="25">
        <f t="shared" ref="G795:G858" si="21">A795/D795-1</f>
        <v>4.341604210628347E-3</v>
      </c>
      <c r="O795" s="25"/>
    </row>
    <row r="796" spans="1:15">
      <c r="A796" s="72">
        <v>400.46882068824044</v>
      </c>
      <c r="B796" s="72">
        <v>406.07848737698339</v>
      </c>
      <c r="C796" s="72">
        <v>400.12727361664605</v>
      </c>
      <c r="D796" s="72">
        <v>404.1477705736994</v>
      </c>
      <c r="E796" s="72">
        <v>5858762.280288795</v>
      </c>
      <c r="F796" s="72" t="s">
        <v>816</v>
      </c>
      <c r="G796" s="25">
        <f t="shared" si="21"/>
        <v>-9.1029820113484039E-3</v>
      </c>
      <c r="O796" s="25"/>
    </row>
    <row r="797" spans="1:15">
      <c r="A797" s="72">
        <v>402.44003521572773</v>
      </c>
      <c r="B797" s="72">
        <v>404.18680452473876</v>
      </c>
      <c r="C797" s="72">
        <v>401.16167331918894</v>
      </c>
      <c r="D797" s="72">
        <v>401.73742409701941</v>
      </c>
      <c r="E797" s="72">
        <v>3103143.719114739</v>
      </c>
      <c r="F797" s="72" t="s">
        <v>817</v>
      </c>
      <c r="G797" s="25">
        <f t="shared" si="21"/>
        <v>1.748931208705784E-3</v>
      </c>
      <c r="O797" s="25"/>
    </row>
    <row r="798" spans="1:15">
      <c r="A798" s="72">
        <v>403.58177828362881</v>
      </c>
      <c r="B798" s="72">
        <v>406.63618495245817</v>
      </c>
      <c r="C798" s="72">
        <v>402.90844262819996</v>
      </c>
      <c r="D798" s="72">
        <v>406.40198124622202</v>
      </c>
      <c r="E798" s="72">
        <v>5102294.661363136</v>
      </c>
      <c r="F798" s="72" t="s">
        <v>818</v>
      </c>
      <c r="G798" s="25">
        <f t="shared" si="21"/>
        <v>-6.9394419632137216E-3</v>
      </c>
      <c r="O798" s="25"/>
    </row>
    <row r="799" spans="1:15">
      <c r="A799" s="72">
        <v>409.25145967209482</v>
      </c>
      <c r="B799" s="72">
        <v>409.93455381528349</v>
      </c>
      <c r="C799" s="72">
        <v>408.44150518802826</v>
      </c>
      <c r="D799" s="72">
        <v>409.13435781897675</v>
      </c>
      <c r="E799" s="72">
        <v>3214919.2346294592</v>
      </c>
      <c r="F799" s="72" t="s">
        <v>819</v>
      </c>
      <c r="G799" s="25">
        <f t="shared" si="21"/>
        <v>2.8621857558563946E-4</v>
      </c>
      <c r="O799" s="25"/>
    </row>
    <row r="800" spans="1:15">
      <c r="A800" s="72">
        <v>410.5200630808738</v>
      </c>
      <c r="B800" s="72">
        <v>410.80305922590912</v>
      </c>
      <c r="C800" s="72">
        <v>408.92942957602014</v>
      </c>
      <c r="D800" s="72">
        <v>410.16875752151958</v>
      </c>
      <c r="E800" s="72">
        <v>3540033.1332252184</v>
      </c>
      <c r="F800" s="72" t="s">
        <v>820</v>
      </c>
      <c r="G800" s="25">
        <f t="shared" si="21"/>
        <v>8.5649029311007929E-4</v>
      </c>
      <c r="O800" s="25"/>
    </row>
    <row r="801" spans="1:15">
      <c r="A801" s="72">
        <v>409.72962557232688</v>
      </c>
      <c r="B801" s="72">
        <v>410.46151215431473</v>
      </c>
      <c r="C801" s="72">
        <v>408.06092416539457</v>
      </c>
      <c r="D801" s="72">
        <v>408.81232772290213</v>
      </c>
      <c r="E801" s="72">
        <v>2769618.6812092797</v>
      </c>
      <c r="F801" s="72" t="s">
        <v>821</v>
      </c>
      <c r="G801" s="25">
        <f t="shared" si="21"/>
        <v>2.2438116153056242E-3</v>
      </c>
      <c r="O801" s="25"/>
    </row>
    <row r="802" spans="1:15">
      <c r="A802" s="72">
        <v>405.77743802959242</v>
      </c>
      <c r="B802" s="72">
        <v>411.95456078156997</v>
      </c>
      <c r="C802" s="72">
        <v>404.89917413120696</v>
      </c>
      <c r="D802" s="72">
        <v>411.60325522221586</v>
      </c>
      <c r="E802" s="72">
        <v>4252137.3209867058</v>
      </c>
      <c r="F802" s="72" t="s">
        <v>822</v>
      </c>
      <c r="G802" s="25">
        <f t="shared" si="21"/>
        <v>-1.4153962872519577E-2</v>
      </c>
      <c r="O802" s="25"/>
    </row>
    <row r="803" spans="1:15">
      <c r="A803" s="72">
        <v>408.54884855338651</v>
      </c>
      <c r="B803" s="72">
        <v>409.74914254784653</v>
      </c>
      <c r="C803" s="72">
        <v>406.51908309934009</v>
      </c>
      <c r="D803" s="72">
        <v>407.53396582636327</v>
      </c>
      <c r="E803" s="72">
        <v>6290766.7161963824</v>
      </c>
      <c r="F803" s="72" t="s">
        <v>823</v>
      </c>
      <c r="G803" s="25">
        <f t="shared" si="21"/>
        <v>2.4903021885926968E-3</v>
      </c>
      <c r="O803" s="25"/>
    </row>
    <row r="804" spans="1:15">
      <c r="A804" s="72">
        <v>408.45126367578808</v>
      </c>
      <c r="B804" s="72">
        <v>409.51493884161044</v>
      </c>
      <c r="C804" s="72">
        <v>406.99471179275463</v>
      </c>
      <c r="D804" s="72">
        <v>407.00700748733203</v>
      </c>
      <c r="E804" s="72">
        <v>4047049.1916315909</v>
      </c>
      <c r="F804" s="72" t="s">
        <v>824</v>
      </c>
      <c r="G804" s="25">
        <f t="shared" si="21"/>
        <v>3.548479907931279E-3</v>
      </c>
      <c r="O804" s="25"/>
    </row>
    <row r="805" spans="1:15">
      <c r="A805" s="72">
        <v>407.25096968132794</v>
      </c>
      <c r="B805" s="72">
        <v>408.00237323883556</v>
      </c>
      <c r="C805" s="72">
        <v>405.96772854090926</v>
      </c>
      <c r="D805" s="72">
        <v>406.51908309934009</v>
      </c>
      <c r="E805" s="72">
        <v>3557032.6934114527</v>
      </c>
      <c r="F805" s="72" t="s">
        <v>825</v>
      </c>
      <c r="G805" s="25">
        <f t="shared" si="21"/>
        <v>1.8003744778913866E-3</v>
      </c>
      <c r="O805" s="25"/>
    </row>
    <row r="806" spans="1:15">
      <c r="A806" s="72">
        <v>405.53347583559645</v>
      </c>
      <c r="B806" s="72">
        <v>407.22169421804847</v>
      </c>
      <c r="C806" s="72">
        <v>405.44564944575791</v>
      </c>
      <c r="D806" s="72">
        <v>407.03628295061156</v>
      </c>
      <c r="E806" s="72">
        <v>3255333.2833740916</v>
      </c>
      <c r="F806" s="72" t="s">
        <v>826</v>
      </c>
      <c r="G806" s="25">
        <f t="shared" si="21"/>
        <v>-3.6920716357795591E-3</v>
      </c>
      <c r="O806" s="25"/>
    </row>
    <row r="807" spans="1:15">
      <c r="A807" s="72">
        <v>405.48468339679727</v>
      </c>
      <c r="B807" s="72">
        <v>408.06092416539457</v>
      </c>
      <c r="C807" s="72">
        <v>404.8015892536086</v>
      </c>
      <c r="D807" s="72">
        <v>407.22169421804847</v>
      </c>
      <c r="E807" s="72">
        <v>4186096.3507195371</v>
      </c>
      <c r="F807" s="72" t="s">
        <v>827</v>
      </c>
      <c r="G807" s="25">
        <f t="shared" si="21"/>
        <v>-4.2655164150491309E-3</v>
      </c>
      <c r="O807" s="25"/>
    </row>
    <row r="808" spans="1:15">
      <c r="A808" s="72">
        <v>408.14875055523311</v>
      </c>
      <c r="B808" s="72">
        <v>409.241701184335</v>
      </c>
      <c r="C808" s="72">
        <v>407.40710548548543</v>
      </c>
      <c r="D808" s="72">
        <v>407.97309777555603</v>
      </c>
      <c r="E808" s="72">
        <v>3581411.4707235582</v>
      </c>
      <c r="F808" s="72" t="s">
        <v>828</v>
      </c>
      <c r="G808" s="25">
        <f t="shared" si="21"/>
        <v>4.3054990791024927E-4</v>
      </c>
      <c r="O808" s="25"/>
    </row>
    <row r="809" spans="1:15">
      <c r="A809" s="72">
        <v>407.27048665684771</v>
      </c>
      <c r="B809" s="72">
        <v>407.83647894691831</v>
      </c>
      <c r="C809" s="72">
        <v>403.55250282034933</v>
      </c>
      <c r="D809" s="72">
        <v>403.91356686746332</v>
      </c>
      <c r="E809" s="72">
        <v>3686312.9703404387</v>
      </c>
      <c r="F809" s="72" t="s">
        <v>829</v>
      </c>
      <c r="G809" s="25">
        <f t="shared" si="21"/>
        <v>8.3109854799354732E-3</v>
      </c>
      <c r="O809" s="25"/>
    </row>
    <row r="810" spans="1:15">
      <c r="A810" s="72">
        <v>404.20632150025847</v>
      </c>
      <c r="B810" s="72">
        <v>405.22071630289366</v>
      </c>
      <c r="C810" s="72">
        <v>402.66448043420399</v>
      </c>
      <c r="D810" s="72">
        <v>402.6839974097237</v>
      </c>
      <c r="E810" s="72">
        <v>3041728.4655683292</v>
      </c>
      <c r="F810" s="72" t="s">
        <v>830</v>
      </c>
      <c r="G810" s="25">
        <f t="shared" si="21"/>
        <v>3.7804434750998706E-3</v>
      </c>
      <c r="O810" s="25"/>
    </row>
    <row r="811" spans="1:15">
      <c r="A811" s="72">
        <v>402.80109926284172</v>
      </c>
      <c r="B811" s="72">
        <v>404.69424588825035</v>
      </c>
      <c r="C811" s="72">
        <v>402.12776360741293</v>
      </c>
      <c r="D811" s="72">
        <v>403.94284233074285</v>
      </c>
      <c r="E811" s="72">
        <v>3772044.4915135377</v>
      </c>
      <c r="F811" s="72" t="s">
        <v>831</v>
      </c>
      <c r="G811" s="25">
        <f t="shared" si="21"/>
        <v>-2.8264965937093711E-3</v>
      </c>
      <c r="O811" s="25"/>
    </row>
    <row r="812" spans="1:15">
      <c r="A812" s="72">
        <v>403.12312935891646</v>
      </c>
      <c r="B812" s="72">
        <v>403.81598198986495</v>
      </c>
      <c r="C812" s="72">
        <v>401.20070727022829</v>
      </c>
      <c r="D812" s="72">
        <v>401.60080526838169</v>
      </c>
      <c r="E812" s="72">
        <v>3354440.8524771994</v>
      </c>
      <c r="F812" s="72" t="s">
        <v>832</v>
      </c>
      <c r="G812" s="25">
        <f t="shared" si="21"/>
        <v>3.7906400349905223E-3</v>
      </c>
      <c r="O812" s="25"/>
    </row>
    <row r="813" spans="1:15">
      <c r="A813" s="72">
        <v>399.86379444713043</v>
      </c>
      <c r="B813" s="72">
        <v>401.20070727022829</v>
      </c>
      <c r="C813" s="72">
        <v>398.9172211344262</v>
      </c>
      <c r="D813" s="72">
        <v>400.28340942080348</v>
      </c>
      <c r="E813" s="72">
        <v>4351451.8893759446</v>
      </c>
      <c r="F813" s="72" t="s">
        <v>833</v>
      </c>
      <c r="G813" s="25">
        <f t="shared" si="21"/>
        <v>-1.0482946927033998E-3</v>
      </c>
      <c r="O813" s="25"/>
    </row>
    <row r="814" spans="1:15">
      <c r="A814" s="72">
        <v>396.74107836398224</v>
      </c>
      <c r="B814" s="72">
        <v>397.17045182541511</v>
      </c>
      <c r="C814" s="72">
        <v>394.01846027898733</v>
      </c>
      <c r="D814" s="72">
        <v>394.99430905497115</v>
      </c>
      <c r="E814" s="72">
        <v>3260618.9384130086</v>
      </c>
      <c r="F814" s="72" t="s">
        <v>834</v>
      </c>
      <c r="G814" s="25">
        <f t="shared" si="21"/>
        <v>4.4222644958866741E-3</v>
      </c>
      <c r="O814" s="25"/>
    </row>
    <row r="815" spans="1:15">
      <c r="A815" s="72">
        <v>394.21363003418418</v>
      </c>
      <c r="B815" s="72">
        <v>394.3502488628219</v>
      </c>
      <c r="C815" s="72">
        <v>392.34975887205502</v>
      </c>
      <c r="D815" s="72">
        <v>392.90599267436579</v>
      </c>
      <c r="E815" s="72">
        <v>3445489.7959063947</v>
      </c>
      <c r="F815" s="72" t="s">
        <v>835</v>
      </c>
      <c r="G815" s="25">
        <f t="shared" si="21"/>
        <v>3.3281176266053425E-3</v>
      </c>
      <c r="O815" s="25"/>
    </row>
    <row r="816" spans="1:15">
      <c r="A816" s="72">
        <v>393.15971335612159</v>
      </c>
      <c r="B816" s="72">
        <v>396.85720436832429</v>
      </c>
      <c r="C816" s="72">
        <v>392.98406057644451</v>
      </c>
      <c r="D816" s="72">
        <v>393.29633218475931</v>
      </c>
      <c r="E816" s="72">
        <v>3764158.0236617527</v>
      </c>
      <c r="F816" s="72" t="s">
        <v>836</v>
      </c>
      <c r="G816" s="25">
        <f t="shared" si="21"/>
        <v>-3.4736868223206319E-4</v>
      </c>
      <c r="O816" s="25"/>
    </row>
    <row r="817" spans="1:15">
      <c r="A817" s="72">
        <v>394.0770112055464</v>
      </c>
      <c r="B817" s="72">
        <v>394.58445256905799</v>
      </c>
      <c r="C817" s="72">
        <v>391.86183448406314</v>
      </c>
      <c r="D817" s="72">
        <v>394.02821876674716</v>
      </c>
      <c r="E817" s="72">
        <v>6189761.3120540967</v>
      </c>
      <c r="F817" s="72" t="s">
        <v>837</v>
      </c>
      <c r="G817" s="25">
        <f t="shared" si="21"/>
        <v>1.2382980831149304E-4</v>
      </c>
      <c r="O817" s="25"/>
    </row>
    <row r="818" spans="1:15">
      <c r="A818" s="72">
        <v>397.31682914181266</v>
      </c>
      <c r="B818" s="72">
        <v>397.9901647972415</v>
      </c>
      <c r="C818" s="72">
        <v>396.20436153719112</v>
      </c>
      <c r="D818" s="72">
        <v>396.20436153719112</v>
      </c>
      <c r="E818" s="72">
        <v>4338914.0860798694</v>
      </c>
      <c r="F818" s="72" t="s">
        <v>838</v>
      </c>
      <c r="G818" s="25">
        <f t="shared" si="21"/>
        <v>2.8078126154527094E-3</v>
      </c>
      <c r="O818" s="25"/>
    </row>
    <row r="819" spans="1:15">
      <c r="A819" s="72">
        <v>398.20485152795794</v>
      </c>
      <c r="B819" s="72">
        <v>398.20485152795794</v>
      </c>
      <c r="C819" s="72">
        <v>396.85818021710031</v>
      </c>
      <c r="D819" s="72">
        <v>397.0923839233364</v>
      </c>
      <c r="E819" s="72">
        <v>2430723.9588517216</v>
      </c>
      <c r="F819" s="72" t="s">
        <v>839</v>
      </c>
      <c r="G819" s="25">
        <f t="shared" si="21"/>
        <v>2.8015334709525774E-3</v>
      </c>
      <c r="O819" s="25"/>
    </row>
    <row r="820" spans="1:15">
      <c r="A820" s="72">
        <v>397.44368948269056</v>
      </c>
      <c r="B820" s="72">
        <v>398.36098733211543</v>
      </c>
      <c r="C820" s="72">
        <v>395.5017504184828</v>
      </c>
      <c r="D820" s="72">
        <v>395.60909378384099</v>
      </c>
      <c r="E820" s="72">
        <v>5301735.3993030749</v>
      </c>
      <c r="F820" s="72" t="s">
        <v>840</v>
      </c>
      <c r="G820" s="25">
        <f t="shared" si="21"/>
        <v>4.6373951652687317E-3</v>
      </c>
      <c r="O820" s="25"/>
    </row>
    <row r="821" spans="1:15">
      <c r="A821" s="72">
        <v>392.78889082124778</v>
      </c>
      <c r="B821" s="72">
        <v>392.94502662540521</v>
      </c>
      <c r="C821" s="72">
        <v>390.52492166096528</v>
      </c>
      <c r="D821" s="72">
        <v>390.92501965911868</v>
      </c>
      <c r="E821" s="72">
        <v>4011737.3678653939</v>
      </c>
      <c r="F821" s="72" t="s">
        <v>841</v>
      </c>
      <c r="G821" s="25">
        <f t="shared" si="21"/>
        <v>4.7678482276585221E-3</v>
      </c>
      <c r="O821" s="25"/>
    </row>
    <row r="822" spans="1:15">
      <c r="A822" s="72">
        <v>391.28979193158125</v>
      </c>
      <c r="B822" s="72">
        <v>392.1986379270005</v>
      </c>
      <c r="C822" s="72">
        <v>389.50126077482031</v>
      </c>
      <c r="D822" s="72">
        <v>390.12335856847631</v>
      </c>
      <c r="E822" s="72">
        <v>4445008.6597304381</v>
      </c>
      <c r="F822" s="72" t="s">
        <v>842</v>
      </c>
      <c r="G822" s="25">
        <f t="shared" si="21"/>
        <v>2.9899090569327491E-3</v>
      </c>
      <c r="O822" s="25"/>
    </row>
    <row r="823" spans="1:15">
      <c r="A823" s="72">
        <v>391.11482692711547</v>
      </c>
      <c r="B823" s="72">
        <v>391.65916249656448</v>
      </c>
      <c r="C823" s="72">
        <v>387.24615627281742</v>
      </c>
      <c r="D823" s="72">
        <v>387.64468767187827</v>
      </c>
      <c r="E823" s="72">
        <v>4426170.7211948764</v>
      </c>
      <c r="F823" s="72" t="s">
        <v>843</v>
      </c>
      <c r="G823" s="25">
        <f t="shared" si="21"/>
        <v>8.9518555667000843E-3</v>
      </c>
      <c r="O823" s="25"/>
    </row>
    <row r="824" spans="1:15">
      <c r="A824" s="72">
        <v>386.82818431770477</v>
      </c>
      <c r="B824" s="72">
        <v>389.64706494520846</v>
      </c>
      <c r="C824" s="72">
        <v>386.60461792310969</v>
      </c>
      <c r="D824" s="72">
        <v>387.87797434449925</v>
      </c>
      <c r="E824" s="72">
        <v>3344245.9066982488</v>
      </c>
      <c r="F824" s="72" t="s">
        <v>844</v>
      </c>
      <c r="G824" s="25">
        <f t="shared" si="21"/>
        <v>-2.7064955894147147E-3</v>
      </c>
      <c r="O824" s="25"/>
    </row>
    <row r="825" spans="1:15">
      <c r="A825" s="72">
        <v>388.43203019197409</v>
      </c>
      <c r="B825" s="72">
        <v>390.05531662229515</v>
      </c>
      <c r="C825" s="72">
        <v>387.77105128621463</v>
      </c>
      <c r="D825" s="72">
        <v>388.15986240724959</v>
      </c>
      <c r="E825" s="72">
        <v>4336611.5545040993</v>
      </c>
      <c r="F825" s="72" t="s">
        <v>845</v>
      </c>
      <c r="G825" s="25">
        <f t="shared" si="21"/>
        <v>7.0117446723272359E-4</v>
      </c>
      <c r="O825" s="25"/>
    </row>
    <row r="826" spans="1:15">
      <c r="A826" s="72">
        <v>391.36755415578824</v>
      </c>
      <c r="B826" s="72">
        <v>391.45503665802113</v>
      </c>
      <c r="C826" s="72">
        <v>388.76251964485385</v>
      </c>
      <c r="D826" s="72">
        <v>389.08328881970766</v>
      </c>
      <c r="E826" s="72">
        <v>3231410.6568133757</v>
      </c>
      <c r="F826" s="72" t="s">
        <v>846</v>
      </c>
      <c r="G826" s="25">
        <f t="shared" si="21"/>
        <v>5.8708903767363818E-3</v>
      </c>
      <c r="O826" s="25"/>
    </row>
    <row r="827" spans="1:15">
      <c r="A827" s="72">
        <v>389.94839356401053</v>
      </c>
      <c r="B827" s="72">
        <v>391.78552611090083</v>
      </c>
      <c r="C827" s="72">
        <v>389.46237966271684</v>
      </c>
      <c r="D827" s="72">
        <v>391.05650525896021</v>
      </c>
      <c r="E827" s="72">
        <v>3522062.8369752495</v>
      </c>
      <c r="F827" s="72" t="s">
        <v>847</v>
      </c>
      <c r="G827" s="25">
        <f t="shared" si="21"/>
        <v>-2.8336357535233558E-3</v>
      </c>
      <c r="O827" s="25"/>
    </row>
    <row r="828" spans="1:15">
      <c r="A828" s="72">
        <v>392.0965750077288</v>
      </c>
      <c r="B828" s="72">
        <v>393.01028114216103</v>
      </c>
      <c r="C828" s="72">
        <v>390.03587606624342</v>
      </c>
      <c r="D828" s="72">
        <v>392.20349806601342</v>
      </c>
      <c r="E828" s="72">
        <v>4369094.1644829009</v>
      </c>
      <c r="F828" s="72" t="s">
        <v>848</v>
      </c>
      <c r="G828" s="25">
        <f t="shared" si="21"/>
        <v>-2.7262137847283707E-4</v>
      </c>
      <c r="O828" s="25"/>
    </row>
    <row r="829" spans="1:15">
      <c r="A829" s="72">
        <v>393.91426699856737</v>
      </c>
      <c r="B829" s="72">
        <v>397.32608458564931</v>
      </c>
      <c r="C829" s="72">
        <v>393.56433698963588</v>
      </c>
      <c r="D829" s="72">
        <v>397.25804263946821</v>
      </c>
      <c r="E829" s="72">
        <v>5289853.8357778713</v>
      </c>
      <c r="F829" s="72" t="s">
        <v>849</v>
      </c>
      <c r="G829" s="25">
        <f t="shared" si="21"/>
        <v>-8.4171376838190204E-3</v>
      </c>
      <c r="O829" s="25"/>
    </row>
    <row r="830" spans="1:15">
      <c r="A830" s="72">
        <v>395.37230870244855</v>
      </c>
      <c r="B830" s="72">
        <v>396.51930150950176</v>
      </c>
      <c r="C830" s="72">
        <v>389.67622577928603</v>
      </c>
      <c r="D830" s="72">
        <v>389.78314883757065</v>
      </c>
      <c r="E830" s="72">
        <v>5437070.8182747522</v>
      </c>
      <c r="F830" s="72" t="s">
        <v>850</v>
      </c>
      <c r="G830" s="25">
        <f t="shared" si="21"/>
        <v>1.4339152119700715E-2</v>
      </c>
      <c r="O830" s="25"/>
    </row>
    <row r="831" spans="1:15">
      <c r="A831" s="72">
        <v>390.36636551912318</v>
      </c>
      <c r="B831" s="72">
        <v>392.1510085646737</v>
      </c>
      <c r="C831" s="72">
        <v>387.31419821899851</v>
      </c>
      <c r="D831" s="72">
        <v>390.37608579714902</v>
      </c>
      <c r="E831" s="72">
        <v>5309804.9111981187</v>
      </c>
      <c r="F831" s="72" t="s">
        <v>851</v>
      </c>
      <c r="G831" s="25">
        <f t="shared" si="21"/>
        <v>-2.4899778391929139E-5</v>
      </c>
      <c r="O831" s="25"/>
    </row>
    <row r="832" spans="1:15">
      <c r="A832" s="72">
        <v>390.06503690032105</v>
      </c>
      <c r="B832" s="72">
        <v>390.60937246977005</v>
      </c>
      <c r="C832" s="72">
        <v>388.22790435343069</v>
      </c>
      <c r="D832" s="72">
        <v>388.82958956323239</v>
      </c>
      <c r="E832" s="72">
        <v>4025692.4643345485</v>
      </c>
      <c r="F832" s="72" t="s">
        <v>852</v>
      </c>
      <c r="G832" s="25">
        <f t="shared" si="21"/>
        <v>3.1773490759188228E-3</v>
      </c>
      <c r="O832" s="25"/>
    </row>
    <row r="833" spans="1:15">
      <c r="A833" s="72">
        <v>387.50860377951602</v>
      </c>
      <c r="B833" s="72">
        <v>387.53290447458073</v>
      </c>
      <c r="C833" s="72">
        <v>384.24259036282217</v>
      </c>
      <c r="D833" s="72">
        <v>384.90356926858163</v>
      </c>
      <c r="E833" s="72">
        <v>3906518.9183807769</v>
      </c>
      <c r="F833" s="72" t="s">
        <v>853</v>
      </c>
      <c r="G833" s="25">
        <f t="shared" si="21"/>
        <v>6.7680185867973197E-3</v>
      </c>
      <c r="O833" s="25"/>
    </row>
    <row r="834" spans="1:15">
      <c r="A834" s="72">
        <v>383.98014285612351</v>
      </c>
      <c r="B834" s="72">
        <v>385.8269956810397</v>
      </c>
      <c r="C834" s="72">
        <v>383.05671644366544</v>
      </c>
      <c r="D834" s="72">
        <v>383.9995834121753</v>
      </c>
      <c r="E834" s="72">
        <v>3151008.635603732</v>
      </c>
      <c r="F834" s="72" t="s">
        <v>854</v>
      </c>
      <c r="G834" s="25">
        <f t="shared" si="21"/>
        <v>-5.0626502974382426E-5</v>
      </c>
      <c r="O834" s="25"/>
    </row>
    <row r="835" spans="1:15">
      <c r="A835" s="72">
        <v>383.33860450641583</v>
      </c>
      <c r="B835" s="72">
        <v>383.68853451534733</v>
      </c>
      <c r="C835" s="72">
        <v>380.34475887444648</v>
      </c>
      <c r="D835" s="72">
        <v>380.99601750218005</v>
      </c>
      <c r="E835" s="72">
        <v>3559930.066597715</v>
      </c>
      <c r="F835" s="72" t="s">
        <v>855</v>
      </c>
      <c r="G835" s="25">
        <f t="shared" si="21"/>
        <v>6.1485865904684633E-3</v>
      </c>
      <c r="O835" s="25"/>
    </row>
    <row r="836" spans="1:15">
      <c r="A836" s="72">
        <v>381.05433917033525</v>
      </c>
      <c r="B836" s="72">
        <v>383.7176953494249</v>
      </c>
      <c r="C836" s="72">
        <v>380.58776582509336</v>
      </c>
      <c r="D836" s="72">
        <v>382.65818504460464</v>
      </c>
      <c r="E836" s="72">
        <v>4056358.2538527637</v>
      </c>
      <c r="F836" s="72" t="s">
        <v>856</v>
      </c>
      <c r="G836" s="25">
        <f t="shared" si="21"/>
        <v>-4.1913277618311762E-3</v>
      </c>
      <c r="O836" s="25"/>
    </row>
    <row r="837" spans="1:15">
      <c r="A837" s="72">
        <v>382.30825503567314</v>
      </c>
      <c r="B837" s="72">
        <v>382.7748283809151</v>
      </c>
      <c r="C837" s="72">
        <v>380.46140221075694</v>
      </c>
      <c r="D837" s="72">
        <v>381.08350000441294</v>
      </c>
      <c r="E837" s="72">
        <v>2977963.1737843766</v>
      </c>
      <c r="F837" s="72" t="s">
        <v>857</v>
      </c>
      <c r="G837" s="25">
        <f t="shared" si="21"/>
        <v>3.2138757811503993E-3</v>
      </c>
      <c r="O837" s="25"/>
    </row>
    <row r="838" spans="1:15">
      <c r="A838" s="72">
        <v>381.52091251557727</v>
      </c>
      <c r="B838" s="72">
        <v>383.7274156274508</v>
      </c>
      <c r="C838" s="72">
        <v>380.83077277574017</v>
      </c>
      <c r="D838" s="72">
        <v>382.53182143026822</v>
      </c>
      <c r="E838" s="72">
        <v>4127225.568364379</v>
      </c>
      <c r="F838" s="72" t="s">
        <v>858</v>
      </c>
      <c r="G838" s="25">
        <f t="shared" si="21"/>
        <v>-2.642679270213999E-3</v>
      </c>
      <c r="O838" s="25"/>
    </row>
    <row r="839" spans="1:15">
      <c r="A839" s="72">
        <v>382.25965364554372</v>
      </c>
      <c r="B839" s="72">
        <v>382.94007310735492</v>
      </c>
      <c r="C839" s="72">
        <v>378.64371021991843</v>
      </c>
      <c r="D839" s="72">
        <v>379.16860523331559</v>
      </c>
      <c r="E839" s="72">
        <v>7580958.055299025</v>
      </c>
      <c r="F839" s="72" t="s">
        <v>859</v>
      </c>
      <c r="G839" s="25">
        <f t="shared" si="21"/>
        <v>8.152173913043459E-3</v>
      </c>
      <c r="O839" s="25"/>
    </row>
    <row r="840" spans="1:15">
      <c r="A840" s="72">
        <v>376.72881544882108</v>
      </c>
      <c r="B840" s="72">
        <v>377.70084325140857</v>
      </c>
      <c r="C840" s="72">
        <v>372.25748755691882</v>
      </c>
      <c r="D840" s="72">
        <v>373.45308175410133</v>
      </c>
      <c r="E840" s="72">
        <v>3666103.9843861563</v>
      </c>
      <c r="F840" s="72" t="s">
        <v>860</v>
      </c>
      <c r="G840" s="25">
        <f t="shared" si="21"/>
        <v>8.7714731910464305E-3</v>
      </c>
      <c r="O840" s="25"/>
    </row>
    <row r="841" spans="1:15">
      <c r="A841" s="72">
        <v>373.15175313529926</v>
      </c>
      <c r="B841" s="72">
        <v>374.38622844458536</v>
      </c>
      <c r="C841" s="72">
        <v>371.72287226549571</v>
      </c>
      <c r="D841" s="72">
        <v>373.56000481238601</v>
      </c>
      <c r="E841" s="72">
        <v>4326365.9627900664</v>
      </c>
      <c r="F841" s="72" t="s">
        <v>861</v>
      </c>
      <c r="G841" s="25">
        <f t="shared" si="21"/>
        <v>-1.0928677369832496E-3</v>
      </c>
      <c r="O841" s="25"/>
    </row>
    <row r="842" spans="1:15">
      <c r="A842" s="72">
        <v>375.19301152073291</v>
      </c>
      <c r="B842" s="72">
        <v>377.39951463260644</v>
      </c>
      <c r="C842" s="72">
        <v>373.99741732355034</v>
      </c>
      <c r="D842" s="72">
        <v>376.91350073131269</v>
      </c>
      <c r="E842" s="72">
        <v>4082651.7404505406</v>
      </c>
      <c r="F842" s="72" t="s">
        <v>862</v>
      </c>
      <c r="G842" s="25">
        <f t="shared" si="21"/>
        <v>-4.5646791829997424E-3</v>
      </c>
      <c r="O842" s="25"/>
    </row>
    <row r="843" spans="1:15">
      <c r="A843" s="72">
        <v>375.07636818442245</v>
      </c>
      <c r="B843" s="72">
        <v>375.75678764623365</v>
      </c>
      <c r="C843" s="72">
        <v>370.86262766020582</v>
      </c>
      <c r="D843" s="72">
        <v>370.96469057947746</v>
      </c>
      <c r="E843" s="72">
        <v>3130354.9053847413</v>
      </c>
      <c r="F843" s="72" t="s">
        <v>863</v>
      </c>
      <c r="G843" s="25">
        <f t="shared" si="21"/>
        <v>1.1083743842364546E-2</v>
      </c>
      <c r="O843" s="25"/>
    </row>
    <row r="844" spans="1:15">
      <c r="A844" s="72">
        <v>370.26483056161453</v>
      </c>
      <c r="B844" s="72">
        <v>371.5867883731334</v>
      </c>
      <c r="C844" s="72">
        <v>368.32077495643961</v>
      </c>
      <c r="D844" s="72">
        <v>370.33287250779563</v>
      </c>
      <c r="E844" s="72">
        <v>3411293.3716231384</v>
      </c>
      <c r="F844" s="72" t="s">
        <v>864</v>
      </c>
      <c r="G844" s="25">
        <f t="shared" si="21"/>
        <v>-1.8373185647913015E-4</v>
      </c>
      <c r="O844" s="25"/>
    </row>
    <row r="845" spans="1:15">
      <c r="A845" s="72">
        <v>367.06685909110178</v>
      </c>
      <c r="B845" s="72">
        <v>368.64154413129347</v>
      </c>
      <c r="C845" s="72">
        <v>366.03650962035908</v>
      </c>
      <c r="D845" s="72">
        <v>368.31105467841377</v>
      </c>
      <c r="E845" s="72">
        <v>3715523.3527129977</v>
      </c>
      <c r="F845" s="72" t="s">
        <v>865</v>
      </c>
      <c r="G845" s="25">
        <f t="shared" si="21"/>
        <v>-3.378110897046871E-3</v>
      </c>
      <c r="O845" s="25"/>
    </row>
    <row r="846" spans="1:15">
      <c r="A846" s="72">
        <v>369.83713832847604</v>
      </c>
      <c r="B846" s="72">
        <v>373.3655992518685</v>
      </c>
      <c r="C846" s="72">
        <v>369.44832720744103</v>
      </c>
      <c r="D846" s="72">
        <v>372.47133367348806</v>
      </c>
      <c r="E846" s="72">
        <v>2970351.2515941835</v>
      </c>
      <c r="F846" s="72" t="s">
        <v>866</v>
      </c>
      <c r="G846" s="25">
        <f t="shared" si="21"/>
        <v>-7.0722096088102759E-3</v>
      </c>
      <c r="O846" s="25"/>
    </row>
    <row r="847" spans="1:15">
      <c r="A847" s="72">
        <v>374.01685787960207</v>
      </c>
      <c r="B847" s="72">
        <v>375.42629819335394</v>
      </c>
      <c r="C847" s="72">
        <v>372.74350145821256</v>
      </c>
      <c r="D847" s="72">
        <v>373.90021454329161</v>
      </c>
      <c r="E847" s="72">
        <v>2864127.9525021706</v>
      </c>
      <c r="F847" s="72" t="s">
        <v>867</v>
      </c>
      <c r="G847" s="25">
        <f t="shared" si="21"/>
        <v>3.1196381219777969E-4</v>
      </c>
      <c r="O847" s="25"/>
    </row>
    <row r="848" spans="1:15">
      <c r="A848" s="72">
        <v>373.81273204105872</v>
      </c>
      <c r="B848" s="72">
        <v>375.72762681215602</v>
      </c>
      <c r="C848" s="72">
        <v>372.71434062413488</v>
      </c>
      <c r="D848" s="72">
        <v>375.22217235481054</v>
      </c>
      <c r="E848" s="72">
        <v>3754052.0860478966</v>
      </c>
      <c r="F848" s="72" t="s">
        <v>868</v>
      </c>
      <c r="G848" s="25">
        <f t="shared" si="21"/>
        <v>-3.7562820579244427E-3</v>
      </c>
      <c r="O848" s="25"/>
    </row>
    <row r="849" spans="1:15">
      <c r="A849" s="72">
        <v>374.40566900063709</v>
      </c>
      <c r="B849" s="72">
        <v>374.78475984364616</v>
      </c>
      <c r="C849" s="72">
        <v>370.34259278582152</v>
      </c>
      <c r="D849" s="72">
        <v>370.59532001449423</v>
      </c>
      <c r="E849" s="72">
        <v>3436753.5487231379</v>
      </c>
      <c r="F849" s="72" t="s">
        <v>869</v>
      </c>
      <c r="G849" s="25">
        <f t="shared" si="21"/>
        <v>1.0281697529245237E-2</v>
      </c>
      <c r="O849" s="25"/>
    </row>
    <row r="850" spans="1:15">
      <c r="A850" s="72">
        <v>370.78000529698585</v>
      </c>
      <c r="B850" s="72">
        <v>371.40210309064179</v>
      </c>
      <c r="C850" s="72">
        <v>366.72664936019612</v>
      </c>
      <c r="D850" s="72">
        <v>368.25273301025851</v>
      </c>
      <c r="E850" s="72">
        <v>3315383.5635375697</v>
      </c>
      <c r="F850" s="72" t="s">
        <v>870</v>
      </c>
      <c r="G850" s="25">
        <f t="shared" si="21"/>
        <v>6.8628744885836923E-3</v>
      </c>
      <c r="O850" s="25"/>
    </row>
    <row r="851" spans="1:15">
      <c r="A851" s="72">
        <v>366.40588018534231</v>
      </c>
      <c r="B851" s="72">
        <v>368.67070496537104</v>
      </c>
      <c r="C851" s="72">
        <v>366.36699907323884</v>
      </c>
      <c r="D851" s="72">
        <v>367.80560022106823</v>
      </c>
      <c r="E851" s="72">
        <v>2343159.3149261507</v>
      </c>
      <c r="F851" s="72" t="s">
        <v>871</v>
      </c>
      <c r="G851" s="25">
        <f t="shared" si="21"/>
        <v>-3.8055973995083647E-3</v>
      </c>
      <c r="O851" s="25"/>
    </row>
    <row r="852" spans="1:15">
      <c r="A852" s="72">
        <v>368.84566996983682</v>
      </c>
      <c r="B852" s="72">
        <v>369.21504053482005</v>
      </c>
      <c r="C852" s="72">
        <v>366.36699907323884</v>
      </c>
      <c r="D852" s="72">
        <v>368.14580995197389</v>
      </c>
      <c r="E852" s="72">
        <v>3994290.0703713847</v>
      </c>
      <c r="F852" s="72" t="s">
        <v>872</v>
      </c>
      <c r="G852" s="25">
        <f t="shared" si="21"/>
        <v>1.9010402914927393E-3</v>
      </c>
      <c r="O852" s="25"/>
    </row>
    <row r="853" spans="1:15">
      <c r="A853" s="72">
        <v>367.57231354844726</v>
      </c>
      <c r="B853" s="72">
        <v>369.38028526125993</v>
      </c>
      <c r="C853" s="72">
        <v>365.32206918545728</v>
      </c>
      <c r="D853" s="72">
        <v>369.22476081284594</v>
      </c>
      <c r="E853" s="72">
        <v>2603850.4179228684</v>
      </c>
      <c r="F853" s="72" t="s">
        <v>873</v>
      </c>
      <c r="G853" s="25">
        <f t="shared" si="21"/>
        <v>-4.4754508358563205E-3</v>
      </c>
      <c r="O853" s="25"/>
    </row>
    <row r="854" spans="1:15">
      <c r="A854" s="72">
        <v>368.0680477277669</v>
      </c>
      <c r="B854" s="72">
        <v>368.28189384433608</v>
      </c>
      <c r="C854" s="72">
        <v>366.13371240061781</v>
      </c>
      <c r="D854" s="72">
        <v>367.88336244527528</v>
      </c>
      <c r="E854" s="72">
        <v>2753647.5735313874</v>
      </c>
      <c r="F854" s="72" t="s">
        <v>874</v>
      </c>
      <c r="G854" s="25">
        <f t="shared" si="21"/>
        <v>5.0202129627185954E-4</v>
      </c>
      <c r="O854" s="25"/>
    </row>
    <row r="855" spans="1:15">
      <c r="A855" s="72">
        <v>368.58322246313821</v>
      </c>
      <c r="B855" s="72">
        <v>370.17734805938164</v>
      </c>
      <c r="C855" s="72">
        <v>365.13252376395269</v>
      </c>
      <c r="D855" s="72">
        <v>369.64273276795853</v>
      </c>
      <c r="E855" s="72">
        <v>3614039.6299867393</v>
      </c>
      <c r="F855" s="72" t="s">
        <v>875</v>
      </c>
      <c r="G855" s="25">
        <f t="shared" si="21"/>
        <v>-2.8663090354474896E-3</v>
      </c>
      <c r="O855" s="25"/>
    </row>
    <row r="856" spans="1:15">
      <c r="A856" s="72">
        <v>366.97937658886894</v>
      </c>
      <c r="B856" s="72">
        <v>367.99028550355985</v>
      </c>
      <c r="C856" s="72">
        <v>366.77525075032554</v>
      </c>
      <c r="D856" s="72">
        <v>367.14462131530877</v>
      </c>
      <c r="E856" s="72">
        <v>2336403.3353312062</v>
      </c>
      <c r="F856" s="72" t="s">
        <v>876</v>
      </c>
      <c r="G856" s="25">
        <f t="shared" si="21"/>
        <v>-4.500807497814785E-4</v>
      </c>
      <c r="O856" s="25"/>
    </row>
    <row r="857" spans="1:15">
      <c r="A857" s="72">
        <v>368.57350218511232</v>
      </c>
      <c r="B857" s="72">
        <v>369.0011944182508</v>
      </c>
      <c r="C857" s="72">
        <v>367.30986604174865</v>
      </c>
      <c r="D857" s="72">
        <v>368.79706857970746</v>
      </c>
      <c r="E857" s="72">
        <v>3042729.8397505339</v>
      </c>
      <c r="F857" s="72" t="s">
        <v>877</v>
      </c>
      <c r="G857" s="25">
        <f t="shared" si="21"/>
        <v>-6.0620436994285321E-4</v>
      </c>
      <c r="O857" s="25"/>
    </row>
    <row r="858" spans="1:15">
      <c r="A858" s="72">
        <v>368.36937634656897</v>
      </c>
      <c r="B858" s="72">
        <v>369.45804748546692</v>
      </c>
      <c r="C858" s="72">
        <v>364.9283979254094</v>
      </c>
      <c r="D858" s="72">
        <v>365.22972654421147</v>
      </c>
      <c r="E858" s="72">
        <v>3229736.8363777162</v>
      </c>
      <c r="F858" s="72" t="s">
        <v>878</v>
      </c>
      <c r="G858" s="25">
        <f t="shared" si="21"/>
        <v>8.5963698302018443E-3</v>
      </c>
      <c r="O858" s="25"/>
    </row>
    <row r="859" spans="1:15">
      <c r="A859" s="72">
        <v>361.73042645489659</v>
      </c>
      <c r="B859" s="72">
        <v>363.64532122599394</v>
      </c>
      <c r="C859" s="72">
        <v>360.54455253573997</v>
      </c>
      <c r="D859" s="72">
        <v>363.38287371929528</v>
      </c>
      <c r="E859" s="72">
        <v>4548721.7425575415</v>
      </c>
      <c r="F859" s="72" t="s">
        <v>879</v>
      </c>
      <c r="G859" s="25">
        <f t="shared" ref="G859:G906" si="22">A859/D859-1</f>
        <v>-4.5473999572009927E-3</v>
      </c>
      <c r="O859" s="25"/>
    </row>
    <row r="860" spans="1:15">
      <c r="A860" s="72">
        <v>364.39378263398623</v>
      </c>
      <c r="B860" s="72">
        <v>369.56497054375154</v>
      </c>
      <c r="C860" s="72">
        <v>364.12161484926179</v>
      </c>
      <c r="D860" s="72">
        <v>367.33902687582628</v>
      </c>
      <c r="E860" s="72">
        <v>5671688.5929854512</v>
      </c>
      <c r="F860" s="72" t="s">
        <v>880</v>
      </c>
      <c r="G860" s="25">
        <f t="shared" si="22"/>
        <v>-8.0177820115902021E-3</v>
      </c>
      <c r="O860" s="25"/>
    </row>
    <row r="861" spans="1:15">
      <c r="A861" s="72">
        <v>366.95021575479126</v>
      </c>
      <c r="B861" s="72">
        <v>370.44951584410614</v>
      </c>
      <c r="C861" s="72">
        <v>364.18965679544289</v>
      </c>
      <c r="D861" s="72">
        <v>370.40091445397678</v>
      </c>
      <c r="E861" s="72">
        <v>4435665.3055837518</v>
      </c>
      <c r="F861" s="72" t="s">
        <v>881</v>
      </c>
      <c r="G861" s="25">
        <f t="shared" si="22"/>
        <v>-9.3161181966096018E-3</v>
      </c>
      <c r="O861" s="25"/>
    </row>
    <row r="862" spans="1:15">
      <c r="A862" s="72">
        <v>371.11049474986561</v>
      </c>
      <c r="B862" s="72">
        <v>372.90874618465239</v>
      </c>
      <c r="C862" s="72">
        <v>370.84804724316695</v>
      </c>
      <c r="D862" s="72">
        <v>371.05217308171035</v>
      </c>
      <c r="E862" s="72">
        <v>3157622.6439509075</v>
      </c>
      <c r="F862" s="72" t="s">
        <v>882</v>
      </c>
      <c r="G862" s="25">
        <f t="shared" si="22"/>
        <v>1.5717915804369653E-4</v>
      </c>
      <c r="O862" s="25"/>
    </row>
    <row r="863" spans="1:15">
      <c r="A863" s="72">
        <v>371.36322197853838</v>
      </c>
      <c r="B863" s="72">
        <v>371.43126392471947</v>
      </c>
      <c r="C863" s="72">
        <v>367.42650937805911</v>
      </c>
      <c r="D863" s="72">
        <v>367.46539049016263</v>
      </c>
      <c r="E863" s="72">
        <v>3484372.5570239169</v>
      </c>
      <c r="F863" s="72" t="s">
        <v>883</v>
      </c>
      <c r="G863" s="25">
        <f t="shared" si="22"/>
        <v>1.0607343138292258E-2</v>
      </c>
      <c r="O863" s="25"/>
    </row>
    <row r="864" spans="1:15">
      <c r="A864" s="72">
        <v>368.21385189815499</v>
      </c>
      <c r="B864" s="72">
        <v>368.52490079498295</v>
      </c>
      <c r="C864" s="72">
        <v>363.21762899285545</v>
      </c>
      <c r="D864" s="72">
        <v>363.43147510942464</v>
      </c>
      <c r="E864" s="72">
        <v>4426187.1816294007</v>
      </c>
      <c r="F864" s="72" t="s">
        <v>884</v>
      </c>
      <c r="G864" s="25">
        <f t="shared" si="22"/>
        <v>1.315895049346083E-2</v>
      </c>
      <c r="O864" s="25"/>
    </row>
    <row r="865" spans="1:15">
      <c r="A865" s="72">
        <v>361.05000699308539</v>
      </c>
      <c r="B865" s="72">
        <v>364.19937707346878</v>
      </c>
      <c r="C865" s="72">
        <v>360.60287420389517</v>
      </c>
      <c r="D865" s="72">
        <v>363.20790871482961</v>
      </c>
      <c r="E865" s="72">
        <v>3875296.5604202193</v>
      </c>
      <c r="F865" s="72" t="s">
        <v>885</v>
      </c>
      <c r="G865" s="25">
        <f t="shared" si="22"/>
        <v>-5.9412299951829839E-3</v>
      </c>
      <c r="O865" s="25"/>
    </row>
    <row r="866" spans="1:15">
      <c r="A866" s="72">
        <v>362.66357314538061</v>
      </c>
      <c r="B866" s="72">
        <v>367.13490103728287</v>
      </c>
      <c r="C866" s="72">
        <v>362.58581092117356</v>
      </c>
      <c r="D866" s="72">
        <v>366.62944657993745</v>
      </c>
      <c r="E866" s="72">
        <v>3904649.6302851452</v>
      </c>
      <c r="F866" s="72" t="s">
        <v>886</v>
      </c>
      <c r="G866" s="25">
        <f t="shared" si="22"/>
        <v>-1.081711649610273E-2</v>
      </c>
      <c r="O866" s="25"/>
    </row>
    <row r="867" spans="1:15">
      <c r="A867" s="72">
        <v>368.48601968287943</v>
      </c>
      <c r="B867" s="72">
        <v>368.85539024786272</v>
      </c>
      <c r="C867" s="72">
        <v>366.67804797006681</v>
      </c>
      <c r="D867" s="72">
        <v>367.89308272330112</v>
      </c>
      <c r="E867" s="72">
        <v>2376858.9682825711</v>
      </c>
      <c r="F867" s="72" t="s">
        <v>887</v>
      </c>
      <c r="G867" s="25">
        <f t="shared" si="22"/>
        <v>1.6117099978860683E-3</v>
      </c>
      <c r="O867" s="25"/>
    </row>
    <row r="868" spans="1:15">
      <c r="A868" s="72">
        <v>368.00000578158568</v>
      </c>
      <c r="B868" s="72">
        <v>368.49573996090538</v>
      </c>
      <c r="C868" s="72">
        <v>366.2795165710059</v>
      </c>
      <c r="D868" s="72">
        <v>368.08748828381863</v>
      </c>
      <c r="E868" s="72">
        <v>2841797.3155160467</v>
      </c>
      <c r="F868" s="72" t="s">
        <v>888</v>
      </c>
      <c r="G868" s="25">
        <f t="shared" si="22"/>
        <v>-2.376676877576811E-4</v>
      </c>
      <c r="O868" s="25"/>
    </row>
    <row r="869" spans="1:15">
      <c r="A869" s="72">
        <v>367.7861596650165</v>
      </c>
      <c r="B869" s="72">
        <v>369.43860692941519</v>
      </c>
      <c r="C869" s="72">
        <v>366.39615990731642</v>
      </c>
      <c r="D869" s="72">
        <v>367.21266326148987</v>
      </c>
      <c r="E869" s="72">
        <v>3038156.9252843349</v>
      </c>
      <c r="F869" s="72" t="s">
        <v>889</v>
      </c>
      <c r="G869" s="25">
        <f t="shared" si="22"/>
        <v>1.5617555190852173E-3</v>
      </c>
      <c r="O869" s="25"/>
    </row>
    <row r="870" spans="1:15">
      <c r="A870" s="72">
        <v>369.87601944057951</v>
      </c>
      <c r="B870" s="72">
        <v>370.66336196067533</v>
      </c>
      <c r="C870" s="72">
        <v>368.07776800579273</v>
      </c>
      <c r="D870" s="72">
        <v>368.13608967394799</v>
      </c>
      <c r="E870" s="72">
        <v>2748183.7380465763</v>
      </c>
      <c r="F870" s="72" t="s">
        <v>890</v>
      </c>
      <c r="G870" s="25">
        <f t="shared" si="22"/>
        <v>4.7263221820292856E-3</v>
      </c>
      <c r="O870" s="25"/>
    </row>
    <row r="871" spans="1:15">
      <c r="A871" s="72">
        <v>369.8954599966313</v>
      </c>
      <c r="B871" s="72">
        <v>371.23199822518905</v>
      </c>
      <c r="C871" s="72">
        <v>368.63182385326758</v>
      </c>
      <c r="D871" s="72">
        <v>371.15909613999497</v>
      </c>
      <c r="E871" s="72">
        <v>3106153.9515258279</v>
      </c>
      <c r="F871" s="72" t="s">
        <v>891</v>
      </c>
      <c r="G871" s="25">
        <f t="shared" si="22"/>
        <v>-3.4045673580556102E-3</v>
      </c>
      <c r="O871" s="25"/>
    </row>
    <row r="872" spans="1:15">
      <c r="A872" s="72">
        <v>369.64273276795853</v>
      </c>
      <c r="B872" s="72">
        <v>369.681613880062</v>
      </c>
      <c r="C872" s="72">
        <v>367.11546048123114</v>
      </c>
      <c r="D872" s="72">
        <v>368.24301273223256</v>
      </c>
      <c r="E872" s="72">
        <v>2799306.7613466522</v>
      </c>
      <c r="F872" s="72" t="s">
        <v>892</v>
      </c>
      <c r="G872" s="25">
        <f t="shared" si="22"/>
        <v>3.8010769718088699E-3</v>
      </c>
      <c r="O872" s="25"/>
    </row>
    <row r="873" spans="1:15">
      <c r="A873" s="72">
        <v>368.3888169026207</v>
      </c>
      <c r="B873" s="72">
        <v>370.66336196067533</v>
      </c>
      <c r="C873" s="72">
        <v>366.18231379074723</v>
      </c>
      <c r="D873" s="72">
        <v>368.66098468734521</v>
      </c>
      <c r="E873" s="72">
        <v>3067456.4987370577</v>
      </c>
      <c r="F873" s="72" t="s">
        <v>893</v>
      </c>
      <c r="G873" s="25">
        <f t="shared" si="22"/>
        <v>-7.3826034223645198E-4</v>
      </c>
      <c r="O873" s="25"/>
    </row>
    <row r="874" spans="1:15">
      <c r="A874" s="72">
        <v>369.14699858863889</v>
      </c>
      <c r="B874" s="72">
        <v>369.53580970967391</v>
      </c>
      <c r="C874" s="72">
        <v>364.94278393688762</v>
      </c>
      <c r="D874" s="72">
        <v>365.39497127065135</v>
      </c>
      <c r="E874" s="72">
        <v>2758017.8188975095</v>
      </c>
      <c r="F874" s="72" t="s">
        <v>894</v>
      </c>
      <c r="G874" s="25">
        <f t="shared" si="22"/>
        <v>1.0268415312175705E-2</v>
      </c>
      <c r="O874" s="25"/>
    </row>
    <row r="875" spans="1:15">
      <c r="A875" s="72">
        <v>364.42294346806392</v>
      </c>
      <c r="B875" s="72">
        <v>368.02916661566337</v>
      </c>
      <c r="C875" s="72">
        <v>363.84944706453729</v>
      </c>
      <c r="D875" s="72">
        <v>367.81532049909407</v>
      </c>
      <c r="E875" s="72">
        <v>3728466.3981346516</v>
      </c>
      <c r="F875" s="72" t="s">
        <v>895</v>
      </c>
      <c r="G875" s="25">
        <f t="shared" si="22"/>
        <v>-9.2230443974627985E-3</v>
      </c>
      <c r="O875" s="25"/>
    </row>
    <row r="876" spans="1:15">
      <c r="A876" s="72">
        <v>365.8809851719451</v>
      </c>
      <c r="B876" s="72">
        <v>367.19322270543813</v>
      </c>
      <c r="C876" s="72">
        <v>365.18112515408211</v>
      </c>
      <c r="D876" s="72">
        <v>366.35727879521289</v>
      </c>
      <c r="E876" s="72">
        <v>3157318.1259122137</v>
      </c>
      <c r="F876" s="72" t="s">
        <v>896</v>
      </c>
      <c r="G876" s="25">
        <f t="shared" si="22"/>
        <v>-1.3000795967098577E-3</v>
      </c>
      <c r="O876" s="25"/>
    </row>
    <row r="877" spans="1:15">
      <c r="A877" s="72">
        <v>365.83238378181574</v>
      </c>
      <c r="B877" s="72">
        <v>365.86154461589331</v>
      </c>
      <c r="C877" s="72">
        <v>362.5274892530183</v>
      </c>
      <c r="D877" s="72">
        <v>363.10098565654494</v>
      </c>
      <c r="E877" s="72">
        <v>2747984.155277973</v>
      </c>
      <c r="F877" s="72" t="s">
        <v>897</v>
      </c>
      <c r="G877" s="25">
        <f t="shared" si="22"/>
        <v>7.5224200240933126E-3</v>
      </c>
      <c r="O877" s="25"/>
    </row>
    <row r="878" spans="1:15">
      <c r="A878" s="72">
        <v>365.43385238275482</v>
      </c>
      <c r="B878" s="72">
        <v>365.66227891636288</v>
      </c>
      <c r="C878" s="72">
        <v>362.29420258039738</v>
      </c>
      <c r="D878" s="72">
        <v>363.21762899285545</v>
      </c>
      <c r="E878" s="72">
        <v>3164747.9545454849</v>
      </c>
      <c r="F878" s="72" t="s">
        <v>898</v>
      </c>
      <c r="G878" s="25">
        <f t="shared" si="22"/>
        <v>6.1016404849196793E-3</v>
      </c>
      <c r="O878" s="25"/>
    </row>
    <row r="879" spans="1:15">
      <c r="A879" s="72">
        <v>364.04385262505474</v>
      </c>
      <c r="B879" s="72">
        <v>364.9186776473835</v>
      </c>
      <c r="C879" s="72">
        <v>362.45944730683721</v>
      </c>
      <c r="D879" s="72">
        <v>364.22853790754635</v>
      </c>
      <c r="E879" s="72">
        <v>3320620.0392705179</v>
      </c>
      <c r="F879" s="72" t="s">
        <v>899</v>
      </c>
      <c r="G879" s="25">
        <f t="shared" si="22"/>
        <v>-5.0705879213253091E-4</v>
      </c>
      <c r="O879" s="25"/>
    </row>
    <row r="880" spans="1:15">
      <c r="A880" s="72">
        <v>364.9283979254094</v>
      </c>
      <c r="B880" s="72">
        <v>367.81532049909407</v>
      </c>
      <c r="C880" s="72">
        <v>363.66476178204567</v>
      </c>
      <c r="D880" s="72">
        <v>367.61119466055072</v>
      </c>
      <c r="E880" s="72">
        <v>2791358.4290258749</v>
      </c>
      <c r="F880" s="72" t="s">
        <v>900</v>
      </c>
      <c r="G880" s="25">
        <f t="shared" si="22"/>
        <v>-7.2979190354053314E-3</v>
      </c>
      <c r="O880" s="25"/>
    </row>
    <row r="881" spans="1:15">
      <c r="A881" s="72">
        <v>366.99881714492068</v>
      </c>
      <c r="B881" s="72">
        <v>367.33902687582628</v>
      </c>
      <c r="C881" s="72">
        <v>364.72427208686605</v>
      </c>
      <c r="D881" s="72">
        <v>365.09364265184928</v>
      </c>
      <c r="E881" s="72">
        <v>3626743.9991077953</v>
      </c>
      <c r="F881" s="72" t="s">
        <v>901</v>
      </c>
      <c r="G881" s="25">
        <f t="shared" si="22"/>
        <v>5.2183173588924436E-3</v>
      </c>
      <c r="O881" s="25"/>
    </row>
    <row r="882" spans="1:15">
      <c r="A882" s="72">
        <v>365.55049571906534</v>
      </c>
      <c r="B882" s="72">
        <v>365.81294322576395</v>
      </c>
      <c r="C882" s="72">
        <v>361.25413283162874</v>
      </c>
      <c r="D882" s="72">
        <v>361.38049644596509</v>
      </c>
      <c r="E882" s="72">
        <v>4279552.4870038051</v>
      </c>
      <c r="F882" s="72" t="s">
        <v>902</v>
      </c>
      <c r="G882" s="25">
        <f t="shared" si="22"/>
        <v>1.1539082252945532E-2</v>
      </c>
      <c r="O882" s="25"/>
    </row>
    <row r="883" spans="1:15">
      <c r="A883" s="72">
        <v>360.51539170166228</v>
      </c>
      <c r="B883" s="72">
        <v>361.08888810518891</v>
      </c>
      <c r="C883" s="72">
        <v>358.77740599063588</v>
      </c>
      <c r="D883" s="72">
        <v>360.84588115454204</v>
      </c>
      <c r="E883" s="72">
        <v>3412188.4077503812</v>
      </c>
      <c r="F883" s="72" t="s">
        <v>903</v>
      </c>
      <c r="G883" s="25">
        <f t="shared" si="22"/>
        <v>-9.1587425585226701E-4</v>
      </c>
      <c r="O883" s="25"/>
    </row>
    <row r="884" spans="1:15">
      <c r="A884" s="72">
        <v>358.3769305359699</v>
      </c>
      <c r="B884" s="72">
        <v>358.61993748661678</v>
      </c>
      <c r="C884" s="72">
        <v>356.04406380976002</v>
      </c>
      <c r="D884" s="72">
        <v>357.12301467063207</v>
      </c>
      <c r="E884" s="72">
        <v>3740704.7312032469</v>
      </c>
      <c r="F884" s="72" t="s">
        <v>904</v>
      </c>
      <c r="G884" s="25">
        <f t="shared" si="22"/>
        <v>3.5111594991834583E-3</v>
      </c>
      <c r="O884" s="25"/>
    </row>
    <row r="885" spans="1:15">
      <c r="A885" s="72">
        <v>353.35154679659274</v>
      </c>
      <c r="B885" s="72">
        <v>354.01252570235221</v>
      </c>
      <c r="C885" s="72">
        <v>351.56495969543698</v>
      </c>
      <c r="D885" s="72">
        <v>353.37098735264453</v>
      </c>
      <c r="E885" s="72">
        <v>2483111.0731350011</v>
      </c>
      <c r="F885" s="72" t="s">
        <v>905</v>
      </c>
      <c r="G885" s="25">
        <f t="shared" si="22"/>
        <v>-5.5014578863477048E-5</v>
      </c>
      <c r="O885" s="25"/>
    </row>
    <row r="886" spans="1:15">
      <c r="A886" s="72">
        <v>353.97364459024874</v>
      </c>
      <c r="B886" s="72">
        <v>356.18014770212227</v>
      </c>
      <c r="C886" s="72">
        <v>353.23490346028223</v>
      </c>
      <c r="D886" s="72">
        <v>355.4948681012981</v>
      </c>
      <c r="E886" s="72">
        <v>4264070.4195568245</v>
      </c>
      <c r="F886" s="72" t="s">
        <v>906</v>
      </c>
      <c r="G886" s="25">
        <f t="shared" si="22"/>
        <v>-4.279171508647206E-3</v>
      </c>
      <c r="O886" s="25"/>
    </row>
    <row r="887" spans="1:15">
      <c r="A887" s="72">
        <v>353.39042790869627</v>
      </c>
      <c r="B887" s="72">
        <v>353.45846985487736</v>
      </c>
      <c r="C887" s="72">
        <v>347.71378554158554</v>
      </c>
      <c r="D887" s="72">
        <v>349.91056837543317</v>
      </c>
      <c r="E887" s="72">
        <v>3848594.6492908155</v>
      </c>
      <c r="F887" s="72" t="s">
        <v>907</v>
      </c>
      <c r="G887" s="25">
        <f t="shared" si="22"/>
        <v>9.9449969442746422E-3</v>
      </c>
      <c r="O887" s="25"/>
    </row>
    <row r="888" spans="1:15">
      <c r="A888" s="72">
        <v>351.0503681767471</v>
      </c>
      <c r="B888" s="72">
        <v>356.51592735037912</v>
      </c>
      <c r="C888" s="72">
        <v>348.61090499616745</v>
      </c>
      <c r="D888" s="72">
        <v>352.83156351494813</v>
      </c>
      <c r="E888" s="72">
        <v>4945238.139291577</v>
      </c>
      <c r="F888" s="72" t="s">
        <v>908</v>
      </c>
      <c r="G888" s="25">
        <f t="shared" si="22"/>
        <v>-5.0482879719052631E-3</v>
      </c>
      <c r="O888" s="25"/>
    </row>
    <row r="889" spans="1:15">
      <c r="A889" s="72">
        <v>350.21785296432705</v>
      </c>
      <c r="B889" s="72">
        <v>359.3551914411093</v>
      </c>
      <c r="C889" s="72">
        <v>350.10168805096617</v>
      </c>
      <c r="D889" s="72">
        <v>356.02609863237382</v>
      </c>
      <c r="E889" s="72">
        <v>4230027.6889393684</v>
      </c>
      <c r="F889" s="72" t="s">
        <v>909</v>
      </c>
      <c r="G889" s="25">
        <f t="shared" si="22"/>
        <v>-1.631410082114304E-2</v>
      </c>
      <c r="O889" s="25"/>
    </row>
    <row r="890" spans="1:15">
      <c r="A890" s="72">
        <v>356.12290272684129</v>
      </c>
      <c r="B890" s="72">
        <v>356.63596442751879</v>
      </c>
      <c r="C890" s="72">
        <v>353.21877989281791</v>
      </c>
      <c r="D890" s="72">
        <v>354.70956294761658</v>
      </c>
      <c r="E890" s="72">
        <v>4253569.048553722</v>
      </c>
      <c r="F890" s="72" t="s">
        <v>910</v>
      </c>
      <c r="G890" s="25">
        <f t="shared" si="22"/>
        <v>3.9844986627366463E-3</v>
      </c>
      <c r="O890" s="25"/>
    </row>
    <row r="891" spans="1:15">
      <c r="A891" s="72">
        <v>351.52470823963756</v>
      </c>
      <c r="B891" s="72">
        <v>351.9603266647411</v>
      </c>
      <c r="C891" s="72">
        <v>348.32049271276509</v>
      </c>
      <c r="D891" s="72">
        <v>348.94971932680352</v>
      </c>
      <c r="E891" s="72">
        <v>3202088.7309083808</v>
      </c>
      <c r="F891" s="72" t="s">
        <v>911</v>
      </c>
      <c r="G891" s="25">
        <f t="shared" si="22"/>
        <v>7.3792548617082065E-3</v>
      </c>
      <c r="O891" s="25"/>
    </row>
    <row r="892" spans="1:15">
      <c r="A892" s="72">
        <v>348.37857516944558</v>
      </c>
      <c r="B892" s="72">
        <v>352.16361526312278</v>
      </c>
      <c r="C892" s="72">
        <v>346.96533219431535</v>
      </c>
      <c r="D892" s="72">
        <v>351.16653309010803</v>
      </c>
      <c r="E892" s="72">
        <v>5361247.4023454525</v>
      </c>
      <c r="F892" s="72" t="s">
        <v>912</v>
      </c>
      <c r="G892" s="25">
        <f t="shared" si="22"/>
        <v>-7.9391333112801554E-3</v>
      </c>
      <c r="O892" s="25"/>
    </row>
    <row r="893" spans="1:15">
      <c r="A893" s="72">
        <v>352.23137812924995</v>
      </c>
      <c r="B893" s="72">
        <v>352.61859450711972</v>
      </c>
      <c r="C893" s="72">
        <v>343.64485494998746</v>
      </c>
      <c r="D893" s="72">
        <v>344.17727746955842</v>
      </c>
      <c r="E893" s="72">
        <v>5216558.2745037554</v>
      </c>
      <c r="F893" s="72" t="s">
        <v>913</v>
      </c>
      <c r="G893" s="25">
        <f t="shared" si="22"/>
        <v>2.3401023794791032E-2</v>
      </c>
      <c r="O893" s="25"/>
    </row>
    <row r="894" spans="1:15">
      <c r="A894" s="72">
        <v>346.30696754784225</v>
      </c>
      <c r="B894" s="72">
        <v>346.44249328009664</v>
      </c>
      <c r="C894" s="72">
        <v>341.29735565915189</v>
      </c>
      <c r="D894" s="72">
        <v>343.13179324930996</v>
      </c>
      <c r="E894" s="72">
        <v>6828629.549572384</v>
      </c>
      <c r="F894" s="72" t="s">
        <v>914</v>
      </c>
      <c r="G894" s="25">
        <f t="shared" si="22"/>
        <v>9.2535123850365775E-3</v>
      </c>
      <c r="O894" s="25"/>
    </row>
    <row r="895" spans="1:15">
      <c r="A895" s="72">
        <v>348.45601844501954</v>
      </c>
      <c r="B895" s="72">
        <v>349.95648190926494</v>
      </c>
      <c r="C895" s="72">
        <v>344.2644011545791</v>
      </c>
      <c r="D895" s="72">
        <v>347.41053422477114</v>
      </c>
      <c r="E895" s="72">
        <v>4957239.6977627501</v>
      </c>
      <c r="F895" s="72" t="s">
        <v>915</v>
      </c>
      <c r="G895" s="25">
        <f t="shared" si="22"/>
        <v>3.0093624609897063E-3</v>
      </c>
      <c r="O895" s="25"/>
    </row>
    <row r="896" spans="1:15">
      <c r="A896" s="72">
        <v>342.76393769033371</v>
      </c>
      <c r="B896" s="72">
        <v>347.20724562638952</v>
      </c>
      <c r="C896" s="72">
        <v>338.58200080934</v>
      </c>
      <c r="D896" s="72">
        <v>339.5500417540145</v>
      </c>
      <c r="E896" s="72">
        <v>6692581.585150498</v>
      </c>
      <c r="F896" s="72" t="s">
        <v>916</v>
      </c>
      <c r="G896" s="25">
        <f t="shared" si="22"/>
        <v>9.4651613638954135E-3</v>
      </c>
      <c r="O896" s="25"/>
    </row>
    <row r="897" spans="1:15">
      <c r="A897" s="72">
        <v>343.34476225713837</v>
      </c>
      <c r="B897" s="72">
        <v>349.69511085420288</v>
      </c>
      <c r="C897" s="72">
        <v>341.8539792023397</v>
      </c>
      <c r="D897" s="72">
        <v>347.84615264987463</v>
      </c>
      <c r="E897" s="72">
        <v>8636413.6207187772</v>
      </c>
      <c r="F897" s="72" t="s">
        <v>917</v>
      </c>
      <c r="G897" s="25">
        <f t="shared" si="22"/>
        <v>-1.2940750841844539E-2</v>
      </c>
      <c r="O897" s="25"/>
    </row>
    <row r="898" spans="1:15">
      <c r="A898" s="72">
        <v>348.3398535316586</v>
      </c>
      <c r="B898" s="72">
        <v>357.09094367151573</v>
      </c>
      <c r="C898" s="72">
        <v>347.38149299643089</v>
      </c>
      <c r="D898" s="72">
        <v>355.60984102616385</v>
      </c>
      <c r="E898" s="72">
        <v>4555209.1822757469</v>
      </c>
      <c r="F898" s="72" t="s">
        <v>918</v>
      </c>
      <c r="G898" s="25">
        <f t="shared" si="22"/>
        <v>-2.0443718524567944E-2</v>
      </c>
      <c r="O898" s="25"/>
    </row>
    <row r="899" spans="1:15">
      <c r="A899" s="72">
        <v>354.83540827042424</v>
      </c>
      <c r="B899" s="72">
        <v>355.56018052570204</v>
      </c>
      <c r="C899" s="72">
        <v>352.79284187716115</v>
      </c>
      <c r="D899" s="72">
        <v>354.40947025476748</v>
      </c>
      <c r="E899" s="72">
        <v>3002205.6566804931</v>
      </c>
      <c r="F899" s="72" t="s">
        <v>919</v>
      </c>
      <c r="G899" s="25">
        <f t="shared" si="22"/>
        <v>1.201824588238587E-3</v>
      </c>
      <c r="O899" s="25"/>
    </row>
    <row r="900" spans="1:15">
      <c r="A900" s="72">
        <v>354.28362493195982</v>
      </c>
      <c r="B900" s="72">
        <v>360.00474691498584</v>
      </c>
      <c r="C900" s="72">
        <v>353.70764056987849</v>
      </c>
      <c r="D900" s="72">
        <v>359.75305626937052</v>
      </c>
      <c r="E900" s="72">
        <v>3663213.85423683</v>
      </c>
      <c r="F900" s="72" t="s">
        <v>920</v>
      </c>
      <c r="G900" s="25">
        <f t="shared" si="22"/>
        <v>-1.5203293598471501E-2</v>
      </c>
      <c r="O900" s="25"/>
    </row>
    <row r="901" spans="1:15">
      <c r="A901" s="72">
        <v>359.84986036383799</v>
      </c>
      <c r="B901" s="72">
        <v>362.47325132390574</v>
      </c>
      <c r="C901" s="72">
        <v>359.43360275762797</v>
      </c>
      <c r="D901" s="72">
        <v>360.36292206451543</v>
      </c>
      <c r="E901" s="72">
        <v>2725427.0746649345</v>
      </c>
      <c r="F901" s="72" t="s">
        <v>921</v>
      </c>
      <c r="G901" s="25">
        <f t="shared" si="22"/>
        <v>-1.4237360984257208E-3</v>
      </c>
      <c r="O901" s="25"/>
    </row>
    <row r="902" spans="1:15">
      <c r="A902" s="72">
        <v>359.41424193873445</v>
      </c>
      <c r="B902" s="72">
        <v>359.7917779071575</v>
      </c>
      <c r="C902" s="72">
        <v>354.98061441212542</v>
      </c>
      <c r="D902" s="72">
        <v>355.55175856948335</v>
      </c>
      <c r="E902" s="72">
        <v>5075817.3267685166</v>
      </c>
      <c r="F902" s="72" t="s">
        <v>922</v>
      </c>
      <c r="G902" s="25">
        <f t="shared" si="22"/>
        <v>1.0863350485992074E-2</v>
      </c>
      <c r="O902" s="25"/>
    </row>
    <row r="903" spans="1:15">
      <c r="A903" s="72">
        <v>353.8092848690693</v>
      </c>
      <c r="B903" s="72">
        <v>354.65148049093614</v>
      </c>
      <c r="C903" s="72">
        <v>349.00780178348396</v>
      </c>
      <c r="D903" s="72">
        <v>349.27885324799286</v>
      </c>
      <c r="E903" s="72">
        <v>2820969.5209930725</v>
      </c>
      <c r="F903" s="72" t="s">
        <v>923</v>
      </c>
      <c r="G903" s="25">
        <f t="shared" si="22"/>
        <v>1.297081566475411E-2</v>
      </c>
      <c r="O903" s="25"/>
    </row>
    <row r="904" spans="1:15">
      <c r="A904" s="72">
        <v>351.18589390900149</v>
      </c>
      <c r="B904" s="72">
        <v>352.86060474328832</v>
      </c>
      <c r="C904" s="72">
        <v>349.8983994525845</v>
      </c>
      <c r="D904" s="72">
        <v>351.72799683801918</v>
      </c>
      <c r="E904" s="72">
        <v>3889013.1876250538</v>
      </c>
      <c r="F904" s="72" t="s">
        <v>924</v>
      </c>
      <c r="G904" s="25">
        <f t="shared" si="22"/>
        <v>-1.5412561237407862E-3</v>
      </c>
      <c r="O904" s="25"/>
    </row>
    <row r="905" spans="1:15">
      <c r="A905" s="72">
        <v>352.4733883654186</v>
      </c>
      <c r="B905" s="72">
        <v>355.13550096327333</v>
      </c>
      <c r="C905" s="72">
        <v>352.41530590873811</v>
      </c>
      <c r="D905" s="72">
        <v>353.34462521562557</v>
      </c>
      <c r="E905" s="72">
        <v>3121975.3840229558</v>
      </c>
      <c r="F905" s="72" t="s">
        <v>925</v>
      </c>
      <c r="G905" s="25">
        <f t="shared" si="22"/>
        <v>-2.4656858716197716E-3</v>
      </c>
      <c r="O905" s="25"/>
    </row>
    <row r="906" spans="1:15">
      <c r="A906" s="72">
        <v>353.8092848690693</v>
      </c>
      <c r="B906" s="72">
        <v>356.98445916760153</v>
      </c>
      <c r="C906" s="72">
        <v>352.94153296626314</v>
      </c>
      <c r="D906" s="72">
        <v>355.74536675841824</v>
      </c>
      <c r="E906" s="72">
        <v>3409099.602816686</v>
      </c>
      <c r="F906" s="72" t="s">
        <v>926</v>
      </c>
      <c r="G906" s="25">
        <f t="shared" si="22"/>
        <v>-5.4423249612234326E-3</v>
      </c>
      <c r="O906" s="25"/>
    </row>
    <row r="907" spans="1:15">
      <c r="G907" s="25"/>
      <c r="O907" s="25"/>
    </row>
    <row r="908" spans="1:15">
      <c r="G908" s="25"/>
      <c r="O908" s="25"/>
    </row>
    <row r="909" spans="1:15">
      <c r="G909" s="25"/>
      <c r="O909" s="25"/>
    </row>
    <row r="910" spans="1:15">
      <c r="G910" s="25"/>
      <c r="O910" s="25"/>
    </row>
    <row r="911" spans="1:15">
      <c r="G911" s="25"/>
      <c r="O911" s="25"/>
    </row>
    <row r="912" spans="1:15">
      <c r="G912" s="25"/>
      <c r="O912" s="25"/>
    </row>
    <row r="913" spans="7:15">
      <c r="G913" s="25"/>
      <c r="O913" s="25"/>
    </row>
    <row r="914" spans="7:15">
      <c r="G914" s="25"/>
      <c r="O914" s="25"/>
    </row>
    <row r="915" spans="7:15">
      <c r="G915" s="25"/>
      <c r="O915" s="25"/>
    </row>
    <row r="916" spans="7:15">
      <c r="G916" s="25"/>
      <c r="O916" s="25"/>
    </row>
    <row r="917" spans="7:15">
      <c r="G917" s="25"/>
      <c r="O917" s="25"/>
    </row>
    <row r="918" spans="7:15">
      <c r="G918" s="25"/>
      <c r="O918" s="25"/>
    </row>
    <row r="919" spans="7:15">
      <c r="G919" s="25"/>
      <c r="O919" s="25"/>
    </row>
    <row r="920" spans="7:15">
      <c r="G920" s="25"/>
      <c r="O920" s="25"/>
    </row>
    <row r="921" spans="7:15">
      <c r="G921" s="25"/>
      <c r="O921" s="25"/>
    </row>
    <row r="922" spans="7:15">
      <c r="G922" s="25"/>
      <c r="O922" s="25"/>
    </row>
    <row r="923" spans="7:15">
      <c r="G923" s="25"/>
      <c r="O923" s="25"/>
    </row>
    <row r="924" spans="7:15">
      <c r="G924" s="25"/>
      <c r="O924" s="25"/>
    </row>
    <row r="925" spans="7:15">
      <c r="G925" s="25"/>
      <c r="O925" s="25"/>
    </row>
    <row r="926" spans="7:15">
      <c r="G926" s="25"/>
      <c r="O926" s="25"/>
    </row>
    <row r="927" spans="7:15">
      <c r="G927" s="25"/>
      <c r="O927" s="25"/>
    </row>
    <row r="928" spans="7:15">
      <c r="G928" s="25"/>
      <c r="O928" s="25"/>
    </row>
    <row r="929" spans="7:15">
      <c r="G929" s="25"/>
      <c r="O929" s="25"/>
    </row>
    <row r="930" spans="7:15">
      <c r="G930" s="25"/>
      <c r="O930" s="25"/>
    </row>
    <row r="931" spans="7:15">
      <c r="G931" s="25"/>
      <c r="O931" s="25"/>
    </row>
    <row r="932" spans="7:15">
      <c r="G932" s="25"/>
      <c r="O932" s="25"/>
    </row>
    <row r="933" spans="7:15">
      <c r="G933" s="25"/>
      <c r="O933" s="25"/>
    </row>
    <row r="934" spans="7:15">
      <c r="G934" s="25"/>
      <c r="O934" s="25"/>
    </row>
    <row r="935" spans="7:15">
      <c r="G935" s="25"/>
      <c r="O935" s="25"/>
    </row>
    <row r="936" spans="7:15">
      <c r="G936" s="25"/>
      <c r="O936" s="25"/>
    </row>
    <row r="937" spans="7:15">
      <c r="G937" s="25"/>
      <c r="O937" s="25"/>
    </row>
    <row r="938" spans="7:15">
      <c r="G938" s="25"/>
      <c r="O938" s="25"/>
    </row>
    <row r="939" spans="7:15">
      <c r="G939" s="25"/>
      <c r="O939" s="25"/>
    </row>
    <row r="940" spans="7:15">
      <c r="G940" s="25"/>
      <c r="O940" s="25"/>
    </row>
    <row r="941" spans="7:15">
      <c r="G941" s="25"/>
      <c r="O941" s="25"/>
    </row>
    <row r="942" spans="7:15">
      <c r="G942" s="25"/>
      <c r="O942" s="25"/>
    </row>
    <row r="943" spans="7:15">
      <c r="G943" s="25"/>
      <c r="O943" s="25"/>
    </row>
    <row r="944" spans="7:15">
      <c r="G944" s="25"/>
      <c r="O944" s="25"/>
    </row>
    <row r="945" spans="7:15">
      <c r="G945" s="25"/>
      <c r="O945" s="25"/>
    </row>
    <row r="946" spans="7:15">
      <c r="G946" s="25"/>
      <c r="O946" s="25"/>
    </row>
    <row r="947" spans="7:15">
      <c r="G947" s="25"/>
      <c r="O947" s="25"/>
    </row>
    <row r="948" spans="7:15">
      <c r="G948" s="25"/>
      <c r="O948" s="25"/>
    </row>
    <row r="949" spans="7:15">
      <c r="G949" s="25"/>
      <c r="O949" s="25"/>
    </row>
    <row r="950" spans="7:15">
      <c r="G950" s="25"/>
      <c r="O950" s="25"/>
    </row>
    <row r="951" spans="7:15">
      <c r="G951" s="25"/>
      <c r="O951" s="25"/>
    </row>
    <row r="952" spans="7:15">
      <c r="G952" s="25"/>
      <c r="O952" s="25"/>
    </row>
    <row r="953" spans="7:15">
      <c r="G953" s="25"/>
      <c r="O953" s="25"/>
    </row>
    <row r="954" spans="7:15">
      <c r="G954" s="25"/>
      <c r="O954" s="25"/>
    </row>
    <row r="955" spans="7:15">
      <c r="G955" s="25"/>
      <c r="O955" s="25"/>
    </row>
    <row r="956" spans="7:15">
      <c r="G956" s="25"/>
      <c r="O956" s="25"/>
    </row>
    <row r="957" spans="7:15">
      <c r="G957" s="25"/>
      <c r="O957" s="25"/>
    </row>
    <row r="958" spans="7:15">
      <c r="G958" s="25"/>
      <c r="O958" s="25"/>
    </row>
    <row r="959" spans="7:15">
      <c r="G959" s="25"/>
      <c r="O959" s="25"/>
    </row>
    <row r="960" spans="7:15">
      <c r="G960" s="25"/>
      <c r="O960" s="25"/>
    </row>
    <row r="961" spans="7:15">
      <c r="G961" s="25"/>
      <c r="O961" s="25"/>
    </row>
    <row r="962" spans="7:15">
      <c r="G962" s="25"/>
      <c r="O962" s="25"/>
    </row>
    <row r="963" spans="7:15">
      <c r="G963" s="25"/>
      <c r="O963" s="25"/>
    </row>
    <row r="964" spans="7:15">
      <c r="G964" s="25"/>
      <c r="O964" s="25"/>
    </row>
    <row r="965" spans="7:15">
      <c r="G965" s="25"/>
      <c r="O965" s="25"/>
    </row>
    <row r="966" spans="7:15">
      <c r="G966" s="25"/>
      <c r="O966" s="25"/>
    </row>
    <row r="967" spans="7:15">
      <c r="G967" s="25"/>
      <c r="O967" s="25"/>
    </row>
    <row r="968" spans="7:15">
      <c r="G968" s="25"/>
      <c r="O968" s="25"/>
    </row>
    <row r="969" spans="7:15">
      <c r="G969" s="25"/>
      <c r="O969" s="25"/>
    </row>
    <row r="970" spans="7:15">
      <c r="G970" s="25"/>
      <c r="O970" s="25"/>
    </row>
    <row r="971" spans="7:15">
      <c r="G971" s="25"/>
      <c r="O971" s="25"/>
    </row>
    <row r="972" spans="7:15">
      <c r="G972" s="25"/>
      <c r="O972" s="25"/>
    </row>
    <row r="973" spans="7:15">
      <c r="G973" s="25"/>
      <c r="O973" s="25"/>
    </row>
    <row r="974" spans="7:15">
      <c r="G974" s="25"/>
      <c r="O974" s="25"/>
    </row>
    <row r="975" spans="7:15">
      <c r="G975" s="25"/>
      <c r="O975" s="25"/>
    </row>
    <row r="976" spans="7:15">
      <c r="G976" s="25"/>
      <c r="O976" s="25"/>
    </row>
    <row r="977" spans="7:15">
      <c r="G977" s="25"/>
      <c r="O977" s="25"/>
    </row>
    <row r="978" spans="7:15">
      <c r="G978" s="25"/>
      <c r="O978" s="25"/>
    </row>
    <row r="979" spans="7:15">
      <c r="G979" s="25"/>
      <c r="O979" s="25"/>
    </row>
    <row r="980" spans="7:15">
      <c r="G980" s="25"/>
      <c r="O980" s="25"/>
    </row>
    <row r="981" spans="7:15">
      <c r="G981" s="25"/>
      <c r="O981" s="25"/>
    </row>
    <row r="982" spans="7:15">
      <c r="G982" s="25"/>
      <c r="O982" s="25"/>
    </row>
    <row r="983" spans="7:15">
      <c r="G983" s="25"/>
      <c r="O983" s="25"/>
    </row>
    <row r="984" spans="7:15">
      <c r="G984" s="25"/>
      <c r="O984" s="25"/>
    </row>
    <row r="985" spans="7:15">
      <c r="G985" s="25"/>
      <c r="O985" s="25"/>
    </row>
    <row r="986" spans="7:15">
      <c r="G986" s="25"/>
      <c r="O986" s="25"/>
    </row>
    <row r="987" spans="7:15">
      <c r="G987" s="25"/>
      <c r="O987" s="25"/>
    </row>
    <row r="988" spans="7:15">
      <c r="G988" s="25"/>
      <c r="O988" s="25"/>
    </row>
    <row r="989" spans="7:15">
      <c r="G989" s="25"/>
      <c r="O989" s="25"/>
    </row>
    <row r="990" spans="7:15">
      <c r="G990" s="25"/>
      <c r="O990" s="25"/>
    </row>
    <row r="991" spans="7:15">
      <c r="G991" s="25"/>
      <c r="O991" s="25"/>
    </row>
    <row r="992" spans="7:15">
      <c r="G992" s="25"/>
      <c r="O992" s="25"/>
    </row>
    <row r="993" spans="7:15">
      <c r="G993" s="25"/>
      <c r="O993" s="25"/>
    </row>
    <row r="994" spans="7:15">
      <c r="G994" s="25"/>
      <c r="O994" s="25"/>
    </row>
    <row r="995" spans="7:15">
      <c r="G995" s="25"/>
      <c r="O995" s="25"/>
    </row>
    <row r="996" spans="7:15">
      <c r="G996" s="25"/>
      <c r="O996" s="25"/>
    </row>
    <row r="997" spans="7:15">
      <c r="G997" s="25"/>
      <c r="O997" s="25"/>
    </row>
    <row r="998" spans="7:15">
      <c r="G998" s="25"/>
      <c r="O998" s="25"/>
    </row>
    <row r="999" spans="7:15">
      <c r="G999" s="25"/>
      <c r="O999" s="25"/>
    </row>
    <row r="1000" spans="7:15">
      <c r="G1000" s="25"/>
      <c r="O1000" s="25"/>
    </row>
    <row r="1001" spans="7:15">
      <c r="G1001" s="25"/>
      <c r="O1001" s="25"/>
    </row>
    <row r="1002" spans="7:15">
      <c r="G1002" s="25"/>
      <c r="O1002" s="25"/>
    </row>
    <row r="1003" spans="7:15">
      <c r="G1003" s="25"/>
      <c r="O1003" s="25"/>
    </row>
    <row r="1004" spans="7:15">
      <c r="G1004" s="25"/>
      <c r="O1004" s="25"/>
    </row>
    <row r="1005" spans="7:15">
      <c r="G1005" s="25"/>
      <c r="O1005" s="25"/>
    </row>
    <row r="1006" spans="7:15">
      <c r="G1006" s="25"/>
      <c r="O1006" s="25"/>
    </row>
    <row r="1007" spans="7:15">
      <c r="G1007" s="25"/>
      <c r="O1007" s="25"/>
    </row>
    <row r="1008" spans="7:15">
      <c r="G1008" s="25"/>
      <c r="O1008" s="25"/>
    </row>
    <row r="1009" spans="7:15">
      <c r="G1009" s="25"/>
      <c r="O1009" s="25"/>
    </row>
    <row r="1010" spans="7:15">
      <c r="G1010" s="25"/>
      <c r="O1010" s="25"/>
    </row>
    <row r="1011" spans="7:15">
      <c r="G1011" s="25"/>
      <c r="O1011" s="25"/>
    </row>
    <row r="1012" spans="7:15">
      <c r="G1012" s="25"/>
      <c r="O1012" s="25"/>
    </row>
    <row r="1013" spans="7:15">
      <c r="G1013" s="25"/>
      <c r="O1013" s="25"/>
    </row>
    <row r="1014" spans="7:15">
      <c r="G1014" s="25"/>
      <c r="O1014" s="25"/>
    </row>
    <row r="1015" spans="7:15">
      <c r="G1015" s="25"/>
      <c r="O1015" s="25"/>
    </row>
    <row r="1016" spans="7:15">
      <c r="G1016" s="25"/>
      <c r="O1016" s="25"/>
    </row>
    <row r="1017" spans="7:15">
      <c r="G1017" s="25"/>
      <c r="O1017" s="25"/>
    </row>
    <row r="1018" spans="7:15">
      <c r="G1018" s="25"/>
      <c r="O1018" s="25"/>
    </row>
    <row r="1019" spans="7:15">
      <c r="G1019" s="25"/>
      <c r="O1019" s="25"/>
    </row>
    <row r="1020" spans="7:15">
      <c r="G1020" s="25"/>
      <c r="O1020" s="25"/>
    </row>
    <row r="1021" spans="7:15">
      <c r="G1021" s="25"/>
      <c r="O1021" s="25"/>
    </row>
    <row r="1022" spans="7:15">
      <c r="G1022" s="25"/>
      <c r="O1022" s="25"/>
    </row>
    <row r="1023" spans="7:15">
      <c r="G1023" s="25"/>
      <c r="O1023" s="25"/>
    </row>
    <row r="1024" spans="7:15">
      <c r="G1024" s="25"/>
      <c r="O1024" s="25"/>
    </row>
    <row r="1025" spans="7:15">
      <c r="G1025" s="25"/>
      <c r="O1025" s="25"/>
    </row>
    <row r="1026" spans="7:15">
      <c r="G1026" s="25"/>
      <c r="O1026" s="25"/>
    </row>
    <row r="1027" spans="7:15">
      <c r="G1027" s="25"/>
      <c r="O1027" s="25"/>
    </row>
    <row r="1028" spans="7:15">
      <c r="G1028" s="25"/>
      <c r="O1028" s="25"/>
    </row>
    <row r="1029" spans="7:15">
      <c r="G1029" s="25"/>
      <c r="O1029" s="25"/>
    </row>
    <row r="1030" spans="7:15">
      <c r="G1030" s="25"/>
      <c r="O1030" s="25"/>
    </row>
    <row r="1031" spans="7:15">
      <c r="G1031" s="25"/>
      <c r="O1031" s="25"/>
    </row>
    <row r="1032" spans="7:15">
      <c r="G1032" s="25"/>
      <c r="O1032" s="25"/>
    </row>
    <row r="1033" spans="7:15">
      <c r="G1033" s="25"/>
      <c r="O1033" s="25"/>
    </row>
    <row r="1034" spans="7:15">
      <c r="G1034" s="25"/>
      <c r="O1034" s="25"/>
    </row>
    <row r="1035" spans="7:15">
      <c r="G1035" s="25"/>
      <c r="O1035" s="25"/>
    </row>
    <row r="1036" spans="7:15">
      <c r="G1036" s="25"/>
      <c r="O1036" s="25"/>
    </row>
    <row r="1037" spans="7:15">
      <c r="G1037" s="25"/>
      <c r="O1037" s="25"/>
    </row>
    <row r="1038" spans="7:15">
      <c r="G1038" s="25"/>
      <c r="O1038" s="25"/>
    </row>
    <row r="1039" spans="7:15">
      <c r="G1039" s="25"/>
      <c r="O1039" s="25"/>
    </row>
    <row r="1040" spans="7:15">
      <c r="G1040" s="25"/>
      <c r="O1040" s="25"/>
    </row>
    <row r="1041" spans="7:15">
      <c r="G1041" s="25"/>
      <c r="O1041" s="25"/>
    </row>
    <row r="1042" spans="7:15">
      <c r="G1042" s="25"/>
      <c r="O1042" s="25"/>
    </row>
    <row r="1043" spans="7:15">
      <c r="G1043" s="25"/>
      <c r="O1043" s="25"/>
    </row>
    <row r="1044" spans="7:15">
      <c r="G1044" s="25"/>
      <c r="O1044" s="25"/>
    </row>
    <row r="1045" spans="7:15">
      <c r="G1045" s="25"/>
      <c r="O1045" s="25"/>
    </row>
    <row r="1046" spans="7:15">
      <c r="G1046" s="25"/>
      <c r="O1046" s="25"/>
    </row>
    <row r="1047" spans="7:15">
      <c r="G1047" s="25"/>
      <c r="O1047" s="25"/>
    </row>
    <row r="1048" spans="7:15">
      <c r="G1048" s="25"/>
      <c r="O1048" s="25"/>
    </row>
    <row r="1049" spans="7:15">
      <c r="G1049" s="25"/>
      <c r="O1049" s="25"/>
    </row>
    <row r="1050" spans="7:15">
      <c r="G1050" s="25"/>
      <c r="O1050" s="25"/>
    </row>
    <row r="1051" spans="7:15">
      <c r="G1051" s="25"/>
      <c r="O1051" s="25"/>
    </row>
    <row r="1052" spans="7:15">
      <c r="G1052" s="25"/>
      <c r="O1052" s="25"/>
    </row>
    <row r="1053" spans="7:15">
      <c r="G1053" s="25"/>
      <c r="O1053" s="25"/>
    </row>
    <row r="1054" spans="7:15">
      <c r="G1054" s="25"/>
      <c r="O1054" s="25"/>
    </row>
    <row r="1055" spans="7:15">
      <c r="G1055" s="25"/>
      <c r="O1055" s="25"/>
    </row>
    <row r="1056" spans="7:15">
      <c r="G1056" s="25"/>
      <c r="O1056" s="25"/>
    </row>
    <row r="1057" spans="7:15">
      <c r="G1057" s="25"/>
      <c r="O1057" s="25"/>
    </row>
    <row r="1058" spans="7:15">
      <c r="G1058" s="25"/>
      <c r="O1058" s="25"/>
    </row>
    <row r="1059" spans="7:15">
      <c r="G1059" s="25"/>
      <c r="O1059" s="25"/>
    </row>
    <row r="1060" spans="7:15">
      <c r="G1060" s="25"/>
      <c r="O1060" s="25"/>
    </row>
    <row r="1061" spans="7:15">
      <c r="G1061" s="25"/>
      <c r="O1061" s="25"/>
    </row>
    <row r="1062" spans="7:15">
      <c r="G1062" s="25"/>
      <c r="O1062" s="25"/>
    </row>
    <row r="1063" spans="7:15">
      <c r="G1063" s="25"/>
      <c r="O1063" s="25"/>
    </row>
    <row r="1064" spans="7:15">
      <c r="G1064" s="25"/>
      <c r="O1064" s="25"/>
    </row>
    <row r="1065" spans="7:15">
      <c r="G1065" s="25"/>
      <c r="O1065" s="25"/>
    </row>
    <row r="1066" spans="7:15">
      <c r="G1066" s="25"/>
      <c r="O1066" s="25"/>
    </row>
    <row r="1067" spans="7:15">
      <c r="G1067" s="25"/>
      <c r="O1067" s="25"/>
    </row>
    <row r="1068" spans="7:15">
      <c r="G1068" s="25"/>
      <c r="O1068" s="25"/>
    </row>
    <row r="1069" spans="7:15">
      <c r="G1069" s="25"/>
      <c r="O1069" s="25"/>
    </row>
    <row r="1070" spans="7:15">
      <c r="G1070" s="25"/>
      <c r="O1070" s="25"/>
    </row>
    <row r="1071" spans="7:15">
      <c r="G1071" s="25"/>
      <c r="O1071" s="25"/>
    </row>
    <row r="1072" spans="7:15">
      <c r="G1072" s="25"/>
      <c r="O1072" s="25"/>
    </row>
    <row r="1073" spans="7:15">
      <c r="G1073" s="25"/>
      <c r="O1073" s="25"/>
    </row>
    <row r="1074" spans="7:15">
      <c r="G1074" s="25"/>
      <c r="O1074" s="25"/>
    </row>
    <row r="1075" spans="7:15">
      <c r="G1075" s="25"/>
      <c r="O1075" s="25"/>
    </row>
    <row r="1076" spans="7:15">
      <c r="G1076" s="25"/>
      <c r="O1076" s="25"/>
    </row>
    <row r="1077" spans="7:15">
      <c r="G1077" s="25"/>
      <c r="O1077" s="25"/>
    </row>
    <row r="1078" spans="7:15">
      <c r="G1078" s="25"/>
      <c r="O1078" s="25"/>
    </row>
    <row r="1079" spans="7:15">
      <c r="G1079" s="25"/>
      <c r="O1079" s="25"/>
    </row>
    <row r="1080" spans="7:15">
      <c r="G1080" s="25"/>
      <c r="O1080" s="25"/>
    </row>
    <row r="1081" spans="7:15">
      <c r="G1081" s="25"/>
      <c r="O1081" s="25"/>
    </row>
    <row r="1082" spans="7:15">
      <c r="G1082" s="25"/>
      <c r="O1082" s="25"/>
    </row>
    <row r="1083" spans="7:15">
      <c r="G1083" s="25"/>
      <c r="O1083" s="25"/>
    </row>
    <row r="1084" spans="7:15">
      <c r="G1084" s="25"/>
      <c r="O1084" s="25"/>
    </row>
    <row r="1085" spans="7:15">
      <c r="G1085" s="25"/>
      <c r="O1085" s="25"/>
    </row>
    <row r="1086" spans="7:15">
      <c r="G1086" s="25"/>
      <c r="O1086" s="25"/>
    </row>
    <row r="1087" spans="7:15">
      <c r="G1087" s="25"/>
      <c r="O1087" s="25"/>
    </row>
    <row r="1088" spans="7:15">
      <c r="G1088" s="25"/>
      <c r="O1088" s="25"/>
    </row>
    <row r="1089" spans="7:15">
      <c r="G1089" s="25"/>
      <c r="O1089" s="25"/>
    </row>
    <row r="1090" spans="7:15">
      <c r="G1090" s="25"/>
      <c r="O1090" s="25"/>
    </row>
    <row r="1091" spans="7:15">
      <c r="G1091" s="25"/>
      <c r="O1091" s="25"/>
    </row>
    <row r="1092" spans="7:15">
      <c r="G1092" s="25"/>
      <c r="O1092" s="25"/>
    </row>
    <row r="1093" spans="7:15">
      <c r="G1093" s="25"/>
      <c r="O1093" s="25"/>
    </row>
    <row r="1094" spans="7:15">
      <c r="G1094" s="25"/>
      <c r="O1094" s="25"/>
    </row>
    <row r="1095" spans="7:15">
      <c r="G1095" s="25"/>
      <c r="O1095" s="25"/>
    </row>
    <row r="1096" spans="7:15">
      <c r="G1096" s="25"/>
      <c r="O1096" s="25"/>
    </row>
    <row r="1097" spans="7:15">
      <c r="G1097" s="25"/>
      <c r="O1097" s="25"/>
    </row>
    <row r="1098" spans="7:15">
      <c r="G1098" s="25"/>
      <c r="O1098" s="25"/>
    </row>
    <row r="1099" spans="7:15">
      <c r="G1099" s="25"/>
      <c r="O1099" s="25"/>
    </row>
    <row r="1100" spans="7:15">
      <c r="G1100" s="25"/>
      <c r="O1100" s="25"/>
    </row>
    <row r="1101" spans="7:15">
      <c r="G1101" s="25"/>
      <c r="O1101" s="25"/>
    </row>
    <row r="1102" spans="7:15">
      <c r="G1102" s="25"/>
      <c r="O1102" s="25"/>
    </row>
    <row r="1103" spans="7:15">
      <c r="G1103" s="25"/>
      <c r="O1103" s="25"/>
    </row>
    <row r="1104" spans="7:15">
      <c r="G1104" s="25"/>
      <c r="O1104" s="25"/>
    </row>
    <row r="1105" spans="7:15">
      <c r="G1105" s="25"/>
      <c r="O1105" s="25"/>
    </row>
    <row r="1106" spans="7:15">
      <c r="G1106" s="25"/>
      <c r="O1106" s="25"/>
    </row>
    <row r="1107" spans="7:15">
      <c r="G1107" s="25"/>
      <c r="O1107" s="25"/>
    </row>
    <row r="1108" spans="7:15">
      <c r="G1108" s="25"/>
      <c r="O1108" s="25"/>
    </row>
    <row r="1109" spans="7:15">
      <c r="G1109" s="25"/>
      <c r="O1109" s="25"/>
    </row>
    <row r="1110" spans="7:15">
      <c r="G1110" s="25"/>
      <c r="O1110" s="25"/>
    </row>
    <row r="1111" spans="7:15">
      <c r="G1111" s="25"/>
      <c r="O1111" s="25"/>
    </row>
    <row r="1112" spans="7:15">
      <c r="G1112" s="25"/>
      <c r="O1112" s="25"/>
    </row>
    <row r="1113" spans="7:15">
      <c r="G1113" s="25"/>
      <c r="O1113" s="25"/>
    </row>
    <row r="1114" spans="7:15">
      <c r="G1114" s="25"/>
      <c r="O1114" s="25"/>
    </row>
    <row r="1115" spans="7:15">
      <c r="G1115" s="25"/>
      <c r="O1115" s="25"/>
    </row>
    <row r="1116" spans="7:15">
      <c r="G1116" s="25"/>
      <c r="O1116" s="25"/>
    </row>
    <row r="1117" spans="7:15">
      <c r="G1117" s="25"/>
      <c r="O1117" s="25"/>
    </row>
    <row r="1118" spans="7:15">
      <c r="G1118" s="25"/>
      <c r="O1118" s="25"/>
    </row>
    <row r="1119" spans="7:15">
      <c r="G1119" s="25"/>
      <c r="O1119" s="25"/>
    </row>
    <row r="1120" spans="7:15">
      <c r="G1120" s="25"/>
      <c r="O1120" s="25"/>
    </row>
    <row r="1121" spans="7:15">
      <c r="G1121" s="25"/>
      <c r="O1121" s="25"/>
    </row>
    <row r="1122" spans="7:15">
      <c r="G1122" s="25"/>
      <c r="O1122" s="25"/>
    </row>
    <row r="1123" spans="7:15">
      <c r="G1123" s="25"/>
      <c r="O1123" s="25"/>
    </row>
    <row r="1124" spans="7:15">
      <c r="G1124" s="25"/>
      <c r="O1124" s="25"/>
    </row>
    <row r="1125" spans="7:15">
      <c r="G1125" s="25"/>
      <c r="O1125" s="25"/>
    </row>
    <row r="1126" spans="7:15">
      <c r="G1126" s="25"/>
      <c r="O1126" s="25"/>
    </row>
    <row r="1127" spans="7:15">
      <c r="G1127" s="25"/>
      <c r="O1127" s="25"/>
    </row>
    <row r="1128" spans="7:15">
      <c r="G1128" s="25"/>
      <c r="O1128" s="25"/>
    </row>
    <row r="1129" spans="7:15">
      <c r="G1129" s="25"/>
      <c r="O1129" s="25"/>
    </row>
    <row r="1130" spans="7:15">
      <c r="G1130" s="25"/>
      <c r="O1130" s="25"/>
    </row>
    <row r="1131" spans="7:15">
      <c r="G1131" s="25"/>
      <c r="O1131" s="25"/>
    </row>
    <row r="1132" spans="7:15">
      <c r="G1132" s="25"/>
      <c r="O1132" s="25"/>
    </row>
    <row r="1133" spans="7:15">
      <c r="G1133" s="25"/>
      <c r="O1133" s="25"/>
    </row>
    <row r="1134" spans="7:15">
      <c r="G1134" s="25"/>
      <c r="O1134" s="25"/>
    </row>
    <row r="1135" spans="7:15">
      <c r="G1135" s="25"/>
      <c r="O1135" s="25"/>
    </row>
    <row r="1136" spans="7:15">
      <c r="G1136" s="25"/>
      <c r="O1136" s="25"/>
    </row>
    <row r="1137" spans="7:15">
      <c r="G1137" s="25"/>
      <c r="O1137" s="25"/>
    </row>
    <row r="1138" spans="7:15">
      <c r="G1138" s="25"/>
      <c r="O1138" s="25"/>
    </row>
    <row r="1139" spans="7:15">
      <c r="G1139" s="25"/>
      <c r="O1139" s="25"/>
    </row>
    <row r="1140" spans="7:15">
      <c r="G1140" s="25"/>
      <c r="O1140" s="25"/>
    </row>
    <row r="1141" spans="7:15">
      <c r="G1141" s="25"/>
      <c r="O1141" s="25"/>
    </row>
    <row r="1142" spans="7:15">
      <c r="G1142" s="25"/>
      <c r="O1142" s="25"/>
    </row>
    <row r="1143" spans="7:15">
      <c r="G1143" s="25"/>
      <c r="O1143" s="25"/>
    </row>
    <row r="1144" spans="7:15">
      <c r="G1144" s="25"/>
      <c r="O1144" s="25"/>
    </row>
    <row r="1145" spans="7:15">
      <c r="G1145" s="25"/>
      <c r="O1145" s="25"/>
    </row>
    <row r="1146" spans="7:15">
      <c r="G1146" s="25"/>
      <c r="O1146" s="25"/>
    </row>
    <row r="1147" spans="7:15">
      <c r="G1147" s="25"/>
      <c r="O1147" s="25"/>
    </row>
    <row r="1148" spans="7:15">
      <c r="G1148" s="25"/>
      <c r="O1148" s="25"/>
    </row>
    <row r="1149" spans="7:15">
      <c r="G1149" s="25"/>
      <c r="O1149" s="25"/>
    </row>
    <row r="1150" spans="7:15">
      <c r="G1150" s="25"/>
      <c r="O1150" s="25"/>
    </row>
    <row r="1151" spans="7:15">
      <c r="G1151" s="25"/>
      <c r="O1151" s="25"/>
    </row>
    <row r="1152" spans="7:15">
      <c r="G1152" s="25"/>
      <c r="O1152" s="25"/>
    </row>
    <row r="1153" spans="7:15">
      <c r="G1153" s="25"/>
      <c r="O1153" s="25"/>
    </row>
    <row r="1154" spans="7:15">
      <c r="G1154" s="25"/>
      <c r="O1154" s="25"/>
    </row>
    <row r="1155" spans="7:15">
      <c r="G1155" s="25"/>
      <c r="O1155" s="25"/>
    </row>
    <row r="1156" spans="7:15">
      <c r="G1156" s="25"/>
      <c r="O1156" s="25"/>
    </row>
    <row r="1157" spans="7:15">
      <c r="G1157" s="25"/>
      <c r="O1157" s="25"/>
    </row>
    <row r="1158" spans="7:15">
      <c r="G1158" s="25"/>
      <c r="O1158" s="25"/>
    </row>
    <row r="1159" spans="7:15">
      <c r="G1159" s="25"/>
      <c r="O1159" s="25"/>
    </row>
    <row r="1160" spans="7:15">
      <c r="G1160" s="25"/>
      <c r="O1160" s="25"/>
    </row>
    <row r="1161" spans="7:15">
      <c r="G1161" s="25"/>
      <c r="O1161" s="25"/>
    </row>
    <row r="1162" spans="7:15">
      <c r="G1162" s="25"/>
      <c r="O1162" s="25"/>
    </row>
    <row r="1163" spans="7:15">
      <c r="G1163" s="25"/>
      <c r="O1163" s="25"/>
    </row>
    <row r="1164" spans="7:15">
      <c r="G1164" s="25"/>
      <c r="O1164" s="25"/>
    </row>
    <row r="1165" spans="7:15">
      <c r="G1165" s="25"/>
      <c r="O1165" s="25"/>
    </row>
    <row r="1166" spans="7:15">
      <c r="G1166" s="25"/>
      <c r="O1166" s="25"/>
    </row>
    <row r="1167" spans="7:15">
      <c r="G1167" s="25"/>
      <c r="O1167" s="25"/>
    </row>
    <row r="1168" spans="7:15">
      <c r="G1168" s="25"/>
      <c r="O1168" s="25"/>
    </row>
    <row r="1169" spans="7:15">
      <c r="G1169" s="25"/>
      <c r="O1169" s="25"/>
    </row>
    <row r="1170" spans="7:15">
      <c r="G1170" s="25"/>
      <c r="O1170" s="25"/>
    </row>
    <row r="1171" spans="7:15">
      <c r="G1171" s="25"/>
      <c r="O1171" s="25"/>
    </row>
    <row r="1172" spans="7:15">
      <c r="G1172" s="25"/>
      <c r="O1172" s="25"/>
    </row>
    <row r="1173" spans="7:15">
      <c r="G1173" s="25"/>
      <c r="O1173" s="25"/>
    </row>
    <row r="1174" spans="7:15">
      <c r="G1174" s="25"/>
      <c r="O1174" s="25"/>
    </row>
    <row r="1175" spans="7:15">
      <c r="G1175" s="25"/>
      <c r="O1175" s="25"/>
    </row>
    <row r="1176" spans="7:15">
      <c r="G1176" s="25"/>
      <c r="O1176" s="25"/>
    </row>
    <row r="1177" spans="7:15">
      <c r="G1177" s="25"/>
      <c r="O1177" s="25"/>
    </row>
    <row r="1178" spans="7:15">
      <c r="G1178" s="25"/>
      <c r="O1178" s="25"/>
    </row>
    <row r="1179" spans="7:15">
      <c r="G1179" s="25"/>
      <c r="O1179" s="25"/>
    </row>
    <row r="1180" spans="7:15">
      <c r="G1180" s="25"/>
      <c r="O1180" s="25"/>
    </row>
    <row r="1181" spans="7:15">
      <c r="G1181" s="25"/>
      <c r="O1181" s="25"/>
    </row>
    <row r="1182" spans="7:15">
      <c r="G1182" s="25"/>
      <c r="O1182" s="25"/>
    </row>
    <row r="1183" spans="7:15">
      <c r="G1183" s="25"/>
      <c r="O1183" s="25"/>
    </row>
    <row r="1184" spans="7:15">
      <c r="G1184" s="25"/>
      <c r="O1184" s="25"/>
    </row>
    <row r="1185" spans="7:15">
      <c r="G1185" s="25"/>
      <c r="O1185" s="25"/>
    </row>
    <row r="1186" spans="7:15">
      <c r="G1186" s="25"/>
      <c r="O1186" s="25"/>
    </row>
    <row r="1187" spans="7:15">
      <c r="G1187" s="25"/>
      <c r="O1187" s="25"/>
    </row>
    <row r="1188" spans="7:15">
      <c r="G1188" s="25"/>
      <c r="O1188" s="25"/>
    </row>
    <row r="1189" spans="7:15">
      <c r="G1189" s="25"/>
      <c r="O1189" s="25"/>
    </row>
    <row r="1190" spans="7:15">
      <c r="G1190" s="25"/>
      <c r="O1190" s="25"/>
    </row>
    <row r="1191" spans="7:15">
      <c r="G1191" s="25"/>
      <c r="O1191" s="25"/>
    </row>
    <row r="1192" spans="7:15">
      <c r="G1192" s="25"/>
      <c r="O1192" s="25"/>
    </row>
    <row r="1193" spans="7:15">
      <c r="G1193" s="25"/>
      <c r="O1193" s="25"/>
    </row>
    <row r="1194" spans="7:15">
      <c r="G1194" s="25"/>
      <c r="O1194" s="25"/>
    </row>
    <row r="1195" spans="7:15">
      <c r="G1195" s="25"/>
      <c r="O1195" s="25"/>
    </row>
    <row r="1196" spans="7:15">
      <c r="G1196" s="25"/>
      <c r="O1196" s="25"/>
    </row>
    <row r="1197" spans="7:15">
      <c r="G1197" s="25"/>
      <c r="O1197" s="25"/>
    </row>
    <row r="1198" spans="7:15">
      <c r="G1198" s="25"/>
      <c r="O1198" s="25"/>
    </row>
    <row r="1199" spans="7:15">
      <c r="G1199" s="25"/>
      <c r="O1199" s="25"/>
    </row>
    <row r="1200" spans="7:15">
      <c r="G1200" s="25"/>
      <c r="O1200" s="25"/>
    </row>
    <row r="1201" spans="7:15">
      <c r="G1201" s="25"/>
      <c r="O1201" s="25"/>
    </row>
    <row r="1202" spans="7:15">
      <c r="G1202" s="25"/>
      <c r="O1202" s="25"/>
    </row>
    <row r="1203" spans="7:15">
      <c r="G1203" s="25"/>
      <c r="O1203" s="25"/>
    </row>
    <row r="1204" spans="7:15">
      <c r="G1204" s="25"/>
      <c r="O1204" s="25"/>
    </row>
    <row r="1205" spans="7:15">
      <c r="G1205" s="25"/>
      <c r="O1205" s="25"/>
    </row>
    <row r="1206" spans="7:15">
      <c r="G1206" s="25"/>
      <c r="O1206" s="25"/>
    </row>
    <row r="1207" spans="7:15">
      <c r="G1207" s="25"/>
      <c r="O1207" s="25"/>
    </row>
    <row r="1208" spans="7:15">
      <c r="G1208" s="25"/>
      <c r="O1208" s="25"/>
    </row>
    <row r="1209" spans="7:15">
      <c r="G1209" s="25"/>
      <c r="O1209" s="25"/>
    </row>
    <row r="1210" spans="7:15">
      <c r="G1210" s="25"/>
      <c r="O1210" s="25"/>
    </row>
    <row r="1211" spans="7:15">
      <c r="G1211" s="25"/>
      <c r="O1211" s="25"/>
    </row>
    <row r="1212" spans="7:15">
      <c r="G1212" s="25"/>
      <c r="O1212" s="25"/>
    </row>
    <row r="1213" spans="7:15">
      <c r="G1213" s="25"/>
      <c r="O1213" s="25"/>
    </row>
    <row r="1214" spans="7:15">
      <c r="G1214" s="25"/>
      <c r="O1214" s="25"/>
    </row>
    <row r="1215" spans="7:15">
      <c r="G1215" s="25"/>
      <c r="O1215" s="25"/>
    </row>
    <row r="1216" spans="7:15">
      <c r="G1216" s="25"/>
      <c r="O1216" s="25"/>
    </row>
    <row r="1217" spans="7:15">
      <c r="G1217" s="25"/>
      <c r="O1217" s="25"/>
    </row>
    <row r="1218" spans="7:15">
      <c r="G1218" s="25"/>
      <c r="O1218" s="25"/>
    </row>
    <row r="1219" spans="7:15">
      <c r="G1219" s="25"/>
      <c r="O1219" s="25"/>
    </row>
    <row r="1220" spans="7:15">
      <c r="G1220" s="25"/>
      <c r="O1220" s="25"/>
    </row>
    <row r="1221" spans="7:15">
      <c r="G1221" s="25"/>
      <c r="O1221" s="25"/>
    </row>
    <row r="1222" spans="7:15">
      <c r="G1222" s="25"/>
      <c r="O1222" s="25"/>
    </row>
    <row r="1223" spans="7:15">
      <c r="G1223" s="25"/>
      <c r="O1223" s="25"/>
    </row>
    <row r="1224" spans="7:15">
      <c r="G1224" s="25"/>
      <c r="O1224" s="25"/>
    </row>
    <row r="1225" spans="7:15">
      <c r="G1225" s="25"/>
      <c r="O1225" s="25"/>
    </row>
    <row r="1226" spans="7:15">
      <c r="G1226" s="25"/>
      <c r="O1226" s="25"/>
    </row>
    <row r="1227" spans="7:15">
      <c r="G1227" s="25"/>
      <c r="O1227" s="25"/>
    </row>
    <row r="1228" spans="7:15">
      <c r="G1228" s="25"/>
      <c r="O1228" s="25"/>
    </row>
    <row r="1229" spans="7:15">
      <c r="G1229" s="25"/>
      <c r="O1229" s="25"/>
    </row>
    <row r="1230" spans="7:15">
      <c r="G1230" s="25"/>
      <c r="O1230" s="25"/>
    </row>
    <row r="1231" spans="7:15">
      <c r="G1231" s="25"/>
      <c r="O1231" s="25"/>
    </row>
    <row r="1232" spans="7:15">
      <c r="G1232" s="25"/>
      <c r="O1232" s="25"/>
    </row>
    <row r="1233" spans="7:15">
      <c r="G1233" s="25"/>
      <c r="O1233" s="25"/>
    </row>
    <row r="1234" spans="7:15">
      <c r="G1234" s="25"/>
      <c r="O1234" s="25"/>
    </row>
    <row r="1235" spans="7:15">
      <c r="G1235" s="25"/>
      <c r="O1235" s="25"/>
    </row>
    <row r="1236" spans="7:15">
      <c r="G1236" s="25"/>
      <c r="O1236" s="25"/>
    </row>
    <row r="1237" spans="7:15">
      <c r="G1237" s="25"/>
      <c r="O1237" s="25"/>
    </row>
    <row r="1238" spans="7:15">
      <c r="G1238" s="25"/>
      <c r="O1238" s="25"/>
    </row>
    <row r="1239" spans="7:15">
      <c r="G1239" s="25"/>
      <c r="O1239" s="25"/>
    </row>
    <row r="1240" spans="7:15">
      <c r="G1240" s="25"/>
      <c r="O1240" s="25"/>
    </row>
    <row r="1241" spans="7:15">
      <c r="G1241" s="25"/>
      <c r="O1241" s="25"/>
    </row>
    <row r="1242" spans="7:15">
      <c r="G1242" s="25"/>
      <c r="O1242" s="25"/>
    </row>
    <row r="1243" spans="7:15">
      <c r="G1243" s="25"/>
      <c r="O1243" s="25"/>
    </row>
    <row r="1244" spans="7:15">
      <c r="G1244" s="25"/>
      <c r="O1244" s="25"/>
    </row>
    <row r="1245" spans="7:15">
      <c r="G1245" s="25"/>
      <c r="O1245" s="25"/>
    </row>
    <row r="1246" spans="7:15">
      <c r="G1246" s="25"/>
      <c r="O1246" s="25"/>
    </row>
    <row r="1247" spans="7:15">
      <c r="G1247" s="25"/>
      <c r="O1247" s="25"/>
    </row>
    <row r="1248" spans="7:15">
      <c r="G1248" s="25"/>
      <c r="O1248" s="25"/>
    </row>
    <row r="1249" spans="7:15">
      <c r="G1249" s="25"/>
      <c r="O1249" s="25"/>
    </row>
    <row r="1250" spans="7:15">
      <c r="G1250" s="25"/>
      <c r="O1250" s="25"/>
    </row>
    <row r="1251" spans="7:15">
      <c r="G1251" s="25"/>
      <c r="O1251" s="25"/>
    </row>
    <row r="1252" spans="7:15">
      <c r="G1252" s="25"/>
      <c r="O1252" s="25"/>
    </row>
    <row r="1253" spans="7:15">
      <c r="G1253" s="25"/>
      <c r="O1253" s="25"/>
    </row>
    <row r="1254" spans="7:15">
      <c r="G1254" s="25"/>
      <c r="O1254" s="25"/>
    </row>
    <row r="1255" spans="7:15">
      <c r="G1255" s="25"/>
      <c r="O1255" s="25"/>
    </row>
    <row r="1256" spans="7:15">
      <c r="G1256" s="25"/>
      <c r="O1256" s="25"/>
    </row>
    <row r="1257" spans="7:15">
      <c r="G1257" s="25"/>
      <c r="O1257" s="25"/>
    </row>
    <row r="1258" spans="7:15">
      <c r="G1258" s="25"/>
      <c r="O1258" s="25"/>
    </row>
    <row r="1259" spans="7:15">
      <c r="G1259" s="25"/>
      <c r="O1259" s="25"/>
    </row>
    <row r="1260" spans="7:15">
      <c r="G1260" s="25"/>
      <c r="O1260" s="25"/>
    </row>
    <row r="1261" spans="7:15">
      <c r="G1261" s="25"/>
      <c r="O1261" s="25"/>
    </row>
    <row r="1262" spans="7:15">
      <c r="G1262" s="25"/>
      <c r="O1262" s="25"/>
    </row>
    <row r="1263" spans="7:15">
      <c r="G1263" s="25"/>
      <c r="O1263" s="25"/>
    </row>
    <row r="1264" spans="7:15">
      <c r="G1264" s="25"/>
      <c r="O1264" s="25"/>
    </row>
    <row r="1265" spans="7:15">
      <c r="G1265" s="25"/>
      <c r="O1265" s="25"/>
    </row>
    <row r="1266" spans="7:15">
      <c r="G1266" s="25"/>
      <c r="O1266" s="25"/>
    </row>
    <row r="1267" spans="7:15">
      <c r="G1267" s="25"/>
      <c r="O1267" s="25"/>
    </row>
    <row r="1268" spans="7:15">
      <c r="G1268" s="25"/>
      <c r="O1268" s="25"/>
    </row>
    <row r="1269" spans="7:15">
      <c r="G1269" s="25"/>
      <c r="O1269" s="25"/>
    </row>
    <row r="1270" spans="7:15">
      <c r="G1270" s="25"/>
      <c r="O1270" s="25"/>
    </row>
    <row r="1271" spans="7:15">
      <c r="G1271" s="25"/>
      <c r="O1271" s="25"/>
    </row>
    <row r="1272" spans="7:15">
      <c r="G1272" s="25"/>
      <c r="O1272" s="25"/>
    </row>
    <row r="1273" spans="7:15">
      <c r="G1273" s="25"/>
      <c r="O1273" s="25"/>
    </row>
    <row r="1274" spans="7:15">
      <c r="G1274" s="25"/>
      <c r="O1274" s="25"/>
    </row>
    <row r="1275" spans="7:15">
      <c r="G1275" s="25"/>
      <c r="O1275" s="25"/>
    </row>
    <row r="1276" spans="7:15">
      <c r="G1276" s="25"/>
      <c r="O1276" s="25"/>
    </row>
    <row r="1277" spans="7:15">
      <c r="G1277" s="25"/>
      <c r="O1277" s="25"/>
    </row>
    <row r="1278" spans="7:15">
      <c r="G1278" s="25"/>
      <c r="O1278" s="25"/>
    </row>
    <row r="1279" spans="7:15">
      <c r="G1279" s="25"/>
      <c r="O1279" s="25"/>
    </row>
    <row r="1280" spans="7:15">
      <c r="G1280" s="25"/>
      <c r="O1280" s="25"/>
    </row>
    <row r="1281" spans="7:15">
      <c r="G1281" s="25"/>
      <c r="O1281" s="25"/>
    </row>
    <row r="1282" spans="7:15">
      <c r="G1282" s="25"/>
      <c r="O1282" s="25"/>
    </row>
    <row r="1283" spans="7:15">
      <c r="G1283" s="25"/>
      <c r="O1283" s="25"/>
    </row>
    <row r="1284" spans="7:15">
      <c r="G1284" s="25"/>
      <c r="O1284" s="25"/>
    </row>
    <row r="1285" spans="7:15">
      <c r="G1285" s="25"/>
      <c r="O1285" s="25"/>
    </row>
    <row r="1286" spans="7:15">
      <c r="G1286" s="25"/>
      <c r="O1286" s="25"/>
    </row>
    <row r="1287" spans="7:15">
      <c r="G1287" s="25"/>
      <c r="O1287" s="25"/>
    </row>
    <row r="1288" spans="7:15">
      <c r="G1288" s="25"/>
      <c r="O1288" s="25"/>
    </row>
    <row r="1289" spans="7:15">
      <c r="G1289" s="25"/>
      <c r="O1289" s="25"/>
    </row>
    <row r="1290" spans="7:15">
      <c r="G1290" s="25"/>
      <c r="O1290" s="25"/>
    </row>
    <row r="1291" spans="7:15">
      <c r="G1291" s="25"/>
      <c r="O1291" s="25"/>
    </row>
    <row r="1292" spans="7:15">
      <c r="G1292" s="25"/>
      <c r="O1292" s="25"/>
    </row>
    <row r="1293" spans="7:15">
      <c r="G1293" s="25"/>
      <c r="O1293" s="25"/>
    </row>
    <row r="1294" spans="7:15">
      <c r="G1294" s="25"/>
      <c r="O1294" s="25"/>
    </row>
    <row r="1295" spans="7:15">
      <c r="G1295" s="25"/>
      <c r="O1295" s="25"/>
    </row>
    <row r="1296" spans="7:15">
      <c r="G1296" s="25"/>
      <c r="O1296" s="25"/>
    </row>
    <row r="1297" spans="7:15">
      <c r="G1297" s="25"/>
      <c r="O1297" s="25"/>
    </row>
    <row r="1298" spans="7:15">
      <c r="G1298" s="25"/>
      <c r="O1298" s="25"/>
    </row>
    <row r="1299" spans="7:15">
      <c r="G1299" s="25"/>
      <c r="O1299" s="25"/>
    </row>
    <row r="1300" spans="7:15">
      <c r="G1300" s="25"/>
      <c r="O1300" s="25"/>
    </row>
    <row r="1301" spans="7:15">
      <c r="G1301" s="25"/>
      <c r="O1301" s="25"/>
    </row>
    <row r="1302" spans="7:15">
      <c r="G1302" s="25"/>
      <c r="O1302" s="25"/>
    </row>
    <row r="1303" spans="7:15">
      <c r="G1303" s="25"/>
      <c r="O1303" s="25"/>
    </row>
    <row r="1304" spans="7:15">
      <c r="G1304" s="25"/>
      <c r="O1304" s="25"/>
    </row>
    <row r="1305" spans="7:15">
      <c r="G1305" s="25"/>
      <c r="O1305" s="25"/>
    </row>
    <row r="1306" spans="7:15">
      <c r="G1306" s="25"/>
      <c r="O1306" s="25"/>
    </row>
    <row r="1307" spans="7:15">
      <c r="G1307" s="25"/>
      <c r="O1307" s="25"/>
    </row>
    <row r="1308" spans="7:15">
      <c r="G1308" s="25"/>
      <c r="O1308" s="25"/>
    </row>
    <row r="1309" spans="7:15">
      <c r="G1309" s="25"/>
      <c r="O1309" s="25"/>
    </row>
    <row r="1310" spans="7:15">
      <c r="G1310" s="25"/>
      <c r="O1310" s="25"/>
    </row>
    <row r="1311" spans="7:15">
      <c r="G1311" s="25"/>
      <c r="O1311" s="25"/>
    </row>
    <row r="1312" spans="7:15">
      <c r="G1312" s="25"/>
      <c r="O1312" s="25"/>
    </row>
    <row r="1313" spans="7:15">
      <c r="G1313" s="25"/>
      <c r="O1313" s="25"/>
    </row>
    <row r="1314" spans="7:15">
      <c r="G1314" s="25"/>
      <c r="O1314" s="25"/>
    </row>
    <row r="1315" spans="7:15">
      <c r="G1315" s="25"/>
      <c r="O1315" s="25"/>
    </row>
    <row r="1316" spans="7:15">
      <c r="G1316" s="25"/>
      <c r="O1316" s="25"/>
    </row>
    <row r="1317" spans="7:15">
      <c r="G1317" s="25"/>
      <c r="O1317" s="25"/>
    </row>
    <row r="1318" spans="7:15">
      <c r="G1318" s="25"/>
      <c r="O1318" s="25"/>
    </row>
    <row r="1319" spans="7:15">
      <c r="G1319" s="25"/>
      <c r="O1319" s="25"/>
    </row>
    <row r="1320" spans="7:15">
      <c r="G1320" s="25"/>
      <c r="O1320" s="25"/>
    </row>
    <row r="1321" spans="7:15">
      <c r="G1321" s="25"/>
      <c r="O1321" s="25"/>
    </row>
    <row r="1322" spans="7:15">
      <c r="G1322" s="25"/>
      <c r="O1322" s="25"/>
    </row>
    <row r="1323" spans="7:15">
      <c r="G1323" s="25"/>
      <c r="O1323" s="25"/>
    </row>
    <row r="1324" spans="7:15">
      <c r="G1324" s="25"/>
      <c r="O1324" s="25"/>
    </row>
    <row r="1325" spans="7:15">
      <c r="G1325" s="25"/>
      <c r="O1325" s="25"/>
    </row>
    <row r="1326" spans="7:15">
      <c r="G1326" s="25"/>
      <c r="O1326" s="25"/>
    </row>
    <row r="1327" spans="7:15">
      <c r="G1327" s="25"/>
      <c r="O1327" s="25"/>
    </row>
    <row r="1328" spans="7:15">
      <c r="G1328" s="25"/>
      <c r="O1328" s="25"/>
    </row>
    <row r="1329" spans="7:15">
      <c r="G1329" s="25"/>
      <c r="O1329" s="25"/>
    </row>
    <row r="1330" spans="7:15">
      <c r="G1330" s="25"/>
      <c r="O1330" s="25"/>
    </row>
    <row r="1331" spans="7:15">
      <c r="G1331" s="25"/>
      <c r="O1331" s="25"/>
    </row>
    <row r="1332" spans="7:15">
      <c r="G1332" s="25"/>
      <c r="O1332" s="25"/>
    </row>
    <row r="1333" spans="7:15">
      <c r="G1333" s="25"/>
      <c r="O1333" s="25"/>
    </row>
    <row r="1334" spans="7:15">
      <c r="G1334" s="25"/>
      <c r="O1334" s="25"/>
    </row>
    <row r="1335" spans="7:15">
      <c r="G1335" s="25"/>
      <c r="O1335" s="25"/>
    </row>
    <row r="1336" spans="7:15">
      <c r="G1336" s="25"/>
      <c r="O1336" s="25"/>
    </row>
    <row r="1337" spans="7:15">
      <c r="G1337" s="25"/>
      <c r="O1337" s="25"/>
    </row>
    <row r="1338" spans="7:15">
      <c r="G1338" s="25"/>
      <c r="O1338" s="25"/>
    </row>
    <row r="1339" spans="7:15">
      <c r="G1339" s="25"/>
      <c r="O1339" s="25"/>
    </row>
    <row r="1340" spans="7:15">
      <c r="G1340" s="25"/>
      <c r="O1340" s="25"/>
    </row>
    <row r="1341" spans="7:15">
      <c r="G1341" s="25"/>
      <c r="O1341" s="25"/>
    </row>
    <row r="1342" spans="7:15">
      <c r="G1342" s="25"/>
      <c r="O1342" s="25"/>
    </row>
    <row r="1343" spans="7:15">
      <c r="G1343" s="25"/>
      <c r="O1343" s="25"/>
    </row>
    <row r="1344" spans="7:15">
      <c r="G1344" s="25"/>
      <c r="O1344" s="25"/>
    </row>
    <row r="1345" spans="7:15">
      <c r="G1345" s="25"/>
      <c r="O1345" s="25"/>
    </row>
    <row r="1346" spans="7:15">
      <c r="G1346" s="25"/>
      <c r="O1346" s="25"/>
    </row>
    <row r="1347" spans="7:15">
      <c r="G1347" s="25"/>
      <c r="O1347" s="25"/>
    </row>
    <row r="1348" spans="7:15">
      <c r="G1348" s="25"/>
      <c r="O1348" s="25"/>
    </row>
    <row r="1349" spans="7:15">
      <c r="G1349" s="25"/>
      <c r="O1349" s="25"/>
    </row>
    <row r="1350" spans="7:15">
      <c r="G1350" s="25"/>
      <c r="O1350" s="25"/>
    </row>
    <row r="1351" spans="7:15">
      <c r="G1351" s="25"/>
      <c r="O1351" s="25"/>
    </row>
    <row r="1352" spans="7:15">
      <c r="G1352" s="25"/>
      <c r="O1352" s="25"/>
    </row>
    <row r="1353" spans="7:15">
      <c r="G1353" s="25"/>
      <c r="O1353" s="25"/>
    </row>
    <row r="1354" spans="7:15">
      <c r="G1354" s="25"/>
      <c r="O1354" s="25"/>
    </row>
    <row r="1355" spans="7:15">
      <c r="G1355" s="25"/>
      <c r="O1355" s="25"/>
    </row>
    <row r="1356" spans="7:15">
      <c r="G1356" s="25"/>
      <c r="O1356" s="25"/>
    </row>
    <row r="1357" spans="7:15">
      <c r="G1357" s="25"/>
      <c r="O1357" s="25"/>
    </row>
    <row r="1358" spans="7:15">
      <c r="G1358" s="25"/>
      <c r="O1358" s="25"/>
    </row>
    <row r="1359" spans="7:15">
      <c r="G1359" s="25"/>
      <c r="O1359" s="25"/>
    </row>
    <row r="1360" spans="7:15">
      <c r="G1360" s="25"/>
      <c r="O1360" s="25"/>
    </row>
    <row r="1361" spans="7:15">
      <c r="G1361" s="25"/>
      <c r="O1361" s="25"/>
    </row>
    <row r="1362" spans="7:15">
      <c r="G1362" s="25"/>
      <c r="O1362" s="25"/>
    </row>
    <row r="1363" spans="7:15">
      <c r="G1363" s="25"/>
      <c r="O1363" s="25"/>
    </row>
    <row r="1364" spans="7:15">
      <c r="G1364" s="25"/>
      <c r="O1364" s="25"/>
    </row>
    <row r="1365" spans="7:15">
      <c r="G1365" s="25"/>
      <c r="O1365" s="25"/>
    </row>
    <row r="1366" spans="7:15">
      <c r="G1366" s="25"/>
      <c r="O1366" s="25"/>
    </row>
    <row r="1367" spans="7:15">
      <c r="G1367" s="25"/>
      <c r="O1367" s="25"/>
    </row>
    <row r="1368" spans="7:15">
      <c r="G1368" s="25"/>
      <c r="O1368" s="25"/>
    </row>
    <row r="1369" spans="7:15">
      <c r="G1369" s="25"/>
      <c r="O1369" s="25"/>
    </row>
    <row r="1370" spans="7:15">
      <c r="G1370" s="25"/>
      <c r="O1370" s="25"/>
    </row>
    <row r="1371" spans="7:15">
      <c r="G1371" s="25"/>
      <c r="O1371" s="25"/>
    </row>
    <row r="1372" spans="7:15">
      <c r="G1372" s="25"/>
      <c r="O1372" s="25"/>
    </row>
    <row r="1373" spans="7:15">
      <c r="G1373" s="25"/>
      <c r="O1373" s="25"/>
    </row>
    <row r="1374" spans="7:15">
      <c r="G1374" s="25"/>
      <c r="O1374" s="25"/>
    </row>
    <row r="1375" spans="7:15">
      <c r="G1375" s="25"/>
      <c r="O1375" s="25"/>
    </row>
    <row r="1376" spans="7:15">
      <c r="G1376" s="25"/>
      <c r="O1376" s="25"/>
    </row>
    <row r="1377" spans="7:15">
      <c r="G1377" s="25"/>
      <c r="O1377" s="25"/>
    </row>
    <row r="1378" spans="7:15">
      <c r="G1378" s="25"/>
      <c r="O1378" s="25"/>
    </row>
    <row r="1379" spans="7:15">
      <c r="G1379" s="25"/>
      <c r="O1379" s="25"/>
    </row>
    <row r="1380" spans="7:15">
      <c r="G1380" s="25"/>
      <c r="O1380" s="25"/>
    </row>
    <row r="1381" spans="7:15">
      <c r="G1381" s="25"/>
      <c r="O1381" s="25"/>
    </row>
    <row r="1382" spans="7:15">
      <c r="G1382" s="25"/>
      <c r="O1382" s="25"/>
    </row>
    <row r="1383" spans="7:15">
      <c r="G1383" s="25"/>
      <c r="O1383" s="25"/>
    </row>
    <row r="1384" spans="7:15">
      <c r="G1384" s="25"/>
      <c r="O1384" s="25"/>
    </row>
    <row r="1385" spans="7:15">
      <c r="G1385" s="25"/>
      <c r="O1385" s="25"/>
    </row>
    <row r="1386" spans="7:15">
      <c r="G1386" s="25"/>
      <c r="O1386" s="25"/>
    </row>
    <row r="1387" spans="7:15">
      <c r="G1387" s="25"/>
      <c r="O1387" s="25"/>
    </row>
    <row r="1388" spans="7:15">
      <c r="G1388" s="25"/>
      <c r="O1388" s="25"/>
    </row>
    <row r="1389" spans="7:15">
      <c r="G1389" s="25"/>
      <c r="O1389" s="25"/>
    </row>
    <row r="1390" spans="7:15">
      <c r="G1390" s="25"/>
      <c r="O1390" s="25"/>
    </row>
    <row r="1391" spans="7:15">
      <c r="G1391" s="25"/>
      <c r="O1391" s="25"/>
    </row>
    <row r="1392" spans="7:15">
      <c r="G1392" s="25"/>
      <c r="O1392" s="25"/>
    </row>
    <row r="1393" spans="7:15">
      <c r="G1393" s="25"/>
      <c r="O1393" s="25"/>
    </row>
    <row r="1394" spans="7:15">
      <c r="G1394" s="25"/>
      <c r="O1394" s="25"/>
    </row>
    <row r="1395" spans="7:15">
      <c r="G1395" s="25"/>
      <c r="O1395" s="25"/>
    </row>
    <row r="1396" spans="7:15">
      <c r="G1396" s="25"/>
      <c r="O1396" s="25"/>
    </row>
    <row r="1397" spans="7:15">
      <c r="G1397" s="25"/>
      <c r="O1397" s="25"/>
    </row>
    <row r="1398" spans="7:15">
      <c r="G1398" s="25"/>
      <c r="O1398" s="25"/>
    </row>
    <row r="1399" spans="7:15">
      <c r="G1399" s="25"/>
      <c r="O1399" s="25"/>
    </row>
    <row r="1400" spans="7:15">
      <c r="G1400" s="25"/>
      <c r="O1400" s="25"/>
    </row>
    <row r="1401" spans="7:15">
      <c r="G1401" s="25"/>
      <c r="O1401" s="25"/>
    </row>
    <row r="1402" spans="7:15">
      <c r="G1402" s="25"/>
      <c r="O1402" s="25"/>
    </row>
    <row r="1403" spans="7:15">
      <c r="G1403" s="25"/>
      <c r="O1403" s="25"/>
    </row>
    <row r="1404" spans="7:15">
      <c r="G1404" s="25"/>
      <c r="O1404" s="25"/>
    </row>
    <row r="1405" spans="7:15">
      <c r="G1405" s="25"/>
      <c r="O1405" s="25"/>
    </row>
    <row r="1406" spans="7:15">
      <c r="G1406" s="25"/>
      <c r="O1406" s="25"/>
    </row>
    <row r="1407" spans="7:15">
      <c r="G1407" s="25"/>
      <c r="O1407" s="25"/>
    </row>
    <row r="1408" spans="7:15">
      <c r="G1408" s="25"/>
      <c r="O1408" s="25"/>
    </row>
    <row r="1409" spans="7:15">
      <c r="G1409" s="25"/>
      <c r="O1409" s="25"/>
    </row>
    <row r="1410" spans="7:15">
      <c r="G1410" s="25"/>
      <c r="O1410" s="25"/>
    </row>
    <row r="1411" spans="7:15">
      <c r="G1411" s="25"/>
      <c r="O1411" s="25"/>
    </row>
    <row r="1412" spans="7:15">
      <c r="G1412" s="25"/>
      <c r="O1412" s="25"/>
    </row>
    <row r="1413" spans="7:15">
      <c r="G1413" s="25"/>
      <c r="O1413" s="25"/>
    </row>
    <row r="1414" spans="7:15">
      <c r="G1414" s="25"/>
      <c r="O1414" s="25"/>
    </row>
    <row r="1415" spans="7:15">
      <c r="G1415" s="25"/>
      <c r="O1415" s="25"/>
    </row>
    <row r="1416" spans="7:15">
      <c r="G1416" s="25"/>
      <c r="O1416" s="25"/>
    </row>
    <row r="1417" spans="7:15">
      <c r="G1417" s="25"/>
      <c r="O1417" s="25"/>
    </row>
    <row r="1418" spans="7:15">
      <c r="G1418" s="25"/>
      <c r="O1418" s="25"/>
    </row>
    <row r="1419" spans="7:15">
      <c r="G1419" s="25"/>
      <c r="O1419" s="25"/>
    </row>
    <row r="1420" spans="7:15">
      <c r="G1420" s="25"/>
      <c r="O1420" s="25"/>
    </row>
    <row r="1421" spans="7:15">
      <c r="G1421" s="25"/>
      <c r="O1421" s="25"/>
    </row>
    <row r="1422" spans="7:15">
      <c r="G1422" s="25"/>
      <c r="O1422" s="25"/>
    </row>
    <row r="1423" spans="7:15">
      <c r="G1423" s="25"/>
      <c r="O1423" s="25"/>
    </row>
    <row r="1424" spans="7:15">
      <c r="G1424" s="25"/>
      <c r="O1424" s="25"/>
    </row>
    <row r="1425" spans="7:15">
      <c r="G1425" s="25"/>
      <c r="O1425" s="25"/>
    </row>
    <row r="1426" spans="7:15">
      <c r="G1426" s="25"/>
      <c r="O1426" s="25"/>
    </row>
    <row r="1427" spans="7:15">
      <c r="G1427" s="25"/>
      <c r="O1427" s="25"/>
    </row>
    <row r="1428" spans="7:15">
      <c r="G1428" s="25"/>
      <c r="O1428" s="25"/>
    </row>
    <row r="1429" spans="7:15">
      <c r="G1429" s="25"/>
      <c r="O1429" s="25"/>
    </row>
    <row r="1430" spans="7:15">
      <c r="G1430" s="25"/>
      <c r="O1430" s="25"/>
    </row>
    <row r="1431" spans="7:15">
      <c r="G1431" s="25"/>
      <c r="O1431" s="25"/>
    </row>
    <row r="1432" spans="7:15">
      <c r="G1432" s="25"/>
      <c r="O1432" s="25"/>
    </row>
    <row r="1433" spans="7:15">
      <c r="G1433" s="25"/>
      <c r="O1433" s="25"/>
    </row>
    <row r="1434" spans="7:15">
      <c r="G1434" s="25"/>
      <c r="O1434" s="25"/>
    </row>
    <row r="1435" spans="7:15">
      <c r="G1435" s="25"/>
      <c r="O1435" s="25"/>
    </row>
    <row r="1436" spans="7:15">
      <c r="G1436" s="25"/>
      <c r="O1436" s="25"/>
    </row>
    <row r="1437" spans="7:15">
      <c r="G1437" s="25"/>
      <c r="O1437" s="25"/>
    </row>
    <row r="1438" spans="7:15">
      <c r="G1438" s="25"/>
      <c r="O1438" s="25"/>
    </row>
    <row r="1439" spans="7:15">
      <c r="G1439" s="25"/>
      <c r="O1439" s="25"/>
    </row>
    <row r="1440" spans="7:15">
      <c r="G1440" s="25"/>
      <c r="O1440" s="25"/>
    </row>
    <row r="1441" spans="7:15">
      <c r="G1441" s="25"/>
      <c r="O1441" s="25"/>
    </row>
    <row r="1442" spans="7:15">
      <c r="G1442" s="25"/>
      <c r="O1442" s="25"/>
    </row>
    <row r="1443" spans="7:15">
      <c r="G1443" s="25"/>
      <c r="O1443" s="25"/>
    </row>
    <row r="1444" spans="7:15">
      <c r="G1444" s="25"/>
      <c r="O1444" s="25"/>
    </row>
    <row r="1445" spans="7:15">
      <c r="G1445" s="25"/>
      <c r="O1445" s="25"/>
    </row>
    <row r="1446" spans="7:15">
      <c r="G1446" s="25"/>
      <c r="O1446" s="25"/>
    </row>
    <row r="1447" spans="7:15">
      <c r="G1447" s="25"/>
      <c r="O1447" s="25"/>
    </row>
    <row r="1448" spans="7:15">
      <c r="G1448" s="25"/>
      <c r="O1448" s="25"/>
    </row>
    <row r="1449" spans="7:15">
      <c r="G1449" s="25"/>
      <c r="O1449" s="25"/>
    </row>
    <row r="1450" spans="7:15">
      <c r="G1450" s="25"/>
      <c r="O1450" s="25"/>
    </row>
    <row r="1451" spans="7:15">
      <c r="G1451" s="25"/>
      <c r="O1451" s="25"/>
    </row>
    <row r="1452" spans="7:15">
      <c r="G1452" s="25"/>
      <c r="O1452" s="25"/>
    </row>
    <row r="1453" spans="7:15">
      <c r="G1453" s="25"/>
      <c r="O1453" s="25"/>
    </row>
    <row r="1454" spans="7:15">
      <c r="G1454" s="25"/>
      <c r="O1454" s="25"/>
    </row>
    <row r="1455" spans="7:15">
      <c r="G1455" s="25"/>
      <c r="O1455" s="25"/>
    </row>
    <row r="1456" spans="7:15">
      <c r="G1456" s="25"/>
      <c r="O1456" s="25"/>
    </row>
    <row r="1457" spans="7:15">
      <c r="G1457" s="25"/>
      <c r="O1457" s="25"/>
    </row>
    <row r="1458" spans="7:15">
      <c r="G1458" s="25"/>
      <c r="O1458" s="25"/>
    </row>
    <row r="1459" spans="7:15">
      <c r="G1459" s="25"/>
      <c r="O1459" s="25"/>
    </row>
    <row r="1460" spans="7:15">
      <c r="G1460" s="25"/>
      <c r="O1460" s="25"/>
    </row>
    <row r="1461" spans="7:15">
      <c r="G1461" s="25"/>
      <c r="O1461" s="25"/>
    </row>
    <row r="1462" spans="7:15">
      <c r="G1462" s="25"/>
      <c r="O1462" s="25"/>
    </row>
    <row r="1463" spans="7:15">
      <c r="G1463" s="25"/>
      <c r="O1463" s="25"/>
    </row>
    <row r="1464" spans="7:15">
      <c r="G1464" s="25"/>
      <c r="O1464" s="25"/>
    </row>
    <row r="1465" spans="7:15">
      <c r="G1465" s="25"/>
      <c r="O1465" s="25"/>
    </row>
    <row r="1466" spans="7:15">
      <c r="G1466" s="25"/>
      <c r="O1466" s="25"/>
    </row>
    <row r="1467" spans="7:15">
      <c r="G1467" s="25"/>
      <c r="O1467" s="25"/>
    </row>
    <row r="1468" spans="7:15">
      <c r="G1468" s="25"/>
      <c r="O1468" s="25"/>
    </row>
    <row r="1469" spans="7:15">
      <c r="G1469" s="25"/>
      <c r="O1469" s="25"/>
    </row>
    <row r="1470" spans="7:15">
      <c r="G1470" s="25"/>
      <c r="O1470" s="25"/>
    </row>
    <row r="1471" spans="7:15">
      <c r="G1471" s="25"/>
      <c r="O1471" s="25"/>
    </row>
    <row r="1472" spans="7:15">
      <c r="G1472" s="25"/>
      <c r="O1472" s="25"/>
    </row>
    <row r="1473" spans="7:15">
      <c r="G1473" s="25"/>
      <c r="O1473" s="25"/>
    </row>
    <row r="1474" spans="7:15">
      <c r="G1474" s="25"/>
      <c r="O1474" s="25"/>
    </row>
    <row r="1475" spans="7:15">
      <c r="G1475" s="25"/>
      <c r="O1475" s="25"/>
    </row>
    <row r="1476" spans="7:15">
      <c r="G1476" s="25"/>
      <c r="O1476" s="25"/>
    </row>
    <row r="1477" spans="7:15">
      <c r="G1477" s="25"/>
      <c r="O1477" s="25"/>
    </row>
    <row r="1478" spans="7:15">
      <c r="G1478" s="25"/>
      <c r="O1478" s="25"/>
    </row>
    <row r="1479" spans="7:15">
      <c r="G1479" s="25"/>
      <c r="O1479" s="25"/>
    </row>
    <row r="1480" spans="7:15">
      <c r="G1480" s="25"/>
      <c r="O1480" s="25"/>
    </row>
    <row r="1481" spans="7:15">
      <c r="G1481" s="25"/>
      <c r="O1481" s="25"/>
    </row>
    <row r="1482" spans="7:15">
      <c r="G1482" s="25"/>
      <c r="O1482" s="25"/>
    </row>
    <row r="1483" spans="7:15">
      <c r="G1483" s="25"/>
      <c r="O1483" s="25"/>
    </row>
    <row r="1484" spans="7:15">
      <c r="G1484" s="25"/>
      <c r="O1484" s="25"/>
    </row>
    <row r="1485" spans="7:15">
      <c r="G1485" s="25"/>
      <c r="O1485" s="25"/>
    </row>
    <row r="1486" spans="7:15">
      <c r="G1486" s="25"/>
      <c r="O1486" s="25"/>
    </row>
    <row r="1487" spans="7:15">
      <c r="G1487" s="25"/>
      <c r="O1487" s="25"/>
    </row>
    <row r="1488" spans="7:15">
      <c r="G1488" s="25"/>
      <c r="O1488" s="25"/>
    </row>
    <row r="1489" spans="7:15">
      <c r="G1489" s="25"/>
      <c r="O1489" s="25"/>
    </row>
    <row r="1490" spans="7:15">
      <c r="G1490" s="25"/>
      <c r="O1490" s="25"/>
    </row>
    <row r="1491" spans="7:15">
      <c r="G1491" s="25"/>
      <c r="O1491" s="25"/>
    </row>
    <row r="1492" spans="7:15">
      <c r="G1492" s="25"/>
      <c r="O1492" s="25"/>
    </row>
    <row r="1493" spans="7:15">
      <c r="G1493" s="25"/>
      <c r="O1493" s="25"/>
    </row>
    <row r="1494" spans="7:15">
      <c r="G1494" s="25"/>
      <c r="O1494" s="25"/>
    </row>
    <row r="1495" spans="7:15">
      <c r="G1495" s="25"/>
      <c r="O1495" s="25"/>
    </row>
    <row r="1496" spans="7:15">
      <c r="G1496" s="25"/>
      <c r="O1496" s="25"/>
    </row>
    <row r="1497" spans="7:15">
      <c r="G1497" s="25"/>
      <c r="O1497" s="25"/>
    </row>
    <row r="1498" spans="7:15">
      <c r="G1498" s="25"/>
      <c r="O1498" s="25"/>
    </row>
    <row r="1499" spans="7:15">
      <c r="G1499" s="25"/>
      <c r="O1499" s="25"/>
    </row>
    <row r="1500" spans="7:15">
      <c r="G1500" s="25"/>
      <c r="O1500" s="25"/>
    </row>
    <row r="1501" spans="7:15">
      <c r="G1501" s="25"/>
      <c r="O1501" s="25"/>
    </row>
    <row r="1502" spans="7:15">
      <c r="G1502" s="25"/>
      <c r="O1502" s="25"/>
    </row>
    <row r="1503" spans="7:15">
      <c r="G1503" s="25"/>
      <c r="O1503" s="25"/>
    </row>
    <row r="1504" spans="7:15">
      <c r="G1504" s="25"/>
      <c r="O1504" s="25"/>
    </row>
    <row r="1505" spans="7:15">
      <c r="G1505" s="25"/>
      <c r="O1505" s="25"/>
    </row>
    <row r="1506" spans="7:15">
      <c r="G1506" s="25"/>
      <c r="O1506" s="25"/>
    </row>
    <row r="1507" spans="7:15">
      <c r="G1507" s="25"/>
      <c r="O1507" s="25"/>
    </row>
    <row r="1508" spans="7:15">
      <c r="G1508" s="25"/>
      <c r="O1508" s="25"/>
    </row>
    <row r="1509" spans="7:15">
      <c r="G1509" s="25"/>
      <c r="O1509" s="25"/>
    </row>
    <row r="1510" spans="7:15">
      <c r="G1510" s="25"/>
      <c r="O1510" s="25"/>
    </row>
    <row r="1511" spans="7:15">
      <c r="G1511" s="25"/>
      <c r="O1511" s="25"/>
    </row>
    <row r="1512" spans="7:15">
      <c r="G1512" s="25"/>
      <c r="O1512" s="25"/>
    </row>
    <row r="1513" spans="7:15">
      <c r="G1513" s="25"/>
      <c r="O1513" s="25"/>
    </row>
    <row r="1514" spans="7:15">
      <c r="G1514" s="25"/>
      <c r="O1514" s="25"/>
    </row>
    <row r="1515" spans="7:15">
      <c r="G1515" s="25"/>
      <c r="O1515" s="25"/>
    </row>
    <row r="1516" spans="7:15">
      <c r="G1516" s="25"/>
      <c r="O1516" s="25"/>
    </row>
    <row r="1517" spans="7:15">
      <c r="G1517" s="25"/>
      <c r="O1517" s="25"/>
    </row>
    <row r="1518" spans="7:15">
      <c r="G1518" s="25"/>
      <c r="O1518" s="25"/>
    </row>
    <row r="1519" spans="7:15">
      <c r="G1519" s="25"/>
      <c r="O1519" s="25"/>
    </row>
    <row r="1520" spans="7:15">
      <c r="G1520" s="25"/>
      <c r="O1520" s="25"/>
    </row>
    <row r="1521" spans="7:15">
      <c r="G1521" s="25"/>
      <c r="O1521" s="25"/>
    </row>
    <row r="1522" spans="7:15">
      <c r="G1522" s="25"/>
      <c r="O1522" s="25"/>
    </row>
    <row r="1523" spans="7:15">
      <c r="G1523" s="25"/>
      <c r="O1523" s="25"/>
    </row>
    <row r="1524" spans="7:15">
      <c r="G1524" s="25"/>
      <c r="O1524" s="25"/>
    </row>
  </sheetData>
  <sortState xmlns:xlrd2="http://schemas.microsoft.com/office/spreadsheetml/2017/richdata2" ref="Q181:Q293">
    <sortCondition ref="Q18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Herrick</cp:lastModifiedBy>
  <dcterms:created xsi:type="dcterms:W3CDTF">2015-06-05T18:17:20Z</dcterms:created>
  <dcterms:modified xsi:type="dcterms:W3CDTF">2026-03-01T10:26:35Z</dcterms:modified>
</cp:coreProperties>
</file>