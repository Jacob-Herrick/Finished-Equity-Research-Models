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Technology\"/>
    </mc:Choice>
  </mc:AlternateContent>
  <xr:revisionPtr revIDLastSave="0" documentId="13_ncr:1_{BCB2330B-81CB-4E73-8087-F949AFD192F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F30" i="2"/>
  <c r="F28" i="2"/>
  <c r="F26" i="2"/>
  <c r="F23" i="2"/>
  <c r="F22" i="2"/>
  <c r="F21" i="2"/>
  <c r="F20" i="2"/>
  <c r="F19" i="2"/>
  <c r="F18" i="2"/>
  <c r="F16" i="2"/>
  <c r="S16" i="2" s="1"/>
  <c r="F4" i="2"/>
  <c r="F5" i="2"/>
  <c r="S5" i="2" s="1"/>
  <c r="F62" i="2"/>
  <c r="H44" i="2"/>
  <c r="E44" i="2"/>
  <c r="D44" i="2"/>
  <c r="H43" i="2"/>
  <c r="E43" i="2"/>
  <c r="D43" i="2"/>
  <c r="H42" i="2"/>
  <c r="E42" i="2"/>
  <c r="D42" i="2"/>
  <c r="H41" i="2"/>
  <c r="E41" i="2"/>
  <c r="D41" i="2"/>
  <c r="H40" i="2"/>
  <c r="E40" i="2"/>
  <c r="D40" i="2"/>
  <c r="H39" i="2"/>
  <c r="E39" i="2"/>
  <c r="D39" i="2"/>
  <c r="H38" i="2"/>
  <c r="E38" i="2"/>
  <c r="D38" i="2"/>
  <c r="H37" i="2"/>
  <c r="E37" i="2"/>
  <c r="D37" i="2"/>
  <c r="H36" i="2"/>
  <c r="E36" i="2"/>
  <c r="D36" i="2"/>
  <c r="H35" i="2"/>
  <c r="E35" i="2"/>
  <c r="D35" i="2"/>
  <c r="I35" i="2"/>
  <c r="I36" i="2"/>
  <c r="I37" i="2"/>
  <c r="I38" i="2"/>
  <c r="I40" i="2"/>
  <c r="I39" i="2"/>
  <c r="I41" i="2"/>
  <c r="I42" i="2"/>
  <c r="I43" i="2"/>
  <c r="I44" i="2"/>
  <c r="D33" i="2"/>
  <c r="H31" i="2"/>
  <c r="D31" i="2"/>
  <c r="C24" i="2"/>
  <c r="D24" i="2"/>
  <c r="E24" i="2"/>
  <c r="G24" i="2"/>
  <c r="I24" i="2"/>
  <c r="H24" i="2"/>
  <c r="H78" i="2"/>
  <c r="H80" i="2" s="1"/>
  <c r="G78" i="2"/>
  <c r="G80" i="2" s="1"/>
  <c r="F78" i="2"/>
  <c r="F80" i="2" s="1"/>
  <c r="E78" i="2"/>
  <c r="E80" i="2" s="1"/>
  <c r="D78" i="2"/>
  <c r="D80" i="2" s="1"/>
  <c r="C78" i="2"/>
  <c r="C80" i="2" s="1"/>
  <c r="I78" i="2"/>
  <c r="I80" i="2" s="1"/>
  <c r="I63" i="2"/>
  <c r="I65" i="2" s="1"/>
  <c r="H63" i="2"/>
  <c r="H65" i="2" s="1"/>
  <c r="G63" i="2"/>
  <c r="G65" i="2" s="1"/>
  <c r="F63" i="2"/>
  <c r="F65" i="2" s="1"/>
  <c r="I56" i="2"/>
  <c r="H56" i="2"/>
  <c r="G56" i="2"/>
  <c r="F56" i="2"/>
  <c r="I9" i="2"/>
  <c r="H9" i="2"/>
  <c r="G9" i="2"/>
  <c r="H8" i="2"/>
  <c r="G8" i="2"/>
  <c r="I8" i="2"/>
  <c r="H6" i="2"/>
  <c r="H15" i="2" s="1"/>
  <c r="H17" i="2" s="1"/>
  <c r="H25" i="2" s="1"/>
  <c r="G6" i="2"/>
  <c r="G15" i="2" s="1"/>
  <c r="E6" i="2"/>
  <c r="D6" i="2"/>
  <c r="D15" i="2" s="1"/>
  <c r="D17" i="2" s="1"/>
  <c r="D25" i="2" s="1"/>
  <c r="D27" i="2" s="1"/>
  <c r="D29" i="2" s="1"/>
  <c r="C6" i="2"/>
  <c r="I6" i="2"/>
  <c r="C4" i="1"/>
  <c r="C6" i="1"/>
  <c r="S215" i="3"/>
  <c r="AC52" i="2" s="1"/>
  <c r="G187" i="3"/>
  <c r="R253" i="3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51" i="3"/>
  <c r="R250" i="3" s="1"/>
  <c r="R249" i="3" s="1"/>
  <c r="R248" i="3" s="1"/>
  <c r="R247" i="3" s="1"/>
  <c r="R246" i="3" s="1"/>
  <c r="R245" i="3" s="1"/>
  <c r="R244" i="3" s="1"/>
  <c r="R243" i="3" s="1"/>
  <c r="R242" i="3" s="1"/>
  <c r="R241" i="3" s="1"/>
  <c r="R240" i="3" s="1"/>
  <c r="R239" i="3" s="1"/>
  <c r="R238" i="3" s="1"/>
  <c r="R237" i="3" s="1"/>
  <c r="R236" i="3" s="1"/>
  <c r="R235" i="3" s="1"/>
  <c r="R234" i="3" s="1"/>
  <c r="R233" i="3" s="1"/>
  <c r="R232" i="3" s="1"/>
  <c r="R231" i="3" s="1"/>
  <c r="R230" i="3" s="1"/>
  <c r="R229" i="3" s="1"/>
  <c r="R228" i="3" s="1"/>
  <c r="R227" i="3" s="1"/>
  <c r="R226" i="3" s="1"/>
  <c r="R225" i="3" s="1"/>
  <c r="R224" i="3" s="1"/>
  <c r="R223" i="3" s="1"/>
  <c r="R222" i="3" s="1"/>
  <c r="R221" i="3" s="1"/>
  <c r="AC58" i="2"/>
  <c r="AC56" i="2"/>
  <c r="AC51" i="2"/>
  <c r="U50" i="2"/>
  <c r="W50" i="2"/>
  <c r="Z50" i="2" s="1"/>
  <c r="S46" i="2"/>
  <c r="X50" i="2" s="1"/>
  <c r="T3" i="2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O187" i="3"/>
  <c r="S213" i="3" s="1"/>
  <c r="S214" i="3" s="1"/>
  <c r="C5" i="1"/>
  <c r="G17" i="2" l="1"/>
  <c r="G40" i="2"/>
  <c r="G36" i="2"/>
  <c r="G38" i="2"/>
  <c r="G39" i="2"/>
  <c r="G41" i="2"/>
  <c r="G37" i="2"/>
  <c r="H27" i="2"/>
  <c r="H29" i="2" s="1"/>
  <c r="F6" i="2"/>
  <c r="S4" i="2"/>
  <c r="T4" i="2" s="1"/>
  <c r="U4" i="2" s="1"/>
  <c r="V4" i="2" s="1"/>
  <c r="W4" i="2" s="1"/>
  <c r="X4" i="2" s="1"/>
  <c r="Y4" i="2" s="1"/>
  <c r="Z4" i="2" s="1"/>
  <c r="AA4" i="2" s="1"/>
  <c r="AB4" i="2" s="1"/>
  <c r="AC4" i="2" s="1"/>
  <c r="D75" i="2"/>
  <c r="H13" i="2"/>
  <c r="H12" i="2"/>
  <c r="G13" i="2"/>
  <c r="G12" i="2"/>
  <c r="E15" i="2"/>
  <c r="E17" i="2" s="1"/>
  <c r="E25" i="2" s="1"/>
  <c r="E27" i="2" s="1"/>
  <c r="E29" i="2" s="1"/>
  <c r="E13" i="2"/>
  <c r="E12" i="2"/>
  <c r="D13" i="2"/>
  <c r="D12" i="2"/>
  <c r="C15" i="2"/>
  <c r="C13" i="2"/>
  <c r="C12" i="2"/>
  <c r="I12" i="2"/>
  <c r="I13" i="2"/>
  <c r="G10" i="2"/>
  <c r="H10" i="2"/>
  <c r="I15" i="2"/>
  <c r="I17" i="2" s="1"/>
  <c r="I25" i="2" s="1"/>
  <c r="I27" i="2" s="1"/>
  <c r="I29" i="2" s="1"/>
  <c r="I10" i="2"/>
  <c r="U51" i="2"/>
  <c r="T5" i="2"/>
  <c r="U5" i="2" s="1"/>
  <c r="V5" i="2" s="1"/>
  <c r="W5" i="2" s="1"/>
  <c r="X5" i="2" s="1"/>
  <c r="Y5" i="2" s="1"/>
  <c r="Z5" i="2" s="1"/>
  <c r="AA5" i="2" s="1"/>
  <c r="AB5" i="2" s="1"/>
  <c r="AC5" i="2" s="1"/>
  <c r="C8" i="1"/>
  <c r="AC53" i="2"/>
  <c r="AC55" i="2" s="1"/>
  <c r="AC57" i="2" s="1"/>
  <c r="AC59" i="2" s="1"/>
  <c r="AD59" i="2" s="1"/>
  <c r="S209" i="3"/>
  <c r="S210" i="3"/>
  <c r="S211" i="3"/>
  <c r="AA232" i="3" s="1"/>
  <c r="S212" i="3"/>
  <c r="G35" i="2" l="1"/>
  <c r="G25" i="2"/>
  <c r="S6" i="2"/>
  <c r="F15" i="2"/>
  <c r="S15" i="2" s="1"/>
  <c r="AC6" i="2"/>
  <c r="C41" i="2"/>
  <c r="C38" i="2"/>
  <c r="C36" i="2"/>
  <c r="C39" i="2"/>
  <c r="C37" i="2"/>
  <c r="C40" i="2"/>
  <c r="F17" i="2"/>
  <c r="F41" i="2"/>
  <c r="F40" i="2"/>
  <c r="F39" i="2"/>
  <c r="F38" i="2"/>
  <c r="F37" i="2"/>
  <c r="F36" i="2"/>
  <c r="E33" i="2"/>
  <c r="E31" i="2"/>
  <c r="I33" i="2"/>
  <c r="I31" i="2"/>
  <c r="F13" i="2"/>
  <c r="F12" i="2"/>
  <c r="H33" i="2"/>
  <c r="H75" i="2"/>
  <c r="E75" i="2"/>
  <c r="I75" i="2"/>
  <c r="C17" i="2"/>
  <c r="AB60" i="2" a="1"/>
  <c r="AB60" i="2" s="1"/>
  <c r="Y6" i="2"/>
  <c r="Z6" i="2"/>
  <c r="AB6" i="2"/>
  <c r="T6" i="2"/>
  <c r="V6" i="2"/>
  <c r="AA6" i="2"/>
  <c r="W6" i="2"/>
  <c r="U6" i="2"/>
  <c r="X6" i="2"/>
  <c r="AA222" i="3"/>
  <c r="AA221" i="3"/>
  <c r="AA224" i="3"/>
  <c r="AA231" i="3"/>
  <c r="AA223" i="3"/>
  <c r="AA234" i="3"/>
  <c r="AA230" i="3"/>
  <c r="AA226" i="3"/>
  <c r="AA229" i="3"/>
  <c r="AA233" i="3"/>
  <c r="AA228" i="3"/>
  <c r="AA225" i="3"/>
  <c r="AA227" i="3"/>
  <c r="G27" i="2" l="1"/>
  <c r="G42" i="2"/>
  <c r="T10" i="2"/>
  <c r="S12" i="2"/>
  <c r="S13" i="2"/>
  <c r="F35" i="2"/>
  <c r="F25" i="2"/>
  <c r="C25" i="2"/>
  <c r="C35" i="2"/>
  <c r="W10" i="2"/>
  <c r="AA10" i="2"/>
  <c r="U10" i="2"/>
  <c r="Z10" i="2"/>
  <c r="Y10" i="2"/>
  <c r="V10" i="2"/>
  <c r="X10" i="2"/>
  <c r="AB10" i="2"/>
  <c r="AC10" i="2"/>
  <c r="G43" i="2" l="1"/>
  <c r="G29" i="2"/>
  <c r="F27" i="2"/>
  <c r="F42" i="2"/>
  <c r="G31" i="2"/>
  <c r="G44" i="2" s="1"/>
  <c r="C42" i="2"/>
  <c r="C27" i="2"/>
  <c r="F43" i="2" l="1"/>
  <c r="F29" i="2"/>
  <c r="G75" i="2"/>
  <c r="G33" i="2"/>
  <c r="C43" i="2"/>
  <c r="C29" i="2"/>
  <c r="C75" i="2" s="1"/>
  <c r="F75" i="2" l="1"/>
  <c r="F33" i="2"/>
  <c r="F31" i="2"/>
  <c r="F44" i="2" s="1"/>
  <c r="C33" i="2"/>
  <c r="C31" i="2"/>
  <c r="C4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<sst xmlns="http://schemas.openxmlformats.org/spreadsheetml/2006/main" count="237" uniqueCount="197">
  <si>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</si>
  <si>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</si>
  <si>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</si>
  <si>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</si>
  <si>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</si>
  <si>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</si>
  <si>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</si>
  <si>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</si>
  <si>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</si>
  <si>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</si>
  <si>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</si>
  <si>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</si>
  <si>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</si>
  <si>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</si>
  <si>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[Godel Snapshot]</t>
  </si>
  <si>
    <t>Revenue Breakdown by Segment (Build graph for this section if applicable…. See example below)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</si>
  <si>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</si>
  <si>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</si>
  <si>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</si>
  <si>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</si>
  <si>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</si>
  <si>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</si>
  <si>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</si>
  <si>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</si>
  <si>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</si>
  <si>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</si>
  <si>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</si>
  <si>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# of Trading Days? (From: </t>
    </r>
    <r>
      <rPr>
        <i/>
        <sz val="11"/>
        <color theme="1"/>
        <rFont val="Calibre"/>
      </rPr>
      <t>date the data snapshot was collected</t>
    </r>
    <r>
      <rPr>
        <sz val="11"/>
        <color theme="1"/>
        <rFont val="Calibre"/>
      </rPr>
      <t>)</t>
    </r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</si>
  <si>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</si>
  <si>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</si>
  <si>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</si>
  <si>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</si>
  <si>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</si>
  <si>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</si>
  <si>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</si>
  <si>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</si>
  <si>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</si>
  <si>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</si>
  <si>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</si>
  <si>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</si>
  <si>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</si>
  <si>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</si>
  <si>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</si>
  <si>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</si>
  <si>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</si>
  <si>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</si>
  <si>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</si>
  <si>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</si>
  <si>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</si>
  <si>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</si>
  <si>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</si>
  <si>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</si>
  <si>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</si>
  <si>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</si>
  <si>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</si>
  <si>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</si>
  <si>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</si>
  <si>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</si>
  <si>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[Use for Graphing]</t>
  </si>
  <si>
    <t>Quarterly</t>
  </si>
  <si>
    <t>Revenues</t>
  </si>
  <si>
    <t>Ttl Revenues</t>
  </si>
  <si>
    <t>COGS</t>
  </si>
  <si>
    <t>GP</t>
  </si>
  <si>
    <t>Gross Profit Margin</t>
  </si>
  <si>
    <t>Operating Profit Margin</t>
  </si>
  <si>
    <t>Effective Tax Rate</t>
  </si>
  <si>
    <t>Net Profit Margin</t>
  </si>
  <si>
    <t xml:space="preserve">Cash &amp; CEs </t>
  </si>
  <si>
    <t>Marketable Securities</t>
  </si>
  <si>
    <t>Current Ratio</t>
  </si>
  <si>
    <t>Quick Ratio</t>
  </si>
  <si>
    <t>Cash Ratio</t>
  </si>
  <si>
    <t>Ttl Asset Turnover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</si>
  <si>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</si>
  <si>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</si>
  <si>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</si>
  <si>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</si>
  <si>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</si>
  <si>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</si>
  <si>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</si>
  <si>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</si>
  <si>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</si>
  <si>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General Notes/Observations (Updated Q1'25)</t>
  </si>
  <si>
    <t>Financial Stmts. Notes/Observations (Updated Q1'25)</t>
  </si>
  <si>
    <t>Revenues:</t>
  </si>
  <si>
    <t>[Godel Snapshot of projected sales]</t>
  </si>
  <si>
    <t>Earnings Scope: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</si>
  <si>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</si>
  <si>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</si>
  <si>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</si>
  <si>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</si>
  <si>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</si>
  <si>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</si>
  <si>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</si>
  <si>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</si>
  <si>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</si>
  <si>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</si>
  <si>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</si>
  <si>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</si>
  <si>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</si>
  <si>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</si>
  <si>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https://www.sec.gov/edgar/browse/?CIK=310764&amp;owner=exclude</t>
  </si>
  <si>
    <t>https://abc.xyz/investor/</t>
  </si>
  <si>
    <t>Earnings Calls</t>
  </si>
  <si>
    <t>Equity Analysis</t>
  </si>
  <si>
    <t>https://stockanalysis.com/stocks/googl/</t>
  </si>
  <si>
    <t>https://app.godelterminal.com/</t>
  </si>
  <si>
    <t>Investors Relation Department</t>
  </si>
  <si>
    <t>Business Segments and Geographical Info:</t>
  </si>
  <si>
    <t>Employee Scope:</t>
  </si>
  <si>
    <t>Resources:</t>
  </si>
  <si>
    <t>Y/y Total Revenues, Net Income, FCF</t>
  </si>
  <si>
    <t>Q/q Total Revenues, Net Income, FCF</t>
  </si>
  <si>
    <t>Institutional Ownership Snapshot Q2'25</t>
  </si>
  <si>
    <t>https://www.investing.com/news/transcripts/earnings-call-transcript-teleflex-q2-2025-earnings-beat-boosts-stock-93CH-4163612</t>
  </si>
  <si>
    <t>Company IR Page</t>
  </si>
  <si>
    <t>Company Homepage</t>
  </si>
  <si>
    <t>MacroTrends</t>
  </si>
  <si>
    <t>ROIC, WACC</t>
  </si>
  <si>
    <t>https://www.gurufocus.com/term/wacc/TFX</t>
  </si>
  <si>
    <t>https://www.macrotrends.net/stocks/charts/TFX/teleflex/cash-flow-statement?freq=Q</t>
  </si>
  <si>
    <t>Ttl Revenue Growth Y/y</t>
  </si>
  <si>
    <t>Projected ROIC:</t>
  </si>
  <si>
    <t>Invested Capital</t>
  </si>
  <si>
    <t>AVG Invested Capital</t>
  </si>
  <si>
    <t>ROIC</t>
  </si>
  <si>
    <t>2023-2024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</si>
  <si>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</si>
  <si>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</si>
  <si>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</si>
  <si>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</si>
  <si>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</si>
  <si>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</si>
  <si>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Q2'25</t>
  </si>
  <si>
    <t>FV</t>
  </si>
  <si>
    <t>CP</t>
  </si>
  <si>
    <t>Change Δ</t>
  </si>
  <si>
    <t>[Godel Snapshot of projected earnings/EPS + CFFO]</t>
  </si>
  <si>
    <t>VOO Historical Returns</t>
  </si>
  <si>
    <t>CHYM</t>
  </si>
  <si>
    <t>Chime Financial, Inc. (CHYM)</t>
  </si>
  <si>
    <t>1/15/2025</t>
  </si>
  <si>
    <t>Q3'25</t>
  </si>
  <si>
    <t>Payments Revenues</t>
  </si>
  <si>
    <t>Platform-related Revenues</t>
  </si>
  <si>
    <t>Payments Revenue Growth Y/y</t>
  </si>
  <si>
    <t>Platform-related Revenues Growth Y/y</t>
  </si>
  <si>
    <t>Payments % of Ttl Revenues</t>
  </si>
  <si>
    <t>Platform-related % of Ttl Revenues</t>
  </si>
  <si>
    <t>Transaction and Risk Losses</t>
  </si>
  <si>
    <t>Member Support &amp; Operations</t>
  </si>
  <si>
    <t>Sales &amp; Marketing</t>
  </si>
  <si>
    <t>Technology and Development</t>
  </si>
  <si>
    <t>General &amp; Administrative</t>
  </si>
  <si>
    <t>Depreciation &amp; Amortization</t>
  </si>
  <si>
    <t>Ttl Operating Expenses</t>
  </si>
  <si>
    <t>Operating Income</t>
  </si>
  <si>
    <t>Other Income</t>
  </si>
  <si>
    <t>Pretax Income</t>
  </si>
  <si>
    <t>Taxes</t>
  </si>
  <si>
    <t>EPS</t>
  </si>
  <si>
    <t>Restricted Cash</t>
  </si>
  <si>
    <t>Product Collateral</t>
  </si>
  <si>
    <t>A/R</t>
  </si>
  <si>
    <t>ST Loans Held for Investment</t>
  </si>
  <si>
    <t>Prepaid ST Expenses</t>
  </si>
  <si>
    <t>PP&amp;E</t>
  </si>
  <si>
    <t>LT Operating Lease Assets</t>
  </si>
  <si>
    <t>Other LT Assets</t>
  </si>
  <si>
    <t>Ttl Assets</t>
  </si>
  <si>
    <t>A/P</t>
  </si>
  <si>
    <t>ST Liabilities</t>
  </si>
  <si>
    <t>ST Product Obligations</t>
  </si>
  <si>
    <t>LT Operating Lease Liabilities</t>
  </si>
  <si>
    <t>Other LT Liabilities</t>
  </si>
  <si>
    <t>Ttl Liabilities</t>
  </si>
  <si>
    <t>Ttl SE</t>
  </si>
  <si>
    <t>Ttl L + SE</t>
  </si>
  <si>
    <t>Distribution to Preferred Stock</t>
  </si>
  <si>
    <t>Net Income to Common Stock</t>
  </si>
  <si>
    <t>Current CEO: Christopher Britt</t>
  </si>
  <si>
    <t>Employees: 1,228 (Q3'25)</t>
  </si>
  <si>
    <t>Founder(s): Chris Britt &amp; Ryan King</t>
  </si>
  <si>
    <t>Founded: 2012</t>
  </si>
  <si>
    <t>Headquarters: San Francisco, CA</t>
  </si>
  <si>
    <t xml:space="preserve">Industry: Software - Financial Application </t>
  </si>
  <si>
    <t>Sector: Technology</t>
  </si>
  <si>
    <t>IPO: June 12th, 2025 -- $11.6B valuation</t>
  </si>
  <si>
    <t>Fiscal Year: [January - December]</t>
  </si>
  <si>
    <t>Registered Exchange: NASDAQ</t>
  </si>
  <si>
    <t>Address: 101 California Street, San Francisco, CA 94111 U.S.</t>
  </si>
  <si>
    <t>(844) 244 - 6363</t>
  </si>
  <si>
    <t>Chime Financial, Inc., a financial technology company, provides digital consumer banking and payment solutions</t>
  </si>
  <si>
    <t>It offers Chime, a banking application for providing mobile banking services that address the need of people, such as their spending, saving, accessing liquidity, building credit, savings and perks, community, and support and security</t>
  </si>
  <si>
    <t>Chime Financial, Inc. was formerly known as 1Debit Inc. and changed its name to Chime Financial, Inc. in June 2019</t>
  </si>
  <si>
    <t>Chime Financial, Inc. was incorporated in 2012 and is based in San Francisco,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</si>
</sst>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1"/>
      <color theme="4" tint="-0.249977111117893"/>
      <name val="Calibre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44" fontId="2" fillId="0" borderId="0" xfId="0" applyNumberFormat="1" applyFont="1" applyAlignment="1">
      <alignment horizontal="right" indent="1"/>
    </xf>
    <xf numFmtId="1" fontId="2" fillId="0" borderId="0" xfId="0" applyNumberFormat="1" applyFont="1" applyAlignment="1">
      <alignment horizontal="left" indent="5"/>
    </xf>
    <xf numFmtId="0" fontId="16" fillId="0" borderId="0" xfId="3" applyFont="1"/>
    <xf numFmtId="9" fontId="13" fillId="0" borderId="0" xfId="0" applyNumberFormat="1" applyFont="1"/>
    <xf numFmtId="9" fontId="12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5" fontId="13" fillId="0" borderId="0" xfId="0" applyNumberFormat="1" applyFont="1" applyAlignment="1">
      <alignment vertical="top"/>
    </xf>
    <xf numFmtId="166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14" fontId="13" fillId="0" borderId="0" xfId="0" applyNumberFormat="1" applyFont="1" applyAlignment="1">
      <alignment horizontal="left"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/>
    </xf>
    <xf numFmtId="10" fontId="2" fillId="0" borderId="0" xfId="1" applyNumberFormat="1" applyFont="1"/>
    <xf numFmtId="164" fontId="2" fillId="0" borderId="0" xfId="2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2" fontId="8" fillId="5" borderId="0" xfId="0" applyNumberFormat="1" applyFont="1" applyFill="1" applyAlignment="1">
      <alignment horizontal="center" vertical="center"/>
    </xf>
    <xf numFmtId="165" fontId="2" fillId="0" borderId="0" xfId="0" applyNumberFormat="1" applyFont="1"/>
    <xf numFmtId="165" fontId="3" fillId="0" borderId="0" xfId="0" applyNumberFormat="1" applyFont="1"/>
    <xf numFmtId="166" fontId="2" fillId="0" borderId="0" xfId="1" applyNumberFormat="1" applyFont="1"/>
    <xf numFmtId="166" fontId="3" fillId="0" borderId="0" xfId="1" applyNumberFormat="1" applyFont="1"/>
    <xf numFmtId="0" fontId="17" fillId="0" borderId="0" xfId="0" applyFont="1" applyAlignment="1">
      <alignment horizont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(Ticker)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(Ticker) Historical Return Histogram + Normal Distribution Overlay</a:t>
            </a:r>
          </a:p>
        </c:rich>
      </c:tx>
      <c:layout>
        <c:manualLayout>
          <c:xMode val="edge"/>
          <c:yMode val="edge"/>
          <c:x val="0.30108591378517141"/>
          <c:y val="1.8888948670044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52794667284949E-2"/>
          <c:y val="7.3102355294668728E-2"/>
          <c:w val="0.94945999344094489"/>
          <c:h val="0.87235123078333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Analysis'!$T$219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Analysis'!$T$221:$T$283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Analysis'!$U$221:$U$283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8-46E7-8417-05DC731C65AA}"/>
            </c:ext>
          </c:extLst>
        </c:ser>
        <c:ser>
          <c:idx val="1"/>
          <c:order val="1"/>
          <c:tx>
            <c:strRef>
              <c:f>'Notes | Quant Analysis'!$W$219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'Notes | Quant Analysis'!$W$221:$W$283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Analysis'!$X$221:$X$283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8-46E7-8417-05DC731C65AA}"/>
            </c:ext>
          </c:extLst>
        </c:ser>
        <c:ser>
          <c:idx val="2"/>
          <c:order val="2"/>
          <c:tx>
            <c:strRef>
              <c:f>'Notes | Quant Analysis'!$Z$221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Analysis'!$AA$221:$AA$222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Analysis'!$AB$221:$AB$222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C8-46E7-8417-05DC731C65AA}"/>
            </c:ext>
          </c:extLst>
        </c:ser>
        <c:ser>
          <c:idx val="3"/>
          <c:order val="3"/>
          <c:tx>
            <c:strRef>
              <c:f>'Notes | Quant Analysis'!$Z$223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Analysis'!$AA$223:$AA$224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Analysis'!$AB$223:$AB$224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C8-46E7-8417-05DC731C65AA}"/>
            </c:ext>
          </c:extLst>
        </c:ser>
        <c:ser>
          <c:idx val="4"/>
          <c:order val="4"/>
          <c:tx>
            <c:strRef>
              <c:f>'Notes | Quant Analysis'!$Z$225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Analysis'!$AA$225:$AA$226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Analysis'!$AB$225:$AB$226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C8-46E7-8417-05DC731C65AA}"/>
            </c:ext>
          </c:extLst>
        </c:ser>
        <c:ser>
          <c:idx val="5"/>
          <c:order val="5"/>
          <c:tx>
            <c:strRef>
              <c:f>'Notes | Quant Analysis'!$Z$227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Analysis'!$AA$227:$AA$228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Analysis'!$AB$227:$AB$228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C8-46E7-8417-05DC731C65AA}"/>
            </c:ext>
          </c:extLst>
        </c:ser>
        <c:ser>
          <c:idx val="6"/>
          <c:order val="6"/>
          <c:tx>
            <c:strRef>
              <c:f>'Notes | Quant Analysis'!$Z$229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Analysis'!$AA$229:$AA$230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Analysis'!$AB$229:$AB$230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C8-46E7-8417-05DC731C65AA}"/>
            </c:ext>
          </c:extLst>
        </c:ser>
        <c:ser>
          <c:idx val="7"/>
          <c:order val="7"/>
          <c:tx>
            <c:strRef>
              <c:f>'Notes | Quant Analysis'!$Z$231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Analysis'!$AA$231:$AA$232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Analysis'!$AB$231:$AB$232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C8-46E7-8417-05DC731C65AA}"/>
            </c:ext>
          </c:extLst>
        </c:ser>
        <c:ser>
          <c:idx val="8"/>
          <c:order val="8"/>
          <c:tx>
            <c:strRef>
              <c:f>'Notes | Quant Analysis'!$Z$233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Analysis'!$AA$233:$AA$234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Analysis'!$AB$233:$AB$234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4C8-46E7-8417-05DC731C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843279"/>
        <c:axId val="1297840879"/>
      </c:scatterChart>
      <c:valAx>
        <c:axId val="1297843279"/>
        <c:scaling>
          <c:orientation val="minMax"/>
          <c:max val="4.5000000000000012E-2"/>
          <c:min val="-4.5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0879"/>
        <c:crosses val="autoZero"/>
        <c:crossBetween val="midCat"/>
        <c:majorUnit val="5.000000000000001E-3"/>
      </c:valAx>
      <c:valAx>
        <c:axId val="12978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3279"/>
        <c:crossesAt val="-1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9523</xdr:colOff>
      <xdr:row>2</xdr:row>
      <xdr:rowOff>9525</xdr:rowOff>
    </xdr:from>
    <xdr:to>
      <xdr:col>8</xdr:col>
      <xdr:colOff>255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35EC4-744A-6FA3-0EF3-7E0053127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48" y="381000"/>
          <a:ext cx="1819532" cy="1066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0</xdr:row>
      <xdr:rowOff>0</xdr:rowOff>
    </xdr:from>
    <xdr:to>
      <xdr:col>9</xdr:col>
      <xdr:colOff>1</xdr:colOff>
      <xdr:row>88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5607942" y="0"/>
          <a:ext cx="0" cy="233485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0</xdr:row>
      <xdr:rowOff>0</xdr:rowOff>
    </xdr:from>
    <xdr:to>
      <xdr:col>19</xdr:col>
      <xdr:colOff>0</xdr:colOff>
      <xdr:row>87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68</xdr:row>
      <xdr:rowOff>190499</xdr:rowOff>
    </xdr:from>
    <xdr:to>
      <xdr:col>31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31</xdr:col>
      <xdr:colOff>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170</xdr:row>
      <xdr:rowOff>0</xdr:rowOff>
    </xdr:from>
    <xdr:to>
      <xdr:col>31</xdr:col>
      <xdr:colOff>0</xdr:colOff>
      <xdr:row>198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138</xdr:row>
      <xdr:rowOff>0</xdr:rowOff>
    </xdr:from>
    <xdr:to>
      <xdr:col>31</xdr:col>
      <xdr:colOff>0</xdr:colOff>
      <xdr:row>166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</sheetData>
      <sheetData sheetId="2">
        <row r="188">
          <cell r="I188" t="str">
            <v>Notes: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ockanalysis.com/stocks/googl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abc.xyz/investor/" TargetMode="External"/><Relationship Id="rId1" Type="http://schemas.openxmlformats.org/officeDocument/2006/relationships/hyperlink" Target="https://www.sec.gov/edgar/browse/?CIK=310764&amp;owner=exclude" TargetMode="External"/><Relationship Id="rId6" Type="http://schemas.openxmlformats.org/officeDocument/2006/relationships/hyperlink" Target="https://www.macrotrends.net/stocks/charts/TFX/teleflex/cash-flow-statement?freq=Q" TargetMode="External"/><Relationship Id="rId5" Type="http://schemas.openxmlformats.org/officeDocument/2006/relationships/hyperlink" Target="https://www.gurufocus.com/term/wacc/TFX" TargetMode="External"/><Relationship Id="rId4" Type="http://schemas.openxmlformats.org/officeDocument/2006/relationships/hyperlink" Target="https://app.godeltermina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3"/>
  <sheetViews>
    <sheetView workbookViewId="0">
      <selection activeCell="B34" sqref="B34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5703125" style="1" customWidth="1"/>
    <col min="4" max="4" width="9.140625" style="1" customWidth="1"/>
    <col min="5" max="16384" width="9.140625" style="1"/>
  </cols>
  <sheetData>
    <row r="2" spans="2:17" ht="15">
      <c r="B2" s="2" t="s">
        <v>140</v>
      </c>
    </row>
    <row r="3" spans="2:17">
      <c r="B3" s="1" t="s">
        <v>0</v>
      </c>
      <c r="C3" s="44">
        <v>25.69</v>
      </c>
      <c r="D3" s="43" t="s">
        <v>142</v>
      </c>
    </row>
    <row r="4" spans="2:17">
      <c r="B4" s="1" t="s">
        <v>1</v>
      </c>
      <c r="C4" s="45">
        <f>342.39+32.18</f>
        <v>374.57</v>
      </c>
      <c r="D4" s="1" t="s">
        <v>143</v>
      </c>
    </row>
    <row r="5" spans="2:17">
      <c r="B5" s="1" t="s">
        <v>2</v>
      </c>
      <c r="C5" s="63">
        <f>C3*C4</f>
        <v>9622.703300000001</v>
      </c>
    </row>
    <row r="6" spans="2:17">
      <c r="B6" s="1" t="s">
        <v>3</v>
      </c>
      <c r="C6" s="64">
        <f>445.026</f>
        <v>445.02600000000001</v>
      </c>
      <c r="D6" s="1" t="s">
        <v>143</v>
      </c>
    </row>
    <row r="7" spans="2:17">
      <c r="B7" s="1" t="s">
        <v>4</v>
      </c>
      <c r="C7" s="64">
        <v>0</v>
      </c>
      <c r="D7" s="1" t="s">
        <v>143</v>
      </c>
    </row>
    <row r="8" spans="2:17">
      <c r="B8" s="1" t="s">
        <v>5</v>
      </c>
      <c r="C8" s="64">
        <f>C5-C6+C7</f>
        <v>9177.6773000000012</v>
      </c>
    </row>
    <row r="10" spans="2:17" ht="15">
      <c r="B10" s="2" t="s">
        <v>141</v>
      </c>
    </row>
    <row r="12" spans="2:17" ht="15">
      <c r="B12" s="1" t="s">
        <v>183</v>
      </c>
      <c r="F12" s="1" t="s">
        <v>190</v>
      </c>
      <c r="M12" s="1" t="s">
        <v>111</v>
      </c>
      <c r="P12" s="2"/>
    </row>
    <row r="13" spans="2:17">
      <c r="B13" s="1" t="s">
        <v>184</v>
      </c>
      <c r="F13" s="1" t="s">
        <v>191</v>
      </c>
      <c r="M13" s="1" t="s">
        <v>7</v>
      </c>
      <c r="P13" s="46" t="s">
        <v>102</v>
      </c>
    </row>
    <row r="14" spans="2:17">
      <c r="B14" s="1" t="s">
        <v>185</v>
      </c>
      <c r="F14" s="1" t="s">
        <v>6</v>
      </c>
      <c r="M14" s="1" t="s">
        <v>117</v>
      </c>
    </row>
    <row r="15" spans="2:17">
      <c r="B15" s="1" t="s">
        <v>181</v>
      </c>
      <c r="F15" s="1" t="s">
        <v>108</v>
      </c>
      <c r="N15" s="1" t="s">
        <v>116</v>
      </c>
      <c r="Q15" s="46" t="s">
        <v>103</v>
      </c>
    </row>
    <row r="16" spans="2:17">
      <c r="B16" s="1" t="s">
        <v>182</v>
      </c>
      <c r="F16" s="1" t="s">
        <v>99</v>
      </c>
      <c r="G16" s="1" t="s">
        <v>192</v>
      </c>
      <c r="I16" s="1" t="s">
        <v>100</v>
      </c>
      <c r="M16" s="1" t="s">
        <v>104</v>
      </c>
      <c r="P16" s="46" t="s">
        <v>115</v>
      </c>
    </row>
    <row r="17" spans="1:17">
      <c r="B17" s="1" t="s">
        <v>186</v>
      </c>
      <c r="M17" s="1" t="s">
        <v>105</v>
      </c>
      <c r="P17" s="46" t="s">
        <v>106</v>
      </c>
    </row>
    <row r="18" spans="1:17">
      <c r="B18" s="1" t="s">
        <v>187</v>
      </c>
      <c r="M18" s="1" t="s">
        <v>118</v>
      </c>
      <c r="P18" s="46" t="s">
        <v>121</v>
      </c>
    </row>
    <row r="19" spans="1:17">
      <c r="B19" s="1" t="s">
        <v>188</v>
      </c>
      <c r="M19" s="1" t="s">
        <v>119</v>
      </c>
      <c r="P19" s="46" t="s">
        <v>120</v>
      </c>
    </row>
    <row r="20" spans="1:17">
      <c r="B20" s="1" t="s">
        <v>189</v>
      </c>
      <c r="M20" s="1" t="s">
        <v>8</v>
      </c>
      <c r="P20" s="46" t="s">
        <v>107</v>
      </c>
    </row>
    <row r="21" spans="1:17">
      <c r="Q21" s="46"/>
    </row>
    <row r="22" spans="1:17" ht="15">
      <c r="A22" s="2" t="s">
        <v>9</v>
      </c>
      <c r="N22" s="2"/>
    </row>
    <row r="23" spans="1:17">
      <c r="B23" s="1" t="s">
        <v>193</v>
      </c>
    </row>
    <row r="24" spans="1:17">
      <c r="B24" s="1" t="s">
        <v>194</v>
      </c>
    </row>
    <row r="25" spans="1:17">
      <c r="C25" s="1" t="s">
        <v>195</v>
      </c>
    </row>
    <row r="26" spans="1:17">
      <c r="B26" s="1" t="s">
        <v>196</v>
      </c>
    </row>
    <row r="33" spans="1:1" ht="15">
      <c r="A33" s="2" t="s">
        <v>109</v>
      </c>
    </row>
  </sheetData>
  <hyperlinks>
    <hyperlink ref="P13" r:id="rId1" xr:uid="{739BC0F6-DDEA-409E-BAA0-CED0EC3FAC10}"/>
    <hyperlink ref="Q15" r:id="rId2" xr:uid="{3A32E811-E794-46FB-A010-EBB0450F323B}"/>
    <hyperlink ref="P17" r:id="rId3" xr:uid="{02ECFE4E-0865-458E-9F04-951EDF61DD89}"/>
    <hyperlink ref="P20" r:id="rId4" xr:uid="{14375537-5C3D-4253-9650-337AB6789785}"/>
    <hyperlink ref="P19" r:id="rId5" xr:uid="{0B1BE51B-1109-4BB2-8317-5797C103CF5F}"/>
    <hyperlink ref="P18" r:id="rId6" xr:uid="{1717F883-58E9-4228-8A97-AB7941DF57C3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CD80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5" sqref="C15:I15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9" width="9.140625" style="1"/>
    <col min="10" max="14" width="9.140625" style="36"/>
    <col min="15" max="19" width="9.140625" style="1"/>
    <col min="20" max="81" width="9.140625" style="36"/>
    <col min="82" max="16384" width="9.140625" style="1"/>
  </cols>
  <sheetData>
    <row r="1" spans="2:82" ht="15">
      <c r="B1" s="1" t="s">
        <v>58</v>
      </c>
      <c r="C1" s="34" t="s">
        <v>46</v>
      </c>
      <c r="G1" s="34" t="s">
        <v>50</v>
      </c>
    </row>
    <row r="2" spans="2:82">
      <c r="B2" s="1" t="s">
        <v>59</v>
      </c>
    </row>
    <row r="3" spans="2:82" ht="15">
      <c r="B3" s="2" t="s">
        <v>60</v>
      </c>
      <c r="C3" s="34" t="s">
        <v>46</v>
      </c>
      <c r="D3" s="34" t="s">
        <v>47</v>
      </c>
      <c r="E3" s="34" t="s">
        <v>48</v>
      </c>
      <c r="F3" s="34" t="s">
        <v>49</v>
      </c>
      <c r="G3" s="34" t="s">
        <v>50</v>
      </c>
      <c r="H3" s="2" t="s">
        <v>51</v>
      </c>
      <c r="I3" s="2" t="s">
        <v>52</v>
      </c>
      <c r="J3" s="35" t="s">
        <v>53</v>
      </c>
      <c r="K3" s="35" t="s">
        <v>54</v>
      </c>
      <c r="L3" s="35" t="s">
        <v>55</v>
      </c>
      <c r="M3" s="35" t="s">
        <v>56</v>
      </c>
      <c r="N3" s="35" t="s">
        <v>57</v>
      </c>
      <c r="S3" s="2">
        <v>2024</v>
      </c>
      <c r="T3" s="35">
        <f t="shared" ref="T3:BP3" si="0">S3+1</f>
        <v>2025</v>
      </c>
      <c r="U3" s="35">
        <f t="shared" si="0"/>
        <v>2026</v>
      </c>
      <c r="V3" s="35">
        <f t="shared" si="0"/>
        <v>2027</v>
      </c>
      <c r="W3" s="35">
        <f t="shared" si="0"/>
        <v>2028</v>
      </c>
      <c r="X3" s="35">
        <f t="shared" si="0"/>
        <v>2029</v>
      </c>
      <c r="Y3" s="35">
        <f t="shared" si="0"/>
        <v>2030</v>
      </c>
      <c r="Z3" s="35">
        <f t="shared" si="0"/>
        <v>2031</v>
      </c>
      <c r="AA3" s="35">
        <f t="shared" si="0"/>
        <v>2032</v>
      </c>
      <c r="AB3" s="35">
        <f t="shared" si="0"/>
        <v>2033</v>
      </c>
      <c r="AC3" s="35">
        <f t="shared" si="0"/>
        <v>2034</v>
      </c>
      <c r="AD3" s="35">
        <f t="shared" si="0"/>
        <v>2035</v>
      </c>
      <c r="AE3" s="35">
        <f t="shared" si="0"/>
        <v>2036</v>
      </c>
      <c r="AF3" s="35">
        <f t="shared" si="0"/>
        <v>2037</v>
      </c>
      <c r="AG3" s="35">
        <f t="shared" si="0"/>
        <v>2038</v>
      </c>
      <c r="AH3" s="35">
        <f t="shared" si="0"/>
        <v>2039</v>
      </c>
      <c r="AI3" s="35">
        <f t="shared" si="0"/>
        <v>2040</v>
      </c>
      <c r="AJ3" s="35">
        <f t="shared" si="0"/>
        <v>2041</v>
      </c>
      <c r="AK3" s="35">
        <f t="shared" si="0"/>
        <v>2042</v>
      </c>
      <c r="AL3" s="35">
        <f t="shared" si="0"/>
        <v>2043</v>
      </c>
      <c r="AM3" s="35">
        <f t="shared" si="0"/>
        <v>2044</v>
      </c>
      <c r="AN3" s="35">
        <f t="shared" si="0"/>
        <v>2045</v>
      </c>
      <c r="AO3" s="35">
        <f t="shared" si="0"/>
        <v>2046</v>
      </c>
      <c r="AP3" s="35">
        <f t="shared" si="0"/>
        <v>2047</v>
      </c>
      <c r="AQ3" s="35">
        <f t="shared" si="0"/>
        <v>2048</v>
      </c>
      <c r="AR3" s="35">
        <f t="shared" si="0"/>
        <v>2049</v>
      </c>
      <c r="AS3" s="35">
        <f t="shared" si="0"/>
        <v>2050</v>
      </c>
      <c r="AT3" s="35">
        <f t="shared" si="0"/>
        <v>2051</v>
      </c>
      <c r="AU3" s="35">
        <f t="shared" si="0"/>
        <v>2052</v>
      </c>
      <c r="AV3" s="35">
        <f t="shared" si="0"/>
        <v>2053</v>
      </c>
      <c r="AW3" s="35">
        <f t="shared" si="0"/>
        <v>2054</v>
      </c>
      <c r="AX3" s="35">
        <f t="shared" si="0"/>
        <v>2055</v>
      </c>
      <c r="AY3" s="35">
        <f t="shared" si="0"/>
        <v>2056</v>
      </c>
      <c r="AZ3" s="35">
        <f t="shared" si="0"/>
        <v>2057</v>
      </c>
      <c r="BA3" s="35">
        <f t="shared" si="0"/>
        <v>2058</v>
      </c>
      <c r="BB3" s="35">
        <f t="shared" si="0"/>
        <v>2059</v>
      </c>
      <c r="BC3" s="35">
        <f t="shared" si="0"/>
        <v>2060</v>
      </c>
      <c r="BD3" s="35">
        <f t="shared" si="0"/>
        <v>2061</v>
      </c>
      <c r="BE3" s="35">
        <f t="shared" si="0"/>
        <v>2062</v>
      </c>
      <c r="BF3" s="35">
        <f t="shared" si="0"/>
        <v>2063</v>
      </c>
      <c r="BG3" s="35">
        <f t="shared" si="0"/>
        <v>2064</v>
      </c>
      <c r="BH3" s="35">
        <f t="shared" si="0"/>
        <v>2065</v>
      </c>
      <c r="BI3" s="35">
        <f t="shared" si="0"/>
        <v>2066</v>
      </c>
      <c r="BJ3" s="35">
        <f t="shared" si="0"/>
        <v>2067</v>
      </c>
      <c r="BK3" s="35">
        <f t="shared" si="0"/>
        <v>2068</v>
      </c>
      <c r="BL3" s="35">
        <f t="shared" si="0"/>
        <v>2069</v>
      </c>
      <c r="BM3" s="35">
        <f t="shared" si="0"/>
        <v>2070</v>
      </c>
      <c r="BN3" s="35">
        <f t="shared" si="0"/>
        <v>2071</v>
      </c>
      <c r="BO3" s="35">
        <f t="shared" si="0"/>
        <v>2072</v>
      </c>
      <c r="BP3" s="35">
        <f t="shared" si="0"/>
        <v>2073</v>
      </c>
      <c r="BQ3" s="35">
        <f t="shared" ref="BQ3:CA3" si="1">BP3+1</f>
        <v>2074</v>
      </c>
      <c r="BR3" s="35">
        <f t="shared" si="1"/>
        <v>2075</v>
      </c>
      <c r="BS3" s="35">
        <f t="shared" si="1"/>
        <v>2076</v>
      </c>
      <c r="BT3" s="35">
        <f t="shared" si="1"/>
        <v>2077</v>
      </c>
      <c r="BU3" s="35">
        <f t="shared" si="1"/>
        <v>2078</v>
      </c>
      <c r="BV3" s="35">
        <f t="shared" si="1"/>
        <v>2079</v>
      </c>
      <c r="BW3" s="35">
        <f t="shared" si="1"/>
        <v>2080</v>
      </c>
      <c r="BX3" s="35">
        <f t="shared" si="1"/>
        <v>2081</v>
      </c>
      <c r="BY3" s="35">
        <f t="shared" si="1"/>
        <v>2082</v>
      </c>
      <c r="BZ3" s="35">
        <f t="shared" si="1"/>
        <v>2083</v>
      </c>
      <c r="CA3" s="35">
        <f t="shared" si="1"/>
        <v>2084</v>
      </c>
      <c r="CB3" s="35"/>
      <c r="CC3" s="35"/>
      <c r="CD3" s="2"/>
    </row>
    <row r="4" spans="2:82">
      <c r="B4" s="37" t="s">
        <v>144</v>
      </c>
      <c r="C4" s="66">
        <v>317.31</v>
      </c>
      <c r="D4" s="66">
        <v>307.96300000000002</v>
      </c>
      <c r="E4" s="66">
        <v>312.25</v>
      </c>
      <c r="F4" s="66">
        <f>1295.5-SUM(C4:E4)</f>
        <v>357.97699999999998</v>
      </c>
      <c r="G4" s="66">
        <v>375.31</v>
      </c>
      <c r="H4" s="66">
        <v>366.101</v>
      </c>
      <c r="I4" s="66">
        <v>363.15600000000001</v>
      </c>
      <c r="S4" s="1">
        <f>SUM(C4:F4)</f>
        <v>1295.5</v>
      </c>
      <c r="T4" s="36">
        <f t="shared" ref="T4:AC4" si="2">S4*(1+T8)</f>
        <v>2591</v>
      </c>
      <c r="U4" s="36">
        <f t="shared" si="2"/>
        <v>5182</v>
      </c>
      <c r="V4" s="36">
        <f t="shared" si="2"/>
        <v>10364</v>
      </c>
      <c r="W4" s="36">
        <f t="shared" si="2"/>
        <v>20728</v>
      </c>
      <c r="X4" s="36">
        <f t="shared" si="2"/>
        <v>41456</v>
      </c>
      <c r="Y4" s="36">
        <f t="shared" si="2"/>
        <v>82912</v>
      </c>
      <c r="Z4" s="36">
        <f t="shared" si="2"/>
        <v>165824</v>
      </c>
      <c r="AA4" s="36">
        <f t="shared" si="2"/>
        <v>331648</v>
      </c>
      <c r="AB4" s="36">
        <f t="shared" si="2"/>
        <v>663296</v>
      </c>
      <c r="AC4" s="36">
        <f t="shared" si="2"/>
        <v>1326592</v>
      </c>
    </row>
    <row r="5" spans="2:82">
      <c r="B5" s="37" t="s">
        <v>145</v>
      </c>
      <c r="C5" s="66">
        <v>74.66</v>
      </c>
      <c r="D5" s="66">
        <v>76.25</v>
      </c>
      <c r="E5" s="66">
        <v>109.621</v>
      </c>
      <c r="F5" s="66">
        <f>377.8-SUM(C5:E5)</f>
        <v>117.26900000000001</v>
      </c>
      <c r="G5" s="66">
        <v>143.43</v>
      </c>
      <c r="H5" s="66">
        <v>162.048</v>
      </c>
      <c r="I5" s="66">
        <v>180.363</v>
      </c>
      <c r="S5" s="1">
        <f>SUM(C5:F5)</f>
        <v>377.8</v>
      </c>
      <c r="T5" s="36">
        <f t="shared" ref="T5:AC5" si="3">S5*(1+T9)</f>
        <v>755.6</v>
      </c>
      <c r="U5" s="36">
        <f t="shared" si="3"/>
        <v>1511.2</v>
      </c>
      <c r="V5" s="36">
        <f t="shared" si="3"/>
        <v>3022.4</v>
      </c>
      <c r="W5" s="36">
        <f t="shared" si="3"/>
        <v>6044.8</v>
      </c>
      <c r="X5" s="36">
        <f t="shared" si="3"/>
        <v>12089.6</v>
      </c>
      <c r="Y5" s="36">
        <f t="shared" si="3"/>
        <v>24179.200000000001</v>
      </c>
      <c r="Z5" s="36">
        <f t="shared" si="3"/>
        <v>48358.400000000001</v>
      </c>
      <c r="AA5" s="36">
        <f t="shared" si="3"/>
        <v>96716.800000000003</v>
      </c>
      <c r="AB5" s="36">
        <f t="shared" si="3"/>
        <v>193433.60000000001</v>
      </c>
      <c r="AC5" s="36">
        <f t="shared" si="3"/>
        <v>386867.20000000001</v>
      </c>
    </row>
    <row r="6" spans="2:82" s="2" customFormat="1" ht="15">
      <c r="B6" s="34" t="s">
        <v>61</v>
      </c>
      <c r="C6" s="67">
        <f t="shared" ref="C6:I6" si="4">SUM(C4:C5)</f>
        <v>391.97</v>
      </c>
      <c r="D6" s="67">
        <f t="shared" si="4"/>
        <v>384.21300000000002</v>
      </c>
      <c r="E6" s="67">
        <f t="shared" si="4"/>
        <v>421.87099999999998</v>
      </c>
      <c r="F6" s="67">
        <f t="shared" si="4"/>
        <v>475.24599999999998</v>
      </c>
      <c r="G6" s="67">
        <f t="shared" si="4"/>
        <v>518.74</v>
      </c>
      <c r="H6" s="67">
        <f t="shared" si="4"/>
        <v>528.149</v>
      </c>
      <c r="I6" s="67">
        <f t="shared" si="4"/>
        <v>543.51900000000001</v>
      </c>
      <c r="J6" s="35"/>
      <c r="K6" s="35"/>
      <c r="L6" s="35"/>
      <c r="M6" s="35"/>
      <c r="N6" s="35"/>
      <c r="S6" s="2">
        <f>SUM(C6:F6)</f>
        <v>1673.3000000000002</v>
      </c>
      <c r="T6" s="35">
        <f t="shared" ref="T6:AC6" si="5">SUM(T4:T5)</f>
        <v>3346.6</v>
      </c>
      <c r="U6" s="35">
        <f t="shared" si="5"/>
        <v>6693.2</v>
      </c>
      <c r="V6" s="35">
        <f t="shared" si="5"/>
        <v>13386.4</v>
      </c>
      <c r="W6" s="35">
        <f t="shared" si="5"/>
        <v>26772.799999999999</v>
      </c>
      <c r="X6" s="35">
        <f t="shared" si="5"/>
        <v>53545.599999999999</v>
      </c>
      <c r="Y6" s="35">
        <f t="shared" si="5"/>
        <v>107091.2</v>
      </c>
      <c r="Z6" s="35">
        <f t="shared" si="5"/>
        <v>214182.39999999999</v>
      </c>
      <c r="AA6" s="35">
        <f t="shared" si="5"/>
        <v>428364.79999999999</v>
      </c>
      <c r="AB6" s="35">
        <f t="shared" si="5"/>
        <v>856729.59999999998</v>
      </c>
      <c r="AC6" s="35">
        <f t="shared" si="5"/>
        <v>1713459.2</v>
      </c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</row>
    <row r="7" spans="2:82">
      <c r="B7" s="37"/>
    </row>
    <row r="8" spans="2:82">
      <c r="B8" s="38" t="s">
        <v>146</v>
      </c>
      <c r="C8" s="68"/>
      <c r="D8" s="68"/>
      <c r="E8" s="68"/>
      <c r="F8" s="68"/>
      <c r="G8" s="68">
        <f t="shared" ref="G8:I10" si="6">G4/C4-1</f>
        <v>0.18278654943115558</v>
      </c>
      <c r="H8" s="68">
        <f t="shared" si="6"/>
        <v>0.18878241866717738</v>
      </c>
      <c r="I8" s="68">
        <f t="shared" si="6"/>
        <v>0.16302962369895924</v>
      </c>
      <c r="T8" s="47">
        <v>1</v>
      </c>
      <c r="U8" s="47">
        <v>1</v>
      </c>
      <c r="V8" s="47">
        <v>1</v>
      </c>
      <c r="W8" s="47">
        <v>1</v>
      </c>
      <c r="X8" s="47">
        <v>1</v>
      </c>
      <c r="Y8" s="47">
        <v>1</v>
      </c>
      <c r="Z8" s="47">
        <v>1</v>
      </c>
      <c r="AA8" s="47">
        <v>1</v>
      </c>
      <c r="AB8" s="47">
        <v>1</v>
      </c>
      <c r="AC8" s="47">
        <v>1</v>
      </c>
    </row>
    <row r="9" spans="2:82">
      <c r="B9" s="38" t="s">
        <v>147</v>
      </c>
      <c r="C9" s="68"/>
      <c r="D9" s="68"/>
      <c r="E9" s="68"/>
      <c r="F9" s="68"/>
      <c r="G9" s="68">
        <f t="shared" si="6"/>
        <v>0.92110902759174951</v>
      </c>
      <c r="H9" s="68">
        <f t="shared" si="6"/>
        <v>1.1252196721311476</v>
      </c>
      <c r="I9" s="68">
        <f t="shared" si="6"/>
        <v>0.64533255489367924</v>
      </c>
      <c r="T9" s="47">
        <v>1</v>
      </c>
      <c r="U9" s="47">
        <v>1</v>
      </c>
      <c r="V9" s="47">
        <v>1</v>
      </c>
      <c r="W9" s="47">
        <v>1</v>
      </c>
      <c r="X9" s="47">
        <v>1</v>
      </c>
      <c r="Y9" s="47">
        <v>1</v>
      </c>
      <c r="Z9" s="47">
        <v>1</v>
      </c>
      <c r="AA9" s="47">
        <v>1</v>
      </c>
      <c r="AB9" s="47">
        <v>1</v>
      </c>
      <c r="AC9" s="47">
        <v>1</v>
      </c>
    </row>
    <row r="10" spans="2:82" s="2" customFormat="1" ht="15">
      <c r="B10" s="34" t="s">
        <v>122</v>
      </c>
      <c r="C10" s="69"/>
      <c r="D10" s="69"/>
      <c r="E10" s="69"/>
      <c r="F10" s="69"/>
      <c r="G10" s="69">
        <f t="shared" si="6"/>
        <v>0.32341760849044565</v>
      </c>
      <c r="H10" s="69">
        <f t="shared" si="6"/>
        <v>0.37462553323286807</v>
      </c>
      <c r="I10" s="69">
        <f t="shared" si="6"/>
        <v>0.28835354883364817</v>
      </c>
      <c r="J10" s="35"/>
      <c r="K10" s="35"/>
      <c r="L10" s="35"/>
      <c r="M10" s="35"/>
      <c r="N10" s="35"/>
      <c r="T10" s="48">
        <f t="shared" ref="T10:AC10" si="7">T6/S6-1</f>
        <v>0.99999999999999978</v>
      </c>
      <c r="U10" s="48">
        <f t="shared" si="7"/>
        <v>1</v>
      </c>
      <c r="V10" s="48">
        <f t="shared" si="7"/>
        <v>1</v>
      </c>
      <c r="W10" s="48">
        <f t="shared" si="7"/>
        <v>1</v>
      </c>
      <c r="X10" s="48">
        <f t="shared" si="7"/>
        <v>1</v>
      </c>
      <c r="Y10" s="48">
        <f t="shared" si="7"/>
        <v>1</v>
      </c>
      <c r="Z10" s="48">
        <f t="shared" si="7"/>
        <v>1</v>
      </c>
      <c r="AA10" s="48">
        <f t="shared" si="7"/>
        <v>1</v>
      </c>
      <c r="AB10" s="48">
        <f t="shared" si="7"/>
        <v>1</v>
      </c>
      <c r="AC10" s="48">
        <f t="shared" si="7"/>
        <v>1</v>
      </c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</row>
    <row r="11" spans="2:82">
      <c r="C11" s="68"/>
      <c r="D11" s="68"/>
      <c r="E11" s="68"/>
      <c r="F11" s="68"/>
      <c r="G11" s="68"/>
      <c r="H11" s="68"/>
      <c r="I11" s="68"/>
    </row>
    <row r="12" spans="2:82">
      <c r="B12" s="38" t="s">
        <v>148</v>
      </c>
      <c r="C12" s="68">
        <f t="shared" ref="C12:H12" si="8">C4/C6</f>
        <v>0.80952623925300404</v>
      </c>
      <c r="D12" s="68">
        <f t="shared" si="8"/>
        <v>0.8015423736312931</v>
      </c>
      <c r="E12" s="68">
        <f t="shared" si="8"/>
        <v>0.74015516591564723</v>
      </c>
      <c r="F12" s="68">
        <f t="shared" si="8"/>
        <v>0.75324568749658072</v>
      </c>
      <c r="G12" s="68">
        <f t="shared" si="8"/>
        <v>0.72350310367428772</v>
      </c>
      <c r="H12" s="68">
        <f t="shared" si="8"/>
        <v>0.69317749347248603</v>
      </c>
      <c r="I12" s="68">
        <f>I4/I6</f>
        <v>0.66815695495465666</v>
      </c>
      <c r="S12" s="68">
        <f>S4/S6</f>
        <v>0.77421860993246872</v>
      </c>
    </row>
    <row r="13" spans="2:82">
      <c r="B13" s="38" t="s">
        <v>149</v>
      </c>
      <c r="C13" s="68">
        <f t="shared" ref="C13:H13" si="9">C5/C6</f>
        <v>0.19047376074699593</v>
      </c>
      <c r="D13" s="68">
        <f t="shared" si="9"/>
        <v>0.19845762636870692</v>
      </c>
      <c r="E13" s="68">
        <f t="shared" si="9"/>
        <v>0.25984483408435283</v>
      </c>
      <c r="F13" s="68">
        <f t="shared" si="9"/>
        <v>0.24675431250341931</v>
      </c>
      <c r="G13" s="68">
        <f t="shared" si="9"/>
        <v>0.27649689632571234</v>
      </c>
      <c r="H13" s="68">
        <f t="shared" si="9"/>
        <v>0.30682250652751403</v>
      </c>
      <c r="I13" s="68">
        <f>I5/I6</f>
        <v>0.3318430450453434</v>
      </c>
      <c r="S13" s="68">
        <f>S5/S6</f>
        <v>0.2257813900675312</v>
      </c>
    </row>
    <row r="15" spans="2:82" s="2" customFormat="1" ht="15">
      <c r="B15" s="2" t="s">
        <v>60</v>
      </c>
      <c r="C15" s="67">
        <f t="shared" ref="C15:I15" si="10">C6</f>
        <v>391.97</v>
      </c>
      <c r="D15" s="67">
        <f t="shared" si="10"/>
        <v>384.21300000000002</v>
      </c>
      <c r="E15" s="67">
        <f t="shared" si="10"/>
        <v>421.87099999999998</v>
      </c>
      <c r="F15" s="67">
        <f t="shared" si="10"/>
        <v>475.24599999999998</v>
      </c>
      <c r="G15" s="67">
        <f t="shared" si="10"/>
        <v>518.74</v>
      </c>
      <c r="H15" s="67">
        <f t="shared" si="10"/>
        <v>528.149</v>
      </c>
      <c r="I15" s="67">
        <f t="shared" si="10"/>
        <v>543.51900000000001</v>
      </c>
      <c r="J15" s="35"/>
      <c r="K15" s="35"/>
      <c r="L15" s="35"/>
      <c r="M15" s="35"/>
      <c r="N15" s="35"/>
      <c r="S15" s="2">
        <f>SUM(C15:F15)</f>
        <v>1673.3000000000002</v>
      </c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</row>
    <row r="16" spans="2:82">
      <c r="B16" s="1" t="s">
        <v>62</v>
      </c>
      <c r="C16" s="66">
        <v>47.44</v>
      </c>
      <c r="D16" s="66">
        <v>50.5</v>
      </c>
      <c r="E16" s="66">
        <v>53.515999999999998</v>
      </c>
      <c r="F16" s="66">
        <f>207.511-SUM(C16:E16)</f>
        <v>56.055000000000007</v>
      </c>
      <c r="G16" s="66">
        <v>60.41</v>
      </c>
      <c r="H16" s="66">
        <v>67.12</v>
      </c>
      <c r="I16" s="66">
        <v>69.400000000000006</v>
      </c>
      <c r="S16" s="1">
        <f>SUM(C16:F16)</f>
        <v>207.511</v>
      </c>
    </row>
    <row r="17" spans="2:81">
      <c r="B17" s="1" t="s">
        <v>63</v>
      </c>
      <c r="C17" s="66">
        <f t="shared" ref="C17:F17" si="11">C15-C16</f>
        <v>344.53000000000003</v>
      </c>
      <c r="D17" s="66">
        <f t="shared" si="11"/>
        <v>333.71300000000002</v>
      </c>
      <c r="E17" s="66">
        <f t="shared" si="11"/>
        <v>368.35499999999996</v>
      </c>
      <c r="F17" s="66">
        <f t="shared" si="11"/>
        <v>419.19099999999997</v>
      </c>
      <c r="G17" s="66">
        <f>G15-G16</f>
        <v>458.33000000000004</v>
      </c>
      <c r="H17" s="66">
        <f>H15-H16</f>
        <v>461.029</v>
      </c>
      <c r="I17" s="66">
        <f>I15-I16</f>
        <v>474.11900000000003</v>
      </c>
    </row>
    <row r="18" spans="2:81">
      <c r="B18" s="1" t="s">
        <v>150</v>
      </c>
      <c r="C18" s="66">
        <v>36.03</v>
      </c>
      <c r="D18" s="66">
        <v>35</v>
      </c>
      <c r="E18" s="66">
        <v>55.15</v>
      </c>
      <c r="F18" s="66">
        <f>219.68-SUM(C18:E18)</f>
        <v>93.5</v>
      </c>
      <c r="G18" s="66">
        <v>109.14</v>
      </c>
      <c r="H18" s="66">
        <v>98.247</v>
      </c>
      <c r="I18" s="66">
        <v>97.05</v>
      </c>
    </row>
    <row r="19" spans="2:81">
      <c r="B19" s="1" t="s">
        <v>151</v>
      </c>
      <c r="C19" s="66">
        <v>68.067999999999998</v>
      </c>
      <c r="D19" s="66">
        <v>69.819999999999993</v>
      </c>
      <c r="E19" s="66">
        <v>70.05</v>
      </c>
      <c r="F19" s="66">
        <f>286.85-SUM(C19:E19)</f>
        <v>78.912000000000035</v>
      </c>
      <c r="G19" s="66">
        <v>78.608999999999995</v>
      </c>
      <c r="H19" s="66">
        <v>203.09</v>
      </c>
      <c r="I19" s="66">
        <v>83.658000000000001</v>
      </c>
    </row>
    <row r="20" spans="2:81">
      <c r="B20" s="1" t="s">
        <v>152</v>
      </c>
      <c r="C20" s="66">
        <v>117.04</v>
      </c>
      <c r="D20" s="66">
        <v>118.02</v>
      </c>
      <c r="E20" s="66">
        <v>143.12</v>
      </c>
      <c r="F20" s="66">
        <f>519.76-SUM(C20:E20)</f>
        <v>141.57999999999998</v>
      </c>
      <c r="G20" s="66">
        <v>132.57</v>
      </c>
      <c r="H20" s="66">
        <v>185</v>
      </c>
      <c r="I20" s="66">
        <v>153.6</v>
      </c>
    </row>
    <row r="21" spans="2:81">
      <c r="B21" s="1" t="s">
        <v>153</v>
      </c>
      <c r="C21" s="66">
        <v>74.930000000000007</v>
      </c>
      <c r="D21" s="66">
        <v>75.37</v>
      </c>
      <c r="E21" s="66">
        <v>80.400000000000006</v>
      </c>
      <c r="F21" s="66">
        <f>309.575-SUM(C21:E21)</f>
        <v>78.874999999999972</v>
      </c>
      <c r="G21" s="66">
        <v>77.88</v>
      </c>
      <c r="H21" s="66">
        <v>621.75</v>
      </c>
      <c r="I21" s="66">
        <v>123.94</v>
      </c>
    </row>
    <row r="22" spans="2:81">
      <c r="B22" s="1" t="s">
        <v>154</v>
      </c>
      <c r="C22" s="66">
        <v>39.25</v>
      </c>
      <c r="D22" s="66">
        <v>41.637999999999998</v>
      </c>
      <c r="E22" s="66">
        <v>46.645000000000003</v>
      </c>
      <c r="F22" s="66">
        <f>177.22-SUM(C22:E22)</f>
        <v>49.686999999999983</v>
      </c>
      <c r="G22" s="66">
        <v>47.17</v>
      </c>
      <c r="H22" s="66">
        <v>279.66000000000003</v>
      </c>
      <c r="I22" s="66">
        <v>76.569999999999993</v>
      </c>
    </row>
    <row r="23" spans="2:81">
      <c r="B23" s="1" t="s">
        <v>155</v>
      </c>
      <c r="C23" s="66">
        <v>4.1500000000000004</v>
      </c>
      <c r="D23" s="66">
        <v>3.3</v>
      </c>
      <c r="E23" s="66">
        <v>3.6179999999999999</v>
      </c>
      <c r="F23" s="66">
        <f>14.85-SUM(C23:E23)</f>
        <v>3.782</v>
      </c>
      <c r="G23" s="66">
        <v>3.8</v>
      </c>
      <c r="H23" s="66">
        <v>3.89</v>
      </c>
      <c r="I23" s="66">
        <v>3.99</v>
      </c>
    </row>
    <row r="24" spans="2:81">
      <c r="B24" s="1" t="s">
        <v>156</v>
      </c>
      <c r="C24" s="66">
        <f>SUM(C18:C23)</f>
        <v>339.46799999999996</v>
      </c>
      <c r="D24" s="66">
        <f>SUM(D18:D23)</f>
        <v>343.14799999999997</v>
      </c>
      <c r="E24" s="66">
        <f>SUM(E18:E23)</f>
        <v>398.983</v>
      </c>
      <c r="F24" s="66">
        <f>SUM(F18:F23)</f>
        <v>446.33599999999996</v>
      </c>
      <c r="G24" s="66">
        <f>SUM(G18:G23)</f>
        <v>449.16899999999998</v>
      </c>
      <c r="H24" s="66">
        <f>SUM(H18:H23)</f>
        <v>1391.6370000000002</v>
      </c>
      <c r="I24" s="66">
        <f>SUM(I18:I23)</f>
        <v>538.80799999999999</v>
      </c>
    </row>
    <row r="25" spans="2:81">
      <c r="B25" s="1" t="s">
        <v>157</v>
      </c>
      <c r="C25" s="66">
        <f t="shared" ref="C25:G25" si="12">C17-C24</f>
        <v>5.0620000000000687</v>
      </c>
      <c r="D25" s="66">
        <f t="shared" si="12"/>
        <v>-9.4349999999999454</v>
      </c>
      <c r="E25" s="66">
        <f t="shared" si="12"/>
        <v>-30.628000000000043</v>
      </c>
      <c r="F25" s="66">
        <f t="shared" si="12"/>
        <v>-27.144999999999982</v>
      </c>
      <c r="G25" s="66">
        <f t="shared" si="12"/>
        <v>9.1610000000000582</v>
      </c>
      <c r="H25" s="66">
        <f>H17-H24</f>
        <v>-930.60800000000017</v>
      </c>
      <c r="I25" s="66">
        <f t="shared" ref="I25" si="13">I17-I24</f>
        <v>-64.688999999999965</v>
      </c>
    </row>
    <row r="26" spans="2:81">
      <c r="B26" s="1" t="s">
        <v>158</v>
      </c>
      <c r="C26" s="66">
        <v>10.5</v>
      </c>
      <c r="D26" s="66">
        <v>9.9</v>
      </c>
      <c r="E26" s="66">
        <v>10.81</v>
      </c>
      <c r="F26" s="66">
        <f>39.465-SUM(C26:E26)</f>
        <v>8.2550000000000026</v>
      </c>
      <c r="G26" s="66">
        <v>5.35</v>
      </c>
      <c r="H26" s="66">
        <v>6.21</v>
      </c>
      <c r="I26" s="66">
        <v>10.26</v>
      </c>
    </row>
    <row r="27" spans="2:81">
      <c r="B27" s="1" t="s">
        <v>159</v>
      </c>
      <c r="C27" s="66">
        <f>C25+C26</f>
        <v>15.562000000000069</v>
      </c>
      <c r="D27" s="66">
        <f t="shared" ref="D27:I27" si="14">D25+D26</f>
        <v>0.46500000000005492</v>
      </c>
      <c r="E27" s="66">
        <f t="shared" si="14"/>
        <v>-19.81800000000004</v>
      </c>
      <c r="F27" s="66">
        <f t="shared" si="14"/>
        <v>-18.889999999999979</v>
      </c>
      <c r="G27" s="66">
        <f t="shared" si="14"/>
        <v>14.511000000000058</v>
      </c>
      <c r="H27" s="66">
        <f t="shared" si="14"/>
        <v>-924.39800000000014</v>
      </c>
      <c r="I27" s="66">
        <f t="shared" si="14"/>
        <v>-54.428999999999967</v>
      </c>
    </row>
    <row r="28" spans="2:81">
      <c r="B28" s="1" t="s">
        <v>160</v>
      </c>
      <c r="C28" s="66">
        <v>-0.36199999999999999</v>
      </c>
      <c r="D28" s="66">
        <v>7.8E-2</v>
      </c>
      <c r="E28" s="66">
        <v>2.1989999999999998</v>
      </c>
      <c r="F28" s="66">
        <f>2.61-SUM(C28:E28)</f>
        <v>0.69500000000000006</v>
      </c>
      <c r="G28" s="66">
        <v>1.55</v>
      </c>
      <c r="H28" s="66">
        <v>-1.04</v>
      </c>
      <c r="I28" s="66">
        <v>0.28000000000000003</v>
      </c>
    </row>
    <row r="29" spans="2:81" s="2" customFormat="1" ht="15">
      <c r="B29" s="2" t="s">
        <v>77</v>
      </c>
      <c r="C29" s="67">
        <f t="shared" ref="C29:H29" si="15">C27-C28</f>
        <v>15.924000000000069</v>
      </c>
      <c r="D29" s="67">
        <f t="shared" si="15"/>
        <v>0.38700000000005491</v>
      </c>
      <c r="E29" s="67">
        <f t="shared" si="15"/>
        <v>-22.017000000000039</v>
      </c>
      <c r="F29" s="67">
        <f t="shared" si="15"/>
        <v>-19.58499999999998</v>
      </c>
      <c r="G29" s="67">
        <f t="shared" si="15"/>
        <v>12.961000000000057</v>
      </c>
      <c r="H29" s="67">
        <f t="shared" si="15"/>
        <v>-923.35800000000017</v>
      </c>
      <c r="I29" s="67">
        <f>I27-I28</f>
        <v>-54.708999999999968</v>
      </c>
      <c r="J29" s="35"/>
      <c r="K29" s="35"/>
      <c r="L29" s="35"/>
      <c r="M29" s="35"/>
      <c r="N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</row>
    <row r="30" spans="2:81">
      <c r="B30" s="1" t="s">
        <v>179</v>
      </c>
      <c r="C30" s="66">
        <v>-15.903</v>
      </c>
      <c r="D30" s="66">
        <v>-0.38500000000000001</v>
      </c>
      <c r="E30" s="66">
        <v>0</v>
      </c>
      <c r="F30" s="66">
        <f>-25.34-SUM(C30:E30)</f>
        <v>-9.0519999999999996</v>
      </c>
      <c r="G30" s="66">
        <v>-12.939</v>
      </c>
      <c r="H30" s="66"/>
      <c r="I30" s="66">
        <v>0</v>
      </c>
    </row>
    <row r="31" spans="2:81">
      <c r="B31" s="1" t="s">
        <v>180</v>
      </c>
      <c r="C31" s="66">
        <f t="shared" ref="C31" si="16">C29+C30</f>
        <v>2.1000000000068297E-2</v>
      </c>
      <c r="D31" s="66">
        <f>D29+D30</f>
        <v>2.0000000000549023E-3</v>
      </c>
      <c r="E31" s="66">
        <f t="shared" ref="E31:I31" si="17">E29+E30</f>
        <v>-22.017000000000039</v>
      </c>
      <c r="F31" s="66">
        <f t="shared" si="17"/>
        <v>-28.636999999999979</v>
      </c>
      <c r="G31" s="66">
        <f t="shared" si="17"/>
        <v>2.2000000000057085E-2</v>
      </c>
      <c r="H31" s="66">
        <f t="shared" si="17"/>
        <v>-923.35800000000017</v>
      </c>
      <c r="I31" s="66">
        <f t="shared" si="17"/>
        <v>-54.708999999999968</v>
      </c>
    </row>
    <row r="32" spans="2:81">
      <c r="B32" s="1" t="s">
        <v>81</v>
      </c>
      <c r="C32" s="66">
        <v>64.44</v>
      </c>
      <c r="D32" s="66">
        <v>64.677000000000007</v>
      </c>
      <c r="E32" s="66">
        <v>65.149000000000001</v>
      </c>
      <c r="F32" s="66">
        <v>64.91</v>
      </c>
      <c r="G32" s="66">
        <v>65.867999999999995</v>
      </c>
      <c r="H32" s="66">
        <v>126.62</v>
      </c>
      <c r="I32" s="66">
        <v>371.82900000000001</v>
      </c>
    </row>
    <row r="33" spans="2:30">
      <c r="B33" s="1" t="s">
        <v>161</v>
      </c>
      <c r="C33" s="40">
        <f t="shared" ref="C33:I33" si="18">C29/C32</f>
        <v>0.24711359404096941</v>
      </c>
      <c r="D33" s="40">
        <f t="shared" si="18"/>
        <v>5.9835799434119529E-3</v>
      </c>
      <c r="E33" s="40">
        <f t="shared" si="18"/>
        <v>-0.33794839521711828</v>
      </c>
      <c r="F33" s="40">
        <f t="shared" si="18"/>
        <v>-0.30172546602988726</v>
      </c>
      <c r="G33" s="40">
        <f t="shared" si="18"/>
        <v>0.19677233254387652</v>
      </c>
      <c r="H33" s="40">
        <f t="shared" si="18"/>
        <v>-7.2923550781867013</v>
      </c>
      <c r="I33" s="40">
        <f t="shared" si="18"/>
        <v>-0.14713483886410142</v>
      </c>
    </row>
    <row r="35" spans="2:30">
      <c r="B35" s="38" t="s">
        <v>64</v>
      </c>
      <c r="C35" s="68">
        <f t="shared" ref="C35:H35" si="19">C17/C15</f>
        <v>0.87897032936194097</v>
      </c>
      <c r="D35" s="68">
        <f t="shared" si="19"/>
        <v>0.86856249007711872</v>
      </c>
      <c r="E35" s="68">
        <f t="shared" si="19"/>
        <v>0.87314605649594301</v>
      </c>
      <c r="F35" s="68">
        <f t="shared" si="19"/>
        <v>0.88205055907887697</v>
      </c>
      <c r="G35" s="68">
        <f t="shared" si="19"/>
        <v>0.88354474303119102</v>
      </c>
      <c r="H35" s="68">
        <f t="shared" si="19"/>
        <v>0.87291465097917442</v>
      </c>
      <c r="I35" s="68">
        <f>I17/I15</f>
        <v>0.87231357137468979</v>
      </c>
    </row>
    <row r="36" spans="2:30">
      <c r="B36" s="1" t="s">
        <v>150</v>
      </c>
      <c r="C36" s="68">
        <f t="shared" ref="C36:H36" si="20">C18/C15</f>
        <v>9.1920300022960935E-2</v>
      </c>
      <c r="D36" s="68">
        <f t="shared" si="20"/>
        <v>9.1095303906947436E-2</v>
      </c>
      <c r="E36" s="68">
        <f t="shared" si="20"/>
        <v>0.13072716541312393</v>
      </c>
      <c r="F36" s="68">
        <f t="shared" si="20"/>
        <v>0.19674021454152166</v>
      </c>
      <c r="G36" s="68">
        <f t="shared" si="20"/>
        <v>0.21039441724177815</v>
      </c>
      <c r="H36" s="68">
        <f t="shared" si="20"/>
        <v>0.1860213689697415</v>
      </c>
      <c r="I36" s="68">
        <f>I18/I15</f>
        <v>0.17855861524620115</v>
      </c>
    </row>
    <row r="37" spans="2:30">
      <c r="B37" s="1" t="s">
        <v>151</v>
      </c>
      <c r="C37" s="68">
        <f t="shared" ref="C37:H37" si="21">C19/C15</f>
        <v>0.17365614715411892</v>
      </c>
      <c r="D37" s="68">
        <f t="shared" si="21"/>
        <v>0.18172211767951629</v>
      </c>
      <c r="E37" s="68">
        <f t="shared" si="21"/>
        <v>0.16604601880669684</v>
      </c>
      <c r="F37" s="68">
        <f t="shared" si="21"/>
        <v>0.16604453272620925</v>
      </c>
      <c r="G37" s="68">
        <f t="shared" si="21"/>
        <v>0.15153834290781507</v>
      </c>
      <c r="H37" s="68">
        <f t="shared" si="21"/>
        <v>0.38453163785219702</v>
      </c>
      <c r="I37" s="68">
        <f>I19/I15</f>
        <v>0.15391918221810094</v>
      </c>
    </row>
    <row r="38" spans="2:30">
      <c r="B38" s="1" t="s">
        <v>152</v>
      </c>
      <c r="C38" s="68">
        <f t="shared" ref="C38:H38" si="22">C19/C15</f>
        <v>0.17365614715411892</v>
      </c>
      <c r="D38" s="68">
        <f t="shared" si="22"/>
        <v>0.18172211767951629</v>
      </c>
      <c r="E38" s="68">
        <f t="shared" si="22"/>
        <v>0.16604601880669684</v>
      </c>
      <c r="F38" s="68">
        <f t="shared" si="22"/>
        <v>0.16604453272620925</v>
      </c>
      <c r="G38" s="68">
        <f t="shared" si="22"/>
        <v>0.15153834290781507</v>
      </c>
      <c r="H38" s="68">
        <f t="shared" si="22"/>
        <v>0.38453163785219702</v>
      </c>
      <c r="I38" s="68">
        <f>I19/I15</f>
        <v>0.15391918221810094</v>
      </c>
    </row>
    <row r="39" spans="2:30">
      <c r="B39" s="1" t="s">
        <v>153</v>
      </c>
      <c r="C39" s="68">
        <f t="shared" ref="C39:H39" si="23">C21/C15</f>
        <v>0.19116258897364594</v>
      </c>
      <c r="D39" s="68">
        <f t="shared" si="23"/>
        <v>0.19616723015618939</v>
      </c>
      <c r="E39" s="68">
        <f t="shared" si="23"/>
        <v>0.19057958475458139</v>
      </c>
      <c r="F39" s="68">
        <f t="shared" si="23"/>
        <v>0.16596667830975953</v>
      </c>
      <c r="G39" s="68">
        <f t="shared" si="23"/>
        <v>0.15013301461232986</v>
      </c>
      <c r="H39" s="68">
        <f t="shared" si="23"/>
        <v>1.1772246089645158</v>
      </c>
      <c r="I39" s="68">
        <f>I21/I15</f>
        <v>0.22803250668329902</v>
      </c>
    </row>
    <row r="40" spans="2:30">
      <c r="B40" s="1" t="s">
        <v>154</v>
      </c>
      <c r="C40" s="68">
        <f t="shared" ref="C40:H40" si="24">C22/C15</f>
        <v>0.10013521442967574</v>
      </c>
      <c r="D40" s="68">
        <f t="shared" si="24"/>
        <v>0.10837217897364221</v>
      </c>
      <c r="E40" s="68">
        <f t="shared" si="24"/>
        <v>0.11056697426464489</v>
      </c>
      <c r="F40" s="68">
        <f t="shared" si="24"/>
        <v>0.10455006459812388</v>
      </c>
      <c r="G40" s="68">
        <f t="shared" si="24"/>
        <v>9.093187338551105E-2</v>
      </c>
      <c r="H40" s="68">
        <f t="shared" si="24"/>
        <v>0.52950966488623485</v>
      </c>
      <c r="I40" s="68">
        <f>I22/I15</f>
        <v>0.14087823976714703</v>
      </c>
    </row>
    <row r="41" spans="2:30">
      <c r="B41" s="1" t="s">
        <v>155</v>
      </c>
      <c r="C41" s="68">
        <f t="shared" ref="C41:H41" si="25">C23/C15</f>
        <v>1.0587544965175907E-2</v>
      </c>
      <c r="D41" s="68">
        <f t="shared" si="25"/>
        <v>8.5889857969407585E-3</v>
      </c>
      <c r="E41" s="68">
        <f t="shared" si="25"/>
        <v>8.5760813139561624E-3</v>
      </c>
      <c r="F41" s="68">
        <f t="shared" si="25"/>
        <v>7.9579838651982343E-3</v>
      </c>
      <c r="G41" s="68">
        <f t="shared" si="25"/>
        <v>7.325442418167097E-3</v>
      </c>
      <c r="H41" s="68">
        <f t="shared" si="25"/>
        <v>7.3653457641688234E-3</v>
      </c>
      <c r="I41" s="68">
        <f>I23/I15</f>
        <v>7.3410497149133704E-3</v>
      </c>
    </row>
    <row r="42" spans="2:30">
      <c r="B42" s="38" t="s">
        <v>65</v>
      </c>
      <c r="C42" s="68">
        <f t="shared" ref="C42:H42" si="26">C25/C15</f>
        <v>1.291425364186052E-2</v>
      </c>
      <c r="D42" s="68">
        <f t="shared" si="26"/>
        <v>-2.4556691210344119E-2</v>
      </c>
      <c r="E42" s="68">
        <f t="shared" si="26"/>
        <v>-7.2600392062976707E-2</v>
      </c>
      <c r="F42" s="68">
        <f t="shared" si="26"/>
        <v>-5.7117787419567932E-2</v>
      </c>
      <c r="G42" s="68">
        <f t="shared" si="26"/>
        <v>1.7660099471797159E-2</v>
      </c>
      <c r="H42" s="68">
        <f t="shared" si="26"/>
        <v>-1.7620179153988744</v>
      </c>
      <c r="I42" s="68">
        <f>I25/I15</f>
        <v>-0.11901883834787738</v>
      </c>
    </row>
    <row r="43" spans="2:30">
      <c r="B43" s="38" t="s">
        <v>66</v>
      </c>
      <c r="C43" s="68">
        <f t="shared" ref="C43:H43" si="27">C28/C27</f>
        <v>-2.3261791543503302E-2</v>
      </c>
      <c r="D43" s="68">
        <f t="shared" si="27"/>
        <v>0.16774193548385116</v>
      </c>
      <c r="E43" s="68">
        <f t="shared" si="27"/>
        <v>-0.11095973357553715</v>
      </c>
      <c r="F43" s="68">
        <f t="shared" si="27"/>
        <v>-3.6791953414505071E-2</v>
      </c>
      <c r="G43" s="68">
        <f t="shared" si="27"/>
        <v>0.10681551926124966</v>
      </c>
      <c r="H43" s="68">
        <f t="shared" si="27"/>
        <v>1.1250565232724431E-3</v>
      </c>
      <c r="I43" s="68">
        <f>I28/I27</f>
        <v>-5.1443164489518491E-3</v>
      </c>
    </row>
    <row r="44" spans="2:30">
      <c r="B44" s="38" t="s">
        <v>67</v>
      </c>
      <c r="C44" s="68">
        <f t="shared" ref="C44:H44" si="28">C31/C15</f>
        <v>5.3575528739618584E-5</v>
      </c>
      <c r="D44" s="68">
        <f t="shared" si="28"/>
        <v>5.2054459376827495E-6</v>
      </c>
      <c r="E44" s="68">
        <f t="shared" si="28"/>
        <v>-5.2188939272905792E-2</v>
      </c>
      <c r="F44" s="68">
        <f t="shared" si="28"/>
        <v>-6.0257214158562049E-2</v>
      </c>
      <c r="G44" s="68">
        <f t="shared" si="28"/>
        <v>4.2410456105287974E-5</v>
      </c>
      <c r="H44" s="68">
        <f t="shared" si="28"/>
        <v>-1.7482907285633413</v>
      </c>
      <c r="I44" s="68">
        <f>I31/I15</f>
        <v>-0.10065701475017427</v>
      </c>
    </row>
    <row r="46" spans="2:30">
      <c r="B46" s="1" t="s">
        <v>68</v>
      </c>
      <c r="C46" s="66"/>
      <c r="D46" s="66"/>
      <c r="E46" s="66"/>
      <c r="F46" s="66">
        <v>337.69</v>
      </c>
      <c r="G46" s="66"/>
      <c r="H46" s="66">
        <v>868.28</v>
      </c>
      <c r="I46" s="66">
        <v>445.02</v>
      </c>
      <c r="S46" s="1">
        <f>F46</f>
        <v>337.69</v>
      </c>
    </row>
    <row r="47" spans="2:30">
      <c r="B47" s="1" t="s">
        <v>162</v>
      </c>
      <c r="C47" s="66"/>
      <c r="D47" s="66"/>
      <c r="E47" s="66"/>
      <c r="F47" s="66">
        <v>12.3</v>
      </c>
      <c r="G47" s="66"/>
      <c r="H47" s="66">
        <v>13.515000000000001</v>
      </c>
      <c r="I47" s="66">
        <v>13.676</v>
      </c>
    </row>
    <row r="48" spans="2:30">
      <c r="B48" s="1" t="s">
        <v>69</v>
      </c>
      <c r="C48" s="66"/>
      <c r="D48" s="66"/>
      <c r="E48" s="66"/>
      <c r="F48" s="66">
        <v>368.88</v>
      </c>
      <c r="G48" s="66"/>
      <c r="H48" s="66">
        <v>225.06</v>
      </c>
      <c r="I48" s="66">
        <v>633.73</v>
      </c>
      <c r="U48" s="49" t="s">
        <v>123</v>
      </c>
      <c r="V48" s="50"/>
      <c r="W48" s="50"/>
      <c r="X48" s="49" t="s">
        <v>124</v>
      </c>
      <c r="Y48" s="50"/>
      <c r="Z48" s="51" t="s">
        <v>125</v>
      </c>
      <c r="AA48" s="50"/>
      <c r="AB48" s="52" t="s">
        <v>126</v>
      </c>
      <c r="AC48" s="53">
        <v>0.06</v>
      </c>
      <c r="AD48" s="50"/>
    </row>
    <row r="49" spans="2:81" ht="13.5" customHeight="1">
      <c r="B49" s="1" t="s">
        <v>163</v>
      </c>
      <c r="C49" s="66"/>
      <c r="D49" s="66"/>
      <c r="E49" s="66"/>
      <c r="F49" s="66">
        <v>181.72</v>
      </c>
      <c r="G49" s="66"/>
      <c r="H49" s="66">
        <v>212.98</v>
      </c>
      <c r="I49" s="66">
        <v>228.95</v>
      </c>
      <c r="U49" s="50">
        <v>2025</v>
      </c>
      <c r="V49" s="50"/>
      <c r="W49" s="50">
        <v>2023</v>
      </c>
      <c r="X49" s="50">
        <v>2024</v>
      </c>
      <c r="Y49" s="50"/>
      <c r="Z49" s="51" t="s">
        <v>127</v>
      </c>
      <c r="AA49" s="50"/>
      <c r="AB49" s="52" t="s">
        <v>128</v>
      </c>
      <c r="AC49" s="53">
        <v>2.5000000000000001E-2</v>
      </c>
      <c r="AD49" s="50"/>
    </row>
    <row r="50" spans="2:81" ht="13.5" customHeight="1">
      <c r="B50" s="1" t="s">
        <v>164</v>
      </c>
      <c r="C50" s="66"/>
      <c r="D50" s="66"/>
      <c r="E50" s="66"/>
      <c r="F50" s="66">
        <v>216.161</v>
      </c>
      <c r="G50" s="66"/>
      <c r="H50" s="66">
        <v>229.59</v>
      </c>
      <c r="I50" s="66">
        <v>237.65</v>
      </c>
      <c r="U50" s="54" t="e">
        <f>AVERAGE(T25)*(1-T43)</f>
        <v>#DIV/0!</v>
      </c>
      <c r="V50" s="50"/>
      <c r="W50" s="55" t="e">
        <f>SUM(#REF!)-#REF!+#REF!+#REF!+#REF!</f>
        <v>#REF!</v>
      </c>
      <c r="X50" s="55">
        <f>SUM(S45:S50)-S61+S51+S54+S53</f>
        <v>337.69</v>
      </c>
      <c r="Y50" s="50"/>
      <c r="Z50" s="55" t="e">
        <f>AVERAGE(W50:X50)</f>
        <v>#REF!</v>
      </c>
      <c r="AA50" s="50"/>
      <c r="AB50" s="52" t="s">
        <v>129</v>
      </c>
      <c r="AC50" s="53">
        <v>4.3400000000000001E-2</v>
      </c>
      <c r="AD50" s="50"/>
    </row>
    <row r="51" spans="2:81" ht="13.5" customHeight="1">
      <c r="B51" s="1" t="s">
        <v>165</v>
      </c>
      <c r="C51" s="66"/>
      <c r="D51" s="66"/>
      <c r="E51" s="66"/>
      <c r="F51" s="66">
        <v>99.79</v>
      </c>
      <c r="G51" s="66"/>
      <c r="H51" s="66">
        <v>114.12</v>
      </c>
      <c r="I51" s="66">
        <v>108.996</v>
      </c>
      <c r="U51" s="56" t="e">
        <f>U50/Z50</f>
        <v>#DIV/0!</v>
      </c>
      <c r="V51" s="50"/>
      <c r="W51" s="50"/>
      <c r="X51" s="50"/>
      <c r="Y51" s="50"/>
      <c r="Z51" s="50"/>
      <c r="AA51" s="50"/>
      <c r="AB51" s="52" t="s">
        <v>130</v>
      </c>
      <c r="AC51" s="53">
        <f>13.4%-AC50</f>
        <v>9.0600000000000014E-2</v>
      </c>
      <c r="AD51" s="50"/>
    </row>
    <row r="52" spans="2:81" ht="13.5" customHeight="1">
      <c r="B52" s="1" t="s">
        <v>166</v>
      </c>
      <c r="C52" s="66"/>
      <c r="D52" s="66"/>
      <c r="E52" s="66"/>
      <c r="F52" s="66">
        <v>70.463999999999999</v>
      </c>
      <c r="G52" s="66"/>
      <c r="H52" s="66">
        <v>72.52</v>
      </c>
      <c r="I52" s="66">
        <v>90.85</v>
      </c>
      <c r="U52" s="50"/>
      <c r="V52" s="50"/>
      <c r="W52" s="50"/>
      <c r="X52" s="50"/>
      <c r="Y52" s="50"/>
      <c r="Z52" s="50"/>
      <c r="AA52" s="50"/>
      <c r="AB52" s="52" t="s">
        <v>131</v>
      </c>
      <c r="AC52" s="50" t="e">
        <f>'Notes | Quant Analysis'!S215</f>
        <v>#DIV/0!</v>
      </c>
      <c r="AD52" s="50"/>
    </row>
    <row r="53" spans="2:81" ht="13.5" customHeight="1">
      <c r="B53" s="1" t="s">
        <v>167</v>
      </c>
      <c r="C53" s="66"/>
      <c r="D53" s="66"/>
      <c r="E53" s="66"/>
      <c r="F53" s="66">
        <v>92.7</v>
      </c>
      <c r="G53" s="66"/>
      <c r="H53" s="66">
        <v>89.100999999999999</v>
      </c>
      <c r="I53" s="66">
        <v>86.48</v>
      </c>
      <c r="U53" s="50"/>
      <c r="V53" s="50"/>
      <c r="W53" s="50"/>
      <c r="X53" s="50"/>
      <c r="Y53" s="50"/>
      <c r="Z53" s="50"/>
      <c r="AA53" s="50"/>
      <c r="AB53" s="52" t="s">
        <v>132</v>
      </c>
      <c r="AC53" s="53" t="e">
        <f>+AC50+(AC51*AC52)</f>
        <v>#DIV/0!</v>
      </c>
      <c r="AD53" s="57"/>
    </row>
    <row r="54" spans="2:81" ht="13.5" customHeight="1">
      <c r="B54" s="1" t="s">
        <v>168</v>
      </c>
      <c r="C54" s="66"/>
      <c r="D54" s="66"/>
      <c r="E54" s="66"/>
      <c r="F54" s="66">
        <v>49.33</v>
      </c>
      <c r="G54" s="66"/>
      <c r="H54" s="66">
        <v>45.575000000000003</v>
      </c>
      <c r="I54" s="66">
        <v>85.65</v>
      </c>
      <c r="U54" s="57"/>
      <c r="V54" s="57"/>
      <c r="W54" s="57"/>
      <c r="X54" s="57"/>
      <c r="Y54" s="57"/>
      <c r="Z54" s="57"/>
      <c r="AA54" s="57"/>
      <c r="AB54" s="52"/>
      <c r="AC54" s="50"/>
      <c r="AD54" s="50"/>
    </row>
    <row r="55" spans="2:81" ht="13.5" customHeight="1">
      <c r="B55" s="1" t="s">
        <v>169</v>
      </c>
      <c r="C55" s="66"/>
      <c r="D55" s="66"/>
      <c r="E55" s="66"/>
      <c r="F55" s="66">
        <v>31.969000000000001</v>
      </c>
      <c r="G55" s="66"/>
      <c r="H55" s="66">
        <v>31.71</v>
      </c>
      <c r="I55" s="66">
        <v>31.28</v>
      </c>
      <c r="U55" s="50"/>
      <c r="V55" s="50"/>
      <c r="W55" s="50"/>
      <c r="X55" s="50"/>
      <c r="Y55" s="50"/>
      <c r="Z55" s="50"/>
      <c r="AA55" s="50"/>
      <c r="AB55" s="52" t="s">
        <v>133</v>
      </c>
      <c r="AC55" s="55" t="e">
        <f>NPV(AC53,T33:BQ33)</f>
        <v>#DIV/0!</v>
      </c>
      <c r="AD55" s="50"/>
    </row>
    <row r="56" spans="2:81" s="2" customFormat="1" ht="13.5" customHeight="1">
      <c r="B56" s="2" t="s">
        <v>170</v>
      </c>
      <c r="C56" s="67"/>
      <c r="D56" s="67"/>
      <c r="E56" s="67"/>
      <c r="F56" s="67">
        <f t="shared" ref="F56:I56" si="29">SUM(F46:F55)</f>
        <v>1461.0039999999999</v>
      </c>
      <c r="G56" s="67">
        <f t="shared" si="29"/>
        <v>0</v>
      </c>
      <c r="H56" s="67">
        <f t="shared" si="29"/>
        <v>1902.4510000000002</v>
      </c>
      <c r="I56" s="67">
        <f t="shared" si="29"/>
        <v>1962.2820000000002</v>
      </c>
      <c r="J56" s="35"/>
      <c r="K56" s="35"/>
      <c r="L56" s="35"/>
      <c r="M56" s="35"/>
      <c r="N56" s="35"/>
      <c r="T56" s="35"/>
      <c r="U56" s="57"/>
      <c r="V56" s="57"/>
      <c r="W56" s="57"/>
      <c r="X56" s="57"/>
      <c r="Y56" s="57"/>
      <c r="Z56" s="57"/>
      <c r="AA56" s="57"/>
      <c r="AB56" s="52" t="s">
        <v>81</v>
      </c>
      <c r="AC56" s="55">
        <f>Main!C4</f>
        <v>374.57</v>
      </c>
      <c r="AD56" s="58" t="s">
        <v>134</v>
      </c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</row>
    <row r="57" spans="2:81" ht="13.5" customHeight="1">
      <c r="U57" s="50"/>
      <c r="V57" s="50"/>
      <c r="W57" s="50"/>
      <c r="X57" s="50"/>
      <c r="Y57" s="50"/>
      <c r="Z57" s="50"/>
      <c r="AA57" s="50"/>
      <c r="AB57" s="52" t="s">
        <v>135</v>
      </c>
      <c r="AC57" s="59" t="e">
        <f>AC55/AC56</f>
        <v>#DIV/0!</v>
      </c>
      <c r="AD57" s="49"/>
    </row>
    <row r="58" spans="2:81" ht="13.5" customHeight="1">
      <c r="B58" s="1" t="s">
        <v>171</v>
      </c>
      <c r="C58" s="66"/>
      <c r="D58" s="66"/>
      <c r="E58" s="66"/>
      <c r="F58" s="66">
        <v>35.840000000000003</v>
      </c>
      <c r="G58" s="66"/>
      <c r="H58" s="66">
        <v>51.8</v>
      </c>
      <c r="I58" s="66">
        <v>40.020000000000003</v>
      </c>
      <c r="U58" s="50"/>
      <c r="V58" s="50"/>
      <c r="W58" s="50"/>
      <c r="X58" s="50"/>
      <c r="Y58" s="50"/>
      <c r="Z58" s="50"/>
      <c r="AA58" s="50"/>
      <c r="AB58" s="52" t="s">
        <v>136</v>
      </c>
      <c r="AC58" s="59">
        <f>Main!C3</f>
        <v>25.69</v>
      </c>
      <c r="AD58" s="60"/>
    </row>
    <row r="59" spans="2:81" ht="13.5" customHeight="1">
      <c r="B59" s="1" t="s">
        <v>172</v>
      </c>
      <c r="C59" s="66"/>
      <c r="D59" s="66"/>
      <c r="E59" s="66"/>
      <c r="F59" s="66">
        <v>224.59</v>
      </c>
      <c r="G59" s="66"/>
      <c r="H59" s="66">
        <v>168.91900000000001</v>
      </c>
      <c r="I59" s="66">
        <v>181.58</v>
      </c>
      <c r="U59" s="57"/>
      <c r="V59" s="57"/>
      <c r="W59" s="57"/>
      <c r="X59" s="57"/>
      <c r="Y59" s="57"/>
      <c r="Z59" s="57"/>
      <c r="AA59" s="57"/>
      <c r="AB59" s="52" t="s">
        <v>137</v>
      </c>
      <c r="AC59" s="53" t="e">
        <f>AC57/AC58-1</f>
        <v>#DIV/0!</v>
      </c>
      <c r="AD59" s="61" t="e">
        <f>IF(AC59&gt;0,"Upside","Downside")</f>
        <v>#DIV/0!</v>
      </c>
    </row>
    <row r="60" spans="2:81" ht="13.5" customHeight="1">
      <c r="B60" s="1" t="s">
        <v>173</v>
      </c>
      <c r="C60" s="66"/>
      <c r="D60" s="66"/>
      <c r="E60" s="66"/>
      <c r="F60" s="66">
        <v>114.377</v>
      </c>
      <c r="G60" s="66"/>
      <c r="H60" s="66">
        <v>138.97900000000001</v>
      </c>
      <c r="I60" s="66">
        <v>134.30000000000001</v>
      </c>
      <c r="AB60" s="70" t="e" cm="1">
        <f t="array" ref="AB60">_xlfn.IFS(AC59&gt;=25%,"Strong Buy",AC59&gt;=10.00001%,"Buy",AND(AC59&lt;=10%,AC59&gt;=-4.9999%),"Hold",AND(AC59&lt;=-5%,AC59&gt;=-14.999999%),"Sell",AC59&lt;=-15%,"Strong Sell")</f>
        <v>#DIV/0!</v>
      </c>
      <c r="AC60" s="70"/>
    </row>
    <row r="61" spans="2:81" ht="13.5" customHeight="1">
      <c r="B61" s="1" t="s">
        <v>174</v>
      </c>
      <c r="C61" s="66"/>
      <c r="D61" s="66"/>
      <c r="E61" s="66"/>
      <c r="F61" s="66">
        <v>80.59</v>
      </c>
      <c r="G61" s="66"/>
      <c r="H61" s="66">
        <v>74.760000000000005</v>
      </c>
      <c r="I61" s="66">
        <v>125.84</v>
      </c>
    </row>
    <row r="62" spans="2:81" ht="13.5" customHeight="1">
      <c r="B62" s="1" t="s">
        <v>175</v>
      </c>
      <c r="C62" s="66"/>
      <c r="D62" s="66"/>
      <c r="E62" s="66"/>
      <c r="F62" s="66">
        <f>46.109+2890.12</f>
        <v>2936.2289999999998</v>
      </c>
      <c r="G62" s="66"/>
      <c r="H62" s="66">
        <v>39.909999999999997</v>
      </c>
      <c r="I62" s="66">
        <v>37.28</v>
      </c>
    </row>
    <row r="63" spans="2:81" ht="13.5" customHeight="1">
      <c r="B63" s="1" t="s">
        <v>176</v>
      </c>
      <c r="C63" s="66"/>
      <c r="D63" s="66"/>
      <c r="E63" s="66"/>
      <c r="F63" s="66">
        <f t="shared" ref="F63:I63" si="30">SUM(F58:F62)</f>
        <v>3391.6259999999997</v>
      </c>
      <c r="G63" s="66">
        <f t="shared" si="30"/>
        <v>0</v>
      </c>
      <c r="H63" s="66">
        <f t="shared" si="30"/>
        <v>474.36799999999994</v>
      </c>
      <c r="I63" s="66">
        <f t="shared" si="30"/>
        <v>519.02</v>
      </c>
    </row>
    <row r="64" spans="2:81" ht="13.5" customHeight="1">
      <c r="B64" s="1" t="s">
        <v>177</v>
      </c>
      <c r="C64" s="66"/>
      <c r="D64" s="66"/>
      <c r="E64" s="66"/>
      <c r="F64" s="66">
        <v>-1930.6</v>
      </c>
      <c r="G64" s="66"/>
      <c r="H64" s="66">
        <v>1428.09</v>
      </c>
      <c r="I64" s="66">
        <v>1443.27</v>
      </c>
    </row>
    <row r="65" spans="2:81" s="2" customFormat="1" ht="13.5" customHeight="1">
      <c r="B65" s="2" t="s">
        <v>178</v>
      </c>
      <c r="C65" s="67"/>
      <c r="D65" s="67"/>
      <c r="E65" s="67"/>
      <c r="F65" s="67">
        <f t="shared" ref="F65:I65" si="31">F63+F64</f>
        <v>1461.0259999999998</v>
      </c>
      <c r="G65" s="67">
        <f t="shared" si="31"/>
        <v>0</v>
      </c>
      <c r="H65" s="67">
        <f t="shared" si="31"/>
        <v>1902.4579999999999</v>
      </c>
      <c r="I65" s="67">
        <f t="shared" si="31"/>
        <v>1962.29</v>
      </c>
      <c r="J65" s="35"/>
      <c r="K65" s="35"/>
      <c r="L65" s="35"/>
      <c r="M65" s="35"/>
      <c r="N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</row>
    <row r="67" spans="2:81">
      <c r="B67" s="1" t="s">
        <v>70</v>
      </c>
    </row>
    <row r="68" spans="2:81">
      <c r="B68" s="1" t="s">
        <v>71</v>
      </c>
    </row>
    <row r="69" spans="2:81">
      <c r="B69" s="1" t="s">
        <v>72</v>
      </c>
    </row>
    <row r="70" spans="2:81">
      <c r="B70" s="1" t="s">
        <v>73</v>
      </c>
    </row>
    <row r="71" spans="2:81">
      <c r="B71" s="1" t="s">
        <v>74</v>
      </c>
    </row>
    <row r="72" spans="2:81">
      <c r="B72" s="1" t="s">
        <v>75</v>
      </c>
    </row>
    <row r="73" spans="2:81">
      <c r="B73" s="1" t="s">
        <v>76</v>
      </c>
    </row>
    <row r="75" spans="2:81">
      <c r="B75" s="1" t="s">
        <v>77</v>
      </c>
      <c r="C75" s="66">
        <f t="shared" ref="C75:H75" si="32">C29</f>
        <v>15.924000000000069</v>
      </c>
      <c r="D75" s="66">
        <f t="shared" si="32"/>
        <v>0.38700000000005491</v>
      </c>
      <c r="E75" s="66">
        <f t="shared" si="32"/>
        <v>-22.017000000000039</v>
      </c>
      <c r="F75" s="66">
        <f t="shared" si="32"/>
        <v>-19.58499999999998</v>
      </c>
      <c r="G75" s="66">
        <f t="shared" si="32"/>
        <v>12.961000000000057</v>
      </c>
      <c r="H75" s="66">
        <f t="shared" si="32"/>
        <v>-923.35800000000017</v>
      </c>
      <c r="I75" s="66">
        <f>I29</f>
        <v>-54.708999999999968</v>
      </c>
    </row>
    <row r="76" spans="2:81">
      <c r="B76" s="1" t="s">
        <v>78</v>
      </c>
      <c r="C76" s="66">
        <v>72.159000000000006</v>
      </c>
      <c r="D76" s="66"/>
      <c r="E76" s="66"/>
      <c r="F76" s="66"/>
      <c r="G76" s="66">
        <v>-25.751000000000001</v>
      </c>
      <c r="H76" s="66"/>
      <c r="I76" s="66"/>
    </row>
    <row r="77" spans="2:81">
      <c r="B77" s="1" t="s">
        <v>79</v>
      </c>
      <c r="C77" s="66"/>
      <c r="D77" s="66"/>
      <c r="E77" s="66"/>
      <c r="F77" s="66"/>
      <c r="G77" s="66"/>
      <c r="H77" s="66"/>
      <c r="I77" s="66"/>
    </row>
    <row r="78" spans="2:81">
      <c r="B78" s="1" t="s">
        <v>80</v>
      </c>
      <c r="C78" s="66">
        <f t="shared" ref="C78:H78" si="33">C76+C77</f>
        <v>72.159000000000006</v>
      </c>
      <c r="D78" s="66">
        <f t="shared" si="33"/>
        <v>0</v>
      </c>
      <c r="E78" s="66">
        <f t="shared" si="33"/>
        <v>0</v>
      </c>
      <c r="F78" s="66">
        <f t="shared" si="33"/>
        <v>0</v>
      </c>
      <c r="G78" s="66">
        <f t="shared" si="33"/>
        <v>-25.751000000000001</v>
      </c>
      <c r="H78" s="66">
        <f t="shared" si="33"/>
        <v>0</v>
      </c>
      <c r="I78" s="66">
        <f>I76+I77</f>
        <v>0</v>
      </c>
    </row>
    <row r="79" spans="2:81">
      <c r="B79" s="1" t="s">
        <v>81</v>
      </c>
      <c r="C79" s="66"/>
      <c r="D79" s="66"/>
      <c r="E79" s="66"/>
      <c r="F79" s="66"/>
      <c r="G79" s="66"/>
      <c r="H79" s="66"/>
      <c r="I79" s="66"/>
    </row>
    <row r="80" spans="2:81">
      <c r="B80" s="1" t="s">
        <v>82</v>
      </c>
      <c r="C80" s="1" t="e">
        <f t="shared" ref="C80:H80" si="34">C78/C79</f>
        <v>#DIV/0!</v>
      </c>
      <c r="D80" s="1" t="e">
        <f t="shared" si="34"/>
        <v>#DIV/0!</v>
      </c>
      <c r="E80" s="1" t="e">
        <f t="shared" si="34"/>
        <v>#DIV/0!</v>
      </c>
      <c r="F80" s="1" t="e">
        <f t="shared" si="34"/>
        <v>#DIV/0!</v>
      </c>
      <c r="G80" s="1" t="e">
        <f t="shared" si="34"/>
        <v>#DIV/0!</v>
      </c>
      <c r="H80" s="1" t="e">
        <f t="shared" si="34"/>
        <v>#DIV/0!</v>
      </c>
      <c r="I80" s="1" t="e">
        <f>I78/I79</f>
        <v>#DIV/0!</v>
      </c>
    </row>
  </sheetData>
  <mergeCells count="1">
    <mergeCell ref="AB60:AC60"/>
  </mergeCells>
  <conditionalFormatting sqref="AB6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Sell",AB60)))</formula>
    </cfRule>
    <cfRule type="containsText" dxfId="3" priority="3" operator="containsText" text="Sell">
      <formula>NOT(ISERROR(SEARCH("Sell",AB60)))</formula>
    </cfRule>
    <cfRule type="containsText" dxfId="2" priority="4" operator="containsText" text="Hold">
      <formula>NOT(ISERROR(SEARCH("Hold",AB60)))</formula>
    </cfRule>
    <cfRule type="beginsWith" dxfId="1" priority="5" operator="beginsWith" text="Buy">
      <formula>LEFT(AB60,LEN("Buy"))="Buy"</formula>
    </cfRule>
    <cfRule type="beginsWith" dxfId="0" priority="6" operator="beginsWith" text="Strong">
      <formula>LEFT(AB60,LEN("Strong"))="Strong"</formula>
    </cfRule>
  </conditionalFormatting>
  <pageMargins left="0.7" right="0.7" top="0.75" bottom="0.75" header="0.3" footer="0.3"/>
  <ignoredErrors>
    <ignoredError sqref="T10:AC10 S11:S12 C12:I13 G8:I10 C80:I80 C33:I33 C35:G44" evalError="1"/>
    <ignoredError sqref="F17 F29 F25 F27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I1557"/>
  <sheetViews>
    <sheetView zoomScale="55" zoomScaleNormal="55" workbookViewId="0">
      <selection activeCell="S215" sqref="S215"/>
    </sheetView>
  </sheetViews>
  <sheetFormatPr defaultColWidth="9.140625" defaultRowHeight="14.25"/>
  <cols>
    <col min="1" max="7" width="9.140625" style="1"/>
    <col min="8" max="8" width="3.140625" style="1" customWidth="1"/>
    <col min="9" max="15" width="9.140625" style="1"/>
    <col min="16" max="16" width="3.140625" style="1" customWidth="1"/>
    <col min="17" max="36" width="9.140625" style="1"/>
    <col min="37" max="37" width="2.85546875" style="1" customWidth="1"/>
    <col min="38" max="16384" width="9.140625" style="1"/>
  </cols>
  <sheetData>
    <row r="1" spans="16:87">
      <c r="CI1" s="1">
        <v>0</v>
      </c>
    </row>
    <row r="2" spans="16:87" ht="15">
      <c r="P2" s="2" t="s">
        <v>110</v>
      </c>
      <c r="AL2" s="2" t="s">
        <v>83</v>
      </c>
    </row>
    <row r="36" spans="16:38" ht="15">
      <c r="P36" s="2" t="s">
        <v>114</v>
      </c>
    </row>
    <row r="37" spans="16:38" ht="15">
      <c r="Q37" s="1" t="s">
        <v>14</v>
      </c>
      <c r="AL37" s="2" t="s">
        <v>84</v>
      </c>
    </row>
    <row r="38" spans="16:38" ht="15">
      <c r="AL38" s="2" t="s">
        <v>85</v>
      </c>
    </row>
    <row r="39" spans="16:38">
      <c r="AL39" s="1" t="s">
        <v>86</v>
      </c>
    </row>
    <row r="69" spans="16:38" ht="15">
      <c r="P69" s="2" t="s">
        <v>15</v>
      </c>
      <c r="AL69" s="2" t="s">
        <v>87</v>
      </c>
    </row>
    <row r="70" spans="16:38">
      <c r="AL70" s="1" t="s">
        <v>138</v>
      </c>
    </row>
    <row r="101" spans="16:38">
      <c r="Q101" s="1" t="s">
        <v>16</v>
      </c>
      <c r="R101" s="1" t="s">
        <v>17</v>
      </c>
    </row>
    <row r="102" spans="16:38">
      <c r="R102" s="1" t="s">
        <v>18</v>
      </c>
    </row>
    <row r="103" spans="16:38">
      <c r="R103" s="1" t="s">
        <v>19</v>
      </c>
    </row>
    <row r="105" spans="16:38" ht="15">
      <c r="P105" s="2" t="s">
        <v>113</v>
      </c>
      <c r="AL105" s="2" t="s">
        <v>88</v>
      </c>
    </row>
    <row r="106" spans="16:38">
      <c r="AL106" s="1" t="s">
        <v>89</v>
      </c>
    </row>
    <row r="134" spans="16:38">
      <c r="Q134" s="1" t="s">
        <v>16</v>
      </c>
      <c r="R134" s="1" t="s">
        <v>17</v>
      </c>
    </row>
    <row r="135" spans="16:38">
      <c r="R135" s="1" t="s">
        <v>18</v>
      </c>
    </row>
    <row r="136" spans="16:38">
      <c r="R136" s="1" t="s">
        <v>19</v>
      </c>
    </row>
    <row r="138" spans="16:38" ht="15">
      <c r="P138" s="2" t="s">
        <v>112</v>
      </c>
      <c r="AL138" s="2" t="s">
        <v>90</v>
      </c>
    </row>
    <row r="139" spans="16:38">
      <c r="AL139" s="1" t="s">
        <v>91</v>
      </c>
    </row>
    <row r="154" ht="15" customHeight="1"/>
    <row r="167" spans="17:18">
      <c r="Q167" s="1" t="s">
        <v>16</v>
      </c>
      <c r="R167" s="1" t="s">
        <v>17</v>
      </c>
    </row>
    <row r="168" spans="17:18">
      <c r="R168" s="1" t="s">
        <v>18</v>
      </c>
    </row>
    <row r="169" spans="17:18">
      <c r="R169" s="1" t="s">
        <v>19</v>
      </c>
    </row>
    <row r="184" spans="1:15">
      <c r="A184" s="1" t="s">
        <v>139</v>
      </c>
    </row>
    <row r="185" spans="1:15">
      <c r="A185" s="1" t="s">
        <v>27</v>
      </c>
      <c r="I185" s="1" t="s">
        <v>27</v>
      </c>
    </row>
    <row r="186" spans="1:15">
      <c r="A186" s="24" t="s">
        <v>20</v>
      </c>
      <c r="B186" s="24" t="s">
        <v>21</v>
      </c>
      <c r="C186" s="24" t="s">
        <v>22</v>
      </c>
      <c r="D186" s="24" t="s">
        <v>23</v>
      </c>
      <c r="E186" s="24" t="s">
        <v>24</v>
      </c>
      <c r="F186" s="24" t="s">
        <v>25</v>
      </c>
      <c r="G186" s="24" t="s">
        <v>26</v>
      </c>
      <c r="I186" s="24" t="s">
        <v>20</v>
      </c>
      <c r="J186" s="24" t="s">
        <v>21</v>
      </c>
      <c r="K186" s="24" t="s">
        <v>22</v>
      </c>
      <c r="L186" s="24" t="s">
        <v>23</v>
      </c>
      <c r="M186" s="24" t="s">
        <v>24</v>
      </c>
      <c r="N186" s="24" t="s">
        <v>25</v>
      </c>
      <c r="O186" s="24" t="s">
        <v>26</v>
      </c>
    </row>
    <row r="187" spans="1:15">
      <c r="G187" s="25" t="e">
        <f>A187/D187-1</f>
        <v>#DIV/0!</v>
      </c>
      <c r="O187" s="25" t="e">
        <f>I187/L187-1</f>
        <v>#DIV/0!</v>
      </c>
    </row>
    <row r="188" spans="1:15">
      <c r="G188" s="25"/>
      <c r="O188" s="25"/>
    </row>
    <row r="189" spans="1:15">
      <c r="G189" s="25"/>
      <c r="O189" s="25"/>
    </row>
    <row r="190" spans="1:15">
      <c r="G190" s="25"/>
      <c r="O190" s="25"/>
    </row>
    <row r="191" spans="1:15">
      <c r="G191" s="25"/>
      <c r="O191" s="25"/>
    </row>
    <row r="192" spans="1:15">
      <c r="G192" s="25"/>
      <c r="O192" s="25"/>
    </row>
    <row r="193" spans="7:15">
      <c r="G193" s="25"/>
      <c r="O193" s="25"/>
    </row>
    <row r="194" spans="7:15">
      <c r="G194" s="25"/>
      <c r="O194" s="25"/>
    </row>
    <row r="195" spans="7:15">
      <c r="G195" s="25"/>
      <c r="O195" s="25"/>
    </row>
    <row r="196" spans="7:15">
      <c r="G196" s="25"/>
      <c r="O196" s="25"/>
    </row>
    <row r="197" spans="7:15">
      <c r="G197" s="25"/>
      <c r="O197" s="25"/>
    </row>
    <row r="198" spans="7:15">
      <c r="G198" s="25"/>
      <c r="O198" s="25"/>
    </row>
    <row r="199" spans="7:15">
      <c r="G199" s="25"/>
      <c r="O199" s="25"/>
    </row>
    <row r="200" spans="7:15">
      <c r="G200" s="25"/>
      <c r="O200" s="25"/>
    </row>
    <row r="201" spans="7:15">
      <c r="G201" s="25"/>
      <c r="O201" s="25"/>
    </row>
    <row r="202" spans="7:15">
      <c r="G202" s="25"/>
      <c r="O202" s="25"/>
    </row>
    <row r="203" spans="7:15">
      <c r="G203" s="25"/>
      <c r="O203" s="25"/>
    </row>
    <row r="204" spans="7:15">
      <c r="G204" s="25"/>
      <c r="O204" s="25"/>
    </row>
    <row r="205" spans="7:15">
      <c r="G205" s="25"/>
      <c r="O205" s="25"/>
    </row>
    <row r="206" spans="7:15">
      <c r="G206" s="25"/>
      <c r="O206" s="25"/>
    </row>
    <row r="207" spans="7:15">
      <c r="G207" s="25"/>
      <c r="O207" s="25"/>
    </row>
    <row r="208" spans="7:15">
      <c r="G208" s="25"/>
      <c r="O208" s="25"/>
    </row>
    <row r="209" spans="7:28">
      <c r="G209" s="25"/>
      <c r="O209" s="25"/>
      <c r="Q209" s="26"/>
      <c r="R209" s="26" t="s">
        <v>28</v>
      </c>
      <c r="S209" s="27" t="e">
        <f>MIN(O181:O1143)</f>
        <v>#DIV/0!</v>
      </c>
    </row>
    <row r="210" spans="7:28">
      <c r="G210" s="25"/>
      <c r="O210" s="25"/>
      <c r="Q210" s="26"/>
      <c r="R210" s="26" t="s">
        <v>29</v>
      </c>
      <c r="S210" s="27" t="e">
        <f>MAX(O181:O1143)</f>
        <v>#DIV/0!</v>
      </c>
    </row>
    <row r="211" spans="7:28">
      <c r="G211" s="25"/>
      <c r="O211" s="25"/>
      <c r="Q211" s="26"/>
      <c r="R211" s="26" t="s">
        <v>30</v>
      </c>
      <c r="S211" s="27" t="e">
        <f>AVERAGE(O181:O1143)</f>
        <v>#DIV/0!</v>
      </c>
    </row>
    <row r="212" spans="7:28">
      <c r="G212" s="25"/>
      <c r="O212" s="25"/>
      <c r="Q212" s="26"/>
      <c r="R212" s="26" t="s">
        <v>31</v>
      </c>
      <c r="S212" s="27" t="e">
        <f>MEDIAN(O181:O1143)</f>
        <v>#DIV/0!</v>
      </c>
    </row>
    <row r="213" spans="7:28" ht="15">
      <c r="G213" s="25"/>
      <c r="O213" s="25"/>
      <c r="Q213" s="26"/>
      <c r="R213" s="26" t="s">
        <v>32</v>
      </c>
      <c r="S213" s="27" t="e">
        <f>_xlfn.STDEV.P(O181:O1143)</f>
        <v>#DIV/0!</v>
      </c>
      <c r="U213" s="2"/>
    </row>
    <row r="214" spans="7:28" ht="15">
      <c r="G214" s="25"/>
      <c r="O214" s="25"/>
      <c r="Q214" s="26"/>
      <c r="R214" s="28" t="s">
        <v>33</v>
      </c>
      <c r="S214" s="27" t="e">
        <f>3*S213</f>
        <v>#DIV/0!</v>
      </c>
      <c r="T214" s="26"/>
      <c r="U214" s="2" t="s">
        <v>101</v>
      </c>
    </row>
    <row r="215" spans="7:28" ht="15">
      <c r="G215" s="25"/>
      <c r="O215" s="25"/>
      <c r="Q215" s="26"/>
      <c r="R215" s="28" t="s">
        <v>34</v>
      </c>
      <c r="S215" s="65" t="e">
        <f>_xlfn.COVARIANCE.P(O132:O380,G132:G380)/_xlfn.VAR.P(G132:G380)</f>
        <v>#DIV/0!</v>
      </c>
      <c r="T215" s="26"/>
      <c r="U215" s="2" t="s">
        <v>35</v>
      </c>
    </row>
    <row r="216" spans="7:28">
      <c r="G216" s="25"/>
      <c r="O216" s="25"/>
    </row>
    <row r="217" spans="7:28">
      <c r="G217" s="25"/>
      <c r="O217" s="25"/>
    </row>
    <row r="218" spans="7:28">
      <c r="G218" s="25"/>
      <c r="O218" s="25"/>
      <c r="T218" s="29" t="s">
        <v>36</v>
      </c>
      <c r="U218" s="30">
        <v>1014</v>
      </c>
    </row>
    <row r="219" spans="7:28" ht="15" thickBot="1">
      <c r="G219" s="25"/>
      <c r="O219" s="25"/>
      <c r="T219" s="1" t="s">
        <v>37</v>
      </c>
      <c r="W219" s="1" t="s">
        <v>38</v>
      </c>
      <c r="AA219" s="1" t="s">
        <v>39</v>
      </c>
    </row>
    <row r="220" spans="7:28" ht="15" customHeight="1">
      <c r="G220" s="25"/>
      <c r="O220" s="25"/>
      <c r="T220" s="31" t="s">
        <v>40</v>
      </c>
      <c r="U220" s="31" t="s">
        <v>41</v>
      </c>
      <c r="W220" s="32" t="s">
        <v>42</v>
      </c>
      <c r="X220" s="33" t="s">
        <v>43</v>
      </c>
      <c r="AA220" s="32" t="s">
        <v>44</v>
      </c>
      <c r="AB220" s="33" t="s">
        <v>45</v>
      </c>
    </row>
    <row r="221" spans="7:28">
      <c r="G221" s="25"/>
      <c r="O221" s="25"/>
      <c r="R221" s="62">
        <f t="shared" ref="R221:R249" si="0">R222-0.001</f>
        <v>-3.1000000000000021E-2</v>
      </c>
      <c r="Z221" s="1" t="s">
        <v>92</v>
      </c>
      <c r="AA221" s="62" t="e">
        <f>S211</f>
        <v>#DIV/0!</v>
      </c>
    </row>
    <row r="222" spans="7:28">
      <c r="G222" s="25"/>
      <c r="O222" s="25"/>
      <c r="R222" s="62">
        <f t="shared" si="0"/>
        <v>-3.000000000000002E-2</v>
      </c>
      <c r="AA222" s="62" t="e">
        <f>S211</f>
        <v>#DIV/0!</v>
      </c>
    </row>
    <row r="223" spans="7:28">
      <c r="G223" s="25"/>
      <c r="O223" s="25"/>
      <c r="R223" s="62">
        <f t="shared" si="0"/>
        <v>-2.9000000000000019E-2</v>
      </c>
      <c r="Z223" s="39" t="s">
        <v>93</v>
      </c>
      <c r="AA223" s="62" t="e">
        <f>($S$213*-3)+$S$211</f>
        <v>#DIV/0!</v>
      </c>
    </row>
    <row r="224" spans="7:28">
      <c r="G224" s="25"/>
      <c r="O224" s="25"/>
      <c r="R224" s="62">
        <f t="shared" si="0"/>
        <v>-2.8000000000000018E-2</v>
      </c>
      <c r="Z224" s="40"/>
      <c r="AA224" s="62" t="e">
        <f>($S$213*-3)+$S$211</f>
        <v>#DIV/0!</v>
      </c>
    </row>
    <row r="225" spans="7:27">
      <c r="G225" s="25"/>
      <c r="O225" s="25"/>
      <c r="R225" s="62">
        <f t="shared" si="0"/>
        <v>-2.7000000000000017E-2</v>
      </c>
      <c r="Z225" s="39" t="s">
        <v>94</v>
      </c>
      <c r="AA225" s="62" t="e">
        <f>($S$213*-2)+$S$211</f>
        <v>#DIV/0!</v>
      </c>
    </row>
    <row r="226" spans="7:27">
      <c r="G226" s="25"/>
      <c r="O226" s="25"/>
      <c r="R226" s="62">
        <f t="shared" si="0"/>
        <v>-2.6000000000000016E-2</v>
      </c>
      <c r="Z226" s="40"/>
      <c r="AA226" s="62" t="e">
        <f>($S$213*-2)+$S$211</f>
        <v>#DIV/0!</v>
      </c>
    </row>
    <row r="227" spans="7:27">
      <c r="G227" s="25"/>
      <c r="O227" s="25"/>
      <c r="R227" s="62">
        <f t="shared" si="0"/>
        <v>-2.5000000000000015E-2</v>
      </c>
      <c r="Z227" s="41" t="s">
        <v>95</v>
      </c>
      <c r="AA227" s="62" t="e">
        <f>($S$213*-1)+$S$211</f>
        <v>#DIV/0!</v>
      </c>
    </row>
    <row r="228" spans="7:27">
      <c r="G228" s="25"/>
      <c r="O228" s="25"/>
      <c r="R228" s="62">
        <f t="shared" si="0"/>
        <v>-2.4000000000000014E-2</v>
      </c>
      <c r="AA228" s="62" t="e">
        <f>($S$213*-1)+$S$211</f>
        <v>#DIV/0!</v>
      </c>
    </row>
    <row r="229" spans="7:27">
      <c r="G229" s="25"/>
      <c r="O229" s="25"/>
      <c r="R229" s="62">
        <f t="shared" si="0"/>
        <v>-2.3000000000000013E-2</v>
      </c>
      <c r="Z229" s="1" t="s">
        <v>96</v>
      </c>
      <c r="AA229" s="62" t="e">
        <f>($S$213*1)+$S$211</f>
        <v>#DIV/0!</v>
      </c>
    </row>
    <row r="230" spans="7:27">
      <c r="G230" s="25"/>
      <c r="O230" s="25"/>
      <c r="R230" s="62">
        <f t="shared" si="0"/>
        <v>-2.2000000000000013E-2</v>
      </c>
      <c r="AA230" s="62" t="e">
        <f>($S$213*1)+$S$211</f>
        <v>#DIV/0!</v>
      </c>
    </row>
    <row r="231" spans="7:27">
      <c r="G231" s="25"/>
      <c r="O231" s="25"/>
      <c r="R231" s="62">
        <f t="shared" si="0"/>
        <v>-2.1000000000000012E-2</v>
      </c>
      <c r="Z231" s="42" t="s">
        <v>97</v>
      </c>
      <c r="AA231" s="62" t="e">
        <f>($S$213*2)+$S$211</f>
        <v>#DIV/0!</v>
      </c>
    </row>
    <row r="232" spans="7:27">
      <c r="G232" s="25"/>
      <c r="O232" s="25"/>
      <c r="R232" s="62">
        <f t="shared" si="0"/>
        <v>-2.0000000000000011E-2</v>
      </c>
      <c r="AA232" s="62" t="e">
        <f>($S$213*2)+$S$211</f>
        <v>#DIV/0!</v>
      </c>
    </row>
    <row r="233" spans="7:27">
      <c r="G233" s="25"/>
      <c r="O233" s="25"/>
      <c r="R233" s="62">
        <f t="shared" si="0"/>
        <v>-1.900000000000001E-2</v>
      </c>
      <c r="Z233" s="42" t="s">
        <v>98</v>
      </c>
      <c r="AA233" s="62" t="e">
        <f>($S$213*3)+$S$211</f>
        <v>#DIV/0!</v>
      </c>
    </row>
    <row r="234" spans="7:27">
      <c r="G234" s="25"/>
      <c r="O234" s="25"/>
      <c r="R234" s="62">
        <f t="shared" si="0"/>
        <v>-1.8000000000000009E-2</v>
      </c>
      <c r="Z234" s="42"/>
      <c r="AA234" s="62" t="e">
        <f>($S$213*3)+$S$211</f>
        <v>#DIV/0!</v>
      </c>
    </row>
    <row r="235" spans="7:27">
      <c r="G235" s="25"/>
      <c r="O235" s="25"/>
      <c r="R235" s="62">
        <f t="shared" si="0"/>
        <v>-1.7000000000000008E-2</v>
      </c>
    </row>
    <row r="236" spans="7:27">
      <c r="G236" s="25"/>
      <c r="O236" s="25"/>
      <c r="R236" s="62">
        <f t="shared" si="0"/>
        <v>-1.6000000000000007E-2</v>
      </c>
    </row>
    <row r="237" spans="7:27">
      <c r="G237" s="25"/>
      <c r="O237" s="25"/>
      <c r="R237" s="62">
        <f t="shared" si="0"/>
        <v>-1.5000000000000006E-2</v>
      </c>
    </row>
    <row r="238" spans="7:27">
      <c r="G238" s="25"/>
      <c r="O238" s="25"/>
      <c r="R238" s="62">
        <f t="shared" si="0"/>
        <v>-1.4000000000000005E-2</v>
      </c>
    </row>
    <row r="239" spans="7:27">
      <c r="G239" s="25"/>
      <c r="O239" s="25"/>
      <c r="R239" s="62">
        <f t="shared" si="0"/>
        <v>-1.3000000000000005E-2</v>
      </c>
    </row>
    <row r="240" spans="7:27">
      <c r="G240" s="25"/>
      <c r="O240" s="25"/>
      <c r="R240" s="62">
        <f t="shared" si="0"/>
        <v>-1.2000000000000004E-2</v>
      </c>
    </row>
    <row r="241" spans="7:18">
      <c r="G241" s="25"/>
      <c r="O241" s="25"/>
      <c r="R241" s="62">
        <f t="shared" si="0"/>
        <v>-1.1000000000000003E-2</v>
      </c>
    </row>
    <row r="242" spans="7:18">
      <c r="G242" s="25"/>
      <c r="O242" s="25"/>
      <c r="R242" s="62">
        <f t="shared" si="0"/>
        <v>-1.0000000000000002E-2</v>
      </c>
    </row>
    <row r="243" spans="7:18">
      <c r="G243" s="25"/>
      <c r="O243" s="25"/>
      <c r="R243" s="62">
        <f t="shared" si="0"/>
        <v>-9.0000000000000011E-3</v>
      </c>
    </row>
    <row r="244" spans="7:18">
      <c r="G244" s="25"/>
      <c r="O244" s="25"/>
      <c r="R244" s="62">
        <f t="shared" si="0"/>
        <v>-8.0000000000000002E-3</v>
      </c>
    </row>
    <row r="245" spans="7:18">
      <c r="G245" s="25"/>
      <c r="O245" s="25"/>
      <c r="R245" s="62">
        <f t="shared" si="0"/>
        <v>-7.0000000000000001E-3</v>
      </c>
    </row>
    <row r="246" spans="7:18">
      <c r="G246" s="25"/>
      <c r="O246" s="25"/>
      <c r="R246" s="62">
        <f t="shared" si="0"/>
        <v>-6.0000000000000001E-3</v>
      </c>
    </row>
    <row r="247" spans="7:18">
      <c r="G247" s="25"/>
      <c r="O247" s="25"/>
      <c r="R247" s="62">
        <f t="shared" si="0"/>
        <v>-5.0000000000000001E-3</v>
      </c>
    </row>
    <row r="248" spans="7:18">
      <c r="G248" s="25"/>
      <c r="O248" s="25"/>
      <c r="R248" s="62">
        <f t="shared" si="0"/>
        <v>-4.0000000000000001E-3</v>
      </c>
    </row>
    <row r="249" spans="7:18">
      <c r="G249" s="25"/>
      <c r="O249" s="25"/>
      <c r="R249" s="62">
        <f t="shared" si="0"/>
        <v>-3.0000000000000001E-3</v>
      </c>
    </row>
    <row r="250" spans="7:18">
      <c r="G250" s="25"/>
      <c r="O250" s="25"/>
      <c r="R250" s="62">
        <f>R251-0.001</f>
        <v>-2E-3</v>
      </c>
    </row>
    <row r="251" spans="7:18">
      <c r="G251" s="25"/>
      <c r="O251" s="25"/>
      <c r="R251" s="62">
        <f>R252-0.001</f>
        <v>-1E-3</v>
      </c>
    </row>
    <row r="252" spans="7:18">
      <c r="G252" s="25"/>
      <c r="O252" s="25"/>
      <c r="R252" s="62">
        <v>0</v>
      </c>
    </row>
    <row r="253" spans="7:18">
      <c r="G253" s="25"/>
      <c r="O253" s="25"/>
      <c r="R253" s="25">
        <f>R252+0.001</f>
        <v>1E-3</v>
      </c>
    </row>
    <row r="254" spans="7:18">
      <c r="G254" s="25"/>
      <c r="O254" s="25"/>
      <c r="R254" s="25">
        <f>R253+0.001</f>
        <v>2E-3</v>
      </c>
    </row>
    <row r="255" spans="7:18">
      <c r="G255" s="25"/>
      <c r="O255" s="25"/>
      <c r="R255" s="25">
        <f>R254+0.001</f>
        <v>3.0000000000000001E-3</v>
      </c>
    </row>
    <row r="256" spans="7:18">
      <c r="G256" s="25"/>
      <c r="O256" s="25"/>
      <c r="R256" s="25">
        <f t="shared" ref="R256:R283" si="1">R255+0.001</f>
        <v>4.0000000000000001E-3</v>
      </c>
    </row>
    <row r="257" spans="7:18">
      <c r="G257" s="25"/>
      <c r="O257" s="25"/>
      <c r="R257" s="25">
        <f t="shared" si="1"/>
        <v>5.0000000000000001E-3</v>
      </c>
    </row>
    <row r="258" spans="7:18">
      <c r="G258" s="25"/>
      <c r="O258" s="25"/>
      <c r="R258" s="25">
        <f t="shared" si="1"/>
        <v>6.0000000000000001E-3</v>
      </c>
    </row>
    <row r="259" spans="7:18">
      <c r="G259" s="25"/>
      <c r="O259" s="25"/>
      <c r="R259" s="25">
        <f t="shared" si="1"/>
        <v>7.0000000000000001E-3</v>
      </c>
    </row>
    <row r="260" spans="7:18">
      <c r="G260" s="25"/>
      <c r="O260" s="25"/>
      <c r="R260" s="25">
        <f t="shared" si="1"/>
        <v>8.0000000000000002E-3</v>
      </c>
    </row>
    <row r="261" spans="7:18">
      <c r="G261" s="25"/>
      <c r="O261" s="25"/>
      <c r="R261" s="25">
        <f t="shared" si="1"/>
        <v>9.0000000000000011E-3</v>
      </c>
    </row>
    <row r="262" spans="7:18">
      <c r="G262" s="25"/>
      <c r="O262" s="25"/>
      <c r="R262" s="25">
        <f t="shared" si="1"/>
        <v>1.0000000000000002E-2</v>
      </c>
    </row>
    <row r="263" spans="7:18">
      <c r="G263" s="25"/>
      <c r="O263" s="25"/>
      <c r="R263" s="25">
        <f t="shared" si="1"/>
        <v>1.1000000000000003E-2</v>
      </c>
    </row>
    <row r="264" spans="7:18">
      <c r="G264" s="25"/>
      <c r="O264" s="25"/>
      <c r="R264" s="25">
        <f t="shared" si="1"/>
        <v>1.2000000000000004E-2</v>
      </c>
    </row>
    <row r="265" spans="7:18">
      <c r="G265" s="25"/>
      <c r="O265" s="25"/>
      <c r="R265" s="25">
        <f t="shared" si="1"/>
        <v>1.3000000000000005E-2</v>
      </c>
    </row>
    <row r="266" spans="7:18">
      <c r="G266" s="25"/>
      <c r="O266" s="25"/>
      <c r="R266" s="25">
        <f t="shared" si="1"/>
        <v>1.4000000000000005E-2</v>
      </c>
    </row>
    <row r="267" spans="7:18">
      <c r="G267" s="25"/>
      <c r="O267" s="25"/>
      <c r="R267" s="25">
        <f t="shared" si="1"/>
        <v>1.5000000000000006E-2</v>
      </c>
    </row>
    <row r="268" spans="7:18">
      <c r="G268" s="25"/>
      <c r="O268" s="25"/>
      <c r="R268" s="25">
        <f t="shared" si="1"/>
        <v>1.6000000000000007E-2</v>
      </c>
    </row>
    <row r="269" spans="7:18">
      <c r="G269" s="25"/>
      <c r="O269" s="25"/>
      <c r="R269" s="25">
        <f t="shared" si="1"/>
        <v>1.7000000000000008E-2</v>
      </c>
    </row>
    <row r="270" spans="7:18">
      <c r="G270" s="25"/>
      <c r="O270" s="25"/>
      <c r="R270" s="25">
        <f t="shared" si="1"/>
        <v>1.8000000000000009E-2</v>
      </c>
    </row>
    <row r="271" spans="7:18">
      <c r="G271" s="25"/>
      <c r="O271" s="25"/>
      <c r="R271" s="25">
        <f t="shared" si="1"/>
        <v>1.900000000000001E-2</v>
      </c>
    </row>
    <row r="272" spans="7:18">
      <c r="G272" s="25"/>
      <c r="O272" s="25"/>
      <c r="R272" s="25">
        <f t="shared" si="1"/>
        <v>2.0000000000000011E-2</v>
      </c>
    </row>
    <row r="273" spans="7:18">
      <c r="G273" s="25"/>
      <c r="O273" s="25"/>
      <c r="R273" s="25">
        <f t="shared" si="1"/>
        <v>2.1000000000000012E-2</v>
      </c>
    </row>
    <row r="274" spans="7:18">
      <c r="G274" s="25"/>
      <c r="O274" s="25"/>
      <c r="R274" s="25">
        <f t="shared" si="1"/>
        <v>2.2000000000000013E-2</v>
      </c>
    </row>
    <row r="275" spans="7:18">
      <c r="G275" s="25"/>
      <c r="O275" s="25"/>
      <c r="R275" s="25">
        <f t="shared" si="1"/>
        <v>2.3000000000000013E-2</v>
      </c>
    </row>
    <row r="276" spans="7:18">
      <c r="G276" s="25"/>
      <c r="O276" s="25"/>
      <c r="R276" s="25">
        <f t="shared" si="1"/>
        <v>2.4000000000000014E-2</v>
      </c>
    </row>
    <row r="277" spans="7:18">
      <c r="G277" s="25"/>
      <c r="O277" s="25"/>
      <c r="R277" s="25">
        <f t="shared" si="1"/>
        <v>2.5000000000000015E-2</v>
      </c>
    </row>
    <row r="278" spans="7:18">
      <c r="G278" s="25"/>
      <c r="O278" s="25"/>
      <c r="R278" s="25">
        <f t="shared" si="1"/>
        <v>2.6000000000000016E-2</v>
      </c>
    </row>
    <row r="279" spans="7:18">
      <c r="G279" s="25"/>
      <c r="O279" s="25"/>
      <c r="R279" s="25">
        <f t="shared" si="1"/>
        <v>2.7000000000000017E-2</v>
      </c>
    </row>
    <row r="280" spans="7:18">
      <c r="G280" s="25"/>
      <c r="O280" s="25"/>
      <c r="R280" s="25">
        <f t="shared" si="1"/>
        <v>2.8000000000000018E-2</v>
      </c>
    </row>
    <row r="281" spans="7:18">
      <c r="G281" s="25"/>
      <c r="O281" s="25"/>
      <c r="R281" s="25">
        <f t="shared" si="1"/>
        <v>2.9000000000000019E-2</v>
      </c>
    </row>
    <row r="282" spans="7:18">
      <c r="G282" s="25"/>
      <c r="O282" s="25"/>
      <c r="R282" s="25">
        <f t="shared" si="1"/>
        <v>3.000000000000002E-2</v>
      </c>
    </row>
    <row r="283" spans="7:18">
      <c r="G283" s="25"/>
      <c r="O283" s="25"/>
      <c r="R283" s="25">
        <f t="shared" si="1"/>
        <v>3.1000000000000021E-2</v>
      </c>
    </row>
    <row r="284" spans="7:18">
      <c r="G284" s="25"/>
      <c r="O284" s="25"/>
    </row>
    <row r="285" spans="7:18">
      <c r="G285" s="25"/>
      <c r="O285" s="25"/>
    </row>
    <row r="286" spans="7:18">
      <c r="G286" s="25"/>
      <c r="O286" s="25"/>
    </row>
    <row r="287" spans="7:18">
      <c r="G287" s="25"/>
      <c r="O287" s="25"/>
    </row>
    <row r="288" spans="7:18">
      <c r="G288" s="25"/>
      <c r="O288" s="25"/>
    </row>
    <row r="289" spans="7:15">
      <c r="G289" s="25"/>
      <c r="O289" s="25"/>
    </row>
    <row r="290" spans="7:15">
      <c r="G290" s="25"/>
      <c r="O290" s="25"/>
    </row>
    <row r="291" spans="7:15">
      <c r="G291" s="25"/>
      <c r="O291" s="25"/>
    </row>
    <row r="292" spans="7:15">
      <c r="G292" s="25"/>
      <c r="O292" s="25"/>
    </row>
    <row r="293" spans="7:15">
      <c r="G293" s="25"/>
      <c r="O293" s="25"/>
    </row>
    <row r="294" spans="7:15">
      <c r="G294" s="25"/>
      <c r="O294" s="25"/>
    </row>
    <row r="295" spans="7:15">
      <c r="G295" s="25"/>
      <c r="O295" s="25"/>
    </row>
    <row r="296" spans="7:15">
      <c r="G296" s="25"/>
      <c r="O296" s="25"/>
    </row>
    <row r="297" spans="7:15">
      <c r="G297" s="25"/>
      <c r="O297" s="25"/>
    </row>
    <row r="298" spans="7:15">
      <c r="G298" s="25"/>
      <c r="O298" s="25"/>
    </row>
    <row r="299" spans="7:15">
      <c r="G299" s="25"/>
      <c r="O299" s="25"/>
    </row>
    <row r="300" spans="7:15">
      <c r="G300" s="25"/>
      <c r="O300" s="25"/>
    </row>
    <row r="301" spans="7:15">
      <c r="G301" s="25"/>
      <c r="O301" s="25"/>
    </row>
    <row r="302" spans="7:15">
      <c r="G302" s="25"/>
      <c r="O302" s="25"/>
    </row>
    <row r="303" spans="7:15">
      <c r="G303" s="25"/>
      <c r="O303" s="25"/>
    </row>
    <row r="304" spans="7:15">
      <c r="G304" s="25"/>
      <c r="O304" s="25"/>
    </row>
    <row r="305" spans="7:15">
      <c r="G305" s="25"/>
      <c r="O305" s="25"/>
    </row>
    <row r="306" spans="7:15">
      <c r="G306" s="25"/>
      <c r="O306" s="25"/>
    </row>
    <row r="307" spans="7:15">
      <c r="G307" s="25"/>
      <c r="O307" s="25"/>
    </row>
    <row r="308" spans="7:15">
      <c r="G308" s="25"/>
      <c r="O308" s="25"/>
    </row>
    <row r="309" spans="7:15">
      <c r="G309" s="25"/>
      <c r="O309" s="25"/>
    </row>
    <row r="310" spans="7:15">
      <c r="G310" s="25"/>
      <c r="O310" s="25"/>
    </row>
    <row r="311" spans="7:15">
      <c r="G311" s="25"/>
      <c r="O311" s="25"/>
    </row>
    <row r="312" spans="7:15">
      <c r="G312" s="25"/>
      <c r="O312" s="25"/>
    </row>
    <row r="313" spans="7:15">
      <c r="G313" s="25"/>
      <c r="O313" s="25"/>
    </row>
    <row r="314" spans="7:15">
      <c r="G314" s="25"/>
      <c r="O314" s="25"/>
    </row>
    <row r="315" spans="7:15">
      <c r="G315" s="25"/>
      <c r="O315" s="25"/>
    </row>
    <row r="316" spans="7:15">
      <c r="G316" s="25"/>
      <c r="O316" s="25"/>
    </row>
    <row r="317" spans="7:15">
      <c r="G317" s="25"/>
      <c r="O317" s="25"/>
    </row>
    <row r="318" spans="7:15">
      <c r="G318" s="25"/>
      <c r="O318" s="25"/>
    </row>
    <row r="319" spans="7:15">
      <c r="G319" s="25"/>
      <c r="O319" s="25"/>
    </row>
    <row r="320" spans="7:15">
      <c r="G320" s="25"/>
      <c r="O320" s="25"/>
    </row>
    <row r="321" spans="7:15">
      <c r="G321" s="25"/>
      <c r="O321" s="25"/>
    </row>
    <row r="322" spans="7:15">
      <c r="G322" s="25"/>
      <c r="O322" s="25"/>
    </row>
    <row r="323" spans="7:15">
      <c r="G323" s="25"/>
      <c r="O323" s="25"/>
    </row>
    <row r="324" spans="7:15">
      <c r="G324" s="25"/>
      <c r="O324" s="25"/>
    </row>
    <row r="325" spans="7:15">
      <c r="G325" s="25"/>
      <c r="O325" s="25"/>
    </row>
    <row r="326" spans="7:15">
      <c r="G326" s="25"/>
      <c r="O326" s="25"/>
    </row>
    <row r="327" spans="7:15">
      <c r="G327" s="25"/>
      <c r="O327" s="25"/>
    </row>
    <row r="328" spans="7:15">
      <c r="G328" s="25"/>
      <c r="O328" s="25"/>
    </row>
    <row r="329" spans="7:15">
      <c r="G329" s="25"/>
      <c r="O329" s="25"/>
    </row>
    <row r="330" spans="7:15">
      <c r="G330" s="25"/>
      <c r="O330" s="25"/>
    </row>
    <row r="331" spans="7:15">
      <c r="G331" s="25"/>
      <c r="O331" s="25"/>
    </row>
    <row r="332" spans="7:15">
      <c r="G332" s="25"/>
      <c r="O332" s="25"/>
    </row>
    <row r="333" spans="7:15">
      <c r="G333" s="25"/>
      <c r="O333" s="25"/>
    </row>
    <row r="334" spans="7:15">
      <c r="G334" s="25"/>
      <c r="O334" s="25"/>
    </row>
    <row r="335" spans="7:15">
      <c r="G335" s="25"/>
      <c r="O335" s="25"/>
    </row>
    <row r="336" spans="7:15">
      <c r="G336" s="25"/>
      <c r="O336" s="25"/>
    </row>
    <row r="337" spans="7:15">
      <c r="G337" s="25"/>
      <c r="O337" s="25"/>
    </row>
    <row r="338" spans="7:15">
      <c r="G338" s="25"/>
      <c r="O338" s="25"/>
    </row>
    <row r="339" spans="7:15">
      <c r="G339" s="25"/>
      <c r="O339" s="25"/>
    </row>
    <row r="340" spans="7:15">
      <c r="G340" s="25"/>
      <c r="O340" s="25"/>
    </row>
    <row r="341" spans="7:15">
      <c r="G341" s="25"/>
      <c r="O341" s="25"/>
    </row>
    <row r="342" spans="7:15">
      <c r="G342" s="25"/>
      <c r="O342" s="25"/>
    </row>
    <row r="343" spans="7:15">
      <c r="G343" s="25"/>
      <c r="O343" s="25"/>
    </row>
    <row r="344" spans="7:15">
      <c r="G344" s="25"/>
      <c r="O344" s="25"/>
    </row>
    <row r="345" spans="7:15">
      <c r="G345" s="25"/>
      <c r="O345" s="25"/>
    </row>
    <row r="346" spans="7:15">
      <c r="G346" s="25"/>
      <c r="O346" s="25"/>
    </row>
    <row r="347" spans="7:15">
      <c r="G347" s="25"/>
      <c r="O347" s="25"/>
    </row>
    <row r="348" spans="7:15">
      <c r="G348" s="25"/>
      <c r="O348" s="25"/>
    </row>
    <row r="349" spans="7:15">
      <c r="G349" s="25"/>
      <c r="O349" s="25"/>
    </row>
    <row r="350" spans="7:15">
      <c r="G350" s="25"/>
      <c r="O350" s="25"/>
    </row>
    <row r="351" spans="7:15">
      <c r="G351" s="25"/>
      <c r="O351" s="25"/>
    </row>
    <row r="352" spans="7:15">
      <c r="G352" s="25"/>
      <c r="O352" s="25"/>
    </row>
    <row r="353" spans="7:15">
      <c r="G353" s="25"/>
      <c r="O353" s="25"/>
    </row>
    <row r="354" spans="7:15">
      <c r="G354" s="25"/>
      <c r="O354" s="25"/>
    </row>
    <row r="355" spans="7:15">
      <c r="G355" s="25"/>
      <c r="O355" s="25"/>
    </row>
    <row r="356" spans="7:15">
      <c r="G356" s="25"/>
      <c r="O356" s="25"/>
    </row>
    <row r="357" spans="7:15">
      <c r="G357" s="25"/>
      <c r="O357" s="25"/>
    </row>
    <row r="358" spans="7:15">
      <c r="G358" s="25"/>
      <c r="O358" s="25"/>
    </row>
    <row r="359" spans="7:15">
      <c r="G359" s="25"/>
      <c r="O359" s="25"/>
    </row>
    <row r="360" spans="7:15">
      <c r="G360" s="25"/>
      <c r="O360" s="25"/>
    </row>
    <row r="361" spans="7:15">
      <c r="G361" s="25"/>
      <c r="O361" s="25"/>
    </row>
    <row r="362" spans="7:15">
      <c r="G362" s="25"/>
      <c r="O362" s="25"/>
    </row>
    <row r="363" spans="7:15">
      <c r="G363" s="25"/>
      <c r="O363" s="25"/>
    </row>
    <row r="364" spans="7:15">
      <c r="G364" s="25"/>
      <c r="O364" s="25"/>
    </row>
    <row r="365" spans="7:15">
      <c r="G365" s="25"/>
      <c r="O365" s="25"/>
    </row>
    <row r="366" spans="7:15">
      <c r="G366" s="25"/>
      <c r="O366" s="25"/>
    </row>
    <row r="367" spans="7:15">
      <c r="G367" s="25"/>
      <c r="O367" s="25"/>
    </row>
    <row r="368" spans="7:15">
      <c r="G368" s="25"/>
      <c r="O368" s="25"/>
    </row>
    <row r="369" spans="7:15">
      <c r="G369" s="25"/>
      <c r="O369" s="25"/>
    </row>
    <row r="370" spans="7:15">
      <c r="G370" s="25"/>
      <c r="O370" s="25"/>
    </row>
    <row r="371" spans="7:15">
      <c r="G371" s="25"/>
      <c r="O371" s="25"/>
    </row>
    <row r="372" spans="7:15">
      <c r="G372" s="25"/>
      <c r="O372" s="25"/>
    </row>
    <row r="373" spans="7:15">
      <c r="G373" s="25"/>
      <c r="O373" s="25"/>
    </row>
    <row r="374" spans="7:15">
      <c r="G374" s="25"/>
      <c r="O374" s="25"/>
    </row>
    <row r="375" spans="7:15">
      <c r="G375" s="25"/>
      <c r="O375" s="25"/>
    </row>
    <row r="376" spans="7:15">
      <c r="G376" s="25"/>
      <c r="O376" s="25"/>
    </row>
    <row r="377" spans="7:15">
      <c r="G377" s="25"/>
      <c r="O377" s="25"/>
    </row>
    <row r="378" spans="7:15">
      <c r="G378" s="25"/>
      <c r="O378" s="25"/>
    </row>
    <row r="379" spans="7:15">
      <c r="G379" s="25"/>
      <c r="O379" s="25"/>
    </row>
    <row r="380" spans="7:15">
      <c r="G380" s="25"/>
      <c r="O380" s="25"/>
    </row>
    <row r="381" spans="7:15">
      <c r="G381" s="25"/>
      <c r="O381" s="25"/>
    </row>
    <row r="382" spans="7:15">
      <c r="G382" s="25"/>
      <c r="O382" s="25"/>
    </row>
    <row r="383" spans="7:15">
      <c r="G383" s="25"/>
      <c r="O383" s="25"/>
    </row>
    <row r="384" spans="7:15">
      <c r="G384" s="25"/>
      <c r="O384" s="25"/>
    </row>
    <row r="385" spans="7:15">
      <c r="G385" s="25"/>
      <c r="O385" s="25"/>
    </row>
    <row r="386" spans="7:15">
      <c r="G386" s="25"/>
      <c r="O386" s="25"/>
    </row>
    <row r="387" spans="7:15">
      <c r="G387" s="25"/>
      <c r="O387" s="25"/>
    </row>
    <row r="388" spans="7:15">
      <c r="G388" s="25"/>
      <c r="O388" s="25"/>
    </row>
    <row r="389" spans="7:15">
      <c r="G389" s="25"/>
      <c r="O389" s="25"/>
    </row>
    <row r="390" spans="7:15">
      <c r="G390" s="25"/>
      <c r="O390" s="25"/>
    </row>
    <row r="391" spans="7:15">
      <c r="G391" s="25"/>
      <c r="O391" s="25"/>
    </row>
    <row r="392" spans="7:15">
      <c r="G392" s="25"/>
      <c r="O392" s="25"/>
    </row>
    <row r="393" spans="7:15">
      <c r="G393" s="25"/>
      <c r="O393" s="25"/>
    </row>
    <row r="394" spans="7:15">
      <c r="G394" s="25"/>
      <c r="O394" s="25"/>
    </row>
    <row r="395" spans="7:15">
      <c r="G395" s="25"/>
      <c r="O395" s="25"/>
    </row>
    <row r="396" spans="7:15">
      <c r="G396" s="25"/>
      <c r="O396" s="25"/>
    </row>
    <row r="397" spans="7:15">
      <c r="G397" s="25"/>
      <c r="O397" s="25"/>
    </row>
    <row r="398" spans="7:15">
      <c r="G398" s="25"/>
      <c r="O398" s="25"/>
    </row>
    <row r="399" spans="7:15">
      <c r="G399" s="25"/>
      <c r="O399" s="25"/>
    </row>
    <row r="400" spans="7:15">
      <c r="G400" s="25"/>
      <c r="O400" s="25"/>
    </row>
    <row r="401" spans="7:15">
      <c r="G401" s="25"/>
      <c r="O401" s="25"/>
    </row>
    <row r="402" spans="7:15">
      <c r="G402" s="25"/>
      <c r="O402" s="25"/>
    </row>
    <row r="403" spans="7:15">
      <c r="G403" s="25"/>
      <c r="O403" s="25"/>
    </row>
    <row r="404" spans="7:15">
      <c r="G404" s="25"/>
      <c r="O404" s="25"/>
    </row>
    <row r="405" spans="7:15">
      <c r="G405" s="25"/>
      <c r="O405" s="25"/>
    </row>
    <row r="406" spans="7:15">
      <c r="G406" s="25"/>
      <c r="O406" s="25"/>
    </row>
    <row r="407" spans="7:15">
      <c r="G407" s="25"/>
      <c r="O407" s="25"/>
    </row>
    <row r="408" spans="7:15">
      <c r="G408" s="25"/>
      <c r="O408" s="25"/>
    </row>
    <row r="409" spans="7:15">
      <c r="G409" s="25"/>
      <c r="O409" s="25"/>
    </row>
    <row r="410" spans="7:15">
      <c r="G410" s="25"/>
      <c r="O410" s="25"/>
    </row>
    <row r="411" spans="7:15">
      <c r="G411" s="25"/>
      <c r="O411" s="25"/>
    </row>
    <row r="412" spans="7:15">
      <c r="G412" s="25"/>
      <c r="O412" s="25"/>
    </row>
    <row r="413" spans="7:15">
      <c r="G413" s="25"/>
      <c r="O413" s="25"/>
    </row>
    <row r="414" spans="7:15">
      <c r="G414" s="25"/>
      <c r="O414" s="25"/>
    </row>
    <row r="415" spans="7:15">
      <c r="G415" s="25"/>
      <c r="O415" s="25"/>
    </row>
    <row r="416" spans="7:15">
      <c r="G416" s="25"/>
      <c r="O416" s="25"/>
    </row>
    <row r="417" spans="7:15">
      <c r="G417" s="25"/>
      <c r="O417" s="25"/>
    </row>
    <row r="418" spans="7:15">
      <c r="G418" s="25"/>
      <c r="O418" s="25"/>
    </row>
    <row r="419" spans="7:15">
      <c r="G419" s="25"/>
      <c r="O419" s="25"/>
    </row>
    <row r="420" spans="7:15">
      <c r="G420" s="25"/>
      <c r="O420" s="25"/>
    </row>
    <row r="421" spans="7:15">
      <c r="G421" s="25"/>
      <c r="O421" s="25"/>
    </row>
    <row r="422" spans="7:15">
      <c r="G422" s="25"/>
      <c r="O422" s="25"/>
    </row>
    <row r="423" spans="7:15">
      <c r="G423" s="25"/>
      <c r="O423" s="25"/>
    </row>
    <row r="424" spans="7:15">
      <c r="G424" s="25"/>
      <c r="O424" s="25"/>
    </row>
    <row r="425" spans="7:15">
      <c r="G425" s="25"/>
      <c r="O425" s="25"/>
    </row>
    <row r="426" spans="7:15">
      <c r="G426" s="25"/>
      <c r="O426" s="25"/>
    </row>
    <row r="427" spans="7:15">
      <c r="G427" s="25"/>
      <c r="O427" s="25"/>
    </row>
    <row r="428" spans="7:15">
      <c r="G428" s="25"/>
      <c r="O428" s="25"/>
    </row>
    <row r="429" spans="7:15">
      <c r="G429" s="25"/>
      <c r="O429" s="25"/>
    </row>
    <row r="430" spans="7:15">
      <c r="G430" s="25"/>
      <c r="O430" s="25"/>
    </row>
    <row r="431" spans="7:15">
      <c r="G431" s="25"/>
      <c r="O431" s="25"/>
    </row>
    <row r="432" spans="7:15">
      <c r="G432" s="25"/>
      <c r="O432" s="25"/>
    </row>
    <row r="433" spans="7:15">
      <c r="G433" s="25"/>
      <c r="O433" s="25"/>
    </row>
    <row r="434" spans="7:15">
      <c r="G434" s="25"/>
      <c r="O434" s="25"/>
    </row>
    <row r="435" spans="7:15">
      <c r="G435" s="25"/>
      <c r="O435" s="25"/>
    </row>
    <row r="436" spans="7:15">
      <c r="G436" s="25"/>
      <c r="O436" s="25"/>
    </row>
    <row r="437" spans="7:15">
      <c r="G437" s="25"/>
      <c r="O437" s="25"/>
    </row>
    <row r="438" spans="7:15">
      <c r="G438" s="25"/>
      <c r="O438" s="25"/>
    </row>
    <row r="439" spans="7:15">
      <c r="G439" s="25"/>
      <c r="O439" s="25"/>
    </row>
    <row r="440" spans="7:15">
      <c r="G440" s="25"/>
      <c r="O440" s="25"/>
    </row>
    <row r="441" spans="7:15">
      <c r="G441" s="25"/>
      <c r="O441" s="25"/>
    </row>
    <row r="442" spans="7:15">
      <c r="G442" s="25"/>
      <c r="O442" s="25"/>
    </row>
    <row r="443" spans="7:15">
      <c r="G443" s="25"/>
      <c r="O443" s="25"/>
    </row>
    <row r="444" spans="7:15">
      <c r="G444" s="25"/>
      <c r="O444" s="25"/>
    </row>
    <row r="445" spans="7:15">
      <c r="G445" s="25"/>
      <c r="O445" s="25"/>
    </row>
    <row r="446" spans="7:15">
      <c r="G446" s="25"/>
      <c r="O446" s="25"/>
    </row>
    <row r="447" spans="7:15">
      <c r="G447" s="25"/>
      <c r="O447" s="25"/>
    </row>
    <row r="448" spans="7:15">
      <c r="G448" s="25"/>
      <c r="O448" s="25"/>
    </row>
    <row r="449" spans="7:15">
      <c r="G449" s="25"/>
      <c r="O449" s="25"/>
    </row>
    <row r="450" spans="7:15">
      <c r="G450" s="25"/>
      <c r="O450" s="25"/>
    </row>
    <row r="451" spans="7:15">
      <c r="G451" s="25"/>
      <c r="O451" s="25"/>
    </row>
    <row r="452" spans="7:15">
      <c r="G452" s="25"/>
      <c r="O452" s="25"/>
    </row>
    <row r="453" spans="7:15">
      <c r="G453" s="25"/>
      <c r="O453" s="25"/>
    </row>
    <row r="454" spans="7:15">
      <c r="G454" s="25"/>
      <c r="O454" s="25"/>
    </row>
    <row r="455" spans="7:15">
      <c r="G455" s="25"/>
      <c r="O455" s="25"/>
    </row>
    <row r="456" spans="7:15">
      <c r="G456" s="25"/>
      <c r="O456" s="25"/>
    </row>
    <row r="457" spans="7:15">
      <c r="G457" s="25"/>
      <c r="O457" s="25"/>
    </row>
    <row r="458" spans="7:15">
      <c r="G458" s="25"/>
      <c r="O458" s="25"/>
    </row>
    <row r="459" spans="7:15">
      <c r="G459" s="25"/>
      <c r="O459" s="25"/>
    </row>
    <row r="460" spans="7:15">
      <c r="G460" s="25"/>
      <c r="O460" s="25"/>
    </row>
    <row r="461" spans="7:15">
      <c r="G461" s="25"/>
      <c r="O461" s="25"/>
    </row>
    <row r="462" spans="7:15">
      <c r="G462" s="25"/>
      <c r="O462" s="25"/>
    </row>
    <row r="463" spans="7:15">
      <c r="G463" s="25"/>
      <c r="O463" s="25"/>
    </row>
    <row r="464" spans="7:15">
      <c r="G464" s="25"/>
      <c r="O464" s="25"/>
    </row>
    <row r="465" spans="7:15">
      <c r="G465" s="25"/>
      <c r="O465" s="25"/>
    </row>
    <row r="466" spans="7:15">
      <c r="G466" s="25"/>
      <c r="O466" s="25"/>
    </row>
    <row r="467" spans="7:15">
      <c r="G467" s="25"/>
      <c r="O467" s="25"/>
    </row>
    <row r="468" spans="7:15">
      <c r="G468" s="25"/>
      <c r="O468" s="25"/>
    </row>
    <row r="469" spans="7:15">
      <c r="G469" s="25"/>
      <c r="O469" s="25"/>
    </row>
    <row r="470" spans="7:15">
      <c r="G470" s="25"/>
      <c r="O470" s="25"/>
    </row>
    <row r="471" spans="7:15">
      <c r="G471" s="25"/>
      <c r="O471" s="25"/>
    </row>
    <row r="472" spans="7:15">
      <c r="G472" s="25"/>
      <c r="O472" s="25"/>
    </row>
    <row r="473" spans="7:15">
      <c r="G473" s="25"/>
      <c r="O473" s="25"/>
    </row>
    <row r="474" spans="7:15">
      <c r="G474" s="25"/>
      <c r="O474" s="25"/>
    </row>
    <row r="475" spans="7:15">
      <c r="G475" s="25"/>
      <c r="O475" s="25"/>
    </row>
    <row r="476" spans="7:15">
      <c r="G476" s="25"/>
      <c r="O476" s="25"/>
    </row>
    <row r="477" spans="7:15">
      <c r="G477" s="25"/>
      <c r="O477" s="25"/>
    </row>
    <row r="478" spans="7:15">
      <c r="G478" s="25"/>
      <c r="O478" s="25"/>
    </row>
    <row r="479" spans="7:15">
      <c r="G479" s="25"/>
      <c r="O479" s="25"/>
    </row>
    <row r="480" spans="7:15">
      <c r="G480" s="25"/>
      <c r="O480" s="25"/>
    </row>
    <row r="481" spans="7:15">
      <c r="G481" s="25"/>
      <c r="O481" s="25"/>
    </row>
    <row r="482" spans="7:15">
      <c r="G482" s="25"/>
      <c r="O482" s="25"/>
    </row>
    <row r="483" spans="7:15">
      <c r="G483" s="25"/>
      <c r="O483" s="25"/>
    </row>
    <row r="484" spans="7:15">
      <c r="G484" s="25"/>
      <c r="O484" s="25"/>
    </row>
    <row r="485" spans="7:15">
      <c r="G485" s="25"/>
      <c r="O485" s="25"/>
    </row>
    <row r="486" spans="7:15">
      <c r="G486" s="25"/>
      <c r="O486" s="25"/>
    </row>
    <row r="487" spans="7:15">
      <c r="G487" s="25"/>
      <c r="O487" s="25"/>
    </row>
    <row r="488" spans="7:15">
      <c r="G488" s="25"/>
      <c r="O488" s="25"/>
    </row>
    <row r="489" spans="7:15">
      <c r="G489" s="25"/>
      <c r="O489" s="25"/>
    </row>
    <row r="490" spans="7:15">
      <c r="G490" s="25"/>
      <c r="O490" s="25"/>
    </row>
    <row r="491" spans="7:15">
      <c r="G491" s="25"/>
      <c r="O491" s="25"/>
    </row>
    <row r="492" spans="7:15">
      <c r="G492" s="25"/>
      <c r="O492" s="25"/>
    </row>
    <row r="493" spans="7:15">
      <c r="G493" s="25"/>
      <c r="O493" s="25"/>
    </row>
    <row r="494" spans="7:15">
      <c r="G494" s="25"/>
      <c r="O494" s="25"/>
    </row>
    <row r="495" spans="7:15">
      <c r="G495" s="25"/>
      <c r="O495" s="25"/>
    </row>
    <row r="496" spans="7:15">
      <c r="G496" s="25"/>
      <c r="O496" s="25"/>
    </row>
    <row r="497" spans="7:15">
      <c r="G497" s="25"/>
      <c r="O497" s="25"/>
    </row>
    <row r="498" spans="7:15">
      <c r="G498" s="25"/>
      <c r="O498" s="25"/>
    </row>
    <row r="499" spans="7:15">
      <c r="G499" s="25"/>
      <c r="O499" s="25"/>
    </row>
    <row r="500" spans="7:15">
      <c r="G500" s="25"/>
      <c r="O500" s="25"/>
    </row>
    <row r="501" spans="7:15">
      <c r="G501" s="25"/>
      <c r="O501" s="25"/>
    </row>
    <row r="502" spans="7:15">
      <c r="G502" s="25"/>
      <c r="O502" s="25"/>
    </row>
    <row r="503" spans="7:15">
      <c r="G503" s="25"/>
      <c r="O503" s="25"/>
    </row>
    <row r="504" spans="7:15">
      <c r="G504" s="25"/>
      <c r="O504" s="25"/>
    </row>
    <row r="505" spans="7:15">
      <c r="G505" s="25"/>
      <c r="O505" s="25"/>
    </row>
    <row r="506" spans="7:15">
      <c r="G506" s="25"/>
      <c r="O506" s="25"/>
    </row>
    <row r="507" spans="7:15">
      <c r="G507" s="25"/>
      <c r="O507" s="25"/>
    </row>
    <row r="508" spans="7:15">
      <c r="G508" s="25"/>
      <c r="O508" s="25"/>
    </row>
    <row r="509" spans="7:15">
      <c r="G509" s="25"/>
      <c r="O509" s="25"/>
    </row>
    <row r="510" spans="7:15">
      <c r="G510" s="25"/>
      <c r="O510" s="25"/>
    </row>
    <row r="511" spans="7:15">
      <c r="G511" s="25"/>
      <c r="O511" s="25"/>
    </row>
    <row r="512" spans="7:15">
      <c r="G512" s="25"/>
      <c r="O512" s="25"/>
    </row>
    <row r="513" spans="7:15">
      <c r="G513" s="25"/>
      <c r="O513" s="25"/>
    </row>
    <row r="514" spans="7:15">
      <c r="G514" s="25"/>
      <c r="O514" s="25"/>
    </row>
    <row r="515" spans="7:15">
      <c r="G515" s="25"/>
      <c r="O515" s="25"/>
    </row>
    <row r="516" spans="7:15">
      <c r="G516" s="25"/>
      <c r="O516" s="25"/>
    </row>
    <row r="517" spans="7:15">
      <c r="G517" s="25"/>
      <c r="O517" s="25"/>
    </row>
    <row r="518" spans="7:15">
      <c r="G518" s="25"/>
      <c r="O518" s="25"/>
    </row>
    <row r="519" spans="7:15">
      <c r="G519" s="25"/>
      <c r="O519" s="25"/>
    </row>
    <row r="520" spans="7:15">
      <c r="G520" s="25"/>
      <c r="O520" s="25"/>
    </row>
    <row r="521" spans="7:15">
      <c r="G521" s="25"/>
      <c r="O521" s="25"/>
    </row>
    <row r="522" spans="7:15">
      <c r="G522" s="25"/>
      <c r="O522" s="25"/>
    </row>
    <row r="523" spans="7:15">
      <c r="G523" s="25"/>
      <c r="O523" s="25"/>
    </row>
    <row r="524" spans="7:15">
      <c r="G524" s="25"/>
      <c r="O524" s="25"/>
    </row>
    <row r="525" spans="7:15">
      <c r="G525" s="25"/>
      <c r="O525" s="25"/>
    </row>
    <row r="526" spans="7:15">
      <c r="G526" s="25"/>
      <c r="O526" s="25"/>
    </row>
    <row r="527" spans="7:15">
      <c r="G527" s="25"/>
      <c r="O527" s="25"/>
    </row>
    <row r="528" spans="7:15">
      <c r="G528" s="25"/>
      <c r="O528" s="25"/>
    </row>
    <row r="529" spans="7:15">
      <c r="G529" s="25"/>
      <c r="O529" s="25"/>
    </row>
    <row r="530" spans="7:15">
      <c r="G530" s="25"/>
      <c r="O530" s="25"/>
    </row>
    <row r="531" spans="7:15">
      <c r="G531" s="25"/>
      <c r="O531" s="25"/>
    </row>
    <row r="532" spans="7:15">
      <c r="G532" s="25"/>
      <c r="O532" s="25"/>
    </row>
    <row r="533" spans="7:15">
      <c r="G533" s="25"/>
      <c r="O533" s="25"/>
    </row>
    <row r="534" spans="7:15">
      <c r="G534" s="25"/>
      <c r="O534" s="25"/>
    </row>
    <row r="535" spans="7:15">
      <c r="G535" s="25"/>
      <c r="O535" s="25"/>
    </row>
    <row r="536" spans="7:15">
      <c r="G536" s="25"/>
      <c r="O536" s="25"/>
    </row>
    <row r="537" spans="7:15">
      <c r="G537" s="25"/>
      <c r="O537" s="25"/>
    </row>
    <row r="538" spans="7:15">
      <c r="G538" s="25"/>
      <c r="O538" s="25"/>
    </row>
    <row r="539" spans="7:15">
      <c r="G539" s="25"/>
      <c r="O539" s="25"/>
    </row>
    <row r="540" spans="7:15">
      <c r="G540" s="25"/>
      <c r="O540" s="25"/>
    </row>
    <row r="541" spans="7:15">
      <c r="G541" s="25"/>
      <c r="O541" s="25"/>
    </row>
    <row r="542" spans="7:15">
      <c r="G542" s="25"/>
      <c r="O542" s="25"/>
    </row>
    <row r="543" spans="7:15">
      <c r="G543" s="25"/>
      <c r="O543" s="25"/>
    </row>
    <row r="544" spans="7:15">
      <c r="G544" s="25"/>
      <c r="O544" s="25"/>
    </row>
    <row r="545" spans="7:15">
      <c r="G545" s="25"/>
      <c r="O545" s="25"/>
    </row>
    <row r="546" spans="7:15">
      <c r="G546" s="25"/>
      <c r="O546" s="25"/>
    </row>
    <row r="547" spans="7:15">
      <c r="G547" s="25"/>
      <c r="O547" s="25"/>
    </row>
    <row r="548" spans="7:15">
      <c r="G548" s="25"/>
      <c r="O548" s="25"/>
    </row>
    <row r="549" spans="7:15">
      <c r="G549" s="25"/>
      <c r="O549" s="25"/>
    </row>
    <row r="550" spans="7:15">
      <c r="G550" s="25"/>
      <c r="O550" s="25"/>
    </row>
    <row r="551" spans="7:15">
      <c r="G551" s="25"/>
      <c r="O551" s="25"/>
    </row>
    <row r="552" spans="7:15">
      <c r="G552" s="25"/>
      <c r="O552" s="25"/>
    </row>
    <row r="553" spans="7:15">
      <c r="G553" s="25"/>
      <c r="O553" s="25"/>
    </row>
    <row r="554" spans="7:15">
      <c r="G554" s="25"/>
      <c r="O554" s="25"/>
    </row>
    <row r="555" spans="7:15">
      <c r="G555" s="25"/>
      <c r="O555" s="25"/>
    </row>
    <row r="556" spans="7:15">
      <c r="G556" s="25"/>
      <c r="O556" s="25"/>
    </row>
    <row r="557" spans="7:15">
      <c r="G557" s="25"/>
      <c r="O557" s="25"/>
    </row>
    <row r="558" spans="7:15">
      <c r="G558" s="25"/>
      <c r="O558" s="25"/>
    </row>
    <row r="559" spans="7:15">
      <c r="G559" s="25"/>
      <c r="O559" s="25"/>
    </row>
    <row r="560" spans="7:15">
      <c r="G560" s="25"/>
      <c r="O560" s="25"/>
    </row>
    <row r="561" spans="7:15">
      <c r="G561" s="25"/>
      <c r="O561" s="25"/>
    </row>
    <row r="562" spans="7:15">
      <c r="G562" s="25"/>
      <c r="O562" s="25"/>
    </row>
    <row r="563" spans="7:15">
      <c r="G563" s="25"/>
      <c r="O563" s="25"/>
    </row>
    <row r="564" spans="7:15">
      <c r="G564" s="25"/>
      <c r="O564" s="25"/>
    </row>
    <row r="565" spans="7:15">
      <c r="G565" s="25"/>
      <c r="O565" s="25"/>
    </row>
    <row r="566" spans="7:15">
      <c r="G566" s="25"/>
      <c r="O566" s="25"/>
    </row>
    <row r="567" spans="7:15">
      <c r="G567" s="25"/>
      <c r="O567" s="25"/>
    </row>
    <row r="568" spans="7:15">
      <c r="G568" s="25"/>
      <c r="O568" s="25"/>
    </row>
    <row r="569" spans="7:15">
      <c r="G569" s="25"/>
      <c r="O569" s="25"/>
    </row>
    <row r="570" spans="7:15">
      <c r="G570" s="25"/>
      <c r="O570" s="25"/>
    </row>
    <row r="571" spans="7:15">
      <c r="G571" s="25"/>
      <c r="O571" s="25"/>
    </row>
    <row r="572" spans="7:15">
      <c r="G572" s="25"/>
      <c r="O572" s="25"/>
    </row>
    <row r="573" spans="7:15">
      <c r="G573" s="25"/>
      <c r="O573" s="25"/>
    </row>
    <row r="574" spans="7:15">
      <c r="G574" s="25"/>
      <c r="O574" s="25"/>
    </row>
    <row r="575" spans="7:15">
      <c r="G575" s="25"/>
      <c r="O575" s="25"/>
    </row>
    <row r="576" spans="7:15">
      <c r="G576" s="25"/>
      <c r="O576" s="25"/>
    </row>
    <row r="577" spans="7:15">
      <c r="G577" s="25"/>
      <c r="O577" s="25"/>
    </row>
    <row r="578" spans="7:15">
      <c r="G578" s="25"/>
      <c r="O578" s="25"/>
    </row>
    <row r="579" spans="7:15">
      <c r="G579" s="25"/>
      <c r="O579" s="25"/>
    </row>
    <row r="580" spans="7:15">
      <c r="G580" s="25"/>
      <c r="O580" s="25"/>
    </row>
    <row r="581" spans="7:15">
      <c r="G581" s="25"/>
      <c r="O581" s="25"/>
    </row>
    <row r="582" spans="7:15">
      <c r="G582" s="25"/>
      <c r="O582" s="25"/>
    </row>
    <row r="583" spans="7:15">
      <c r="G583" s="25"/>
      <c r="O583" s="25"/>
    </row>
    <row r="584" spans="7:15">
      <c r="G584" s="25"/>
      <c r="O584" s="25"/>
    </row>
    <row r="585" spans="7:15">
      <c r="G585" s="25"/>
      <c r="O585" s="25"/>
    </row>
    <row r="586" spans="7:15">
      <c r="G586" s="25"/>
      <c r="O586" s="25"/>
    </row>
    <row r="587" spans="7:15">
      <c r="G587" s="25"/>
      <c r="O587" s="25"/>
    </row>
    <row r="588" spans="7:15">
      <c r="G588" s="25"/>
      <c r="O588" s="25"/>
    </row>
    <row r="589" spans="7:15">
      <c r="G589" s="25"/>
      <c r="O589" s="25"/>
    </row>
    <row r="590" spans="7:15">
      <c r="G590" s="25"/>
      <c r="O590" s="25"/>
    </row>
    <row r="591" spans="7:15">
      <c r="G591" s="25"/>
      <c r="O591" s="25"/>
    </row>
    <row r="592" spans="7:15">
      <c r="G592" s="25"/>
      <c r="O592" s="25"/>
    </row>
    <row r="593" spans="7:15">
      <c r="G593" s="25"/>
      <c r="O593" s="25"/>
    </row>
    <row r="594" spans="7:15">
      <c r="G594" s="25"/>
      <c r="O594" s="25"/>
    </row>
    <row r="595" spans="7:15">
      <c r="G595" s="25"/>
      <c r="O595" s="25"/>
    </row>
    <row r="596" spans="7:15">
      <c r="G596" s="25"/>
      <c r="O596" s="25"/>
    </row>
    <row r="597" spans="7:15">
      <c r="G597" s="25"/>
      <c r="O597" s="25"/>
    </row>
    <row r="598" spans="7:15">
      <c r="G598" s="25"/>
      <c r="O598" s="25"/>
    </row>
    <row r="599" spans="7:15">
      <c r="G599" s="25"/>
      <c r="O599" s="25"/>
    </row>
    <row r="600" spans="7:15">
      <c r="G600" s="25"/>
      <c r="O600" s="25"/>
    </row>
    <row r="601" spans="7:15">
      <c r="G601" s="25"/>
      <c r="O601" s="25"/>
    </row>
    <row r="602" spans="7:15">
      <c r="G602" s="25"/>
      <c r="O602" s="25"/>
    </row>
    <row r="603" spans="7:15">
      <c r="G603" s="25"/>
      <c r="O603" s="25"/>
    </row>
    <row r="604" spans="7:15">
      <c r="G604" s="25"/>
      <c r="O604" s="25"/>
    </row>
    <row r="605" spans="7:15">
      <c r="G605" s="25"/>
      <c r="O605" s="25"/>
    </row>
    <row r="606" spans="7:15">
      <c r="G606" s="25"/>
      <c r="O606" s="25"/>
    </row>
    <row r="607" spans="7:15">
      <c r="G607" s="25"/>
      <c r="O607" s="25"/>
    </row>
    <row r="608" spans="7:15">
      <c r="G608" s="25"/>
      <c r="O608" s="25"/>
    </row>
    <row r="609" spans="7:15">
      <c r="G609" s="25"/>
      <c r="O609" s="25"/>
    </row>
    <row r="610" spans="7:15">
      <c r="G610" s="25"/>
      <c r="O610" s="25"/>
    </row>
    <row r="611" spans="7:15">
      <c r="G611" s="25"/>
      <c r="O611" s="25"/>
    </row>
    <row r="612" spans="7:15">
      <c r="G612" s="25"/>
      <c r="O612" s="25"/>
    </row>
    <row r="613" spans="7:15">
      <c r="G613" s="25"/>
      <c r="O613" s="25"/>
    </row>
    <row r="614" spans="7:15">
      <c r="G614" s="25"/>
      <c r="O614" s="25"/>
    </row>
    <row r="615" spans="7:15">
      <c r="G615" s="25"/>
      <c r="O615" s="25"/>
    </row>
    <row r="616" spans="7:15">
      <c r="G616" s="25"/>
      <c r="O616" s="25"/>
    </row>
    <row r="617" spans="7:15">
      <c r="G617" s="25"/>
      <c r="O617" s="25"/>
    </row>
    <row r="618" spans="7:15">
      <c r="G618" s="25"/>
      <c r="O618" s="25"/>
    </row>
    <row r="619" spans="7:15">
      <c r="G619" s="25"/>
      <c r="O619" s="25"/>
    </row>
    <row r="620" spans="7:15">
      <c r="G620" s="25"/>
      <c r="O620" s="25"/>
    </row>
    <row r="621" spans="7:15">
      <c r="G621" s="25"/>
      <c r="O621" s="25"/>
    </row>
    <row r="622" spans="7:15">
      <c r="G622" s="25"/>
      <c r="O622" s="25"/>
    </row>
    <row r="623" spans="7:15">
      <c r="G623" s="25"/>
      <c r="O623" s="25"/>
    </row>
    <row r="624" spans="7:15">
      <c r="G624" s="25"/>
      <c r="O624" s="25"/>
    </row>
    <row r="625" spans="7:15">
      <c r="G625" s="25"/>
      <c r="O625" s="25"/>
    </row>
    <row r="626" spans="7:15">
      <c r="G626" s="25"/>
      <c r="O626" s="25"/>
    </row>
    <row r="627" spans="7:15">
      <c r="G627" s="25"/>
      <c r="O627" s="25"/>
    </row>
    <row r="628" spans="7:15">
      <c r="G628" s="25"/>
      <c r="O628" s="25"/>
    </row>
    <row r="629" spans="7:15">
      <c r="G629" s="25"/>
      <c r="O629" s="25"/>
    </row>
    <row r="630" spans="7:15">
      <c r="G630" s="25"/>
      <c r="O630" s="25"/>
    </row>
    <row r="631" spans="7:15">
      <c r="G631" s="25"/>
      <c r="O631" s="25"/>
    </row>
    <row r="632" spans="7:15">
      <c r="G632" s="25"/>
      <c r="O632" s="25"/>
    </row>
    <row r="633" spans="7:15">
      <c r="G633" s="25"/>
      <c r="O633" s="25"/>
    </row>
    <row r="634" spans="7:15">
      <c r="G634" s="25"/>
      <c r="O634" s="25"/>
    </row>
    <row r="635" spans="7:15">
      <c r="G635" s="25"/>
      <c r="O635" s="25"/>
    </row>
    <row r="636" spans="7:15">
      <c r="G636" s="25"/>
      <c r="O636" s="25"/>
    </row>
    <row r="637" spans="7:15">
      <c r="G637" s="25"/>
      <c r="O637" s="25"/>
    </row>
    <row r="638" spans="7:15">
      <c r="G638" s="25"/>
      <c r="O638" s="25"/>
    </row>
    <row r="639" spans="7:15">
      <c r="G639" s="25"/>
      <c r="O639" s="25"/>
    </row>
    <row r="640" spans="7:15">
      <c r="G640" s="25"/>
      <c r="O640" s="25"/>
    </row>
    <row r="641" spans="7:15">
      <c r="G641" s="25"/>
      <c r="O641" s="25"/>
    </row>
    <row r="642" spans="7:15">
      <c r="G642" s="25"/>
      <c r="O642" s="25"/>
    </row>
    <row r="643" spans="7:15">
      <c r="G643" s="25"/>
      <c r="O643" s="25"/>
    </row>
    <row r="644" spans="7:15">
      <c r="G644" s="25"/>
      <c r="O644" s="25"/>
    </row>
    <row r="645" spans="7:15">
      <c r="G645" s="25"/>
      <c r="O645" s="25"/>
    </row>
    <row r="646" spans="7:15">
      <c r="G646" s="25"/>
      <c r="O646" s="25"/>
    </row>
    <row r="647" spans="7:15">
      <c r="G647" s="25"/>
      <c r="O647" s="25"/>
    </row>
    <row r="648" spans="7:15">
      <c r="G648" s="25"/>
      <c r="O648" s="25"/>
    </row>
    <row r="649" spans="7:15">
      <c r="G649" s="25"/>
      <c r="O649" s="25"/>
    </row>
    <row r="650" spans="7:15">
      <c r="G650" s="25"/>
      <c r="O650" s="25"/>
    </row>
    <row r="651" spans="7:15">
      <c r="G651" s="25"/>
      <c r="O651" s="25"/>
    </row>
    <row r="652" spans="7:15">
      <c r="G652" s="25"/>
      <c r="O652" s="25"/>
    </row>
    <row r="653" spans="7:15">
      <c r="G653" s="25"/>
      <c r="O653" s="25"/>
    </row>
    <row r="654" spans="7:15">
      <c r="G654" s="25"/>
      <c r="O654" s="25"/>
    </row>
    <row r="655" spans="7:15">
      <c r="G655" s="25"/>
      <c r="O655" s="25"/>
    </row>
    <row r="656" spans="7:15">
      <c r="G656" s="25"/>
      <c r="O656" s="25"/>
    </row>
    <row r="657" spans="7:15">
      <c r="G657" s="25"/>
      <c r="O657" s="25"/>
    </row>
    <row r="658" spans="7:15">
      <c r="G658" s="25"/>
      <c r="O658" s="25"/>
    </row>
    <row r="659" spans="7:15">
      <c r="G659" s="25"/>
      <c r="O659" s="25"/>
    </row>
    <row r="660" spans="7:15">
      <c r="G660" s="25"/>
      <c r="O660" s="25"/>
    </row>
    <row r="661" spans="7:15">
      <c r="G661" s="25"/>
      <c r="O661" s="25"/>
    </row>
    <row r="662" spans="7:15">
      <c r="G662" s="25"/>
      <c r="O662" s="25"/>
    </row>
    <row r="663" spans="7:15">
      <c r="G663" s="25"/>
      <c r="O663" s="25"/>
    </row>
    <row r="664" spans="7:15">
      <c r="G664" s="25"/>
      <c r="O664" s="25"/>
    </row>
    <row r="665" spans="7:15">
      <c r="G665" s="25"/>
      <c r="O665" s="25"/>
    </row>
    <row r="666" spans="7:15">
      <c r="G666" s="25"/>
      <c r="O666" s="25"/>
    </row>
    <row r="667" spans="7:15">
      <c r="G667" s="25"/>
      <c r="O667" s="25"/>
    </row>
    <row r="668" spans="7:15">
      <c r="G668" s="25"/>
      <c r="O668" s="25"/>
    </row>
    <row r="669" spans="7:15">
      <c r="G669" s="25"/>
      <c r="O669" s="25"/>
    </row>
    <row r="670" spans="7:15">
      <c r="G670" s="25"/>
      <c r="O670" s="25"/>
    </row>
    <row r="671" spans="7:15">
      <c r="G671" s="25"/>
      <c r="O671" s="25"/>
    </row>
    <row r="672" spans="7:15">
      <c r="G672" s="25"/>
      <c r="O672" s="25"/>
    </row>
    <row r="673" spans="7:15">
      <c r="G673" s="25"/>
      <c r="O673" s="25"/>
    </row>
    <row r="674" spans="7:15">
      <c r="G674" s="25"/>
      <c r="O674" s="25"/>
    </row>
    <row r="675" spans="7:15">
      <c r="G675" s="25"/>
      <c r="O675" s="25"/>
    </row>
    <row r="676" spans="7:15">
      <c r="G676" s="25"/>
      <c r="O676" s="25"/>
    </row>
    <row r="677" spans="7:15">
      <c r="G677" s="25"/>
      <c r="O677" s="25"/>
    </row>
    <row r="678" spans="7:15">
      <c r="G678" s="25"/>
      <c r="O678" s="25"/>
    </row>
    <row r="679" spans="7:15">
      <c r="G679" s="25"/>
      <c r="O679" s="25"/>
    </row>
    <row r="680" spans="7:15">
      <c r="G680" s="25"/>
      <c r="O680" s="25"/>
    </row>
    <row r="681" spans="7:15">
      <c r="G681" s="25"/>
      <c r="O681" s="25"/>
    </row>
    <row r="682" spans="7:15">
      <c r="G682" s="25"/>
      <c r="O682" s="25"/>
    </row>
    <row r="683" spans="7:15">
      <c r="G683" s="25"/>
      <c r="O683" s="25"/>
    </row>
    <row r="684" spans="7:15">
      <c r="G684" s="25"/>
      <c r="O684" s="25"/>
    </row>
    <row r="685" spans="7:15">
      <c r="G685" s="25"/>
      <c r="O685" s="25"/>
    </row>
    <row r="686" spans="7:15">
      <c r="G686" s="25"/>
      <c r="O686" s="25"/>
    </row>
    <row r="687" spans="7:15">
      <c r="G687" s="25"/>
      <c r="O687" s="25"/>
    </row>
    <row r="688" spans="7:15">
      <c r="G688" s="25"/>
      <c r="O688" s="25"/>
    </row>
    <row r="689" spans="7:15">
      <c r="G689" s="25"/>
      <c r="O689" s="25"/>
    </row>
    <row r="690" spans="7:15">
      <c r="G690" s="25"/>
      <c r="O690" s="25"/>
    </row>
    <row r="691" spans="7:15">
      <c r="G691" s="25"/>
      <c r="O691" s="25"/>
    </row>
    <row r="692" spans="7:15">
      <c r="G692" s="25"/>
      <c r="O692" s="25"/>
    </row>
    <row r="693" spans="7:15">
      <c r="G693" s="25"/>
      <c r="O693" s="25"/>
    </row>
    <row r="694" spans="7:15">
      <c r="G694" s="25"/>
      <c r="O694" s="25"/>
    </row>
    <row r="695" spans="7:15">
      <c r="G695" s="25"/>
      <c r="O695" s="25"/>
    </row>
    <row r="696" spans="7:15">
      <c r="G696" s="25"/>
      <c r="O696" s="25"/>
    </row>
    <row r="697" spans="7:15">
      <c r="G697" s="25"/>
      <c r="O697" s="25"/>
    </row>
    <row r="698" spans="7:15">
      <c r="G698" s="25"/>
      <c r="O698" s="25"/>
    </row>
    <row r="699" spans="7:15">
      <c r="G699" s="25"/>
      <c r="O699" s="25"/>
    </row>
    <row r="700" spans="7:15">
      <c r="G700" s="25"/>
      <c r="O700" s="25"/>
    </row>
    <row r="701" spans="7:15">
      <c r="G701" s="25"/>
      <c r="O701" s="25"/>
    </row>
    <row r="702" spans="7:15">
      <c r="G702" s="25"/>
      <c r="O702" s="25"/>
    </row>
    <row r="703" spans="7:15">
      <c r="G703" s="25"/>
      <c r="O703" s="25"/>
    </row>
    <row r="704" spans="7:15">
      <c r="G704" s="25"/>
      <c r="O704" s="25"/>
    </row>
    <row r="705" spans="7:15">
      <c r="G705" s="25"/>
      <c r="O705" s="25"/>
    </row>
    <row r="706" spans="7:15">
      <c r="G706" s="25"/>
      <c r="O706" s="25"/>
    </row>
    <row r="707" spans="7:15">
      <c r="G707" s="25"/>
      <c r="O707" s="25"/>
    </row>
    <row r="708" spans="7:15">
      <c r="G708" s="25"/>
      <c r="O708" s="25"/>
    </row>
    <row r="709" spans="7:15">
      <c r="G709" s="25"/>
      <c r="O709" s="25"/>
    </row>
    <row r="710" spans="7:15">
      <c r="G710" s="25"/>
      <c r="O710" s="25"/>
    </row>
    <row r="711" spans="7:15">
      <c r="G711" s="25"/>
      <c r="O711" s="25"/>
    </row>
    <row r="712" spans="7:15">
      <c r="G712" s="25"/>
      <c r="O712" s="25"/>
    </row>
    <row r="713" spans="7:15">
      <c r="G713" s="25"/>
      <c r="O713" s="25"/>
    </row>
    <row r="714" spans="7:15">
      <c r="G714" s="25"/>
      <c r="O714" s="25"/>
    </row>
    <row r="715" spans="7:15">
      <c r="G715" s="25"/>
      <c r="O715" s="25"/>
    </row>
    <row r="716" spans="7:15">
      <c r="G716" s="25"/>
      <c r="O716" s="25"/>
    </row>
    <row r="717" spans="7:15">
      <c r="G717" s="25"/>
      <c r="O717" s="25"/>
    </row>
    <row r="718" spans="7:15">
      <c r="G718" s="25"/>
      <c r="O718" s="25"/>
    </row>
    <row r="719" spans="7:15">
      <c r="G719" s="25"/>
      <c r="O719" s="25"/>
    </row>
    <row r="720" spans="7:15">
      <c r="G720" s="25"/>
      <c r="O720" s="25"/>
    </row>
    <row r="721" spans="7:15">
      <c r="G721" s="25"/>
      <c r="O721" s="25"/>
    </row>
    <row r="722" spans="7:15">
      <c r="G722" s="25"/>
      <c r="O722" s="25"/>
    </row>
    <row r="723" spans="7:15">
      <c r="G723" s="25"/>
      <c r="O723" s="25"/>
    </row>
    <row r="724" spans="7:15">
      <c r="G724" s="25"/>
      <c r="O724" s="25"/>
    </row>
    <row r="725" spans="7:15">
      <c r="G725" s="25"/>
      <c r="O725" s="25"/>
    </row>
    <row r="726" spans="7:15">
      <c r="G726" s="25"/>
      <c r="O726" s="25"/>
    </row>
    <row r="727" spans="7:15">
      <c r="G727" s="25"/>
      <c r="O727" s="25"/>
    </row>
    <row r="728" spans="7:15">
      <c r="G728" s="25"/>
      <c r="O728" s="25"/>
    </row>
    <row r="729" spans="7:15">
      <c r="G729" s="25"/>
      <c r="O729" s="25"/>
    </row>
    <row r="730" spans="7:15">
      <c r="G730" s="25"/>
      <c r="O730" s="25"/>
    </row>
    <row r="731" spans="7:15">
      <c r="G731" s="25"/>
      <c r="O731" s="25"/>
    </row>
    <row r="732" spans="7:15">
      <c r="G732" s="25"/>
      <c r="O732" s="25"/>
    </row>
    <row r="733" spans="7:15">
      <c r="G733" s="25"/>
      <c r="O733" s="25"/>
    </row>
    <row r="734" spans="7:15">
      <c r="G734" s="25"/>
      <c r="O734" s="25"/>
    </row>
    <row r="735" spans="7:15">
      <c r="G735" s="25"/>
      <c r="O735" s="25"/>
    </row>
    <row r="736" spans="7:15">
      <c r="G736" s="25"/>
      <c r="O736" s="25"/>
    </row>
    <row r="737" spans="7:15">
      <c r="G737" s="25"/>
      <c r="O737" s="25"/>
    </row>
    <row r="738" spans="7:15">
      <c r="G738" s="25"/>
      <c r="O738" s="25"/>
    </row>
    <row r="739" spans="7:15">
      <c r="G739" s="25"/>
      <c r="O739" s="25"/>
    </row>
    <row r="740" spans="7:15">
      <c r="G740" s="25"/>
      <c r="O740" s="25"/>
    </row>
    <row r="741" spans="7:15">
      <c r="G741" s="25"/>
      <c r="O741" s="25"/>
    </row>
    <row r="742" spans="7:15">
      <c r="G742" s="25"/>
      <c r="O742" s="25"/>
    </row>
    <row r="743" spans="7:15">
      <c r="G743" s="25"/>
      <c r="O743" s="25"/>
    </row>
    <row r="744" spans="7:15">
      <c r="G744" s="25"/>
      <c r="O744" s="25"/>
    </row>
    <row r="745" spans="7:15">
      <c r="G745" s="25"/>
      <c r="O745" s="25"/>
    </row>
    <row r="746" spans="7:15">
      <c r="G746" s="25"/>
      <c r="O746" s="25"/>
    </row>
    <row r="747" spans="7:15">
      <c r="G747" s="25"/>
      <c r="O747" s="25"/>
    </row>
    <row r="748" spans="7:15">
      <c r="G748" s="25"/>
      <c r="O748" s="25"/>
    </row>
    <row r="749" spans="7:15">
      <c r="G749" s="25"/>
      <c r="O749" s="25"/>
    </row>
    <row r="750" spans="7:15">
      <c r="G750" s="25"/>
      <c r="O750" s="25"/>
    </row>
    <row r="751" spans="7:15">
      <c r="G751" s="25"/>
      <c r="O751" s="25"/>
    </row>
    <row r="752" spans="7:15">
      <c r="G752" s="25"/>
      <c r="O752" s="25"/>
    </row>
    <row r="753" spans="7:15">
      <c r="G753" s="25"/>
      <c r="O753" s="25"/>
    </row>
    <row r="754" spans="7:15">
      <c r="G754" s="25"/>
      <c r="O754" s="25"/>
    </row>
    <row r="755" spans="7:15">
      <c r="G755" s="25"/>
      <c r="O755" s="25"/>
    </row>
    <row r="756" spans="7:15">
      <c r="G756" s="25"/>
      <c r="O756" s="25"/>
    </row>
    <row r="757" spans="7:15">
      <c r="G757" s="25"/>
      <c r="O757" s="25"/>
    </row>
    <row r="758" spans="7:15">
      <c r="G758" s="25"/>
      <c r="O758" s="25"/>
    </row>
    <row r="759" spans="7:15">
      <c r="G759" s="25"/>
      <c r="O759" s="25"/>
    </row>
    <row r="760" spans="7:15">
      <c r="G760" s="25"/>
      <c r="O760" s="25"/>
    </row>
    <row r="761" spans="7:15">
      <c r="G761" s="25"/>
      <c r="O761" s="25"/>
    </row>
    <row r="762" spans="7:15">
      <c r="G762" s="25"/>
      <c r="O762" s="25"/>
    </row>
    <row r="763" spans="7:15">
      <c r="G763" s="25"/>
      <c r="O763" s="25"/>
    </row>
    <row r="764" spans="7:15">
      <c r="G764" s="25"/>
      <c r="O764" s="25"/>
    </row>
    <row r="765" spans="7:15">
      <c r="G765" s="25"/>
      <c r="O765" s="25"/>
    </row>
    <row r="766" spans="7:15">
      <c r="G766" s="25"/>
      <c r="O766" s="25"/>
    </row>
    <row r="767" spans="7:15">
      <c r="G767" s="25"/>
      <c r="O767" s="25"/>
    </row>
    <row r="768" spans="7:15">
      <c r="G768" s="25"/>
      <c r="O768" s="25"/>
    </row>
    <row r="769" spans="7:15">
      <c r="G769" s="25"/>
      <c r="O769" s="25"/>
    </row>
    <row r="770" spans="7:15">
      <c r="G770" s="25"/>
      <c r="O770" s="25"/>
    </row>
    <row r="771" spans="7:15">
      <c r="G771" s="25"/>
      <c r="O771" s="25"/>
    </row>
    <row r="772" spans="7:15">
      <c r="G772" s="25"/>
      <c r="O772" s="25"/>
    </row>
    <row r="773" spans="7:15">
      <c r="G773" s="25"/>
      <c r="O773" s="25"/>
    </row>
    <row r="774" spans="7:15">
      <c r="G774" s="25"/>
      <c r="O774" s="25"/>
    </row>
    <row r="775" spans="7:15">
      <c r="G775" s="25"/>
      <c r="O775" s="25"/>
    </row>
    <row r="776" spans="7:15">
      <c r="G776" s="25"/>
      <c r="O776" s="25"/>
    </row>
    <row r="777" spans="7:15">
      <c r="G777" s="25"/>
      <c r="O777" s="25"/>
    </row>
    <row r="778" spans="7:15">
      <c r="G778" s="25"/>
      <c r="O778" s="25"/>
    </row>
    <row r="779" spans="7:15">
      <c r="G779" s="25"/>
      <c r="O779" s="25"/>
    </row>
    <row r="780" spans="7:15">
      <c r="G780" s="25"/>
      <c r="O780" s="25"/>
    </row>
    <row r="781" spans="7:15">
      <c r="G781" s="25"/>
      <c r="O781" s="25"/>
    </row>
    <row r="782" spans="7:15">
      <c r="G782" s="25"/>
      <c r="O782" s="25"/>
    </row>
    <row r="783" spans="7:15">
      <c r="G783" s="25"/>
      <c r="O783" s="25"/>
    </row>
    <row r="784" spans="7:15">
      <c r="G784" s="25"/>
      <c r="O784" s="25"/>
    </row>
    <row r="785" spans="7:15">
      <c r="G785" s="25"/>
      <c r="O785" s="25"/>
    </row>
    <row r="786" spans="7:15">
      <c r="G786" s="25"/>
      <c r="O786" s="25"/>
    </row>
    <row r="787" spans="7:15">
      <c r="G787" s="25"/>
      <c r="O787" s="25"/>
    </row>
    <row r="788" spans="7:15">
      <c r="G788" s="25"/>
      <c r="O788" s="25"/>
    </row>
    <row r="789" spans="7:15">
      <c r="G789" s="25"/>
      <c r="O789" s="25"/>
    </row>
    <row r="790" spans="7:15">
      <c r="G790" s="25"/>
      <c r="O790" s="25"/>
    </row>
    <row r="791" spans="7:15">
      <c r="G791" s="25"/>
      <c r="O791" s="25"/>
    </row>
    <row r="792" spans="7:15">
      <c r="G792" s="25"/>
      <c r="O792" s="25"/>
    </row>
    <row r="793" spans="7:15">
      <c r="G793" s="25"/>
      <c r="O793" s="25"/>
    </row>
    <row r="794" spans="7:15">
      <c r="G794" s="25"/>
      <c r="O794" s="25"/>
    </row>
    <row r="795" spans="7:15">
      <c r="G795" s="25"/>
      <c r="O795" s="25"/>
    </row>
    <row r="796" spans="7:15">
      <c r="G796" s="25"/>
      <c r="O796" s="25"/>
    </row>
    <row r="797" spans="7:15">
      <c r="G797" s="25"/>
      <c r="O797" s="25"/>
    </row>
    <row r="798" spans="7:15">
      <c r="G798" s="25"/>
      <c r="O798" s="25"/>
    </row>
    <row r="799" spans="7:15">
      <c r="G799" s="25"/>
      <c r="O799" s="25"/>
    </row>
    <row r="800" spans="7:15">
      <c r="G800" s="25"/>
      <c r="O800" s="25"/>
    </row>
    <row r="801" spans="7:15">
      <c r="G801" s="25"/>
      <c r="O801" s="25"/>
    </row>
    <row r="802" spans="7:15">
      <c r="G802" s="25"/>
      <c r="O802" s="25"/>
    </row>
    <row r="803" spans="7:15">
      <c r="G803" s="25"/>
      <c r="O803" s="25"/>
    </row>
    <row r="804" spans="7:15">
      <c r="G804" s="25"/>
      <c r="O804" s="25"/>
    </row>
    <row r="805" spans="7:15">
      <c r="G805" s="25"/>
      <c r="O805" s="25"/>
    </row>
    <row r="806" spans="7:15">
      <c r="G806" s="25"/>
      <c r="O806" s="25"/>
    </row>
    <row r="807" spans="7:15">
      <c r="G807" s="25"/>
      <c r="O807" s="25"/>
    </row>
    <row r="808" spans="7:15">
      <c r="G808" s="25"/>
      <c r="O808" s="25"/>
    </row>
    <row r="809" spans="7:15">
      <c r="G809" s="25"/>
      <c r="O809" s="25"/>
    </row>
    <row r="810" spans="7:15">
      <c r="G810" s="25"/>
      <c r="O810" s="25"/>
    </row>
    <row r="811" spans="7:15">
      <c r="G811" s="25"/>
      <c r="O811" s="25"/>
    </row>
    <row r="812" spans="7:15">
      <c r="G812" s="25"/>
      <c r="O812" s="25"/>
    </row>
    <row r="813" spans="7:15">
      <c r="G813" s="25"/>
      <c r="O813" s="25"/>
    </row>
    <row r="814" spans="7:15">
      <c r="G814" s="25"/>
      <c r="O814" s="25"/>
    </row>
    <row r="815" spans="7:15">
      <c r="G815" s="25"/>
      <c r="O815" s="25"/>
    </row>
    <row r="816" spans="7:15">
      <c r="G816" s="25"/>
      <c r="O816" s="25"/>
    </row>
    <row r="817" spans="7:15">
      <c r="G817" s="25"/>
      <c r="O817" s="25"/>
    </row>
    <row r="818" spans="7:15">
      <c r="G818" s="25"/>
      <c r="O818" s="25"/>
    </row>
    <row r="819" spans="7:15">
      <c r="G819" s="25"/>
      <c r="O819" s="25"/>
    </row>
    <row r="820" spans="7:15">
      <c r="G820" s="25"/>
      <c r="O820" s="25"/>
    </row>
    <row r="821" spans="7:15">
      <c r="G821" s="25"/>
      <c r="O821" s="25"/>
    </row>
    <row r="822" spans="7:15">
      <c r="G822" s="25"/>
      <c r="O822" s="25"/>
    </row>
    <row r="823" spans="7:15">
      <c r="G823" s="25"/>
      <c r="O823" s="25"/>
    </row>
    <row r="824" spans="7:15">
      <c r="G824" s="25"/>
      <c r="O824" s="25"/>
    </row>
    <row r="825" spans="7:15">
      <c r="G825" s="25"/>
      <c r="O825" s="25"/>
    </row>
    <row r="826" spans="7:15">
      <c r="G826" s="25"/>
      <c r="O826" s="25"/>
    </row>
    <row r="827" spans="7:15">
      <c r="G827" s="25"/>
      <c r="O827" s="25"/>
    </row>
    <row r="828" spans="7:15">
      <c r="G828" s="25"/>
      <c r="O828" s="25"/>
    </row>
    <row r="829" spans="7:15">
      <c r="G829" s="25"/>
      <c r="O829" s="25"/>
    </row>
    <row r="830" spans="7:15">
      <c r="G830" s="25"/>
      <c r="O830" s="25"/>
    </row>
    <row r="831" spans="7:15">
      <c r="G831" s="25"/>
      <c r="O831" s="25"/>
    </row>
    <row r="832" spans="7:15">
      <c r="G832" s="25"/>
      <c r="O832" s="25"/>
    </row>
    <row r="833" spans="7:15">
      <c r="G833" s="25"/>
      <c r="O833" s="25"/>
    </row>
    <row r="834" spans="7:15">
      <c r="G834" s="25"/>
      <c r="O834" s="25"/>
    </row>
    <row r="835" spans="7:15">
      <c r="G835" s="25"/>
      <c r="O835" s="25"/>
    </row>
    <row r="836" spans="7:15">
      <c r="G836" s="25"/>
      <c r="O836" s="25"/>
    </row>
    <row r="837" spans="7:15">
      <c r="G837" s="25"/>
      <c r="O837" s="25"/>
    </row>
    <row r="838" spans="7:15">
      <c r="G838" s="25"/>
      <c r="O838" s="25"/>
    </row>
    <row r="839" spans="7:15">
      <c r="G839" s="25"/>
      <c r="O839" s="25"/>
    </row>
    <row r="840" spans="7:15">
      <c r="G840" s="25"/>
      <c r="O840" s="25"/>
    </row>
    <row r="841" spans="7:15">
      <c r="G841" s="25"/>
      <c r="O841" s="25"/>
    </row>
    <row r="842" spans="7:15">
      <c r="G842" s="25"/>
      <c r="O842" s="25"/>
    </row>
    <row r="843" spans="7:15">
      <c r="G843" s="25"/>
      <c r="O843" s="25"/>
    </row>
    <row r="844" spans="7:15">
      <c r="G844" s="25"/>
      <c r="O844" s="25"/>
    </row>
    <row r="845" spans="7:15">
      <c r="G845" s="25"/>
      <c r="O845" s="25"/>
    </row>
    <row r="846" spans="7:15">
      <c r="G846" s="25"/>
      <c r="O846" s="25"/>
    </row>
    <row r="847" spans="7:15">
      <c r="G847" s="25"/>
      <c r="O847" s="25"/>
    </row>
    <row r="848" spans="7:15">
      <c r="G848" s="25"/>
      <c r="O848" s="25"/>
    </row>
    <row r="849" spans="7:15">
      <c r="G849" s="25"/>
      <c r="O849" s="25"/>
    </row>
    <row r="850" spans="7:15">
      <c r="G850" s="25"/>
      <c r="O850" s="25"/>
    </row>
    <row r="851" spans="7:15">
      <c r="G851" s="25"/>
      <c r="O851" s="25"/>
    </row>
    <row r="852" spans="7:15">
      <c r="G852" s="25"/>
      <c r="O852" s="25"/>
    </row>
    <row r="853" spans="7:15">
      <c r="G853" s="25"/>
      <c r="O853" s="25"/>
    </row>
    <row r="854" spans="7:15">
      <c r="G854" s="25"/>
      <c r="O854" s="25"/>
    </row>
    <row r="855" spans="7:15">
      <c r="G855" s="25"/>
      <c r="O855" s="25"/>
    </row>
    <row r="856" spans="7:15">
      <c r="G856" s="25"/>
      <c r="O856" s="25"/>
    </row>
    <row r="857" spans="7:15">
      <c r="G857" s="25"/>
      <c r="O857" s="25"/>
    </row>
    <row r="858" spans="7:15">
      <c r="G858" s="25"/>
      <c r="O858" s="25"/>
    </row>
    <row r="859" spans="7:15">
      <c r="G859" s="25"/>
      <c r="O859" s="25"/>
    </row>
    <row r="860" spans="7:15">
      <c r="G860" s="25"/>
      <c r="O860" s="25"/>
    </row>
    <row r="861" spans="7:15">
      <c r="G861" s="25"/>
      <c r="O861" s="25"/>
    </row>
    <row r="862" spans="7:15">
      <c r="G862" s="25"/>
      <c r="O862" s="25"/>
    </row>
    <row r="863" spans="7:15">
      <c r="G863" s="25"/>
      <c r="O863" s="25"/>
    </row>
    <row r="864" spans="7:15">
      <c r="G864" s="25"/>
      <c r="O864" s="25"/>
    </row>
    <row r="865" spans="7:15">
      <c r="G865" s="25"/>
      <c r="O865" s="25"/>
    </row>
    <row r="866" spans="7:15">
      <c r="G866" s="25"/>
      <c r="O866" s="25"/>
    </row>
    <row r="867" spans="7:15">
      <c r="G867" s="25"/>
      <c r="O867" s="25"/>
    </row>
    <row r="868" spans="7:15">
      <c r="G868" s="25"/>
      <c r="O868" s="25"/>
    </row>
    <row r="869" spans="7:15">
      <c r="G869" s="25"/>
      <c r="O869" s="25"/>
    </row>
    <row r="870" spans="7:15">
      <c r="G870" s="25"/>
      <c r="O870" s="25"/>
    </row>
    <row r="871" spans="7:15">
      <c r="G871" s="25"/>
      <c r="O871" s="25"/>
    </row>
    <row r="872" spans="7:15">
      <c r="G872" s="25"/>
      <c r="O872" s="25"/>
    </row>
    <row r="873" spans="7:15">
      <c r="G873" s="25"/>
      <c r="O873" s="25"/>
    </row>
    <row r="874" spans="7:15">
      <c r="G874" s="25"/>
      <c r="O874" s="25"/>
    </row>
    <row r="875" spans="7:15">
      <c r="G875" s="25"/>
      <c r="O875" s="25"/>
    </row>
    <row r="876" spans="7:15">
      <c r="G876" s="25"/>
      <c r="O876" s="25"/>
    </row>
    <row r="877" spans="7:15">
      <c r="G877" s="25"/>
      <c r="O877" s="25"/>
    </row>
    <row r="878" spans="7:15">
      <c r="G878" s="25"/>
      <c r="O878" s="25"/>
    </row>
    <row r="879" spans="7:15">
      <c r="G879" s="25"/>
      <c r="O879" s="25"/>
    </row>
    <row r="880" spans="7:15">
      <c r="G880" s="25"/>
      <c r="O880" s="25"/>
    </row>
    <row r="881" spans="7:15">
      <c r="G881" s="25"/>
      <c r="O881" s="25"/>
    </row>
    <row r="882" spans="7:15">
      <c r="G882" s="25"/>
      <c r="O882" s="25"/>
    </row>
    <row r="883" spans="7:15">
      <c r="G883" s="25"/>
      <c r="O883" s="25"/>
    </row>
    <row r="884" spans="7:15">
      <c r="G884" s="25"/>
      <c r="O884" s="25"/>
    </row>
    <row r="885" spans="7:15">
      <c r="G885" s="25"/>
      <c r="O885" s="25"/>
    </row>
    <row r="886" spans="7:15">
      <c r="G886" s="25"/>
      <c r="O886" s="25"/>
    </row>
    <row r="887" spans="7:15">
      <c r="G887" s="25"/>
      <c r="O887" s="25"/>
    </row>
    <row r="888" spans="7:15">
      <c r="G888" s="25"/>
      <c r="O888" s="25"/>
    </row>
    <row r="889" spans="7:15">
      <c r="G889" s="25"/>
      <c r="O889" s="25"/>
    </row>
    <row r="890" spans="7:15">
      <c r="G890" s="25"/>
      <c r="O890" s="25"/>
    </row>
    <row r="891" spans="7:15">
      <c r="G891" s="25"/>
      <c r="O891" s="25"/>
    </row>
    <row r="892" spans="7:15">
      <c r="G892" s="25"/>
      <c r="O892" s="25"/>
    </row>
    <row r="893" spans="7:15">
      <c r="G893" s="25"/>
      <c r="O893" s="25"/>
    </row>
    <row r="894" spans="7:15">
      <c r="G894" s="25"/>
      <c r="O894" s="25"/>
    </row>
    <row r="895" spans="7:15">
      <c r="G895" s="25"/>
      <c r="O895" s="25"/>
    </row>
    <row r="896" spans="7:15">
      <c r="G896" s="25"/>
      <c r="O896" s="25"/>
    </row>
    <row r="897" spans="7:15">
      <c r="G897" s="25"/>
      <c r="O897" s="25"/>
    </row>
    <row r="898" spans="7:15">
      <c r="G898" s="25"/>
      <c r="O898" s="25"/>
    </row>
    <row r="899" spans="7:15">
      <c r="G899" s="25"/>
      <c r="O899" s="25"/>
    </row>
    <row r="900" spans="7:15">
      <c r="G900" s="25"/>
      <c r="O900" s="25"/>
    </row>
    <row r="901" spans="7:15">
      <c r="G901" s="25"/>
      <c r="O901" s="25"/>
    </row>
    <row r="902" spans="7:15">
      <c r="G902" s="25"/>
      <c r="O902" s="25"/>
    </row>
    <row r="903" spans="7:15">
      <c r="G903" s="25"/>
      <c r="O903" s="25"/>
    </row>
    <row r="904" spans="7:15">
      <c r="G904" s="25"/>
      <c r="O904" s="25"/>
    </row>
    <row r="905" spans="7:15">
      <c r="G905" s="25"/>
      <c r="O905" s="25"/>
    </row>
    <row r="906" spans="7:15">
      <c r="G906" s="25"/>
      <c r="O906" s="25"/>
    </row>
    <row r="907" spans="7:15">
      <c r="G907" s="25"/>
      <c r="O907" s="25"/>
    </row>
    <row r="908" spans="7:15">
      <c r="G908" s="25"/>
      <c r="O908" s="25"/>
    </row>
    <row r="909" spans="7:15">
      <c r="G909" s="25"/>
      <c r="O909" s="25"/>
    </row>
    <row r="910" spans="7:15">
      <c r="G910" s="25"/>
      <c r="O910" s="25"/>
    </row>
    <row r="911" spans="7:15">
      <c r="G911" s="25"/>
      <c r="O911" s="25"/>
    </row>
    <row r="912" spans="7:15">
      <c r="G912" s="25"/>
      <c r="O912" s="25"/>
    </row>
    <row r="913" spans="7:15">
      <c r="G913" s="25"/>
      <c r="O913" s="25"/>
    </row>
    <row r="914" spans="7:15">
      <c r="G914" s="25"/>
      <c r="O914" s="25"/>
    </row>
    <row r="915" spans="7:15">
      <c r="G915" s="25"/>
      <c r="O915" s="25"/>
    </row>
    <row r="916" spans="7:15">
      <c r="G916" s="25"/>
      <c r="O916" s="25"/>
    </row>
    <row r="917" spans="7:15">
      <c r="G917" s="25"/>
      <c r="O917" s="25"/>
    </row>
    <row r="918" spans="7:15">
      <c r="G918" s="25"/>
      <c r="O918" s="25"/>
    </row>
    <row r="919" spans="7:15">
      <c r="G919" s="25"/>
      <c r="O919" s="25"/>
    </row>
    <row r="920" spans="7:15">
      <c r="G920" s="25"/>
      <c r="O920" s="25"/>
    </row>
    <row r="921" spans="7:15">
      <c r="G921" s="25"/>
      <c r="O921" s="25"/>
    </row>
    <row r="922" spans="7:15">
      <c r="G922" s="25"/>
      <c r="O922" s="25"/>
    </row>
    <row r="923" spans="7:15">
      <c r="G923" s="25"/>
      <c r="O923" s="25"/>
    </row>
    <row r="924" spans="7:15">
      <c r="G924" s="25"/>
      <c r="O924" s="25"/>
    </row>
    <row r="925" spans="7:15">
      <c r="G925" s="25"/>
      <c r="O925" s="25"/>
    </row>
    <row r="926" spans="7:15">
      <c r="G926" s="25"/>
      <c r="O926" s="25"/>
    </row>
    <row r="927" spans="7:15">
      <c r="G927" s="25"/>
      <c r="O927" s="25"/>
    </row>
    <row r="928" spans="7:15">
      <c r="G928" s="25"/>
      <c r="O928" s="25"/>
    </row>
    <row r="929" spans="7:15">
      <c r="G929" s="25"/>
      <c r="O929" s="25"/>
    </row>
    <row r="930" spans="7:15">
      <c r="G930" s="25"/>
      <c r="O930" s="25"/>
    </row>
    <row r="931" spans="7:15">
      <c r="G931" s="25"/>
      <c r="O931" s="25"/>
    </row>
    <row r="932" spans="7:15">
      <c r="G932" s="25"/>
      <c r="O932" s="25"/>
    </row>
    <row r="933" spans="7:15">
      <c r="G933" s="25"/>
      <c r="O933" s="25"/>
    </row>
    <row r="934" spans="7:15">
      <c r="G934" s="25"/>
      <c r="O934" s="25"/>
    </row>
    <row r="935" spans="7:15">
      <c r="G935" s="25"/>
      <c r="O935" s="25"/>
    </row>
    <row r="936" spans="7:15">
      <c r="G936" s="25"/>
      <c r="O936" s="25"/>
    </row>
    <row r="937" spans="7:15">
      <c r="G937" s="25"/>
      <c r="O937" s="25"/>
    </row>
    <row r="938" spans="7:15">
      <c r="G938" s="25"/>
      <c r="O938" s="25"/>
    </row>
    <row r="939" spans="7:15">
      <c r="G939" s="25"/>
      <c r="O939" s="25"/>
    </row>
    <row r="940" spans="7:15">
      <c r="G940" s="25"/>
      <c r="O940" s="25"/>
    </row>
    <row r="941" spans="7:15">
      <c r="G941" s="25"/>
      <c r="O941" s="25"/>
    </row>
    <row r="942" spans="7:15">
      <c r="G942" s="25"/>
      <c r="O942" s="25"/>
    </row>
    <row r="943" spans="7:15">
      <c r="G943" s="25"/>
      <c r="O943" s="25"/>
    </row>
    <row r="944" spans="7:15">
      <c r="G944" s="25"/>
      <c r="O944" s="25"/>
    </row>
    <row r="945" spans="7:15">
      <c r="G945" s="25"/>
      <c r="O945" s="25"/>
    </row>
    <row r="946" spans="7:15">
      <c r="G946" s="25"/>
      <c r="O946" s="25"/>
    </row>
    <row r="947" spans="7:15">
      <c r="G947" s="25"/>
      <c r="O947" s="25"/>
    </row>
    <row r="948" spans="7:15">
      <c r="G948" s="25"/>
      <c r="O948" s="25"/>
    </row>
    <row r="949" spans="7:15">
      <c r="G949" s="25"/>
      <c r="O949" s="25"/>
    </row>
    <row r="950" spans="7:15">
      <c r="G950" s="25"/>
      <c r="O950" s="25"/>
    </row>
    <row r="951" spans="7:15">
      <c r="G951" s="25"/>
      <c r="O951" s="25"/>
    </row>
    <row r="952" spans="7:15">
      <c r="G952" s="25"/>
      <c r="O952" s="25"/>
    </row>
    <row r="953" spans="7:15">
      <c r="G953" s="25"/>
      <c r="O953" s="25"/>
    </row>
    <row r="954" spans="7:15">
      <c r="G954" s="25"/>
      <c r="O954" s="25"/>
    </row>
    <row r="955" spans="7:15">
      <c r="G955" s="25"/>
      <c r="O955" s="25"/>
    </row>
    <row r="956" spans="7:15">
      <c r="G956" s="25"/>
      <c r="O956" s="25"/>
    </row>
    <row r="957" spans="7:15">
      <c r="G957" s="25"/>
      <c r="O957" s="25"/>
    </row>
    <row r="958" spans="7:15">
      <c r="G958" s="25"/>
      <c r="O958" s="25"/>
    </row>
    <row r="959" spans="7:15">
      <c r="G959" s="25"/>
      <c r="O959" s="25"/>
    </row>
    <row r="960" spans="7:15">
      <c r="G960" s="25"/>
      <c r="O960" s="25"/>
    </row>
    <row r="961" spans="7:15">
      <c r="G961" s="25"/>
      <c r="O961" s="25"/>
    </row>
    <row r="962" spans="7:15">
      <c r="G962" s="25"/>
      <c r="O962" s="25"/>
    </row>
    <row r="963" spans="7:15">
      <c r="G963" s="25"/>
      <c r="O963" s="25"/>
    </row>
    <row r="964" spans="7:15">
      <c r="G964" s="25"/>
      <c r="O964" s="25"/>
    </row>
    <row r="965" spans="7:15">
      <c r="G965" s="25"/>
      <c r="O965" s="25"/>
    </row>
    <row r="966" spans="7:15">
      <c r="G966" s="25"/>
      <c r="O966" s="25"/>
    </row>
    <row r="967" spans="7:15">
      <c r="G967" s="25"/>
      <c r="O967" s="25"/>
    </row>
    <row r="968" spans="7:15">
      <c r="G968" s="25"/>
      <c r="O968" s="25"/>
    </row>
    <row r="969" spans="7:15">
      <c r="G969" s="25"/>
      <c r="O969" s="25"/>
    </row>
    <row r="970" spans="7:15">
      <c r="G970" s="25"/>
      <c r="O970" s="25"/>
    </row>
    <row r="971" spans="7:15">
      <c r="G971" s="25"/>
      <c r="O971" s="25"/>
    </row>
    <row r="972" spans="7:15">
      <c r="G972" s="25"/>
      <c r="O972" s="25"/>
    </row>
    <row r="973" spans="7:15">
      <c r="G973" s="25"/>
      <c r="O973" s="25"/>
    </row>
    <row r="974" spans="7:15">
      <c r="G974" s="25"/>
      <c r="O974" s="25"/>
    </row>
    <row r="975" spans="7:15">
      <c r="G975" s="25"/>
      <c r="O975" s="25"/>
    </row>
    <row r="976" spans="7:15">
      <c r="G976" s="25"/>
      <c r="O976" s="25"/>
    </row>
    <row r="977" spans="7:15">
      <c r="G977" s="25"/>
      <c r="O977" s="25"/>
    </row>
    <row r="978" spans="7:15">
      <c r="G978" s="25"/>
      <c r="O978" s="25"/>
    </row>
    <row r="979" spans="7:15">
      <c r="G979" s="25"/>
      <c r="O979" s="25"/>
    </row>
    <row r="980" spans="7:15">
      <c r="G980" s="25"/>
      <c r="O980" s="25"/>
    </row>
    <row r="981" spans="7:15">
      <c r="G981" s="25"/>
      <c r="O981" s="25"/>
    </row>
    <row r="982" spans="7:15">
      <c r="G982" s="25"/>
      <c r="O982" s="25"/>
    </row>
    <row r="983" spans="7:15">
      <c r="G983" s="25"/>
      <c r="O983" s="25"/>
    </row>
    <row r="984" spans="7:15">
      <c r="G984" s="25"/>
      <c r="O984" s="25"/>
    </row>
    <row r="985" spans="7:15">
      <c r="G985" s="25"/>
      <c r="O985" s="25"/>
    </row>
    <row r="986" spans="7:15">
      <c r="G986" s="25"/>
      <c r="O986" s="25"/>
    </row>
    <row r="987" spans="7:15">
      <c r="G987" s="25"/>
      <c r="O987" s="25"/>
    </row>
    <row r="988" spans="7:15">
      <c r="G988" s="25"/>
      <c r="O988" s="25"/>
    </row>
    <row r="989" spans="7:15">
      <c r="G989" s="25"/>
      <c r="O989" s="25"/>
    </row>
    <row r="990" spans="7:15">
      <c r="G990" s="25"/>
      <c r="O990" s="25"/>
    </row>
    <row r="991" spans="7:15">
      <c r="G991" s="25"/>
      <c r="O991" s="25"/>
    </row>
    <row r="992" spans="7:15">
      <c r="G992" s="25"/>
      <c r="O992" s="25"/>
    </row>
    <row r="993" spans="7:15">
      <c r="G993" s="25"/>
      <c r="O993" s="25"/>
    </row>
    <row r="994" spans="7:15">
      <c r="G994" s="25"/>
      <c r="O994" s="25"/>
    </row>
    <row r="995" spans="7:15">
      <c r="G995" s="25"/>
      <c r="O995" s="25"/>
    </row>
    <row r="996" spans="7:15">
      <c r="G996" s="25"/>
      <c r="O996" s="25"/>
    </row>
    <row r="997" spans="7:15">
      <c r="G997" s="25"/>
      <c r="O997" s="25"/>
    </row>
    <row r="998" spans="7:15">
      <c r="G998" s="25"/>
      <c r="O998" s="25"/>
    </row>
    <row r="999" spans="7:15">
      <c r="G999" s="25"/>
      <c r="O999" s="25"/>
    </row>
    <row r="1000" spans="7:15">
      <c r="G1000" s="25"/>
      <c r="O1000" s="25"/>
    </row>
    <row r="1001" spans="7:15">
      <c r="G1001" s="25"/>
      <c r="O1001" s="25"/>
    </row>
    <row r="1002" spans="7:15">
      <c r="G1002" s="25"/>
      <c r="O1002" s="25"/>
    </row>
    <row r="1003" spans="7:15">
      <c r="G1003" s="25"/>
      <c r="O1003" s="25"/>
    </row>
    <row r="1004" spans="7:15">
      <c r="G1004" s="25"/>
      <c r="O1004" s="25"/>
    </row>
    <row r="1005" spans="7:15">
      <c r="G1005" s="25"/>
      <c r="O1005" s="25"/>
    </row>
    <row r="1006" spans="7:15">
      <c r="G1006" s="25"/>
      <c r="O1006" s="25"/>
    </row>
    <row r="1007" spans="7:15">
      <c r="G1007" s="25"/>
      <c r="O1007" s="25"/>
    </row>
    <row r="1008" spans="7:15">
      <c r="G1008" s="25"/>
      <c r="O1008" s="25"/>
    </row>
    <row r="1009" spans="7:15">
      <c r="G1009" s="25"/>
      <c r="O1009" s="25"/>
    </row>
    <row r="1010" spans="7:15">
      <c r="G1010" s="25"/>
      <c r="O1010" s="25"/>
    </row>
    <row r="1011" spans="7:15">
      <c r="G1011" s="25"/>
      <c r="O1011" s="25"/>
    </row>
    <row r="1012" spans="7:15">
      <c r="G1012" s="25"/>
      <c r="O1012" s="25"/>
    </row>
    <row r="1013" spans="7:15">
      <c r="G1013" s="25"/>
      <c r="O1013" s="25"/>
    </row>
    <row r="1014" spans="7:15">
      <c r="G1014" s="25"/>
      <c r="O1014" s="25"/>
    </row>
    <row r="1015" spans="7:15">
      <c r="G1015" s="25"/>
      <c r="O1015" s="25"/>
    </row>
    <row r="1016" spans="7:15">
      <c r="G1016" s="25"/>
      <c r="O1016" s="25"/>
    </row>
    <row r="1017" spans="7:15">
      <c r="G1017" s="25"/>
      <c r="O1017" s="25"/>
    </row>
    <row r="1018" spans="7:15">
      <c r="G1018" s="25"/>
      <c r="O1018" s="25"/>
    </row>
    <row r="1019" spans="7:15">
      <c r="G1019" s="25"/>
      <c r="O1019" s="25"/>
    </row>
    <row r="1020" spans="7:15">
      <c r="G1020" s="25"/>
      <c r="O1020" s="25"/>
    </row>
    <row r="1021" spans="7:15">
      <c r="G1021" s="25"/>
      <c r="O1021" s="25"/>
    </row>
    <row r="1022" spans="7:15">
      <c r="G1022" s="25"/>
      <c r="O1022" s="25"/>
    </row>
    <row r="1023" spans="7:15">
      <c r="G1023" s="25"/>
      <c r="O1023" s="25"/>
    </row>
    <row r="1024" spans="7:15">
      <c r="G1024" s="25"/>
      <c r="O1024" s="25"/>
    </row>
    <row r="1025" spans="7:15">
      <c r="G1025" s="25"/>
      <c r="O1025" s="25"/>
    </row>
    <row r="1026" spans="7:15">
      <c r="G1026" s="25"/>
      <c r="O1026" s="25"/>
    </row>
    <row r="1027" spans="7:15">
      <c r="G1027" s="25"/>
      <c r="O1027" s="25"/>
    </row>
    <row r="1028" spans="7:15">
      <c r="G1028" s="25"/>
      <c r="O1028" s="25"/>
    </row>
    <row r="1029" spans="7:15">
      <c r="G1029" s="25"/>
      <c r="O1029" s="25"/>
    </row>
    <row r="1030" spans="7:15">
      <c r="G1030" s="25"/>
      <c r="O1030" s="25"/>
    </row>
    <row r="1031" spans="7:15">
      <c r="G1031" s="25"/>
      <c r="O1031" s="25"/>
    </row>
    <row r="1032" spans="7:15">
      <c r="G1032" s="25"/>
      <c r="O1032" s="25"/>
    </row>
    <row r="1033" spans="7:15">
      <c r="G1033" s="25"/>
      <c r="O1033" s="25"/>
    </row>
    <row r="1034" spans="7:15">
      <c r="G1034" s="25"/>
      <c r="O1034" s="25"/>
    </row>
    <row r="1035" spans="7:15">
      <c r="G1035" s="25"/>
      <c r="O1035" s="25"/>
    </row>
    <row r="1036" spans="7:15">
      <c r="G1036" s="25"/>
      <c r="O1036" s="25"/>
    </row>
    <row r="1037" spans="7:15">
      <c r="G1037" s="25"/>
      <c r="O1037" s="25"/>
    </row>
    <row r="1038" spans="7:15">
      <c r="G1038" s="25"/>
      <c r="O1038" s="25"/>
    </row>
    <row r="1039" spans="7:15">
      <c r="G1039" s="25"/>
      <c r="O1039" s="25"/>
    </row>
    <row r="1040" spans="7:15">
      <c r="G1040" s="25"/>
      <c r="O1040" s="25"/>
    </row>
    <row r="1041" spans="7:15">
      <c r="G1041" s="25"/>
      <c r="O1041" s="25"/>
    </row>
    <row r="1042" spans="7:15">
      <c r="G1042" s="25"/>
      <c r="O1042" s="25"/>
    </row>
    <row r="1043" spans="7:15">
      <c r="G1043" s="25"/>
      <c r="O1043" s="25"/>
    </row>
    <row r="1044" spans="7:15">
      <c r="G1044" s="25"/>
      <c r="O1044" s="25"/>
    </row>
    <row r="1045" spans="7:15">
      <c r="G1045" s="25"/>
      <c r="O1045" s="25"/>
    </row>
    <row r="1046" spans="7:15">
      <c r="G1046" s="25"/>
      <c r="O1046" s="25"/>
    </row>
    <row r="1047" spans="7:15">
      <c r="G1047" s="25"/>
      <c r="O1047" s="25"/>
    </row>
    <row r="1048" spans="7:15">
      <c r="G1048" s="25"/>
      <c r="O1048" s="25"/>
    </row>
    <row r="1049" spans="7:15">
      <c r="G1049" s="25"/>
      <c r="O1049" s="25"/>
    </row>
    <row r="1050" spans="7:15">
      <c r="G1050" s="25"/>
      <c r="O1050" s="25"/>
    </row>
    <row r="1051" spans="7:15">
      <c r="G1051" s="25"/>
      <c r="O1051" s="25"/>
    </row>
    <row r="1052" spans="7:15">
      <c r="G1052" s="25"/>
      <c r="O1052" s="25"/>
    </row>
    <row r="1053" spans="7:15">
      <c r="G1053" s="25"/>
      <c r="O1053" s="25"/>
    </row>
    <row r="1054" spans="7:15">
      <c r="G1054" s="25"/>
      <c r="O1054" s="25"/>
    </row>
    <row r="1055" spans="7:15">
      <c r="G1055" s="25"/>
      <c r="O1055" s="25"/>
    </row>
    <row r="1056" spans="7:15">
      <c r="G1056" s="25"/>
      <c r="O1056" s="25"/>
    </row>
    <row r="1057" spans="7:15">
      <c r="G1057" s="25"/>
      <c r="O1057" s="25"/>
    </row>
    <row r="1058" spans="7:15">
      <c r="G1058" s="25"/>
      <c r="O1058" s="25"/>
    </row>
    <row r="1059" spans="7:15">
      <c r="G1059" s="25"/>
      <c r="O1059" s="25"/>
    </row>
    <row r="1060" spans="7:15">
      <c r="G1060" s="25"/>
      <c r="O1060" s="25"/>
    </row>
    <row r="1061" spans="7:15">
      <c r="G1061" s="25"/>
      <c r="O1061" s="25"/>
    </row>
    <row r="1062" spans="7:15">
      <c r="G1062" s="25"/>
      <c r="O1062" s="25"/>
    </row>
    <row r="1063" spans="7:15">
      <c r="G1063" s="25"/>
      <c r="O1063" s="25"/>
    </row>
    <row r="1064" spans="7:15">
      <c r="G1064" s="25"/>
      <c r="O1064" s="25"/>
    </row>
    <row r="1065" spans="7:15">
      <c r="G1065" s="25"/>
      <c r="O1065" s="25"/>
    </row>
    <row r="1066" spans="7:15">
      <c r="G1066" s="25"/>
      <c r="O1066" s="25"/>
    </row>
    <row r="1067" spans="7:15">
      <c r="G1067" s="25"/>
      <c r="O1067" s="25"/>
    </row>
    <row r="1068" spans="7:15">
      <c r="G1068" s="25"/>
      <c r="O1068" s="25"/>
    </row>
    <row r="1069" spans="7:15">
      <c r="G1069" s="25"/>
      <c r="O1069" s="25"/>
    </row>
    <row r="1070" spans="7:15">
      <c r="G1070" s="25"/>
      <c r="O1070" s="25"/>
    </row>
    <row r="1071" spans="7:15">
      <c r="G1071" s="25"/>
      <c r="O1071" s="25"/>
    </row>
    <row r="1072" spans="7:15">
      <c r="G1072" s="25"/>
      <c r="O1072" s="25"/>
    </row>
    <row r="1073" spans="7:15">
      <c r="G1073" s="25"/>
      <c r="O1073" s="25"/>
    </row>
    <row r="1074" spans="7:15">
      <c r="G1074" s="25"/>
      <c r="O1074" s="25"/>
    </row>
    <row r="1075" spans="7:15">
      <c r="G1075" s="25"/>
      <c r="O1075" s="25"/>
    </row>
    <row r="1076" spans="7:15">
      <c r="G1076" s="25"/>
      <c r="O1076" s="25"/>
    </row>
    <row r="1077" spans="7:15">
      <c r="G1077" s="25"/>
      <c r="O1077" s="25"/>
    </row>
    <row r="1078" spans="7:15">
      <c r="G1078" s="25"/>
      <c r="O1078" s="25"/>
    </row>
    <row r="1079" spans="7:15">
      <c r="G1079" s="25"/>
      <c r="O1079" s="25"/>
    </row>
    <row r="1080" spans="7:15">
      <c r="G1080" s="25"/>
      <c r="O1080" s="25"/>
    </row>
    <row r="1081" spans="7:15">
      <c r="G1081" s="25"/>
      <c r="O1081" s="25"/>
    </row>
    <row r="1082" spans="7:15">
      <c r="G1082" s="25"/>
      <c r="O1082" s="25"/>
    </row>
    <row r="1083" spans="7:15">
      <c r="G1083" s="25"/>
      <c r="O1083" s="25"/>
    </row>
    <row r="1084" spans="7:15">
      <c r="G1084" s="25"/>
      <c r="O1084" s="25"/>
    </row>
    <row r="1085" spans="7:15">
      <c r="G1085" s="25"/>
      <c r="O1085" s="25"/>
    </row>
    <row r="1086" spans="7:15">
      <c r="G1086" s="25"/>
      <c r="O1086" s="25"/>
    </row>
    <row r="1087" spans="7:15">
      <c r="G1087" s="25"/>
      <c r="O1087" s="25"/>
    </row>
    <row r="1088" spans="7:15">
      <c r="G1088" s="25"/>
      <c r="O1088" s="25"/>
    </row>
    <row r="1089" spans="7:15">
      <c r="G1089" s="25"/>
      <c r="O1089" s="25"/>
    </row>
    <row r="1090" spans="7:15">
      <c r="G1090" s="25"/>
      <c r="O1090" s="25"/>
    </row>
    <row r="1091" spans="7:15">
      <c r="G1091" s="25"/>
      <c r="O1091" s="25"/>
    </row>
    <row r="1092" spans="7:15">
      <c r="G1092" s="25"/>
      <c r="O1092" s="25"/>
    </row>
    <row r="1093" spans="7:15">
      <c r="G1093" s="25"/>
      <c r="O1093" s="25"/>
    </row>
    <row r="1094" spans="7:15">
      <c r="G1094" s="25"/>
      <c r="O1094" s="25"/>
    </row>
    <row r="1095" spans="7:15">
      <c r="G1095" s="25"/>
      <c r="O1095" s="25"/>
    </row>
    <row r="1096" spans="7:15">
      <c r="G1096" s="25"/>
      <c r="O1096" s="25"/>
    </row>
    <row r="1097" spans="7:15">
      <c r="G1097" s="25"/>
      <c r="O1097" s="25"/>
    </row>
    <row r="1098" spans="7:15">
      <c r="G1098" s="25"/>
      <c r="O1098" s="25"/>
    </row>
    <row r="1099" spans="7:15">
      <c r="G1099" s="25"/>
      <c r="O1099" s="25"/>
    </row>
    <row r="1100" spans="7:15">
      <c r="G1100" s="25"/>
      <c r="O1100" s="25"/>
    </row>
    <row r="1101" spans="7:15">
      <c r="G1101" s="25"/>
      <c r="O1101" s="25"/>
    </row>
    <row r="1102" spans="7:15">
      <c r="G1102" s="25"/>
      <c r="O1102" s="25"/>
    </row>
    <row r="1103" spans="7:15">
      <c r="G1103" s="25"/>
      <c r="O1103" s="25"/>
    </row>
    <row r="1104" spans="7:15">
      <c r="G1104" s="25"/>
      <c r="O1104" s="25"/>
    </row>
    <row r="1105" spans="7:15">
      <c r="G1105" s="25"/>
      <c r="O1105" s="25"/>
    </row>
    <row r="1106" spans="7:15">
      <c r="G1106" s="25"/>
      <c r="O1106" s="25"/>
    </row>
    <row r="1107" spans="7:15">
      <c r="G1107" s="25"/>
      <c r="O1107" s="25"/>
    </row>
    <row r="1108" spans="7:15">
      <c r="G1108" s="25"/>
      <c r="O1108" s="25"/>
    </row>
    <row r="1109" spans="7:15">
      <c r="G1109" s="25"/>
      <c r="O1109" s="25"/>
    </row>
    <row r="1110" spans="7:15">
      <c r="G1110" s="25"/>
      <c r="O1110" s="25"/>
    </row>
    <row r="1111" spans="7:15">
      <c r="G1111" s="25"/>
      <c r="O1111" s="25"/>
    </row>
    <row r="1112" spans="7:15">
      <c r="G1112" s="25"/>
      <c r="O1112" s="25"/>
    </row>
    <row r="1113" spans="7:15">
      <c r="G1113" s="25"/>
      <c r="O1113" s="25"/>
    </row>
    <row r="1114" spans="7:15">
      <c r="G1114" s="25"/>
      <c r="O1114" s="25"/>
    </row>
    <row r="1115" spans="7:15">
      <c r="G1115" s="25"/>
      <c r="O1115" s="25"/>
    </row>
    <row r="1116" spans="7:15">
      <c r="G1116" s="25"/>
      <c r="O1116" s="25"/>
    </row>
    <row r="1117" spans="7:15">
      <c r="G1117" s="25"/>
      <c r="O1117" s="25"/>
    </row>
    <row r="1118" spans="7:15">
      <c r="G1118" s="25"/>
      <c r="O1118" s="25"/>
    </row>
    <row r="1119" spans="7:15">
      <c r="G1119" s="25"/>
      <c r="O1119" s="25"/>
    </row>
    <row r="1120" spans="7:15">
      <c r="G1120" s="25"/>
      <c r="O1120" s="25"/>
    </row>
    <row r="1121" spans="7:15">
      <c r="G1121" s="25"/>
      <c r="O1121" s="25"/>
    </row>
    <row r="1122" spans="7:15">
      <c r="G1122" s="25"/>
      <c r="O1122" s="25"/>
    </row>
    <row r="1123" spans="7:15">
      <c r="G1123" s="25"/>
      <c r="O1123" s="25"/>
    </row>
    <row r="1124" spans="7:15">
      <c r="G1124" s="25"/>
      <c r="O1124" s="25"/>
    </row>
    <row r="1125" spans="7:15">
      <c r="G1125" s="25"/>
      <c r="O1125" s="25"/>
    </row>
    <row r="1126" spans="7:15">
      <c r="G1126" s="25"/>
      <c r="O1126" s="25"/>
    </row>
    <row r="1127" spans="7:15">
      <c r="G1127" s="25"/>
      <c r="O1127" s="25"/>
    </row>
    <row r="1128" spans="7:15">
      <c r="G1128" s="25"/>
      <c r="O1128" s="25"/>
    </row>
    <row r="1129" spans="7:15">
      <c r="G1129" s="25"/>
      <c r="O1129" s="25"/>
    </row>
    <row r="1130" spans="7:15">
      <c r="G1130" s="25"/>
      <c r="O1130" s="25"/>
    </row>
    <row r="1131" spans="7:15">
      <c r="G1131" s="25"/>
      <c r="O1131" s="25"/>
    </row>
    <row r="1132" spans="7:15">
      <c r="G1132" s="25"/>
      <c r="O1132" s="25"/>
    </row>
    <row r="1133" spans="7:15">
      <c r="G1133" s="25"/>
      <c r="O1133" s="25"/>
    </row>
    <row r="1134" spans="7:15">
      <c r="G1134" s="25"/>
      <c r="O1134" s="25"/>
    </row>
    <row r="1135" spans="7:15">
      <c r="G1135" s="25"/>
      <c r="O1135" s="25"/>
    </row>
    <row r="1136" spans="7:15">
      <c r="G1136" s="25"/>
      <c r="O1136" s="25"/>
    </row>
    <row r="1137" spans="7:15">
      <c r="G1137" s="25"/>
      <c r="O1137" s="25"/>
    </row>
    <row r="1138" spans="7:15">
      <c r="G1138" s="25"/>
      <c r="O1138" s="25"/>
    </row>
    <row r="1139" spans="7:15">
      <c r="G1139" s="25"/>
      <c r="O1139" s="25"/>
    </row>
    <row r="1140" spans="7:15">
      <c r="G1140" s="25"/>
      <c r="O1140" s="25"/>
    </row>
    <row r="1141" spans="7:15">
      <c r="G1141" s="25"/>
      <c r="O1141" s="25"/>
    </row>
    <row r="1142" spans="7:15">
      <c r="G1142" s="25"/>
      <c r="O1142" s="25"/>
    </row>
    <row r="1143" spans="7:15">
      <c r="G1143" s="25"/>
      <c r="O1143" s="25"/>
    </row>
    <row r="1144" spans="7:15">
      <c r="G1144" s="25"/>
      <c r="O1144" s="25"/>
    </row>
    <row r="1145" spans="7:15">
      <c r="G1145" s="25"/>
      <c r="O1145" s="25"/>
    </row>
    <row r="1146" spans="7:15">
      <c r="G1146" s="25"/>
      <c r="O1146" s="25"/>
    </row>
    <row r="1147" spans="7:15">
      <c r="G1147" s="25"/>
      <c r="O1147" s="25"/>
    </row>
    <row r="1148" spans="7:15">
      <c r="G1148" s="25"/>
      <c r="O1148" s="25"/>
    </row>
    <row r="1149" spans="7:15">
      <c r="G1149" s="25"/>
      <c r="O1149" s="25"/>
    </row>
    <row r="1150" spans="7:15">
      <c r="G1150" s="25"/>
      <c r="O1150" s="25"/>
    </row>
    <row r="1151" spans="7:15">
      <c r="G1151" s="25"/>
      <c r="O1151" s="25"/>
    </row>
    <row r="1152" spans="7:15">
      <c r="G1152" s="25"/>
      <c r="O1152" s="25"/>
    </row>
    <row r="1153" spans="7:15">
      <c r="G1153" s="25"/>
      <c r="O1153" s="25"/>
    </row>
    <row r="1154" spans="7:15">
      <c r="G1154" s="25"/>
      <c r="O1154" s="25"/>
    </row>
    <row r="1155" spans="7:15">
      <c r="G1155" s="25"/>
      <c r="O1155" s="25"/>
    </row>
    <row r="1156" spans="7:15">
      <c r="G1156" s="25"/>
      <c r="O1156" s="25"/>
    </row>
    <row r="1157" spans="7:15">
      <c r="G1157" s="25"/>
      <c r="O1157" s="25"/>
    </row>
    <row r="1158" spans="7:15">
      <c r="G1158" s="25"/>
      <c r="O1158" s="25"/>
    </row>
    <row r="1159" spans="7:15">
      <c r="G1159" s="25"/>
      <c r="O1159" s="25"/>
    </row>
    <row r="1160" spans="7:15">
      <c r="G1160" s="25"/>
      <c r="O1160" s="25"/>
    </row>
    <row r="1161" spans="7:15">
      <c r="G1161" s="25"/>
      <c r="O1161" s="25"/>
    </row>
    <row r="1162" spans="7:15">
      <c r="G1162" s="25"/>
      <c r="O1162" s="25"/>
    </row>
    <row r="1163" spans="7:15">
      <c r="G1163" s="25"/>
      <c r="O1163" s="25"/>
    </row>
    <row r="1164" spans="7:15">
      <c r="G1164" s="25"/>
      <c r="O1164" s="25"/>
    </row>
    <row r="1165" spans="7:15">
      <c r="G1165" s="25"/>
      <c r="O1165" s="25"/>
    </row>
    <row r="1166" spans="7:15">
      <c r="G1166" s="25"/>
      <c r="O1166" s="25"/>
    </row>
    <row r="1167" spans="7:15">
      <c r="G1167" s="25"/>
      <c r="O1167" s="25"/>
    </row>
    <row r="1168" spans="7:15">
      <c r="G1168" s="25"/>
      <c r="O1168" s="25"/>
    </row>
    <row r="1169" spans="7:15">
      <c r="G1169" s="25"/>
      <c r="O1169" s="25"/>
    </row>
    <row r="1170" spans="7:15">
      <c r="G1170" s="25"/>
      <c r="O1170" s="25"/>
    </row>
    <row r="1171" spans="7:15">
      <c r="G1171" s="25"/>
      <c r="O1171" s="25"/>
    </row>
    <row r="1172" spans="7:15">
      <c r="G1172" s="25"/>
      <c r="O1172" s="25"/>
    </row>
    <row r="1173" spans="7:15">
      <c r="G1173" s="25"/>
      <c r="O1173" s="25"/>
    </row>
    <row r="1174" spans="7:15">
      <c r="G1174" s="25"/>
      <c r="O1174" s="25"/>
    </row>
    <row r="1175" spans="7:15">
      <c r="G1175" s="25"/>
      <c r="O1175" s="25"/>
    </row>
    <row r="1176" spans="7:15">
      <c r="G1176" s="25"/>
      <c r="O1176" s="25"/>
    </row>
    <row r="1177" spans="7:15">
      <c r="G1177" s="25"/>
      <c r="O1177" s="25"/>
    </row>
    <row r="1178" spans="7:15">
      <c r="G1178" s="25"/>
      <c r="O1178" s="25"/>
    </row>
    <row r="1179" spans="7:15">
      <c r="G1179" s="25"/>
      <c r="O1179" s="25"/>
    </row>
    <row r="1180" spans="7:15">
      <c r="G1180" s="25"/>
      <c r="O1180" s="25"/>
    </row>
    <row r="1181" spans="7:15">
      <c r="G1181" s="25"/>
      <c r="O1181" s="25"/>
    </row>
    <row r="1182" spans="7:15">
      <c r="G1182" s="25"/>
      <c r="O1182" s="25"/>
    </row>
    <row r="1183" spans="7:15">
      <c r="G1183" s="25"/>
      <c r="O1183" s="25"/>
    </row>
    <row r="1184" spans="7:15">
      <c r="G1184" s="25"/>
      <c r="O1184" s="25"/>
    </row>
    <row r="1185" spans="7:15">
      <c r="G1185" s="25"/>
      <c r="O1185" s="25"/>
    </row>
    <row r="1186" spans="7:15">
      <c r="G1186" s="25"/>
      <c r="O1186" s="25"/>
    </row>
    <row r="1187" spans="7:15">
      <c r="G1187" s="25"/>
      <c r="O1187" s="25"/>
    </row>
    <row r="1188" spans="7:15">
      <c r="G1188" s="25"/>
      <c r="O1188" s="25"/>
    </row>
    <row r="1189" spans="7:15">
      <c r="G1189" s="25"/>
      <c r="O1189" s="25"/>
    </row>
    <row r="1190" spans="7:15">
      <c r="G1190" s="25"/>
      <c r="O1190" s="25"/>
    </row>
    <row r="1191" spans="7:15">
      <c r="G1191" s="25"/>
      <c r="O1191" s="25"/>
    </row>
    <row r="1192" spans="7:15">
      <c r="G1192" s="25"/>
      <c r="O1192" s="25"/>
    </row>
    <row r="1193" spans="7:15">
      <c r="G1193" s="25"/>
      <c r="O1193" s="25"/>
    </row>
    <row r="1194" spans="7:15">
      <c r="G1194" s="25"/>
      <c r="O1194" s="25"/>
    </row>
    <row r="1195" spans="7:15">
      <c r="G1195" s="25"/>
      <c r="O1195" s="25"/>
    </row>
    <row r="1196" spans="7:15">
      <c r="G1196" s="25"/>
      <c r="O1196" s="25"/>
    </row>
    <row r="1197" spans="7:15">
      <c r="G1197" s="25"/>
      <c r="O1197" s="25"/>
    </row>
    <row r="1198" spans="7:15">
      <c r="G1198" s="25"/>
      <c r="O1198" s="25"/>
    </row>
    <row r="1199" spans="7:15">
      <c r="G1199" s="25"/>
      <c r="O1199" s="25"/>
    </row>
    <row r="1200" spans="7:15">
      <c r="G1200" s="25"/>
      <c r="O1200" s="25"/>
    </row>
    <row r="1201" spans="7:15">
      <c r="G1201" s="25"/>
      <c r="O1201" s="25"/>
    </row>
    <row r="1202" spans="7:15">
      <c r="G1202" s="25"/>
      <c r="O1202" s="25"/>
    </row>
    <row r="1203" spans="7:15">
      <c r="G1203" s="25"/>
      <c r="O1203" s="25"/>
    </row>
    <row r="1204" spans="7:15">
      <c r="G1204" s="25"/>
      <c r="O1204" s="25"/>
    </row>
    <row r="1205" spans="7:15">
      <c r="G1205" s="25"/>
      <c r="O1205" s="25"/>
    </row>
    <row r="1206" spans="7:15">
      <c r="G1206" s="25"/>
      <c r="O1206" s="25"/>
    </row>
    <row r="1207" spans="7:15">
      <c r="G1207" s="25"/>
      <c r="O1207" s="25"/>
    </row>
    <row r="1208" spans="7:15">
      <c r="G1208" s="25"/>
      <c r="O1208" s="25"/>
    </row>
    <row r="1209" spans="7:15">
      <c r="G1209" s="25"/>
      <c r="O1209" s="25"/>
    </row>
    <row r="1210" spans="7:15">
      <c r="G1210" s="25"/>
      <c r="O1210" s="25"/>
    </row>
    <row r="1211" spans="7:15">
      <c r="G1211" s="25"/>
      <c r="O1211" s="25"/>
    </row>
    <row r="1212" spans="7:15">
      <c r="G1212" s="25"/>
      <c r="O1212" s="25"/>
    </row>
    <row r="1213" spans="7:15">
      <c r="G1213" s="25"/>
      <c r="O1213" s="25"/>
    </row>
    <row r="1214" spans="7:15">
      <c r="G1214" s="25"/>
      <c r="O1214" s="25"/>
    </row>
    <row r="1215" spans="7:15">
      <c r="G1215" s="25"/>
      <c r="O1215" s="25"/>
    </row>
    <row r="1216" spans="7:15">
      <c r="G1216" s="25"/>
      <c r="O1216" s="25"/>
    </row>
    <row r="1217" spans="7:15">
      <c r="G1217" s="25"/>
      <c r="O1217" s="25"/>
    </row>
    <row r="1218" spans="7:15">
      <c r="G1218" s="25"/>
      <c r="O1218" s="25"/>
    </row>
    <row r="1219" spans="7:15">
      <c r="G1219" s="25"/>
      <c r="O1219" s="25"/>
    </row>
    <row r="1220" spans="7:15">
      <c r="G1220" s="25"/>
      <c r="O1220" s="25"/>
    </row>
    <row r="1221" spans="7:15">
      <c r="G1221" s="25"/>
      <c r="O1221" s="25"/>
    </row>
    <row r="1222" spans="7:15">
      <c r="G1222" s="25"/>
      <c r="O1222" s="25"/>
    </row>
    <row r="1223" spans="7:15">
      <c r="G1223" s="25"/>
      <c r="O1223" s="25"/>
    </row>
    <row r="1224" spans="7:15">
      <c r="G1224" s="25"/>
      <c r="O1224" s="25"/>
    </row>
    <row r="1225" spans="7:15">
      <c r="G1225" s="25"/>
      <c r="O1225" s="25"/>
    </row>
    <row r="1226" spans="7:15">
      <c r="G1226" s="25"/>
      <c r="O1226" s="25"/>
    </row>
    <row r="1227" spans="7:15">
      <c r="G1227" s="25"/>
      <c r="O1227" s="25"/>
    </row>
    <row r="1228" spans="7:15">
      <c r="G1228" s="25"/>
      <c r="O1228" s="25"/>
    </row>
    <row r="1229" spans="7:15">
      <c r="G1229" s="25"/>
      <c r="O1229" s="25"/>
    </row>
    <row r="1230" spans="7:15">
      <c r="G1230" s="25"/>
      <c r="O1230" s="25"/>
    </row>
    <row r="1231" spans="7:15">
      <c r="G1231" s="25"/>
      <c r="O1231" s="25"/>
    </row>
    <row r="1232" spans="7:15">
      <c r="G1232" s="25"/>
      <c r="O1232" s="25"/>
    </row>
    <row r="1233" spans="7:15">
      <c r="G1233" s="25"/>
      <c r="O1233" s="25"/>
    </row>
    <row r="1234" spans="7:15">
      <c r="G1234" s="25"/>
      <c r="O1234" s="25"/>
    </row>
    <row r="1235" spans="7:15">
      <c r="G1235" s="25"/>
      <c r="O1235" s="25"/>
    </row>
    <row r="1236" spans="7:15">
      <c r="G1236" s="25"/>
      <c r="O1236" s="25"/>
    </row>
    <row r="1237" spans="7:15">
      <c r="G1237" s="25"/>
      <c r="O1237" s="25"/>
    </row>
    <row r="1238" spans="7:15">
      <c r="G1238" s="25"/>
      <c r="O1238" s="25"/>
    </row>
    <row r="1239" spans="7:15">
      <c r="G1239" s="25"/>
      <c r="O1239" s="25"/>
    </row>
    <row r="1240" spans="7:15">
      <c r="G1240" s="25"/>
      <c r="O1240" s="25"/>
    </row>
    <row r="1241" spans="7:15">
      <c r="G1241" s="25"/>
      <c r="O1241" s="25"/>
    </row>
    <row r="1242" spans="7:15">
      <c r="G1242" s="25"/>
      <c r="O1242" s="25"/>
    </row>
    <row r="1243" spans="7:15">
      <c r="G1243" s="25"/>
      <c r="O1243" s="25"/>
    </row>
    <row r="1244" spans="7:15">
      <c r="G1244" s="25"/>
      <c r="O1244" s="25"/>
    </row>
    <row r="1245" spans="7:15">
      <c r="G1245" s="25"/>
      <c r="O1245" s="25"/>
    </row>
    <row r="1246" spans="7:15">
      <c r="G1246" s="25"/>
      <c r="O1246" s="25"/>
    </row>
    <row r="1247" spans="7:15">
      <c r="G1247" s="25"/>
      <c r="O1247" s="25"/>
    </row>
    <row r="1248" spans="7:15">
      <c r="G1248" s="25"/>
      <c r="O1248" s="25"/>
    </row>
    <row r="1249" spans="7:15">
      <c r="G1249" s="25"/>
      <c r="O1249" s="25"/>
    </row>
    <row r="1250" spans="7:15">
      <c r="G1250" s="25"/>
      <c r="O1250" s="25"/>
    </row>
    <row r="1251" spans="7:15">
      <c r="G1251" s="25"/>
      <c r="O1251" s="25"/>
    </row>
    <row r="1252" spans="7:15">
      <c r="G1252" s="25"/>
      <c r="O1252" s="25"/>
    </row>
    <row r="1253" spans="7:15">
      <c r="G1253" s="25"/>
      <c r="O1253" s="25"/>
    </row>
    <row r="1254" spans="7:15">
      <c r="G1254" s="25"/>
      <c r="O1254" s="25"/>
    </row>
    <row r="1255" spans="7:15">
      <c r="G1255" s="25"/>
      <c r="O1255" s="25"/>
    </row>
    <row r="1256" spans="7:15">
      <c r="G1256" s="25"/>
      <c r="O1256" s="25"/>
    </row>
    <row r="1257" spans="7:15">
      <c r="G1257" s="25"/>
      <c r="O1257" s="25"/>
    </row>
    <row r="1258" spans="7:15">
      <c r="G1258" s="25"/>
      <c r="O1258" s="25"/>
    </row>
    <row r="1259" spans="7:15">
      <c r="G1259" s="25"/>
      <c r="O1259" s="25"/>
    </row>
    <row r="1260" spans="7:15">
      <c r="G1260" s="25"/>
      <c r="O1260" s="25"/>
    </row>
    <row r="1261" spans="7:15">
      <c r="G1261" s="25"/>
      <c r="O1261" s="25"/>
    </row>
    <row r="1262" spans="7:15">
      <c r="G1262" s="25"/>
      <c r="O1262" s="25"/>
    </row>
    <row r="1263" spans="7:15">
      <c r="G1263" s="25"/>
      <c r="O1263" s="25"/>
    </row>
    <row r="1264" spans="7:15">
      <c r="G1264" s="25"/>
      <c r="O1264" s="25"/>
    </row>
    <row r="1265" spans="7:15">
      <c r="G1265" s="25"/>
      <c r="O1265" s="25"/>
    </row>
    <row r="1266" spans="7:15">
      <c r="G1266" s="25"/>
      <c r="O1266" s="25"/>
    </row>
    <row r="1267" spans="7:15">
      <c r="G1267" s="25"/>
      <c r="O1267" s="25"/>
    </row>
    <row r="1268" spans="7:15">
      <c r="G1268" s="25"/>
      <c r="O1268" s="25"/>
    </row>
    <row r="1269" spans="7:15">
      <c r="G1269" s="25"/>
      <c r="O1269" s="25"/>
    </row>
    <row r="1270" spans="7:15">
      <c r="G1270" s="25"/>
      <c r="O1270" s="25"/>
    </row>
    <row r="1271" spans="7:15">
      <c r="G1271" s="25"/>
      <c r="O1271" s="25"/>
    </row>
    <row r="1272" spans="7:15">
      <c r="G1272" s="25"/>
      <c r="O1272" s="25"/>
    </row>
    <row r="1273" spans="7:15">
      <c r="G1273" s="25"/>
      <c r="O1273" s="25"/>
    </row>
    <row r="1274" spans="7:15">
      <c r="G1274" s="25"/>
      <c r="O1274" s="25"/>
    </row>
    <row r="1275" spans="7:15">
      <c r="G1275" s="25"/>
      <c r="O1275" s="25"/>
    </row>
    <row r="1276" spans="7:15">
      <c r="G1276" s="25"/>
      <c r="O1276" s="25"/>
    </row>
    <row r="1277" spans="7:15">
      <c r="G1277" s="25"/>
      <c r="O1277" s="25"/>
    </row>
    <row r="1278" spans="7:15">
      <c r="G1278" s="25"/>
      <c r="O1278" s="25"/>
    </row>
    <row r="1279" spans="7:15">
      <c r="G1279" s="25"/>
      <c r="O1279" s="25"/>
    </row>
    <row r="1280" spans="7:15">
      <c r="G1280" s="25"/>
      <c r="O1280" s="25"/>
    </row>
    <row r="1281" spans="7:15">
      <c r="G1281" s="25"/>
      <c r="O1281" s="25"/>
    </row>
    <row r="1282" spans="7:15">
      <c r="G1282" s="25"/>
      <c r="O1282" s="25"/>
    </row>
    <row r="1283" spans="7:15">
      <c r="G1283" s="25"/>
      <c r="O1283" s="25"/>
    </row>
    <row r="1284" spans="7:15">
      <c r="G1284" s="25"/>
      <c r="O1284" s="25"/>
    </row>
    <row r="1285" spans="7:15">
      <c r="G1285" s="25"/>
      <c r="O1285" s="25"/>
    </row>
    <row r="1286" spans="7:15">
      <c r="G1286" s="25"/>
      <c r="O1286" s="25"/>
    </row>
    <row r="1287" spans="7:15">
      <c r="G1287" s="25"/>
      <c r="O1287" s="25"/>
    </row>
    <row r="1288" spans="7:15">
      <c r="G1288" s="25"/>
      <c r="O1288" s="25"/>
    </row>
    <row r="1289" spans="7:15">
      <c r="G1289" s="25"/>
      <c r="O1289" s="25"/>
    </row>
    <row r="1290" spans="7:15">
      <c r="G1290" s="25"/>
      <c r="O1290" s="25"/>
    </row>
    <row r="1291" spans="7:15">
      <c r="G1291" s="25"/>
      <c r="O1291" s="25"/>
    </row>
    <row r="1292" spans="7:15">
      <c r="G1292" s="25"/>
      <c r="O1292" s="25"/>
    </row>
    <row r="1293" spans="7:15">
      <c r="G1293" s="25"/>
      <c r="O1293" s="25"/>
    </row>
    <row r="1294" spans="7:15">
      <c r="G1294" s="25"/>
      <c r="O1294" s="25"/>
    </row>
    <row r="1295" spans="7:15">
      <c r="G1295" s="25"/>
      <c r="O1295" s="25"/>
    </row>
    <row r="1296" spans="7:15">
      <c r="G1296" s="25"/>
      <c r="O1296" s="25"/>
    </row>
    <row r="1297" spans="7:15">
      <c r="G1297" s="25"/>
      <c r="O1297" s="25"/>
    </row>
    <row r="1298" spans="7:15">
      <c r="G1298" s="25"/>
      <c r="O1298" s="25"/>
    </row>
    <row r="1299" spans="7:15">
      <c r="G1299" s="25"/>
      <c r="O1299" s="25"/>
    </row>
    <row r="1300" spans="7:15">
      <c r="G1300" s="25"/>
      <c r="O1300" s="25"/>
    </row>
    <row r="1301" spans="7:15">
      <c r="G1301" s="25"/>
      <c r="O1301" s="25"/>
    </row>
    <row r="1302" spans="7:15">
      <c r="G1302" s="25"/>
      <c r="O1302" s="25"/>
    </row>
    <row r="1303" spans="7:15">
      <c r="G1303" s="25"/>
      <c r="O1303" s="25"/>
    </row>
    <row r="1304" spans="7:15">
      <c r="G1304" s="25"/>
      <c r="O1304" s="25"/>
    </row>
    <row r="1305" spans="7:15">
      <c r="G1305" s="25"/>
      <c r="O1305" s="25"/>
    </row>
    <row r="1306" spans="7:15">
      <c r="G1306" s="25"/>
      <c r="O1306" s="25"/>
    </row>
    <row r="1307" spans="7:15">
      <c r="G1307" s="25"/>
      <c r="O1307" s="25"/>
    </row>
    <row r="1308" spans="7:15">
      <c r="G1308" s="25"/>
      <c r="O1308" s="25"/>
    </row>
    <row r="1309" spans="7:15">
      <c r="G1309" s="25"/>
      <c r="O1309" s="25"/>
    </row>
    <row r="1310" spans="7:15">
      <c r="G1310" s="25"/>
      <c r="O1310" s="25"/>
    </row>
    <row r="1311" spans="7:15">
      <c r="G1311" s="25"/>
      <c r="O1311" s="25"/>
    </row>
    <row r="1312" spans="7:15">
      <c r="G1312" s="25"/>
      <c r="O1312" s="25"/>
    </row>
    <row r="1313" spans="7:15">
      <c r="G1313" s="25"/>
      <c r="O1313" s="25"/>
    </row>
    <row r="1314" spans="7:15">
      <c r="G1314" s="25"/>
      <c r="O1314" s="25"/>
    </row>
    <row r="1315" spans="7:15">
      <c r="G1315" s="25"/>
      <c r="O1315" s="25"/>
    </row>
    <row r="1316" spans="7:15">
      <c r="G1316" s="25"/>
      <c r="O1316" s="25"/>
    </row>
    <row r="1317" spans="7:15">
      <c r="G1317" s="25"/>
      <c r="O1317" s="25"/>
    </row>
    <row r="1318" spans="7:15">
      <c r="G1318" s="25"/>
      <c r="O1318" s="25"/>
    </row>
    <row r="1319" spans="7:15">
      <c r="G1319" s="25"/>
      <c r="O1319" s="25"/>
    </row>
    <row r="1320" spans="7:15">
      <c r="G1320" s="25"/>
      <c r="O1320" s="25"/>
    </row>
    <row r="1321" spans="7:15">
      <c r="G1321" s="25"/>
      <c r="O1321" s="25"/>
    </row>
    <row r="1322" spans="7:15">
      <c r="G1322" s="25"/>
      <c r="O1322" s="25"/>
    </row>
    <row r="1323" spans="7:15">
      <c r="G1323" s="25"/>
      <c r="O1323" s="25"/>
    </row>
    <row r="1324" spans="7:15">
      <c r="G1324" s="25"/>
      <c r="O1324" s="25"/>
    </row>
    <row r="1325" spans="7:15">
      <c r="G1325" s="25"/>
      <c r="O1325" s="25"/>
    </row>
    <row r="1326" spans="7:15">
      <c r="G1326" s="25"/>
      <c r="O1326" s="25"/>
    </row>
    <row r="1327" spans="7:15">
      <c r="G1327" s="25"/>
      <c r="O1327" s="25"/>
    </row>
    <row r="1328" spans="7:15">
      <c r="G1328" s="25"/>
      <c r="O1328" s="25"/>
    </row>
    <row r="1329" spans="7:15">
      <c r="G1329" s="25"/>
      <c r="O1329" s="25"/>
    </row>
    <row r="1330" spans="7:15">
      <c r="G1330" s="25"/>
      <c r="O1330" s="25"/>
    </row>
    <row r="1331" spans="7:15">
      <c r="G1331" s="25"/>
      <c r="O1331" s="25"/>
    </row>
    <row r="1332" spans="7:15">
      <c r="G1332" s="25"/>
      <c r="O1332" s="25"/>
    </row>
    <row r="1333" spans="7:15">
      <c r="G1333" s="25"/>
      <c r="O1333" s="25"/>
    </row>
    <row r="1334" spans="7:15">
      <c r="G1334" s="25"/>
      <c r="O1334" s="25"/>
    </row>
    <row r="1335" spans="7:15">
      <c r="G1335" s="25"/>
      <c r="O1335" s="25"/>
    </row>
    <row r="1336" spans="7:15">
      <c r="G1336" s="25"/>
      <c r="O1336" s="25"/>
    </row>
    <row r="1337" spans="7:15">
      <c r="G1337" s="25"/>
      <c r="O1337" s="25"/>
    </row>
    <row r="1338" spans="7:15">
      <c r="G1338" s="25"/>
      <c r="O1338" s="25"/>
    </row>
    <row r="1339" spans="7:15">
      <c r="G1339" s="25"/>
      <c r="O1339" s="25"/>
    </row>
    <row r="1340" spans="7:15">
      <c r="G1340" s="25"/>
      <c r="O1340" s="25"/>
    </row>
    <row r="1341" spans="7:15">
      <c r="G1341" s="25"/>
      <c r="O1341" s="25"/>
    </row>
    <row r="1342" spans="7:15">
      <c r="G1342" s="25"/>
      <c r="O1342" s="25"/>
    </row>
    <row r="1343" spans="7:15">
      <c r="G1343" s="25"/>
      <c r="O1343" s="25"/>
    </row>
    <row r="1344" spans="7:15">
      <c r="G1344" s="25"/>
      <c r="O1344" s="25"/>
    </row>
    <row r="1345" spans="7:15">
      <c r="G1345" s="25"/>
      <c r="O1345" s="25"/>
    </row>
    <row r="1346" spans="7:15">
      <c r="G1346" s="25"/>
      <c r="O1346" s="25"/>
    </row>
    <row r="1347" spans="7:15">
      <c r="G1347" s="25"/>
      <c r="O1347" s="25"/>
    </row>
    <row r="1348" spans="7:15">
      <c r="G1348" s="25"/>
      <c r="O1348" s="25"/>
    </row>
    <row r="1349" spans="7:15">
      <c r="G1349" s="25"/>
      <c r="O1349" s="25"/>
    </row>
    <row r="1350" spans="7:15">
      <c r="G1350" s="25"/>
      <c r="O1350" s="25"/>
    </row>
    <row r="1351" spans="7:15">
      <c r="G1351" s="25"/>
      <c r="O1351" s="25"/>
    </row>
    <row r="1352" spans="7:15">
      <c r="G1352" s="25"/>
      <c r="O1352" s="25"/>
    </row>
    <row r="1353" spans="7:15">
      <c r="G1353" s="25"/>
      <c r="O1353" s="25"/>
    </row>
    <row r="1354" spans="7:15">
      <c r="G1354" s="25"/>
      <c r="O1354" s="25"/>
    </row>
    <row r="1355" spans="7:15">
      <c r="G1355" s="25"/>
      <c r="O1355" s="25"/>
    </row>
    <row r="1356" spans="7:15">
      <c r="G1356" s="25"/>
      <c r="O1356" s="25"/>
    </row>
    <row r="1357" spans="7:15">
      <c r="G1357" s="25"/>
      <c r="O1357" s="25"/>
    </row>
    <row r="1358" spans="7:15">
      <c r="G1358" s="25"/>
      <c r="O1358" s="25"/>
    </row>
    <row r="1359" spans="7:15">
      <c r="G1359" s="25"/>
      <c r="O1359" s="25"/>
    </row>
    <row r="1360" spans="7:15">
      <c r="G1360" s="25"/>
      <c r="O1360" s="25"/>
    </row>
    <row r="1361" spans="7:15">
      <c r="G1361" s="25"/>
      <c r="O1361" s="25"/>
    </row>
    <row r="1362" spans="7:15">
      <c r="G1362" s="25"/>
      <c r="O1362" s="25"/>
    </row>
    <row r="1363" spans="7:15">
      <c r="G1363" s="25"/>
      <c r="O1363" s="25"/>
    </row>
    <row r="1364" spans="7:15">
      <c r="G1364" s="25"/>
      <c r="O1364" s="25"/>
    </row>
    <row r="1365" spans="7:15">
      <c r="G1365" s="25"/>
      <c r="O1365" s="25"/>
    </row>
    <row r="1366" spans="7:15">
      <c r="G1366" s="25"/>
      <c r="O1366" s="25"/>
    </row>
    <row r="1367" spans="7:15">
      <c r="G1367" s="25"/>
      <c r="O1367" s="25"/>
    </row>
    <row r="1368" spans="7:15">
      <c r="G1368" s="25"/>
      <c r="O1368" s="25"/>
    </row>
    <row r="1369" spans="7:15">
      <c r="G1369" s="25"/>
      <c r="O1369" s="25"/>
    </row>
    <row r="1370" spans="7:15">
      <c r="G1370" s="25"/>
      <c r="O1370" s="25"/>
    </row>
    <row r="1371" spans="7:15">
      <c r="G1371" s="25"/>
      <c r="O1371" s="25"/>
    </row>
    <row r="1372" spans="7:15">
      <c r="G1372" s="25"/>
      <c r="O1372" s="25"/>
    </row>
    <row r="1373" spans="7:15">
      <c r="G1373" s="25"/>
      <c r="O1373" s="25"/>
    </row>
    <row r="1374" spans="7:15">
      <c r="G1374" s="25"/>
      <c r="O1374" s="25"/>
    </row>
    <row r="1375" spans="7:15">
      <c r="G1375" s="25"/>
      <c r="O1375" s="25"/>
    </row>
    <row r="1376" spans="7:15">
      <c r="G1376" s="25"/>
      <c r="O1376" s="25"/>
    </row>
    <row r="1377" spans="7:15">
      <c r="G1377" s="25"/>
      <c r="O1377" s="25"/>
    </row>
    <row r="1378" spans="7:15">
      <c r="G1378" s="25"/>
      <c r="O1378" s="25"/>
    </row>
    <row r="1379" spans="7:15">
      <c r="G1379" s="25"/>
      <c r="O1379" s="25"/>
    </row>
    <row r="1380" spans="7:15">
      <c r="G1380" s="25"/>
      <c r="O1380" s="25"/>
    </row>
    <row r="1381" spans="7:15">
      <c r="G1381" s="25"/>
      <c r="O1381" s="25"/>
    </row>
    <row r="1382" spans="7:15">
      <c r="G1382" s="25"/>
      <c r="O1382" s="25"/>
    </row>
    <row r="1383" spans="7:15">
      <c r="G1383" s="25"/>
      <c r="O1383" s="25"/>
    </row>
    <row r="1384" spans="7:15">
      <c r="G1384" s="25"/>
      <c r="O1384" s="25"/>
    </row>
    <row r="1385" spans="7:15">
      <c r="G1385" s="25"/>
      <c r="O1385" s="25"/>
    </row>
    <row r="1386" spans="7:15">
      <c r="G1386" s="25"/>
      <c r="O1386" s="25"/>
    </row>
    <row r="1387" spans="7:15">
      <c r="G1387" s="25"/>
      <c r="O1387" s="25"/>
    </row>
    <row r="1388" spans="7:15">
      <c r="G1388" s="25"/>
      <c r="O1388" s="25"/>
    </row>
    <row r="1389" spans="7:15">
      <c r="G1389" s="25"/>
      <c r="O1389" s="25"/>
    </row>
    <row r="1390" spans="7:15">
      <c r="G1390" s="25"/>
      <c r="O1390" s="25"/>
    </row>
    <row r="1391" spans="7:15">
      <c r="G1391" s="25"/>
      <c r="O1391" s="25"/>
    </row>
    <row r="1392" spans="7:15">
      <c r="G1392" s="25"/>
      <c r="O1392" s="25"/>
    </row>
    <row r="1393" spans="7:15">
      <c r="G1393" s="25"/>
      <c r="O1393" s="25"/>
    </row>
    <row r="1394" spans="7:15">
      <c r="G1394" s="25"/>
      <c r="O1394" s="25"/>
    </row>
    <row r="1395" spans="7:15">
      <c r="G1395" s="25"/>
      <c r="O1395" s="25"/>
    </row>
    <row r="1396" spans="7:15">
      <c r="G1396" s="25"/>
      <c r="O1396" s="25"/>
    </row>
    <row r="1397" spans="7:15">
      <c r="G1397" s="25"/>
      <c r="O1397" s="25"/>
    </row>
    <row r="1398" spans="7:15">
      <c r="G1398" s="25"/>
      <c r="O1398" s="25"/>
    </row>
    <row r="1399" spans="7:15">
      <c r="G1399" s="25"/>
      <c r="O1399" s="25"/>
    </row>
    <row r="1400" spans="7:15">
      <c r="G1400" s="25"/>
      <c r="O1400" s="25"/>
    </row>
    <row r="1401" spans="7:15">
      <c r="G1401" s="25"/>
      <c r="O1401" s="25"/>
    </row>
    <row r="1402" spans="7:15">
      <c r="G1402" s="25"/>
      <c r="O1402" s="25"/>
    </row>
    <row r="1403" spans="7:15">
      <c r="G1403" s="25"/>
      <c r="O1403" s="25"/>
    </row>
    <row r="1404" spans="7:15">
      <c r="G1404" s="25"/>
      <c r="O1404" s="25"/>
    </row>
    <row r="1405" spans="7:15">
      <c r="G1405" s="25"/>
      <c r="O1405" s="25"/>
    </row>
    <row r="1406" spans="7:15">
      <c r="G1406" s="25"/>
      <c r="O1406" s="25"/>
    </row>
    <row r="1407" spans="7:15">
      <c r="G1407" s="25"/>
      <c r="O1407" s="25"/>
    </row>
    <row r="1408" spans="7:15">
      <c r="G1408" s="25"/>
      <c r="O1408" s="25"/>
    </row>
    <row r="1409" spans="7:15">
      <c r="G1409" s="25"/>
      <c r="O1409" s="25"/>
    </row>
    <row r="1410" spans="7:15">
      <c r="G1410" s="25"/>
      <c r="O1410" s="25"/>
    </row>
    <row r="1411" spans="7:15">
      <c r="G1411" s="25"/>
      <c r="O1411" s="25"/>
    </row>
    <row r="1412" spans="7:15">
      <c r="G1412" s="25"/>
      <c r="O1412" s="25"/>
    </row>
    <row r="1413" spans="7:15">
      <c r="G1413" s="25"/>
      <c r="O1413" s="25"/>
    </row>
    <row r="1414" spans="7:15">
      <c r="G1414" s="25"/>
      <c r="O1414" s="25"/>
    </row>
    <row r="1415" spans="7:15">
      <c r="G1415" s="25"/>
      <c r="O1415" s="25"/>
    </row>
    <row r="1416" spans="7:15">
      <c r="G1416" s="25"/>
      <c r="O1416" s="25"/>
    </row>
    <row r="1417" spans="7:15">
      <c r="G1417" s="25"/>
      <c r="O1417" s="25"/>
    </row>
    <row r="1418" spans="7:15">
      <c r="G1418" s="25"/>
      <c r="O1418" s="25"/>
    </row>
    <row r="1419" spans="7:15">
      <c r="G1419" s="25"/>
      <c r="O1419" s="25"/>
    </row>
    <row r="1420" spans="7:15">
      <c r="G1420" s="25"/>
      <c r="O1420" s="25"/>
    </row>
    <row r="1421" spans="7:15">
      <c r="G1421" s="25"/>
      <c r="O1421" s="25"/>
    </row>
    <row r="1422" spans="7:15">
      <c r="G1422" s="25"/>
      <c r="O1422" s="25"/>
    </row>
    <row r="1423" spans="7:15">
      <c r="G1423" s="25"/>
      <c r="O1423" s="25"/>
    </row>
    <row r="1424" spans="7:15">
      <c r="G1424" s="25"/>
      <c r="O1424" s="25"/>
    </row>
    <row r="1425" spans="7:15">
      <c r="G1425" s="25"/>
      <c r="O1425" s="25"/>
    </row>
    <row r="1426" spans="7:15">
      <c r="G1426" s="25"/>
      <c r="O1426" s="25"/>
    </row>
    <row r="1427" spans="7:15">
      <c r="G1427" s="25"/>
      <c r="O1427" s="25"/>
    </row>
    <row r="1428" spans="7:15">
      <c r="G1428" s="25"/>
      <c r="O1428" s="25"/>
    </row>
    <row r="1429" spans="7:15">
      <c r="G1429" s="25"/>
      <c r="O1429" s="25"/>
    </row>
    <row r="1430" spans="7:15">
      <c r="G1430" s="25"/>
      <c r="O1430" s="25"/>
    </row>
    <row r="1431" spans="7:15">
      <c r="G1431" s="25"/>
      <c r="O1431" s="25"/>
    </row>
    <row r="1432" spans="7:15">
      <c r="G1432" s="25"/>
      <c r="O1432" s="25"/>
    </row>
    <row r="1433" spans="7:15">
      <c r="G1433" s="25"/>
      <c r="O1433" s="25"/>
    </row>
    <row r="1434" spans="7:15">
      <c r="G1434" s="25"/>
      <c r="O1434" s="25"/>
    </row>
    <row r="1435" spans="7:15">
      <c r="G1435" s="25"/>
      <c r="O1435" s="25"/>
    </row>
    <row r="1436" spans="7:15">
      <c r="G1436" s="25"/>
      <c r="O1436" s="25"/>
    </row>
    <row r="1437" spans="7:15">
      <c r="G1437" s="25"/>
      <c r="O1437" s="25"/>
    </row>
    <row r="1438" spans="7:15">
      <c r="G1438" s="25"/>
      <c r="O1438" s="25"/>
    </row>
    <row r="1439" spans="7:15">
      <c r="G1439" s="25"/>
      <c r="O1439" s="25"/>
    </row>
    <row r="1440" spans="7:15">
      <c r="G1440" s="25"/>
      <c r="O1440" s="25"/>
    </row>
    <row r="1441" spans="7:15">
      <c r="G1441" s="25"/>
      <c r="O1441" s="25"/>
    </row>
    <row r="1442" spans="7:15">
      <c r="G1442" s="25"/>
      <c r="O1442" s="25"/>
    </row>
    <row r="1443" spans="7:15">
      <c r="G1443" s="25"/>
      <c r="O1443" s="25"/>
    </row>
    <row r="1444" spans="7:15">
      <c r="G1444" s="25"/>
      <c r="O1444" s="25"/>
    </row>
    <row r="1445" spans="7:15">
      <c r="G1445" s="25"/>
      <c r="O1445" s="25"/>
    </row>
    <row r="1446" spans="7:15">
      <c r="G1446" s="25"/>
      <c r="O1446" s="25"/>
    </row>
    <row r="1447" spans="7:15">
      <c r="G1447" s="25"/>
      <c r="O1447" s="25"/>
    </row>
    <row r="1448" spans="7:15">
      <c r="G1448" s="25"/>
      <c r="O1448" s="25"/>
    </row>
    <row r="1449" spans="7:15">
      <c r="G1449" s="25"/>
      <c r="O1449" s="25"/>
    </row>
    <row r="1450" spans="7:15">
      <c r="G1450" s="25"/>
      <c r="O1450" s="25"/>
    </row>
    <row r="1451" spans="7:15">
      <c r="G1451" s="25"/>
      <c r="O1451" s="25"/>
    </row>
    <row r="1452" spans="7:15">
      <c r="G1452" s="25"/>
      <c r="O1452" s="25"/>
    </row>
    <row r="1453" spans="7:15">
      <c r="G1453" s="25"/>
      <c r="O1453" s="25"/>
    </row>
    <row r="1454" spans="7:15">
      <c r="G1454" s="25"/>
      <c r="O1454" s="25"/>
    </row>
    <row r="1455" spans="7:15">
      <c r="G1455" s="25"/>
      <c r="O1455" s="25"/>
    </row>
    <row r="1456" spans="7:15">
      <c r="G1456" s="25"/>
      <c r="O1456" s="25"/>
    </row>
    <row r="1457" spans="7:15">
      <c r="G1457" s="25"/>
      <c r="O1457" s="25"/>
    </row>
    <row r="1458" spans="7:15">
      <c r="G1458" s="25"/>
      <c r="O1458" s="25"/>
    </row>
    <row r="1459" spans="7:15">
      <c r="G1459" s="25"/>
      <c r="O1459" s="25"/>
    </row>
    <row r="1460" spans="7:15">
      <c r="G1460" s="25"/>
      <c r="O1460" s="25"/>
    </row>
    <row r="1461" spans="7:15">
      <c r="G1461" s="25"/>
      <c r="O1461" s="25"/>
    </row>
    <row r="1462" spans="7:15">
      <c r="G1462" s="25"/>
      <c r="O1462" s="25"/>
    </row>
    <row r="1463" spans="7:15">
      <c r="G1463" s="25"/>
      <c r="O1463" s="25"/>
    </row>
    <row r="1464" spans="7:15">
      <c r="G1464" s="25"/>
      <c r="O1464" s="25"/>
    </row>
    <row r="1465" spans="7:15">
      <c r="G1465" s="25"/>
      <c r="O1465" s="25"/>
    </row>
    <row r="1466" spans="7:15">
      <c r="G1466" s="25"/>
      <c r="O1466" s="25"/>
    </row>
    <row r="1467" spans="7:15">
      <c r="G1467" s="25"/>
      <c r="O1467" s="25"/>
    </row>
    <row r="1468" spans="7:15">
      <c r="G1468" s="25"/>
      <c r="O1468" s="25"/>
    </row>
    <row r="1469" spans="7:15">
      <c r="G1469" s="25"/>
      <c r="O1469" s="25"/>
    </row>
    <row r="1470" spans="7:15">
      <c r="G1470" s="25"/>
      <c r="O1470" s="25"/>
    </row>
    <row r="1471" spans="7:15">
      <c r="G1471" s="25"/>
      <c r="O1471" s="25"/>
    </row>
    <row r="1472" spans="7:15">
      <c r="G1472" s="25"/>
      <c r="O1472" s="25"/>
    </row>
    <row r="1473" spans="7:15">
      <c r="G1473" s="25"/>
      <c r="O1473" s="25"/>
    </row>
    <row r="1474" spans="7:15">
      <c r="G1474" s="25"/>
      <c r="O1474" s="25"/>
    </row>
    <row r="1475" spans="7:15">
      <c r="G1475" s="25"/>
      <c r="O1475" s="25"/>
    </row>
    <row r="1476" spans="7:15">
      <c r="G1476" s="25"/>
      <c r="O1476" s="25"/>
    </row>
    <row r="1477" spans="7:15">
      <c r="G1477" s="25"/>
      <c r="O1477" s="25"/>
    </row>
    <row r="1478" spans="7:15">
      <c r="G1478" s="25"/>
      <c r="O1478" s="25"/>
    </row>
    <row r="1479" spans="7:15">
      <c r="G1479" s="25"/>
      <c r="O1479" s="25"/>
    </row>
    <row r="1480" spans="7:15">
      <c r="G1480" s="25"/>
      <c r="O1480" s="25"/>
    </row>
    <row r="1481" spans="7:15">
      <c r="G1481" s="25"/>
      <c r="O1481" s="25"/>
    </row>
    <row r="1482" spans="7:15">
      <c r="G1482" s="25"/>
      <c r="O1482" s="25"/>
    </row>
    <row r="1483" spans="7:15">
      <c r="G1483" s="25"/>
      <c r="O1483" s="25"/>
    </row>
    <row r="1484" spans="7:15">
      <c r="G1484" s="25"/>
      <c r="O1484" s="25"/>
    </row>
    <row r="1485" spans="7:15">
      <c r="G1485" s="25"/>
      <c r="O1485" s="25"/>
    </row>
    <row r="1486" spans="7:15">
      <c r="G1486" s="25"/>
      <c r="O1486" s="25"/>
    </row>
    <row r="1487" spans="7:15">
      <c r="G1487" s="25"/>
      <c r="O1487" s="25"/>
    </row>
    <row r="1488" spans="7:15">
      <c r="G1488" s="25"/>
      <c r="O1488" s="25"/>
    </row>
    <row r="1489" spans="7:15">
      <c r="G1489" s="25"/>
      <c r="O1489" s="25"/>
    </row>
    <row r="1490" spans="7:15">
      <c r="G1490" s="25"/>
      <c r="O1490" s="25"/>
    </row>
    <row r="1491" spans="7:15">
      <c r="G1491" s="25"/>
      <c r="O1491" s="25"/>
    </row>
    <row r="1492" spans="7:15">
      <c r="G1492" s="25"/>
      <c r="O1492" s="25"/>
    </row>
    <row r="1493" spans="7:15">
      <c r="G1493" s="25"/>
      <c r="O1493" s="25"/>
    </row>
    <row r="1494" spans="7:15">
      <c r="G1494" s="25"/>
      <c r="O1494" s="25"/>
    </row>
    <row r="1495" spans="7:15">
      <c r="G1495" s="25"/>
      <c r="O1495" s="25"/>
    </row>
    <row r="1496" spans="7:15">
      <c r="G1496" s="25"/>
      <c r="O1496" s="25"/>
    </row>
    <row r="1497" spans="7:15">
      <c r="G1497" s="25"/>
      <c r="O1497" s="25"/>
    </row>
    <row r="1498" spans="7:15">
      <c r="G1498" s="25"/>
      <c r="O1498" s="25"/>
    </row>
    <row r="1499" spans="7:15">
      <c r="G1499" s="25"/>
      <c r="O1499" s="25"/>
    </row>
    <row r="1500" spans="7:15">
      <c r="G1500" s="25"/>
      <c r="O1500" s="25"/>
    </row>
    <row r="1501" spans="7:15">
      <c r="G1501" s="25"/>
      <c r="O1501" s="25"/>
    </row>
    <row r="1502" spans="7:15">
      <c r="G1502" s="25"/>
      <c r="O1502" s="25"/>
    </row>
    <row r="1503" spans="7:15">
      <c r="G1503" s="25"/>
      <c r="O1503" s="25"/>
    </row>
    <row r="1504" spans="7:15">
      <c r="G1504" s="25"/>
      <c r="O1504" s="25"/>
    </row>
    <row r="1505" spans="7:15">
      <c r="G1505" s="25"/>
      <c r="O1505" s="25"/>
    </row>
    <row r="1506" spans="7:15">
      <c r="G1506" s="25"/>
      <c r="O1506" s="25"/>
    </row>
    <row r="1507" spans="7:15">
      <c r="G1507" s="25"/>
      <c r="O1507" s="25"/>
    </row>
    <row r="1508" spans="7:15">
      <c r="G1508" s="25"/>
      <c r="O1508" s="25"/>
    </row>
    <row r="1509" spans="7:15">
      <c r="G1509" s="25"/>
      <c r="O1509" s="25"/>
    </row>
    <row r="1510" spans="7:15">
      <c r="G1510" s="25"/>
      <c r="O1510" s="25"/>
    </row>
    <row r="1511" spans="7:15">
      <c r="G1511" s="25"/>
      <c r="O1511" s="25"/>
    </row>
    <row r="1512" spans="7:15">
      <c r="G1512" s="25"/>
      <c r="O1512" s="25"/>
    </row>
    <row r="1513" spans="7:15">
      <c r="G1513" s="25"/>
      <c r="O1513" s="25"/>
    </row>
    <row r="1514" spans="7:15">
      <c r="G1514" s="25"/>
      <c r="O1514" s="25"/>
    </row>
    <row r="1515" spans="7:15">
      <c r="G1515" s="25"/>
      <c r="O1515" s="25"/>
    </row>
    <row r="1516" spans="7:15">
      <c r="G1516" s="25"/>
      <c r="O1516" s="25"/>
    </row>
    <row r="1517" spans="7:15">
      <c r="G1517" s="25"/>
      <c r="O1517" s="25"/>
    </row>
    <row r="1518" spans="7:15">
      <c r="G1518" s="25"/>
      <c r="O1518" s="25"/>
    </row>
    <row r="1519" spans="7:15">
      <c r="G1519" s="25"/>
      <c r="O1519" s="25"/>
    </row>
    <row r="1520" spans="7:15">
      <c r="G1520" s="25"/>
      <c r="O1520" s="25"/>
    </row>
    <row r="1521" spans="7:15">
      <c r="G1521" s="25"/>
      <c r="O1521" s="25"/>
    </row>
    <row r="1522" spans="7:15">
      <c r="G1522" s="25"/>
      <c r="O1522" s="25"/>
    </row>
    <row r="1523" spans="7:15">
      <c r="G1523" s="25"/>
      <c r="O1523" s="25"/>
    </row>
    <row r="1524" spans="7:15">
      <c r="G1524" s="25"/>
      <c r="O1524" s="25"/>
    </row>
    <row r="1525" spans="7:15">
      <c r="G1525" s="25"/>
      <c r="O1525" s="25"/>
    </row>
    <row r="1526" spans="7:15">
      <c r="G1526" s="25"/>
      <c r="O1526" s="25"/>
    </row>
    <row r="1527" spans="7:15">
      <c r="G1527" s="25"/>
      <c r="O1527" s="25"/>
    </row>
    <row r="1528" spans="7:15">
      <c r="G1528" s="25"/>
      <c r="O1528" s="25"/>
    </row>
    <row r="1529" spans="7:15">
      <c r="G1529" s="25"/>
      <c r="O1529" s="25"/>
    </row>
    <row r="1530" spans="7:15">
      <c r="G1530" s="25"/>
      <c r="O1530" s="25"/>
    </row>
    <row r="1531" spans="7:15">
      <c r="G1531" s="25"/>
      <c r="O1531" s="25"/>
    </row>
    <row r="1532" spans="7:15">
      <c r="G1532" s="25"/>
      <c r="O1532" s="25"/>
    </row>
    <row r="1533" spans="7:15">
      <c r="G1533" s="25"/>
      <c r="O1533" s="25"/>
    </row>
    <row r="1534" spans="7:15">
      <c r="G1534" s="25"/>
      <c r="O1534" s="25"/>
    </row>
    <row r="1535" spans="7:15">
      <c r="G1535" s="25"/>
      <c r="O1535" s="25"/>
    </row>
    <row r="1536" spans="7:15">
      <c r="G1536" s="25"/>
      <c r="O1536" s="25"/>
    </row>
    <row r="1537" spans="7:15">
      <c r="G1537" s="25"/>
      <c r="O1537" s="25"/>
    </row>
    <row r="1538" spans="7:15">
      <c r="G1538" s="25"/>
      <c r="O1538" s="25"/>
    </row>
    <row r="1539" spans="7:15">
      <c r="G1539" s="25"/>
      <c r="O1539" s="25"/>
    </row>
    <row r="1540" spans="7:15">
      <c r="G1540" s="25"/>
      <c r="O1540" s="25"/>
    </row>
    <row r="1541" spans="7:15">
      <c r="G1541" s="25"/>
      <c r="O1541" s="25"/>
    </row>
    <row r="1542" spans="7:15">
      <c r="G1542" s="25"/>
      <c r="O1542" s="25"/>
    </row>
    <row r="1543" spans="7:15">
      <c r="G1543" s="25"/>
      <c r="O1543" s="25"/>
    </row>
    <row r="1544" spans="7:15">
      <c r="G1544" s="25"/>
      <c r="O1544" s="25"/>
    </row>
    <row r="1545" spans="7:15">
      <c r="G1545" s="25"/>
      <c r="O1545" s="25"/>
    </row>
    <row r="1546" spans="7:15">
      <c r="G1546" s="25"/>
      <c r="O1546" s="25"/>
    </row>
    <row r="1547" spans="7:15">
      <c r="G1547" s="25"/>
      <c r="O1547" s="25"/>
    </row>
    <row r="1548" spans="7:15">
      <c r="G1548" s="25"/>
      <c r="O1548" s="25"/>
    </row>
    <row r="1549" spans="7:15">
      <c r="G1549" s="25"/>
      <c r="O1549" s="25"/>
    </row>
    <row r="1550" spans="7:15">
      <c r="G1550" s="25"/>
      <c r="O1550" s="25"/>
    </row>
    <row r="1551" spans="7:15">
      <c r="G1551" s="25"/>
      <c r="O1551" s="25"/>
    </row>
    <row r="1552" spans="7:15">
      <c r="G1552" s="25"/>
      <c r="O1552" s="25"/>
    </row>
    <row r="1553" spans="7:15">
      <c r="G1553" s="25"/>
      <c r="O1553" s="25"/>
    </row>
    <row r="1554" spans="7:15">
      <c r="G1554" s="25"/>
      <c r="O1554" s="25"/>
    </row>
    <row r="1555" spans="7:15">
      <c r="G1555" s="25"/>
      <c r="O1555" s="25"/>
    </row>
    <row r="1556" spans="7:15">
      <c r="G1556" s="25"/>
      <c r="O1556" s="25"/>
    </row>
    <row r="1557" spans="7:15">
      <c r="G1557" s="25"/>
      <c r="O1557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2026-01-21T07:12:22Z</dcterms:modified>
</cp:coreProperties>
</file>