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Utilities\"/>
    </mc:Choice>
  </mc:AlternateContent>
  <xr:revisionPtr revIDLastSave="0" documentId="13_ncr:1_{FF5F983C-69E4-4318-B304-27FE65DBC25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3" i="2" l="1"/>
  <c r="I103" i="2"/>
  <c r="H103" i="2"/>
  <c r="G103" i="2"/>
  <c r="F103" i="2"/>
  <c r="E103" i="2"/>
  <c r="D103" i="2"/>
  <c r="C103" i="2"/>
  <c r="C104" i="2" s="1"/>
  <c r="H102" i="2"/>
  <c r="H104" i="2" s="1"/>
  <c r="G102" i="2"/>
  <c r="G104" i="2" s="1"/>
  <c r="F102" i="2"/>
  <c r="F104" i="2" s="1"/>
  <c r="E102" i="2"/>
  <c r="E104" i="2" s="1"/>
  <c r="D102" i="2"/>
  <c r="D104" i="2" s="1"/>
  <c r="C102" i="2"/>
  <c r="W102" i="2" s="1"/>
  <c r="W104" i="2" s="1"/>
  <c r="W101" i="2"/>
  <c r="W100" i="2"/>
  <c r="I100" i="2"/>
  <c r="I102" i="2" s="1"/>
  <c r="I104" i="2" s="1"/>
  <c r="G95" i="2"/>
  <c r="I93" i="2"/>
  <c r="H93" i="2"/>
  <c r="G93" i="2"/>
  <c r="F93" i="2"/>
  <c r="I92" i="2"/>
  <c r="H92" i="2"/>
  <c r="G92" i="2"/>
  <c r="F92" i="2"/>
  <c r="I91" i="2"/>
  <c r="H91" i="2"/>
  <c r="G91" i="2"/>
  <c r="F91" i="2"/>
  <c r="I89" i="2"/>
  <c r="H89" i="2"/>
  <c r="W88" i="2"/>
  <c r="I87" i="2"/>
  <c r="H87" i="2"/>
  <c r="G87" i="2"/>
  <c r="G89" i="2" s="1"/>
  <c r="F87" i="2"/>
  <c r="F89" i="2" s="1"/>
  <c r="W89" i="2" s="1"/>
  <c r="W86" i="2"/>
  <c r="W85" i="2"/>
  <c r="W84" i="2"/>
  <c r="W83" i="2"/>
  <c r="W82" i="2"/>
  <c r="W81" i="2"/>
  <c r="W80" i="2"/>
  <c r="W79" i="2"/>
  <c r="W78" i="2"/>
  <c r="W77" i="2"/>
  <c r="W76" i="2"/>
  <c r="W93" i="2" s="1"/>
  <c r="AG75" i="2"/>
  <c r="W75" i="2"/>
  <c r="AG73" i="2"/>
  <c r="I73" i="2"/>
  <c r="H73" i="2"/>
  <c r="G73" i="2"/>
  <c r="F73" i="2"/>
  <c r="W73" i="2" s="1"/>
  <c r="W72" i="2"/>
  <c r="W71" i="2"/>
  <c r="AG70" i="2"/>
  <c r="W70" i="2"/>
  <c r="AG69" i="2"/>
  <c r="W69" i="2"/>
  <c r="AA67" i="2" s="1"/>
  <c r="AD67" i="2" s="1"/>
  <c r="AG68" i="2"/>
  <c r="W68" i="2"/>
  <c r="W67" i="2"/>
  <c r="W66" i="2"/>
  <c r="W92" i="2" s="1"/>
  <c r="W65" i="2"/>
  <c r="W64" i="2"/>
  <c r="W63" i="2"/>
  <c r="X47" i="2" s="1"/>
  <c r="D59" i="2"/>
  <c r="D55" i="2"/>
  <c r="D54" i="2"/>
  <c r="W49" i="2"/>
  <c r="F49" i="2"/>
  <c r="F47" i="2"/>
  <c r="W47" i="2" s="1"/>
  <c r="W46" i="2"/>
  <c r="F46" i="2"/>
  <c r="F45" i="2"/>
  <c r="W45" i="2" s="1"/>
  <c r="AB44" i="2"/>
  <c r="AC44" i="2" s="1"/>
  <c r="AD44" i="2" s="1"/>
  <c r="AE44" i="2" s="1"/>
  <c r="AF44" i="2" s="1"/>
  <c r="AG44" i="2" s="1"/>
  <c r="X44" i="2"/>
  <c r="Y44" i="2" s="1"/>
  <c r="Z44" i="2" s="1"/>
  <c r="AA44" i="2" s="1"/>
  <c r="F44" i="2"/>
  <c r="W44" i="2" s="1"/>
  <c r="F43" i="2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W41" i="2"/>
  <c r="F41" i="2"/>
  <c r="F40" i="2"/>
  <c r="W40" i="2" s="1"/>
  <c r="F39" i="2"/>
  <c r="W39" i="2" s="1"/>
  <c r="F38" i="2"/>
  <c r="F37" i="2"/>
  <c r="W36" i="2"/>
  <c r="F36" i="2"/>
  <c r="I35" i="2"/>
  <c r="I34" i="2"/>
  <c r="I95" i="2" s="1"/>
  <c r="H34" i="2"/>
  <c r="H95" i="2" s="1"/>
  <c r="G34" i="2"/>
  <c r="E34" i="2"/>
  <c r="D34" i="2"/>
  <c r="C34" i="2"/>
  <c r="F33" i="2"/>
  <c r="W33" i="2" s="1"/>
  <c r="W32" i="2"/>
  <c r="F32" i="2"/>
  <c r="F31" i="2"/>
  <c r="F34" i="2" s="1"/>
  <c r="F95" i="2" s="1"/>
  <c r="H27" i="2"/>
  <c r="C25" i="2"/>
  <c r="G22" i="2"/>
  <c r="I19" i="2"/>
  <c r="H19" i="2"/>
  <c r="G19" i="2"/>
  <c r="I18" i="2"/>
  <c r="H18" i="2"/>
  <c r="G18" i="2"/>
  <c r="I16" i="2"/>
  <c r="H16" i="2"/>
  <c r="G16" i="2"/>
  <c r="I15" i="2"/>
  <c r="H15" i="2"/>
  <c r="G15" i="2"/>
  <c r="I14" i="2"/>
  <c r="H14" i="2"/>
  <c r="G14" i="2"/>
  <c r="I13" i="2"/>
  <c r="H13" i="2"/>
  <c r="G13" i="2"/>
  <c r="I11" i="2"/>
  <c r="I30" i="2" s="1"/>
  <c r="Z10" i="2"/>
  <c r="AA10" i="2" s="1"/>
  <c r="AB10" i="2" s="1"/>
  <c r="AC10" i="2" s="1"/>
  <c r="AD10" i="2" s="1"/>
  <c r="AE10" i="2" s="1"/>
  <c r="AF10" i="2" s="1"/>
  <c r="AG10" i="2" s="1"/>
  <c r="X10" i="2"/>
  <c r="Y10" i="2" s="1"/>
  <c r="W10" i="2"/>
  <c r="F10" i="2"/>
  <c r="F9" i="2"/>
  <c r="I8" i="2"/>
  <c r="I17" i="2" s="1"/>
  <c r="H8" i="2"/>
  <c r="G8" i="2"/>
  <c r="G11" i="2" s="1"/>
  <c r="E8" i="2"/>
  <c r="D8" i="2"/>
  <c r="D11" i="2" s="1"/>
  <c r="D30" i="2" s="1"/>
  <c r="D35" i="2" s="1"/>
  <c r="D42" i="2" s="1"/>
  <c r="D48" i="2" s="1"/>
  <c r="C8" i="2"/>
  <c r="C11" i="2" s="1"/>
  <c r="W7" i="2"/>
  <c r="F7" i="2"/>
  <c r="F6" i="2"/>
  <c r="F5" i="2"/>
  <c r="F4" i="2"/>
  <c r="X3" i="2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30" i="2" l="1"/>
  <c r="X7" i="2"/>
  <c r="Y7" i="2" s="1"/>
  <c r="Z7" i="2" s="1"/>
  <c r="AA7" i="2" s="1"/>
  <c r="AB7" i="2" s="1"/>
  <c r="AC7" i="2" s="1"/>
  <c r="AD7" i="2" s="1"/>
  <c r="AE7" i="2" s="1"/>
  <c r="AF7" i="2" s="1"/>
  <c r="AG7" i="2" s="1"/>
  <c r="G20" i="2"/>
  <c r="E28" i="2"/>
  <c r="E27" i="2"/>
  <c r="E25" i="2"/>
  <c r="E24" i="2"/>
  <c r="E23" i="2"/>
  <c r="E22" i="2"/>
  <c r="D28" i="2"/>
  <c r="D27" i="2"/>
  <c r="D25" i="2"/>
  <c r="D24" i="2"/>
  <c r="D23" i="2"/>
  <c r="D22" i="2"/>
  <c r="I28" i="2"/>
  <c r="I27" i="2"/>
  <c r="I25" i="2"/>
  <c r="I24" i="2"/>
  <c r="I23" i="2"/>
  <c r="I22" i="2"/>
  <c r="F27" i="2"/>
  <c r="W9" i="2"/>
  <c r="G24" i="2"/>
  <c r="C27" i="2"/>
  <c r="F24" i="2"/>
  <c r="W6" i="2"/>
  <c r="H17" i="2"/>
  <c r="H11" i="2"/>
  <c r="I58" i="2"/>
  <c r="I57" i="2"/>
  <c r="I56" i="2"/>
  <c r="I55" i="2"/>
  <c r="I94" i="2"/>
  <c r="G17" i="2"/>
  <c r="C22" i="2"/>
  <c r="H24" i="2"/>
  <c r="G27" i="2"/>
  <c r="W34" i="2"/>
  <c r="W95" i="2" s="1"/>
  <c r="D57" i="2"/>
  <c r="F22" i="2"/>
  <c r="F8" i="2"/>
  <c r="F23" i="2"/>
  <c r="H22" i="2"/>
  <c r="G25" i="2"/>
  <c r="C28" i="2"/>
  <c r="W38" i="2"/>
  <c r="W4" i="2"/>
  <c r="W5" i="2"/>
  <c r="C23" i="2"/>
  <c r="H25" i="2"/>
  <c r="G28" i="2"/>
  <c r="D58" i="2"/>
  <c r="G23" i="2"/>
  <c r="C26" i="2"/>
  <c r="I54" i="2"/>
  <c r="I42" i="2"/>
  <c r="D50" i="2"/>
  <c r="D60" i="2"/>
  <c r="H23" i="2"/>
  <c r="G26" i="2"/>
  <c r="W37" i="2"/>
  <c r="D56" i="2"/>
  <c r="W8" i="2"/>
  <c r="H28" i="2"/>
  <c r="F25" i="2"/>
  <c r="E26" i="2"/>
  <c r="F28" i="2"/>
  <c r="E11" i="2"/>
  <c r="C24" i="2"/>
  <c r="H26" i="2"/>
  <c r="G30" i="2"/>
  <c r="W91" i="2"/>
  <c r="W87" i="2"/>
  <c r="I26" i="2"/>
  <c r="D26" i="2"/>
  <c r="W31" i="2"/>
  <c r="L297" i="3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295" i="3"/>
  <c r="L294" i="3" s="1"/>
  <c r="L293" i="3" s="1"/>
  <c r="L292" i="3" s="1"/>
  <c r="L291" i="3" s="1"/>
  <c r="L290" i="3" s="1"/>
  <c r="L289" i="3" s="1"/>
  <c r="L288" i="3" s="1"/>
  <c r="L287" i="3" s="1"/>
  <c r="L286" i="3" s="1"/>
  <c r="L285" i="3" s="1"/>
  <c r="L284" i="3" s="1"/>
  <c r="L283" i="3" s="1"/>
  <c r="L282" i="3" s="1"/>
  <c r="L281" i="3" s="1"/>
  <c r="L280" i="3" s="1"/>
  <c r="L279" i="3" s="1"/>
  <c r="L278" i="3" s="1"/>
  <c r="L277" i="3" s="1"/>
  <c r="L276" i="3" s="1"/>
  <c r="L275" i="3" s="1"/>
  <c r="L274" i="3" s="1"/>
  <c r="L273" i="3" s="1"/>
  <c r="L272" i="3" s="1"/>
  <c r="L271" i="3" s="1"/>
  <c r="L270" i="3" s="1"/>
  <c r="L269" i="3" s="1"/>
  <c r="L268" i="3" s="1"/>
  <c r="L267" i="3" s="1"/>
  <c r="L266" i="3" s="1"/>
  <c r="L265" i="3" s="1"/>
  <c r="L264" i="3" s="1"/>
  <c r="L263" i="3" s="1"/>
  <c r="L262" i="3" s="1"/>
  <c r="L261" i="3" s="1"/>
  <c r="L260" i="3" s="1"/>
  <c r="L259" i="3" s="1"/>
  <c r="L258" i="3" s="1"/>
  <c r="L257" i="3" s="1"/>
  <c r="L256" i="3" s="1"/>
  <c r="L255" i="3" s="1"/>
  <c r="L254" i="3" s="1"/>
  <c r="L253" i="3" s="1"/>
  <c r="L252" i="3" s="1"/>
  <c r="L251" i="3" s="1"/>
  <c r="L250" i="3" s="1"/>
  <c r="L249" i="3" s="1"/>
  <c r="L248" i="3" s="1"/>
  <c r="L247" i="3" s="1"/>
  <c r="L246" i="3" s="1"/>
  <c r="L245" i="3" s="1"/>
  <c r="L244" i="3" s="1"/>
  <c r="L243" i="3" s="1"/>
  <c r="L242" i="3" s="1"/>
  <c r="L241" i="3" s="1"/>
  <c r="L240" i="3" s="1"/>
  <c r="L239" i="3" s="1"/>
  <c r="L238" i="3" s="1"/>
  <c r="L237" i="3" s="1"/>
  <c r="L236" i="3" s="1"/>
  <c r="L235" i="3" s="1"/>
  <c r="L234" i="3" s="1"/>
  <c r="L233" i="3" s="1"/>
  <c r="L232" i="3" s="1"/>
  <c r="L231" i="3" s="1"/>
  <c r="L230" i="3" s="1"/>
  <c r="L229" i="3" s="1"/>
  <c r="L228" i="3" s="1"/>
  <c r="L227" i="3" s="1"/>
  <c r="L226" i="3" s="1"/>
  <c r="L225" i="3" s="1"/>
  <c r="L224" i="3" s="1"/>
  <c r="L223" i="3" s="1"/>
  <c r="L222" i="3" s="1"/>
  <c r="L221" i="3" s="1"/>
  <c r="L220" i="3" s="1"/>
  <c r="L219" i="3" s="1"/>
  <c r="L218" i="3" s="1"/>
  <c r="L217" i="3" s="1"/>
  <c r="L216" i="3" s="1"/>
  <c r="L215" i="3" s="1"/>
  <c r="L214" i="3" s="1"/>
  <c r="I59" i="2" l="1"/>
  <c r="I48" i="2"/>
  <c r="E30" i="2"/>
  <c r="I20" i="2"/>
  <c r="F26" i="2"/>
  <c r="F11" i="2"/>
  <c r="H20" i="2"/>
  <c r="H30" i="2"/>
  <c r="X5" i="2"/>
  <c r="Y5" i="2" s="1"/>
  <c r="Z5" i="2" s="1"/>
  <c r="AA5" i="2" s="1"/>
  <c r="AB5" i="2" s="1"/>
  <c r="AC5" i="2" s="1"/>
  <c r="AD5" i="2" s="1"/>
  <c r="AE5" i="2" s="1"/>
  <c r="AF5" i="2" s="1"/>
  <c r="AG5" i="2" s="1"/>
  <c r="X4" i="2"/>
  <c r="X6" i="2"/>
  <c r="Y6" i="2" s="1"/>
  <c r="Z6" i="2" s="1"/>
  <c r="AA6" i="2" s="1"/>
  <c r="AB6" i="2" s="1"/>
  <c r="AC6" i="2" s="1"/>
  <c r="AD6" i="2" s="1"/>
  <c r="AE6" i="2" s="1"/>
  <c r="AF6" i="2" s="1"/>
  <c r="AG6" i="2" s="1"/>
  <c r="G94" i="2"/>
  <c r="G35" i="2"/>
  <c r="G56" i="2"/>
  <c r="G58" i="2"/>
  <c r="G55" i="2"/>
  <c r="G57" i="2"/>
  <c r="D99" i="2"/>
  <c r="D61" i="2"/>
  <c r="D52" i="2"/>
  <c r="X9" i="2"/>
  <c r="Y9" i="2" s="1"/>
  <c r="Z9" i="2" s="1"/>
  <c r="AA9" i="2" s="1"/>
  <c r="AB9" i="2" s="1"/>
  <c r="AC9" i="2" s="1"/>
  <c r="AD9" i="2" s="1"/>
  <c r="AE9" i="2" s="1"/>
  <c r="AF9" i="2" s="1"/>
  <c r="AG9" i="2" s="1"/>
  <c r="C35" i="2"/>
  <c r="C56" i="2"/>
  <c r="C55" i="2"/>
  <c r="C58" i="2"/>
  <c r="C57" i="2"/>
  <c r="L213" i="3"/>
  <c r="L379" i="3"/>
  <c r="F30" i="2" l="1"/>
  <c r="W11" i="2"/>
  <c r="Y4" i="2"/>
  <c r="X8" i="2"/>
  <c r="H58" i="2"/>
  <c r="H57" i="2"/>
  <c r="H56" i="2"/>
  <c r="H55" i="2"/>
  <c r="H35" i="2"/>
  <c r="H94" i="2"/>
  <c r="C54" i="2"/>
  <c r="C42" i="2"/>
  <c r="E58" i="2"/>
  <c r="E57" i="2"/>
  <c r="E56" i="2"/>
  <c r="E55" i="2"/>
  <c r="E35" i="2"/>
  <c r="G42" i="2"/>
  <c r="G54" i="2"/>
  <c r="I50" i="2"/>
  <c r="I60" i="2"/>
  <c r="L212" i="3"/>
  <c r="L380" i="3"/>
  <c r="I96" i="2" l="1"/>
  <c r="I52" i="2"/>
  <c r="I97" i="2"/>
  <c r="I99" i="2"/>
  <c r="I61" i="2"/>
  <c r="X17" i="2"/>
  <c r="X11" i="2"/>
  <c r="C48" i="2"/>
  <c r="C59" i="2"/>
  <c r="G48" i="2"/>
  <c r="G59" i="2"/>
  <c r="Y8" i="2"/>
  <c r="Z4" i="2"/>
  <c r="E42" i="2"/>
  <c r="E54" i="2"/>
  <c r="W25" i="2"/>
  <c r="W28" i="2"/>
  <c r="W23" i="2"/>
  <c r="W24" i="2"/>
  <c r="W26" i="2"/>
  <c r="W27" i="2"/>
  <c r="W22" i="2"/>
  <c r="H54" i="2"/>
  <c r="H42" i="2"/>
  <c r="F94" i="2"/>
  <c r="F35" i="2"/>
  <c r="F55" i="2"/>
  <c r="F58" i="2"/>
  <c r="F57" i="2"/>
  <c r="F56" i="2"/>
  <c r="W30" i="2"/>
  <c r="L381" i="3"/>
  <c r="L21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K203" i="3" s="1"/>
  <c r="G761" i="3"/>
  <c r="C7" i="1"/>
  <c r="C6" i="1"/>
  <c r="C5" i="1"/>
  <c r="C8" i="1" s="1"/>
  <c r="W94" i="2" l="1"/>
  <c r="W55" i="2"/>
  <c r="W58" i="2"/>
  <c r="W56" i="2"/>
  <c r="W57" i="2"/>
  <c r="X20" i="2"/>
  <c r="X30" i="2"/>
  <c r="AA4" i="2"/>
  <c r="Z8" i="2"/>
  <c r="C60" i="2"/>
  <c r="C50" i="2"/>
  <c r="E59" i="2"/>
  <c r="E48" i="2"/>
  <c r="Y11" i="2"/>
  <c r="Y17" i="2"/>
  <c r="F42" i="2"/>
  <c r="F54" i="2"/>
  <c r="W35" i="2"/>
  <c r="W54" i="2" s="1"/>
  <c r="G60" i="2"/>
  <c r="G50" i="2"/>
  <c r="H59" i="2"/>
  <c r="H48" i="2"/>
  <c r="W42" i="2"/>
  <c r="K201" i="3"/>
  <c r="K200" i="3"/>
  <c r="K202" i="3"/>
  <c r="K204" i="3"/>
  <c r="K205" i="3" s="1"/>
  <c r="W59" i="2" l="1"/>
  <c r="AA8" i="2"/>
  <c r="AB4" i="2"/>
  <c r="Y30" i="2"/>
  <c r="Y20" i="2"/>
  <c r="H60" i="2"/>
  <c r="H50" i="2"/>
  <c r="E50" i="2"/>
  <c r="E60" i="2"/>
  <c r="X37" i="2"/>
  <c r="X38" i="2"/>
  <c r="X36" i="2"/>
  <c r="X34" i="2"/>
  <c r="X35" i="2" s="1"/>
  <c r="G61" i="2"/>
  <c r="G96" i="2"/>
  <c r="G99" i="2"/>
  <c r="G97" i="2"/>
  <c r="G52" i="2"/>
  <c r="C99" i="2"/>
  <c r="C61" i="2"/>
  <c r="C52" i="2"/>
  <c r="F59" i="2"/>
  <c r="F48" i="2"/>
  <c r="Z17" i="2"/>
  <c r="Z11" i="2"/>
  <c r="M211" i="3"/>
  <c r="P222" i="3"/>
  <c r="M381" i="3"/>
  <c r="M296" i="3"/>
  <c r="M214" i="3"/>
  <c r="M314" i="3"/>
  <c r="M315" i="3"/>
  <c r="M329" i="3"/>
  <c r="M265" i="3"/>
  <c r="M354" i="3"/>
  <c r="M280" i="3"/>
  <c r="M216" i="3"/>
  <c r="M367" i="3"/>
  <c r="M303" i="3"/>
  <c r="M239" i="3"/>
  <c r="M328" i="3"/>
  <c r="M318" i="3"/>
  <c r="M254" i="3"/>
  <c r="M227" i="3"/>
  <c r="M336" i="3"/>
  <c r="M317" i="3"/>
  <c r="M253" i="3"/>
  <c r="M352" i="3"/>
  <c r="M324" i="3"/>
  <c r="M260" i="3"/>
  <c r="M221" i="3"/>
  <c r="M274" i="3"/>
  <c r="M220" i="3"/>
  <c r="M304" i="3"/>
  <c r="M319" i="3"/>
  <c r="M251" i="3"/>
  <c r="M266" i="3"/>
  <c r="M299" i="3"/>
  <c r="M326" i="3"/>
  <c r="M226" i="3"/>
  <c r="M378" i="3"/>
  <c r="M307" i="3"/>
  <c r="M283" i="3"/>
  <c r="M321" i="3"/>
  <c r="M257" i="3"/>
  <c r="M338" i="3"/>
  <c r="M272" i="3"/>
  <c r="M267" i="3"/>
  <c r="M359" i="3"/>
  <c r="M295" i="3"/>
  <c r="M231" i="3"/>
  <c r="M374" i="3"/>
  <c r="M310" i="3"/>
  <c r="M246" i="3"/>
  <c r="M219" i="3"/>
  <c r="M373" i="3"/>
  <c r="M309" i="3"/>
  <c r="M245" i="3"/>
  <c r="M320" i="3"/>
  <c r="M316" i="3"/>
  <c r="M252" i="3"/>
  <c r="M308" i="3"/>
  <c r="M222" i="3"/>
  <c r="M356" i="3"/>
  <c r="M275" i="3"/>
  <c r="M348" i="3"/>
  <c r="M345" i="3"/>
  <c r="M334" i="3"/>
  <c r="M269" i="3"/>
  <c r="M371" i="3"/>
  <c r="M375" i="3"/>
  <c r="M368" i="3"/>
  <c r="M355" i="3"/>
  <c r="M331" i="3"/>
  <c r="M377" i="3"/>
  <c r="M313" i="3"/>
  <c r="M249" i="3"/>
  <c r="M290" i="3"/>
  <c r="M264" i="3"/>
  <c r="M258" i="3"/>
  <c r="M351" i="3"/>
  <c r="M287" i="3"/>
  <c r="M223" i="3"/>
  <c r="M366" i="3"/>
  <c r="M302" i="3"/>
  <c r="M238" i="3"/>
  <c r="M362" i="3"/>
  <c r="M365" i="3"/>
  <c r="M301" i="3"/>
  <c r="M237" i="3"/>
  <c r="M372" i="3"/>
  <c r="M244" i="3"/>
  <c r="M349" i="3"/>
  <c r="M228" i="3"/>
  <c r="M282" i="3"/>
  <c r="M284" i="3"/>
  <c r="M217" i="3"/>
  <c r="M255" i="3"/>
  <c r="M218" i="3"/>
  <c r="M340" i="3"/>
  <c r="M337" i="3"/>
  <c r="M311" i="3"/>
  <c r="M325" i="3"/>
  <c r="M306" i="3"/>
  <c r="M298" i="3"/>
  <c r="M369" i="3"/>
  <c r="M305" i="3"/>
  <c r="M241" i="3"/>
  <c r="M250" i="3"/>
  <c r="M256" i="3"/>
  <c r="M242" i="3"/>
  <c r="M343" i="3"/>
  <c r="M279" i="3"/>
  <c r="M215" i="3"/>
  <c r="M358" i="3"/>
  <c r="M294" i="3"/>
  <c r="M230" i="3"/>
  <c r="M346" i="3"/>
  <c r="M357" i="3"/>
  <c r="M293" i="3"/>
  <c r="M229" i="3"/>
  <c r="M364" i="3"/>
  <c r="M300" i="3"/>
  <c r="M236" i="3"/>
  <c r="M350" i="3"/>
  <c r="M285" i="3"/>
  <c r="M278" i="3"/>
  <c r="M243" i="3"/>
  <c r="M323" i="3"/>
  <c r="M270" i="3"/>
  <c r="M276" i="3"/>
  <c r="M273" i="3"/>
  <c r="M224" i="3"/>
  <c r="M262" i="3"/>
  <c r="M268" i="3"/>
  <c r="M363" i="3"/>
  <c r="M322" i="3"/>
  <c r="M361" i="3"/>
  <c r="M297" i="3"/>
  <c r="M233" i="3"/>
  <c r="M376" i="3"/>
  <c r="M248" i="3"/>
  <c r="M335" i="3"/>
  <c r="M271" i="3"/>
  <c r="M259" i="3"/>
  <c r="M286" i="3"/>
  <c r="M330" i="3"/>
  <c r="M292" i="3"/>
  <c r="M341" i="3"/>
  <c r="M281" i="3"/>
  <c r="M232" i="3"/>
  <c r="M234" i="3"/>
  <c r="M333" i="3"/>
  <c r="M370" i="3"/>
  <c r="M247" i="3"/>
  <c r="M235" i="3"/>
  <c r="M332" i="3"/>
  <c r="M347" i="3"/>
  <c r="M291" i="3"/>
  <c r="M353" i="3"/>
  <c r="M289" i="3"/>
  <c r="M225" i="3"/>
  <c r="M344" i="3"/>
  <c r="M240" i="3"/>
  <c r="M312" i="3"/>
  <c r="M327" i="3"/>
  <c r="M263" i="3"/>
  <c r="M342" i="3"/>
  <c r="M277" i="3"/>
  <c r="M339" i="3"/>
  <c r="M288" i="3"/>
  <c r="M360" i="3"/>
  <c r="M261" i="3"/>
  <c r="M213" i="3"/>
  <c r="M379" i="3"/>
  <c r="M380" i="3"/>
  <c r="M212" i="3"/>
  <c r="P212" i="3"/>
  <c r="P211" i="3"/>
  <c r="P214" i="3"/>
  <c r="P221" i="3"/>
  <c r="P213" i="3"/>
  <c r="P224" i="3"/>
  <c r="P220" i="3"/>
  <c r="P216" i="3"/>
  <c r="P219" i="3"/>
  <c r="P223" i="3"/>
  <c r="P218" i="3"/>
  <c r="P215" i="3"/>
  <c r="P217" i="3"/>
  <c r="X41" i="2" l="1"/>
  <c r="X42" i="2"/>
  <c r="H61" i="2"/>
  <c r="H96" i="2"/>
  <c r="H52" i="2"/>
  <c r="H99" i="2"/>
  <c r="H97" i="2"/>
  <c r="Y37" i="2"/>
  <c r="Y34" i="2"/>
  <c r="Y35" i="2" s="1"/>
  <c r="Y38" i="2"/>
  <c r="Y36" i="2"/>
  <c r="AC4" i="2"/>
  <c r="AB8" i="2"/>
  <c r="F50" i="2"/>
  <c r="F60" i="2"/>
  <c r="Z30" i="2"/>
  <c r="Z20" i="2"/>
  <c r="AA17" i="2"/>
  <c r="AA11" i="2"/>
  <c r="W48" i="2"/>
  <c r="W60" i="2" s="1"/>
  <c r="Y67" i="2" s="1"/>
  <c r="Y68" i="2" s="1"/>
  <c r="E52" i="2"/>
  <c r="E61" i="2"/>
  <c r="E99" i="2"/>
  <c r="Y41" i="2" l="1"/>
  <c r="Y42" i="2" s="1"/>
  <c r="AA30" i="2"/>
  <c r="AA20" i="2"/>
  <c r="AC8" i="2"/>
  <c r="AD4" i="2"/>
  <c r="AB17" i="2"/>
  <c r="AB11" i="2"/>
  <c r="Z34" i="2"/>
  <c r="Z37" i="2"/>
  <c r="Z35" i="2"/>
  <c r="Z38" i="2"/>
  <c r="Z36" i="2"/>
  <c r="X48" i="2"/>
  <c r="X59" i="2"/>
  <c r="F61" i="2"/>
  <c r="F52" i="2"/>
  <c r="W52" i="2" s="1"/>
  <c r="F97" i="2"/>
  <c r="F96" i="2"/>
  <c r="F99" i="2"/>
  <c r="W99" i="2" s="1"/>
  <c r="W50" i="2"/>
  <c r="Y59" i="2" l="1"/>
  <c r="AB20" i="2"/>
  <c r="AB30" i="2"/>
  <c r="X49" i="2"/>
  <c r="X50" i="2"/>
  <c r="AD8" i="2"/>
  <c r="AE4" i="2"/>
  <c r="W97" i="2"/>
  <c r="W96" i="2"/>
  <c r="W61" i="2"/>
  <c r="AC11" i="2"/>
  <c r="AC17" i="2"/>
  <c r="Z41" i="2"/>
  <c r="Z42" i="2" s="1"/>
  <c r="AA34" i="2"/>
  <c r="AA35" i="2" s="1"/>
  <c r="AA38" i="2"/>
  <c r="AA36" i="2"/>
  <c r="AA37" i="2"/>
  <c r="AA41" i="2" l="1"/>
  <c r="AA42" i="2" s="1"/>
  <c r="Z59" i="2"/>
  <c r="AE8" i="2"/>
  <c r="AF4" i="2"/>
  <c r="X61" i="2"/>
  <c r="X63" i="2"/>
  <c r="AD17" i="2"/>
  <c r="AD11" i="2"/>
  <c r="AB38" i="2"/>
  <c r="AB36" i="2"/>
  <c r="AB37" i="2"/>
  <c r="AB34" i="2"/>
  <c r="AB35" i="2" s="1"/>
  <c r="AC20" i="2"/>
  <c r="AC30" i="2"/>
  <c r="AB41" i="2" l="1"/>
  <c r="AB42" i="2"/>
  <c r="AA59" i="2"/>
  <c r="AG4" i="2"/>
  <c r="AG8" i="2" s="1"/>
  <c r="AF8" i="2"/>
  <c r="AE17" i="2"/>
  <c r="AE11" i="2"/>
  <c r="AD30" i="2"/>
  <c r="AD20" i="2"/>
  <c r="AC38" i="2"/>
  <c r="AC36" i="2"/>
  <c r="AC37" i="2"/>
  <c r="AC34" i="2"/>
  <c r="AC35" i="2" s="1"/>
  <c r="Y47" i="2"/>
  <c r="Y48" i="2" s="1"/>
  <c r="AC41" i="2" l="1"/>
  <c r="AC42" i="2"/>
  <c r="AF17" i="2"/>
  <c r="AF11" i="2"/>
  <c r="AG11" i="2"/>
  <c r="AG17" i="2"/>
  <c r="AE30" i="2"/>
  <c r="AE20" i="2"/>
  <c r="AB59" i="2"/>
  <c r="Y49" i="2"/>
  <c r="Y50" i="2" s="1"/>
  <c r="AD34" i="2"/>
  <c r="AD35" i="2" s="1"/>
  <c r="AD38" i="2"/>
  <c r="AD36" i="2"/>
  <c r="AD37" i="2"/>
  <c r="Y61" i="2" l="1"/>
  <c r="Y63" i="2"/>
  <c r="AD41" i="2"/>
  <c r="AD42" i="2" s="1"/>
  <c r="AG30" i="2"/>
  <c r="AG20" i="2"/>
  <c r="AF20" i="2"/>
  <c r="AF30" i="2"/>
  <c r="AC59" i="2"/>
  <c r="AE37" i="2"/>
  <c r="AE34" i="2"/>
  <c r="AE35" i="2" s="1"/>
  <c r="AE38" i="2"/>
  <c r="AE36" i="2"/>
  <c r="AD59" i="2" l="1"/>
  <c r="AE41" i="2"/>
  <c r="AE42" i="2" s="1"/>
  <c r="Z47" i="2"/>
  <c r="Z48" i="2" s="1"/>
  <c r="AG37" i="2"/>
  <c r="AG35" i="2"/>
  <c r="AG34" i="2"/>
  <c r="AG38" i="2"/>
  <c r="AG36" i="2"/>
  <c r="AF37" i="2"/>
  <c r="AF38" i="2"/>
  <c r="AF36" i="2"/>
  <c r="AF34" i="2"/>
  <c r="AF35" i="2" s="1"/>
  <c r="AF41" i="2" l="1"/>
  <c r="AF42" i="2"/>
  <c r="AE59" i="2"/>
  <c r="AG41" i="2"/>
  <c r="AG42" i="2" s="1"/>
  <c r="Z49" i="2"/>
  <c r="Z50" i="2" s="1"/>
  <c r="Z61" i="2" l="1"/>
  <c r="Z63" i="2"/>
  <c r="AG59" i="2"/>
  <c r="AF59" i="2"/>
  <c r="AA47" i="2" l="1"/>
  <c r="AA48" i="2" s="1"/>
  <c r="AA49" i="2" l="1"/>
  <c r="AA50" i="2" s="1"/>
  <c r="AA61" i="2" l="1"/>
  <c r="AA63" i="2"/>
  <c r="AB47" i="2" l="1"/>
  <c r="AB48" i="2" s="1"/>
  <c r="AB49" i="2" l="1"/>
  <c r="AB50" i="2"/>
  <c r="AB61" i="2" l="1"/>
  <c r="AB63" i="2"/>
  <c r="AC47" i="2" l="1"/>
  <c r="AD47" i="2" l="1"/>
  <c r="AC48" i="2"/>
  <c r="AC49" i="2" l="1"/>
  <c r="AC50" i="2"/>
  <c r="AE47" i="2"/>
  <c r="AD48" i="2"/>
  <c r="AD49" i="2" l="1"/>
  <c r="AD50" i="2" s="1"/>
  <c r="AD61" i="2" s="1"/>
  <c r="AF47" i="2"/>
  <c r="AE48" i="2"/>
  <c r="AC61" i="2"/>
  <c r="AC63" i="2"/>
  <c r="AD63" i="2" l="1"/>
  <c r="AE49" i="2"/>
  <c r="AE50" i="2" s="1"/>
  <c r="AE61" i="2" s="1"/>
  <c r="AG47" i="2"/>
  <c r="AG48" i="2" s="1"/>
  <c r="AF48" i="2"/>
  <c r="AF49" i="2" l="1"/>
  <c r="AF50" i="2"/>
  <c r="AF61" i="2" s="1"/>
  <c r="AG49" i="2"/>
  <c r="AG50" i="2" s="1"/>
  <c r="AE63" i="2"/>
  <c r="AF63" i="2" s="1"/>
  <c r="AH50" i="2" l="1"/>
  <c r="AI50" i="2" s="1"/>
  <c r="AJ50" i="2" s="1"/>
  <c r="AK50" i="2" s="1"/>
  <c r="AL50" i="2" s="1"/>
  <c r="AM50" i="2" s="1"/>
  <c r="AN50" i="2" s="1"/>
  <c r="AO50" i="2" s="1"/>
  <c r="AP50" i="2" s="1"/>
  <c r="AQ50" i="2" s="1"/>
  <c r="AR50" i="2" s="1"/>
  <c r="AS50" i="2" s="1"/>
  <c r="AT50" i="2" s="1"/>
  <c r="AU50" i="2" s="1"/>
  <c r="AV50" i="2" s="1"/>
  <c r="AW50" i="2" s="1"/>
  <c r="AX50" i="2" s="1"/>
  <c r="AY50" i="2" s="1"/>
  <c r="AZ50" i="2" s="1"/>
  <c r="BA50" i="2" s="1"/>
  <c r="BB50" i="2" s="1"/>
  <c r="BC50" i="2" s="1"/>
  <c r="BD50" i="2" s="1"/>
  <c r="BE50" i="2" s="1"/>
  <c r="BF50" i="2" s="1"/>
  <c r="BG50" i="2" s="1"/>
  <c r="BH50" i="2" s="1"/>
  <c r="BI50" i="2" s="1"/>
  <c r="BJ50" i="2" s="1"/>
  <c r="BK50" i="2" s="1"/>
  <c r="BL50" i="2" s="1"/>
  <c r="BM50" i="2" s="1"/>
  <c r="BN50" i="2" s="1"/>
  <c r="BO50" i="2" s="1"/>
  <c r="BP50" i="2" s="1"/>
  <c r="BQ50" i="2" s="1"/>
  <c r="BR50" i="2" s="1"/>
  <c r="BS50" i="2" s="1"/>
  <c r="BT50" i="2" s="1"/>
  <c r="BU50" i="2" s="1"/>
  <c r="AG61" i="2"/>
  <c r="AG63" i="2"/>
  <c r="BV50" i="2" l="1"/>
  <c r="BW50" i="2" s="1"/>
  <c r="BX50" i="2" s="1"/>
  <c r="BY50" i="2" s="1"/>
  <c r="BZ50" i="2" s="1"/>
  <c r="CA50" i="2" s="1"/>
  <c r="CB50" i="2" s="1"/>
  <c r="CC50" i="2" s="1"/>
  <c r="CD50" i="2" s="1"/>
  <c r="CE50" i="2" s="1"/>
  <c r="AG72" i="2"/>
  <c r="AG74" i="2" s="1"/>
  <c r="AG76" i="2" s="1"/>
  <c r="AF77" i="2" l="1" a="1"/>
  <c r="AF77" i="2" s="1"/>
  <c r="AH7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<sst xmlns="http://schemas.openxmlformats.org/spreadsheetml/2006/main" count="834" uniqueCount="800">
  <si>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</si>
  <si>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</si>
  <si>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</si>
  <si>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</si>
  <si>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</si>
  <si>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</si>
  <si>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</si>
  <si>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</si>
  <si>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</si>
  <si>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</si>
  <si>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</si>
  <si>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</si>
  <si>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</si>
  <si>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</si>
  <si>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</si>
  <si>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</si>
  <si>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</si>
  <si>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</si>
  <si>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</si>
  <si>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</si>
  <si>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</si>
  <si>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</si>
  <si>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</si>
  <si>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</si>
  <si>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</si>
  <si>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</si>
  <si>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</si>
  <si>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</si>
  <si>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</si>
  <si>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</si>
  <si>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</si>
  <si>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</si>
  <si>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</si>
  <si>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</si>
  <si>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</si>
  <si>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</si>
  <si>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</si>
  <si>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</si>
  <si>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</si>
  <si>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</si>
  <si>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</si>
  <si>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</si>
  <si>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</si>
  <si>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</si>
  <si>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</si>
  <si>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</si>
  <si>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</si>
  <si>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</si>
  <si>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</si>
  <si>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</si>
  <si>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</si>
  <si>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</si>
  <si>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</si>
  <si>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</si>
  <si>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</si>
  <si>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</si>
  <si>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</si>
  <si>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</si>
  <si>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</si>
  <si>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GP</t>
  </si>
  <si>
    <t>Gross Profit Margin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</si>
  <si>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</si>
  <si>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</si>
  <si>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</si>
  <si>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</si>
  <si>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</si>
  <si>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</si>
  <si>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</si>
  <si>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</si>
  <si>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</si>
  <si>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</si>
  <si>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</si>
  <si>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</si>
  <si>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</si>
  <si>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</si>
  <si>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</si>
  <si>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</si>
  <si>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</si>
  <si>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</si>
  <si>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</si>
  <si>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</si>
  <si>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</si>
  <si>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</si>
  <si>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</si>
  <si>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</si>
  <si>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</si>
  <si>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</si>
  <si>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</si>
  <si>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</si>
  <si>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</si>
  <si>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</si>
  <si>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</si>
  <si>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https://www.sec.gov/edgar/browse/?CIK=310764&amp;owner=exclude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</si>
  <si>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</si>
  <si>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</si>
  <si>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</si>
  <si>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</si>
  <si>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</si>
  <si>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</si>
  <si>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</si>
  <si>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</si>
  <si>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</si>
  <si>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</si>
  <si>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</si>
  <si>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</si>
  <si>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</si>
  <si>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</si>
  <si>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</si>
  <si>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</si>
  <si>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</si>
  <si>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</si>
  <si>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</si>
  <si>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</si>
  <si>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</si>
  <si>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</si>
  <si>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</si>
  <si>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</si>
  <si>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</si>
  <si>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</si>
  <si>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</si>
  <si>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</si>
  <si>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</si>
  <si>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https://stockanalysis.com/stocks/tln/company/</t>
  </si>
  <si>
    <t>https://seekingalpha.com/symbol/TLN/earnings/transcripts</t>
  </si>
  <si>
    <t>https://www.talenenergy.com/</t>
  </si>
  <si>
    <t>https://ir.talenenergy.com/</t>
  </si>
  <si>
    <t>https://www.macrotrends.net/stocks/charts/TLN/talen-energy/income-statement?freq=Q</t>
  </si>
  <si>
    <t>https://www.gurufocus.com/term/wacc/TLN</t>
  </si>
  <si>
    <t>TLN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</si>
  <si>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</si>
  <si>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</si>
  <si>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</si>
  <si>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</si>
  <si>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</si>
  <si>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</si>
  <si>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</si>
  <si>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</si>
  <si>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</si>
  <si>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</si>
  <si>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</si>
  <si>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</si>
  <si>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</si>
  <si>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</si>
  <si>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</si>
  <si>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</si>
  <si>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</si>
  <si>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</si>
  <si>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</si>
  <si>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</si>
  <si>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</si>
  <si>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</si>
  <si>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</si>
  <si>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</si>
  <si>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</si>
  <si>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</si>
  <si>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</si>
  <si>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</si>
  <si>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</si>
  <si>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</si>
  <si>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</si>
  <si>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</si>
  <si>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</si>
  <si>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</si>
  <si>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</si>
  <si>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</si>
  <si>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</si>
  <si>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</si>
  <si>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</si>
  <si>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</si>
  <si>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</si>
  <si>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</si>
  <si>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</si>
  <si>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</si>
  <si>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</si>
  <si>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</si>
  <si>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</si>
  <si>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</si>
  <si>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</si>
  <si>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</si>
  <si>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</si>
  <si>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</si>
  <si>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</si>
  <si>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</si>
  <si>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</si>
  <si>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</si>
  <si>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</si>
  <si>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</si>
  <si>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</si>
  <si>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</si>
  <si>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</si>
  <si>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</si>
  <si>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</si>
  <si>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</si>
  <si>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</si>
  <si>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</si>
  <si>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</si>
  <si>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</si>
  <si>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</si>
  <si>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</si>
  <si>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</si>
  <si>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</si>
  <si>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</si>
  <si>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</si>
  <si>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</si>
  <si>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</si>
  <si>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</si>
  <si>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</si>
  <si>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</si>
  <si>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</si>
  <si>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</si>
  <si>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</si>
  <si>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</si>
  <si>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</si>
  <si>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</si>
  <si>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</si>
  <si>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</si>
  <si>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</si>
  <si>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</si>
  <si>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</si>
  <si>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</si>
  <si>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</si>
  <si>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</si>
  <si>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</si>
  <si>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</si>
  <si>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</si>
  <si>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</si>
  <si>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</si>
  <si>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</si>
  <si>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</si>
  <si>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</si>
  <si>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</si>
  <si>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</si>
  <si>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</si>
  <si>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</si>
  <si>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</si>
  <si>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</si>
  <si>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</si>
  <si>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</si>
  <si>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</si>
  <si>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</si>
  <si>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</si>
  <si>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</si>
  <si>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</si>
  <si>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</si>
  <si>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</si>
  <si>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</si>
  <si>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</si>
  <si>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</si>
  <si>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</si>
  <si>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</si>
  <si>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</si>
  <si>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</si>
  <si>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</si>
  <si>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</si>
  <si>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</si>
  <si>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</si>
  <si>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</si>
  <si>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</si>
  <si>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</si>
  <si>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</si>
  <si>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</si>
  <si>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</si>
  <si>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</si>
  <si>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</si>
  <si>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</si>
  <si>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</si>
  <si>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</si>
  <si>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</si>
  <si>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</si>
  <si>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</si>
  <si>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</si>
  <si>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</si>
  <si>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</si>
  <si>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</si>
  <si>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</si>
  <si>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</si>
  <si>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</si>
  <si>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</si>
  <si>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</si>
  <si>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</si>
  <si>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</si>
  <si>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</si>
  <si>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</si>
  <si>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</si>
  <si>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</si>
  <si>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</si>
  <si>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</si>
  <si>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</si>
  <si>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</si>
  <si>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</si>
  <si>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</si>
  <si>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</si>
  <si>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</si>
  <si>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</si>
  <si>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</si>
  <si>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</si>
  <si>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</si>
  <si>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</si>
  <si>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</si>
  <si>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</si>
  <si>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</si>
  <si>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</si>
  <si>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</si>
  <si>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</si>
  <si>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</si>
  <si>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</si>
  <si>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</si>
  <si>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</si>
  <si>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</si>
  <si>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</si>
  <si>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</si>
  <si>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</si>
  <si>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</si>
  <si>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</si>
  <si>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</si>
  <si>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</si>
  <si>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</si>
  <si>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</si>
  <si>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</si>
  <si>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</si>
  <si>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</si>
  <si>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</si>
  <si>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</si>
  <si>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</si>
  <si>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</si>
  <si>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</si>
  <si>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</si>
  <si>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</si>
  <si>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</si>
  <si>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</si>
  <si>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</si>
  <si>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</si>
  <si>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</si>
  <si>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</si>
  <si>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</si>
  <si>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</si>
  <si>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</si>
  <si>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</si>
  <si>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</si>
  <si>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</si>
  <si>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</si>
  <si>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</si>
  <si>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</si>
  <si>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</si>
  <si>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</si>
  <si>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</si>
  <si>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</si>
  <si>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</si>
  <si>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</si>
  <si>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</si>
  <si>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</si>
  <si>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</si>
  <si>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</si>
  <si>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</si>
  <si>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</si>
  <si>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</si>
  <si>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</si>
  <si>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</si>
  <si>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</si>
  <si>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</si>
  <si>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</si>
  <si>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</si>
  <si>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</si>
  <si>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</si>
  <si>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</si>
  <si>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</si>
  <si>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</si>
  <si>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</si>
  <si>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</si>
  <si>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</si>
  <si>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</si>
  <si>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</si>
  <si>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</si>
  <si>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</si>
  <si>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</si>
  <si>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</si>
  <si>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</si>
  <si>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</si>
  <si>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</si>
  <si>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</si>
  <si>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</si>
  <si>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</si>
  <si>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</si>
  <si>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</si>
  <si>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</si>
  <si>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</si>
  <si>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</si>
  <si>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</si>
  <si>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</si>
  <si>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</si>
  <si>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</si>
  <si>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</si>
  <si>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</si>
  <si>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</si>
  <si>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</si>
  <si>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</si>
  <si>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</si>
  <si>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</si>
  <si>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</si>
  <si>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</si>
  <si>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</si>
  <si>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</si>
  <si>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</si>
  <si>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</si>
  <si>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</si>
  <si>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</si>
  <si>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</si>
  <si>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</si>
  <si>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</si>
  <si>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</si>
  <si>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</si>
  <si>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</si>
  <si>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</si>
  <si>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</si>
  <si>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</si>
  <si>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</si>
  <si>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</si>
  <si>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</si>
  <si>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</si>
  <si>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</si>
  <si>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</si>
  <si>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</si>
  <si>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</si>
  <si>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</si>
  <si>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</si>
  <si>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</si>
  <si>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</si>
  <si>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</si>
  <si>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</si>
  <si>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</si>
  <si>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</si>
  <si>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</si>
  <si>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</si>
  <si>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</si>
  <si>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</si>
  <si>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</si>
  <si>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</si>
  <si>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</si>
  <si>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</si>
  <si>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</si>
  <si>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</si>
  <si>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</si>
  <si>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</si>
  <si>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</si>
  <si>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</si>
  <si>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</si>
  <si>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</si>
  <si>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</si>
  <si>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</si>
  <si>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</si>
  <si>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</si>
  <si>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</si>
  <si>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</si>
  <si>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</si>
  <si>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</si>
  <si>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</si>
  <si>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</si>
  <si>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</si>
  <si>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</si>
  <si>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</si>
  <si>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</si>
  <si>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</si>
  <si>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</si>
  <si>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</si>
  <si>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</si>
  <si>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</si>
  <si>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</si>
  <si>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</si>
  <si>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</si>
  <si>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</si>
  <si>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</si>
  <si>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</si>
  <si>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</si>
  <si>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</si>
  <si>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</si>
  <si>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</si>
  <si>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</si>
  <si>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</si>
  <si>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</si>
  <si>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</si>
  <si>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</si>
  <si>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</si>
  <si>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</si>
  <si>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</si>
  <si>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</si>
  <si>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</si>
  <si>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</si>
  <si>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</si>
  <si>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</si>
  <si>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</si>
  <si>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</si>
  <si>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</si>
  <si>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</si>
  <si>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</si>
  <si>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</si>
  <si>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</si>
  <si>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</si>
  <si>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</si>
  <si>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</si>
  <si>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</si>
  <si>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</si>
  <si>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</si>
  <si>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</si>
  <si>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</si>
  <si>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</si>
  <si>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</si>
  <si>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</si>
  <si>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</si>
  <si>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</si>
  <si>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</si>
  <si>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</si>
  <si>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</si>
  <si>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</si>
  <si>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</si>
  <si>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</si>
  <si>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</si>
  <si>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</si>
  <si>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</si>
  <si>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</si>
  <si>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</si>
  <si>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</si>
  <si>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</si>
  <si>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</si>
  <si>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</si>
  <si>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</si>
  <si>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</si>
  <si>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</si>
  <si>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</si>
  <si>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</si>
  <si>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</si>
  <si>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</si>
  <si>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</si>
  <si>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</si>
  <si>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</si>
  <si>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</si>
  <si>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</si>
  <si>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</si>
  <si>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</si>
  <si>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</si>
  <si>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</si>
  <si>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</si>
  <si>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</si>
  <si>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</si>
  <si>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</si>
  <si>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</si>
  <si>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</si>
  <si>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</si>
  <si>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</si>
  <si>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</si>
  <si>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</si>
  <si>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</si>
  <si>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</si>
  <si>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</si>
  <si>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</si>
  <si>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</si>
  <si>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</si>
  <si>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</si>
  <si>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</si>
  <si>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</si>
  <si>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</si>
  <si>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</si>
  <si>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</si>
  <si>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</si>
  <si>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</si>
  <si>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</si>
  <si>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</si>
  <si>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</si>
  <si>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</si>
  <si>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</si>
  <si>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</si>
  <si>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</si>
  <si>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</si>
  <si>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</si>
  <si>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</si>
  <si>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</si>
  <si>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</si>
  <si>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</si>
  <si>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</si>
  <si>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</si>
  <si>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</si>
  <si>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</si>
  <si>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</si>
  <si>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</si>
  <si>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</si>
  <si>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</si>
  <si>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</si>
  <si>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</si>
  <si>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</si>
  <si>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</si>
  <si>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</si>
  <si>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</si>
  <si>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</si>
  <si>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</si>
  <si>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</si>
  <si>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</si>
  <si>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</si>
  <si>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</si>
  <si>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</si>
  <si>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</si>
  <si>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</si>
  <si>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</si>
  <si>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</si>
  <si>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</si>
  <si>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</si>
  <si>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</si>
  <si>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</si>
  <si>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</si>
  <si>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</si>
  <si>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</si>
  <si>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</si>
  <si>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</si>
  <si>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</si>
  <si>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</si>
  <si>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</si>
  <si>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</si>
  <si>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</si>
  <si>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</si>
  <si>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</si>
  <si>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</si>
  <si>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</si>
  <si>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</si>
  <si>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</si>
  <si>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</si>
  <si>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</si>
  <si>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</si>
  <si>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</si>
  <si>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</si>
  <si>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</si>
  <si>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</si>
  <si>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</si>
  <si>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</si>
  <si>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</si>
  <si>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</si>
  <si>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</si>
  <si>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</si>
  <si>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</si>
  <si>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</si>
  <si>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</si>
  <si>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</si>
  <si>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</si>
  <si>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</si>
  <si>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</si>
  <si>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</si>
  <si>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</si>
  <si>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</si>
  <si>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</si>
  <si>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</si>
  <si>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</si>
  <si>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</si>
  <si>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</si>
  <si>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</si>
  <si>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</si>
  <si>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</si>
  <si>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</si>
  <si>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</si>
  <si>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</si>
  <si>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</si>
  <si>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</si>
  <si>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</si>
  <si>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</si>
  <si>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</si>
  <si>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</si>
  <si>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</si>
  <si>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</si>
  <si>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</si>
  <si>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</si>
  <si>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</si>
  <si>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</si>
  <si>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</si>
  <si>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</si>
  <si>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</si>
  <si>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</si>
  <si>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</si>
  <si>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</si>
  <si>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</si>
  <si>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</si>
  <si>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</si>
  <si>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</si>
  <si>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</si>
  <si>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</si>
  <si>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</si>
  <si>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</si>
  <si>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</si>
  <si>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</si>
  <si>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</si>
  <si>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</si>
  <si>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</si>
  <si>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</si>
  <si>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</si>
  <si>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</si>
  <si>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</si>
  <si>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</si>
  <si>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</si>
  <si>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</si>
  <si>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</si>
  <si>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</si>
  <si>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</si>
  <si>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</si>
  <si>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</si>
  <si>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</si>
  <si>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</si>
  <si>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</si>
  <si>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</si>
  <si>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</si>
  <si>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r>
      <rPr>
        <i/>
        <sz val="11"/>
        <color theme="1"/>
        <rFont val="Calibre"/>
      </rPr>
      <t>557</t>
    </r>
    <r>
      <rPr>
        <sz val="11"/>
        <color theme="1"/>
        <rFont val="Calibre"/>
      </rPr>
      <t xml:space="preserve"> Trading Days? (From: </t>
    </r>
    <r>
      <rPr>
        <i/>
        <sz val="11"/>
        <color theme="1"/>
        <rFont val="Calibre"/>
      </rPr>
      <t>6/2/22 - 9/26/2025</t>
    </r>
    <r>
      <rPr>
        <sz val="11"/>
        <color theme="1"/>
        <rFont val="Calibre"/>
      </rPr>
      <t>)</t>
    </r>
  </si>
  <si>
    <t>More</t>
  </si>
  <si>
    <t>Talen Energy Corporation (TLN)</t>
  </si>
  <si>
    <t>Founder(s): PPL Corporation</t>
  </si>
  <si>
    <t>Founded: 2015</t>
  </si>
  <si>
    <t>Headquarters: Houston, TX</t>
  </si>
  <si>
    <t>Registered Exchange: NASDAQ</t>
  </si>
  <si>
    <t>Address: 2929 Allen Parkway, Houston, TX 77019 U.S.</t>
  </si>
  <si>
    <t>(888) 211 - 6011</t>
  </si>
  <si>
    <t>Current CEO: Mark "Mac" McFarland</t>
  </si>
  <si>
    <t>Employees: 1,894</t>
  </si>
  <si>
    <t>Sector: Utilities</t>
  </si>
  <si>
    <t xml:space="preserve">Industry: Utilities - Independent Power Producer </t>
  </si>
  <si>
    <t>Fiscal Year: [January - December]</t>
  </si>
  <si>
    <t>Talen Energy is a leading independent power producer (IPP) and energy infrastructure company focused primarily on clean and reliable electricity generation</t>
  </si>
  <si>
    <t>Founded in 2015 and headquartered in Houston, Texas, Talen owns and operates power generation facilities across nuclear, natural gas, coal, and oil-fired plants primarily serving wholesale power markets in the U.S.</t>
  </si>
  <si>
    <t>The Company is investing to expand nuclear energy capacity and recently strengthened ties with major data center operators for clean power supply</t>
  </si>
  <si>
    <t>Petro and natrual gas make up the largest portion of Talen’s portfolio ... a major deal boosting annual generation capacity by 50%</t>
  </si>
  <si>
    <t>Strategic partnerships with hyperscale cloud providers, including a major power purchase agreement (PPA) with Amazon AWS ... Positions The Company as a key supplier for AI and cloud infrastructure energy needs</t>
  </si>
  <si>
    <t>Diversified generation mix combining nuclear and fossil fuels ensures operational flexibility and market resilience</t>
  </si>
  <si>
    <t xml:space="preserve">Revenue Breakdown by Segment </t>
  </si>
  <si>
    <t xml:space="preserve">Institutional Ownership Snapshot </t>
  </si>
  <si>
    <t xml:space="preserve">Financial Stmts. Notes/Observations </t>
  </si>
  <si>
    <t xml:space="preserve">General Notes/Observations </t>
  </si>
  <si>
    <t>IPO: June 23, 2023 - Emerging out of bankruptcy</t>
  </si>
  <si>
    <t>Capacity Revenues</t>
  </si>
  <si>
    <t>Physical Electricity Sales, Bilateral Contracts, other</t>
  </si>
  <si>
    <t>Other Customer Revenues</t>
  </si>
  <si>
    <t xml:space="preserve">Ttl Customer Contract Revenues  </t>
  </si>
  <si>
    <t>Realized / Unrealized on Derivatives</t>
  </si>
  <si>
    <t>Nuclear PTC and Other Revenues</t>
  </si>
  <si>
    <t>Electricity Sales &amp; Ancillary Service Revenues     
ISO/RTO</t>
  </si>
  <si>
    <t>Capacity % of Ttl Revenues</t>
  </si>
  <si>
    <t>Other Customer % of Ttl Revenues</t>
  </si>
  <si>
    <t>Ttl Customer Contract % of Ttl Revenues</t>
  </si>
  <si>
    <t>Derivatives % of Ttl Revenues</t>
  </si>
  <si>
    <t>Nuclear PTC and Other % of Ttl Revenues</t>
  </si>
  <si>
    <t>Electricity Sales &amp; Ancillary Service % of Ttl Revenues ISO/RTO</t>
  </si>
  <si>
    <t>Fuel &amp; Energy Purchases</t>
  </si>
  <si>
    <t>Nuclear Fuel Amortization</t>
  </si>
  <si>
    <t>G/L on Derivatives</t>
  </si>
  <si>
    <t>Operations Maintenance &amp; Development</t>
  </si>
  <si>
    <t>G&amp;A</t>
  </si>
  <si>
    <t>Depreciation, Ammortization &amp; Accretion</t>
  </si>
  <si>
    <t>Impairment</t>
  </si>
  <si>
    <t>Operational Restructuring</t>
  </si>
  <si>
    <t>Other Operating Income</t>
  </si>
  <si>
    <t>Ttl OI</t>
  </si>
  <si>
    <t>Ttl COGS (Energy Expenses)</t>
  </si>
  <si>
    <t>Interest Expenses</t>
  </si>
  <si>
    <t>Reorganization Income</t>
  </si>
  <si>
    <t>G/L on Sale of Income</t>
  </si>
  <si>
    <t>Other Income</t>
  </si>
  <si>
    <t>Pretax Income</t>
  </si>
  <si>
    <t>Taxes</t>
  </si>
  <si>
    <t>NI</t>
  </si>
  <si>
    <t>EPS</t>
  </si>
  <si>
    <t>Nuclear PTC and Other Revenue Growth Y/y</t>
  </si>
  <si>
    <t>Realized / Unrealized on Derivatives Growth Y/y</t>
  </si>
  <si>
    <t>Ttl Customer Contract Revenue Growth Y/y</t>
  </si>
  <si>
    <t>Other Customer Revenue Growth Y/y</t>
  </si>
  <si>
    <t>Physical Electricity Sales, Bilateral Contracts Growth Y/y</t>
  </si>
  <si>
    <t>Electricity Sales &amp; Ancillary Service Revenues Growth Y/y</t>
  </si>
  <si>
    <t>Capacity Revenues Growth Y/y</t>
  </si>
  <si>
    <t>G&amp;A as % of Revenue</t>
  </si>
  <si>
    <t>Restricted Cash</t>
  </si>
  <si>
    <t>A/R</t>
  </si>
  <si>
    <t>Inventories</t>
  </si>
  <si>
    <t>Other ST Assets</t>
  </si>
  <si>
    <t>PP&amp;E</t>
  </si>
  <si>
    <t>Nuclear Decommision Trust Funds</t>
  </si>
  <si>
    <t>ST Derivative Instruments</t>
  </si>
  <si>
    <t>LT Derivative Instruments</t>
  </si>
  <si>
    <t>Other LT Assets</t>
  </si>
  <si>
    <t>Ttl Assets</t>
  </si>
  <si>
    <t>Interest</t>
  </si>
  <si>
    <t>A/P</t>
  </si>
  <si>
    <t>ST Derivative Instrument Liabilities</t>
  </si>
  <si>
    <t>Other ST Liabilities</t>
  </si>
  <si>
    <t>LT Debt</t>
  </si>
  <si>
    <t>ST Debt</t>
  </si>
  <si>
    <t>LT Derivative Instrument Liabilities</t>
  </si>
  <si>
    <t>LT Retirement Benefit Obligations</t>
  </si>
  <si>
    <t>LT Environmental Liabilities</t>
  </si>
  <si>
    <t>Deffered Income Taxes</t>
  </si>
  <si>
    <t>Other LT Liabilities</t>
  </si>
  <si>
    <t>Ttl Liabilities</t>
  </si>
  <si>
    <t>Ttl SE</t>
  </si>
  <si>
    <t>Ttl L + SE</t>
  </si>
  <si>
    <t>Portion of LT Debt</t>
  </si>
  <si>
    <t>Operations Maintenance &amp; Development % of Revenue</t>
  </si>
  <si>
    <t>Dep. Amm. Acc. % of Revenue</t>
  </si>
  <si>
    <t>Other OI % of Revenue</t>
  </si>
  <si>
    <t>Nuclear Decommissioning Fund Income</t>
  </si>
  <si>
    <t>11/5/25</t>
  </si>
  <si>
    <t>Q3'25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</si>
</sst>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64" fontId="2" fillId="0" borderId="0" xfId="2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16" fillId="0" borderId="0" xfId="3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10" fontId="2" fillId="0" borderId="0" xfId="1" applyNumberFormat="1" applyFont="1"/>
    <xf numFmtId="1" fontId="2" fillId="0" borderId="0" xfId="0" applyNumberFormat="1" applyFont="1" applyAlignment="1">
      <alignment horizontal="left" indent="6"/>
    </xf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66" fontId="8" fillId="5" borderId="0" xfId="0" applyNumberFormat="1" applyFont="1" applyFill="1" applyAlignment="1">
      <alignment horizontal="center" vertical="center"/>
    </xf>
    <xf numFmtId="166" fontId="2" fillId="0" borderId="0" xfId="1" applyNumberFormat="1" applyFont="1"/>
    <xf numFmtId="166" fontId="3" fillId="0" borderId="0" xfId="1" applyNumberFormat="1" applyFont="1"/>
    <xf numFmtId="165" fontId="2" fillId="0" borderId="0" xfId="0" applyNumberFormat="1" applyFont="1"/>
    <xf numFmtId="1" fontId="13" fillId="0" borderId="0" xfId="0" applyNumberFormat="1" applyFont="1"/>
    <xf numFmtId="1" fontId="12" fillId="0" borderId="0" xfId="0" applyNumberFormat="1" applyFont="1"/>
    <xf numFmtId="166" fontId="13" fillId="0" borderId="0" xfId="1" applyNumberFormat="1" applyFont="1"/>
    <xf numFmtId="1" fontId="3" fillId="0" borderId="0" xfId="0" applyNumberFormat="1" applyFont="1"/>
    <xf numFmtId="166" fontId="13" fillId="0" borderId="0" xfId="0" applyNumberFormat="1" applyFont="1"/>
    <xf numFmtId="166" fontId="12" fillId="0" borderId="0" xfId="0" applyNumberFormat="1" applyFont="1"/>
    <xf numFmtId="0" fontId="17" fillId="0" borderId="0" xfId="0" applyFont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10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(TLN)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(TLN)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Model!$C$50:$I$50</c:f>
              <c:numCache>
                <c:formatCode>General</c:formatCode>
                <c:ptCount val="7"/>
                <c:pt idx="0">
                  <c:v>294</c:v>
                </c:pt>
                <c:pt idx="1">
                  <c:v>454</c:v>
                </c:pt>
                <c:pt idx="2">
                  <c:v>168</c:v>
                </c:pt>
                <c:pt idx="3">
                  <c:v>82</c:v>
                </c:pt>
                <c:pt idx="4">
                  <c:v>-135</c:v>
                </c:pt>
                <c:pt idx="5">
                  <c:v>72</c:v>
                </c:pt>
                <c:pt idx="6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Model!$C$102:$I$102</c:f>
              <c:numCache>
                <c:formatCode>General</c:formatCode>
                <c:ptCount val="7"/>
                <c:pt idx="0">
                  <c:v>107</c:v>
                </c:pt>
                <c:pt idx="1">
                  <c:v>-46</c:v>
                </c:pt>
                <c:pt idx="2">
                  <c:v>38</c:v>
                </c:pt>
                <c:pt idx="3">
                  <c:v>-32</c:v>
                </c:pt>
                <c:pt idx="4">
                  <c:v>55</c:v>
                </c:pt>
                <c:pt idx="5">
                  <c:v>-221</c:v>
                </c:pt>
                <c:pt idx="6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7940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Model!$C$1:$I$1</c:f>
              <c:strCache>
                <c:ptCount val="5"/>
                <c:pt idx="0">
                  <c:v>Q1 2024</c:v>
                </c:pt>
                <c:pt idx="4">
                  <c:v>Q1 2025</c:v>
                </c:pt>
              </c:strCache>
            </c:strRef>
          </c:cat>
          <c:val>
            <c:numRef>
              <c:f>Model!$C$30:$I$30</c:f>
              <c:numCache>
                <c:formatCode>General</c:formatCode>
                <c:ptCount val="7"/>
                <c:pt idx="0">
                  <c:v>509</c:v>
                </c:pt>
                <c:pt idx="1">
                  <c:v>489</c:v>
                </c:pt>
                <c:pt idx="2">
                  <c:v>650</c:v>
                </c:pt>
                <c:pt idx="3">
                  <c:v>467</c:v>
                </c:pt>
                <c:pt idx="4">
                  <c:v>390</c:v>
                </c:pt>
                <c:pt idx="5">
                  <c:v>630</c:v>
                </c:pt>
                <c:pt idx="6">
                  <c:v>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(TLN)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Analysis'!$I$209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762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Analysis'!$I$211:$I$375</c:f>
              <c:numCache>
                <c:formatCode>0.00%</c:formatCode>
                <c:ptCount val="165"/>
                <c:pt idx="0">
                  <c:v>-8.2000000000000059E-2</c:v>
                </c:pt>
                <c:pt idx="1">
                  <c:v>-8.1000000000000058E-2</c:v>
                </c:pt>
                <c:pt idx="2">
                  <c:v>-8.0000000000000057E-2</c:v>
                </c:pt>
                <c:pt idx="3">
                  <c:v>-7.9000000000000056E-2</c:v>
                </c:pt>
                <c:pt idx="4">
                  <c:v>-7.8000000000000055E-2</c:v>
                </c:pt>
                <c:pt idx="5">
                  <c:v>-7.7000000000000055E-2</c:v>
                </c:pt>
                <c:pt idx="6">
                  <c:v>-7.6000000000000054E-2</c:v>
                </c:pt>
                <c:pt idx="7">
                  <c:v>-7.5000000000000053E-2</c:v>
                </c:pt>
                <c:pt idx="8">
                  <c:v>-7.4000000000000052E-2</c:v>
                </c:pt>
                <c:pt idx="9">
                  <c:v>-7.3000000000000051E-2</c:v>
                </c:pt>
                <c:pt idx="10">
                  <c:v>-7.200000000000005E-2</c:v>
                </c:pt>
                <c:pt idx="11">
                  <c:v>-7.1000000000000049E-2</c:v>
                </c:pt>
                <c:pt idx="12">
                  <c:v>-7.0000000000000048E-2</c:v>
                </c:pt>
                <c:pt idx="13">
                  <c:v>-6.9000000000000047E-2</c:v>
                </c:pt>
                <c:pt idx="14">
                  <c:v>-6.8000000000000047E-2</c:v>
                </c:pt>
                <c:pt idx="15">
                  <c:v>-6.7000000000000046E-2</c:v>
                </c:pt>
                <c:pt idx="16">
                  <c:v>-6.6000000000000045E-2</c:v>
                </c:pt>
                <c:pt idx="17">
                  <c:v>-6.5000000000000044E-2</c:v>
                </c:pt>
                <c:pt idx="18">
                  <c:v>-6.4000000000000043E-2</c:v>
                </c:pt>
                <c:pt idx="19">
                  <c:v>-6.3000000000000042E-2</c:v>
                </c:pt>
                <c:pt idx="20">
                  <c:v>-6.2000000000000048E-2</c:v>
                </c:pt>
                <c:pt idx="21">
                  <c:v>-6.1000000000000047E-2</c:v>
                </c:pt>
                <c:pt idx="22">
                  <c:v>-6.0000000000000046E-2</c:v>
                </c:pt>
                <c:pt idx="23">
                  <c:v>-5.9000000000000045E-2</c:v>
                </c:pt>
                <c:pt idx="24">
                  <c:v>-5.8000000000000045E-2</c:v>
                </c:pt>
                <c:pt idx="25">
                  <c:v>-5.7000000000000044E-2</c:v>
                </c:pt>
                <c:pt idx="26">
                  <c:v>-5.6000000000000043E-2</c:v>
                </c:pt>
                <c:pt idx="27">
                  <c:v>-5.5000000000000042E-2</c:v>
                </c:pt>
                <c:pt idx="28">
                  <c:v>-5.4000000000000041E-2</c:v>
                </c:pt>
                <c:pt idx="29">
                  <c:v>-5.300000000000004E-2</c:v>
                </c:pt>
                <c:pt idx="30">
                  <c:v>-5.2000000000000039E-2</c:v>
                </c:pt>
                <c:pt idx="31">
                  <c:v>-5.1000000000000038E-2</c:v>
                </c:pt>
                <c:pt idx="32">
                  <c:v>-5.0000000000000037E-2</c:v>
                </c:pt>
                <c:pt idx="33">
                  <c:v>-4.9000000000000037E-2</c:v>
                </c:pt>
                <c:pt idx="34">
                  <c:v>-4.8000000000000036E-2</c:v>
                </c:pt>
                <c:pt idx="35">
                  <c:v>-4.7000000000000035E-2</c:v>
                </c:pt>
                <c:pt idx="36">
                  <c:v>-4.6000000000000034E-2</c:v>
                </c:pt>
                <c:pt idx="37">
                  <c:v>-4.5000000000000033E-2</c:v>
                </c:pt>
                <c:pt idx="38">
                  <c:v>-4.4000000000000032E-2</c:v>
                </c:pt>
                <c:pt idx="39">
                  <c:v>-4.3000000000000031E-2</c:v>
                </c:pt>
                <c:pt idx="40">
                  <c:v>-4.200000000000003E-2</c:v>
                </c:pt>
                <c:pt idx="41">
                  <c:v>-4.1000000000000029E-2</c:v>
                </c:pt>
                <c:pt idx="42">
                  <c:v>-4.0000000000000029E-2</c:v>
                </c:pt>
                <c:pt idx="43">
                  <c:v>-3.9000000000000028E-2</c:v>
                </c:pt>
                <c:pt idx="44">
                  <c:v>-3.8000000000000027E-2</c:v>
                </c:pt>
                <c:pt idx="45">
                  <c:v>-3.7000000000000026E-2</c:v>
                </c:pt>
                <c:pt idx="46">
                  <c:v>-3.6000000000000025E-2</c:v>
                </c:pt>
                <c:pt idx="47">
                  <c:v>-3.5000000000000024E-2</c:v>
                </c:pt>
                <c:pt idx="48">
                  <c:v>-3.4000000000000023E-2</c:v>
                </c:pt>
                <c:pt idx="49">
                  <c:v>-3.3000000000000022E-2</c:v>
                </c:pt>
                <c:pt idx="50">
                  <c:v>-3.2000000000000021E-2</c:v>
                </c:pt>
                <c:pt idx="51">
                  <c:v>-3.1000000000000021E-2</c:v>
                </c:pt>
                <c:pt idx="52">
                  <c:v>-3.000000000000002E-2</c:v>
                </c:pt>
                <c:pt idx="53">
                  <c:v>-2.9000000000000019E-2</c:v>
                </c:pt>
                <c:pt idx="54">
                  <c:v>-2.8000000000000018E-2</c:v>
                </c:pt>
                <c:pt idx="55">
                  <c:v>-2.7000000000000017E-2</c:v>
                </c:pt>
                <c:pt idx="56">
                  <c:v>-2.6000000000000016E-2</c:v>
                </c:pt>
                <c:pt idx="57">
                  <c:v>-2.5000000000000015E-2</c:v>
                </c:pt>
                <c:pt idx="58">
                  <c:v>-2.4000000000000014E-2</c:v>
                </c:pt>
                <c:pt idx="59">
                  <c:v>-2.3000000000000013E-2</c:v>
                </c:pt>
                <c:pt idx="60">
                  <c:v>-2.2000000000000013E-2</c:v>
                </c:pt>
                <c:pt idx="61">
                  <c:v>-2.1000000000000012E-2</c:v>
                </c:pt>
                <c:pt idx="62">
                  <c:v>-2.0000000000000011E-2</c:v>
                </c:pt>
                <c:pt idx="63">
                  <c:v>-1.900000000000001E-2</c:v>
                </c:pt>
                <c:pt idx="64">
                  <c:v>-1.8000000000000009E-2</c:v>
                </c:pt>
                <c:pt idx="65">
                  <c:v>-1.7000000000000008E-2</c:v>
                </c:pt>
                <c:pt idx="66">
                  <c:v>-1.6000000000000007E-2</c:v>
                </c:pt>
                <c:pt idx="67">
                  <c:v>-1.5000000000000006E-2</c:v>
                </c:pt>
                <c:pt idx="68">
                  <c:v>-1.4000000000000005E-2</c:v>
                </c:pt>
                <c:pt idx="69">
                  <c:v>-1.3000000000000005E-2</c:v>
                </c:pt>
                <c:pt idx="70">
                  <c:v>-1.2000000000000004E-2</c:v>
                </c:pt>
                <c:pt idx="71">
                  <c:v>-1.1000000000000003E-2</c:v>
                </c:pt>
                <c:pt idx="72">
                  <c:v>-1.0000000000000002E-2</c:v>
                </c:pt>
                <c:pt idx="73">
                  <c:v>-9.0000000000000011E-3</c:v>
                </c:pt>
                <c:pt idx="74">
                  <c:v>-8.0000000000000002E-3</c:v>
                </c:pt>
                <c:pt idx="75">
                  <c:v>-7.0000000000000001E-3</c:v>
                </c:pt>
                <c:pt idx="76">
                  <c:v>-6.0000000000000001E-3</c:v>
                </c:pt>
                <c:pt idx="77">
                  <c:v>-5.0000000000000001E-3</c:v>
                </c:pt>
                <c:pt idx="78">
                  <c:v>-4.0000000000000001E-3</c:v>
                </c:pt>
                <c:pt idx="79">
                  <c:v>-3.0000000000000001E-3</c:v>
                </c:pt>
                <c:pt idx="80">
                  <c:v>-2E-3</c:v>
                </c:pt>
                <c:pt idx="81">
                  <c:v>-1E-3</c:v>
                </c:pt>
                <c:pt idx="82">
                  <c:v>0</c:v>
                </c:pt>
                <c:pt idx="83">
                  <c:v>1E-3</c:v>
                </c:pt>
                <c:pt idx="84">
                  <c:v>2E-3</c:v>
                </c:pt>
                <c:pt idx="85">
                  <c:v>3.0000000000000001E-3</c:v>
                </c:pt>
                <c:pt idx="86">
                  <c:v>4.0000000000000001E-3</c:v>
                </c:pt>
                <c:pt idx="87">
                  <c:v>5.0000000000000001E-3</c:v>
                </c:pt>
                <c:pt idx="88">
                  <c:v>6.0000000000000001E-3</c:v>
                </c:pt>
                <c:pt idx="89">
                  <c:v>7.0000000000000001E-3</c:v>
                </c:pt>
                <c:pt idx="90">
                  <c:v>8.0000000000000002E-3</c:v>
                </c:pt>
                <c:pt idx="91">
                  <c:v>9.0000000000000011E-3</c:v>
                </c:pt>
                <c:pt idx="92">
                  <c:v>1.0000000000000002E-2</c:v>
                </c:pt>
                <c:pt idx="93">
                  <c:v>1.1000000000000003E-2</c:v>
                </c:pt>
                <c:pt idx="94">
                  <c:v>1.2000000000000004E-2</c:v>
                </c:pt>
                <c:pt idx="95">
                  <c:v>1.3000000000000005E-2</c:v>
                </c:pt>
                <c:pt idx="96">
                  <c:v>1.4000000000000005E-2</c:v>
                </c:pt>
                <c:pt idx="97">
                  <c:v>1.5000000000000006E-2</c:v>
                </c:pt>
                <c:pt idx="98">
                  <c:v>1.6000000000000007E-2</c:v>
                </c:pt>
                <c:pt idx="99">
                  <c:v>1.7000000000000008E-2</c:v>
                </c:pt>
                <c:pt idx="100">
                  <c:v>1.8000000000000009E-2</c:v>
                </c:pt>
                <c:pt idx="101">
                  <c:v>1.900000000000001E-2</c:v>
                </c:pt>
                <c:pt idx="102">
                  <c:v>2.0000000000000011E-2</c:v>
                </c:pt>
                <c:pt idx="103">
                  <c:v>2.1000000000000012E-2</c:v>
                </c:pt>
                <c:pt idx="104">
                  <c:v>2.2000000000000013E-2</c:v>
                </c:pt>
                <c:pt idx="105">
                  <c:v>2.3000000000000013E-2</c:v>
                </c:pt>
                <c:pt idx="106">
                  <c:v>2.4000000000000014E-2</c:v>
                </c:pt>
                <c:pt idx="107">
                  <c:v>2.5000000000000015E-2</c:v>
                </c:pt>
                <c:pt idx="108">
                  <c:v>2.6000000000000016E-2</c:v>
                </c:pt>
                <c:pt idx="109">
                  <c:v>2.7000000000000017E-2</c:v>
                </c:pt>
                <c:pt idx="110">
                  <c:v>2.8000000000000018E-2</c:v>
                </c:pt>
                <c:pt idx="111">
                  <c:v>2.9000000000000019E-2</c:v>
                </c:pt>
                <c:pt idx="112">
                  <c:v>3.000000000000002E-2</c:v>
                </c:pt>
                <c:pt idx="113">
                  <c:v>3.1000000000000021E-2</c:v>
                </c:pt>
                <c:pt idx="114">
                  <c:v>3.2000000000000021E-2</c:v>
                </c:pt>
                <c:pt idx="115">
                  <c:v>3.3000000000000022E-2</c:v>
                </c:pt>
                <c:pt idx="116">
                  <c:v>3.4000000000000023E-2</c:v>
                </c:pt>
                <c:pt idx="117">
                  <c:v>3.5000000000000024E-2</c:v>
                </c:pt>
                <c:pt idx="118">
                  <c:v>3.6000000000000025E-2</c:v>
                </c:pt>
                <c:pt idx="119">
                  <c:v>3.7000000000000026E-2</c:v>
                </c:pt>
                <c:pt idx="120">
                  <c:v>3.8000000000000027E-2</c:v>
                </c:pt>
                <c:pt idx="121">
                  <c:v>3.9000000000000028E-2</c:v>
                </c:pt>
                <c:pt idx="122">
                  <c:v>4.0000000000000029E-2</c:v>
                </c:pt>
                <c:pt idx="123">
                  <c:v>4.1000000000000029E-2</c:v>
                </c:pt>
                <c:pt idx="124">
                  <c:v>4.200000000000003E-2</c:v>
                </c:pt>
                <c:pt idx="125">
                  <c:v>4.3000000000000031E-2</c:v>
                </c:pt>
                <c:pt idx="126">
                  <c:v>4.4000000000000032E-2</c:v>
                </c:pt>
                <c:pt idx="127">
                  <c:v>4.5000000000000033E-2</c:v>
                </c:pt>
                <c:pt idx="128">
                  <c:v>4.6000000000000034E-2</c:v>
                </c:pt>
                <c:pt idx="129">
                  <c:v>4.7000000000000035E-2</c:v>
                </c:pt>
                <c:pt idx="130">
                  <c:v>4.8000000000000036E-2</c:v>
                </c:pt>
                <c:pt idx="131">
                  <c:v>4.9000000000000037E-2</c:v>
                </c:pt>
                <c:pt idx="132">
                  <c:v>5.0000000000000037E-2</c:v>
                </c:pt>
                <c:pt idx="133">
                  <c:v>5.1000000000000038E-2</c:v>
                </c:pt>
                <c:pt idx="134">
                  <c:v>5.2000000000000039E-2</c:v>
                </c:pt>
                <c:pt idx="135">
                  <c:v>5.300000000000004E-2</c:v>
                </c:pt>
                <c:pt idx="136">
                  <c:v>5.4000000000000041E-2</c:v>
                </c:pt>
                <c:pt idx="137">
                  <c:v>5.5000000000000042E-2</c:v>
                </c:pt>
                <c:pt idx="138">
                  <c:v>5.6000000000000043E-2</c:v>
                </c:pt>
                <c:pt idx="139">
                  <c:v>5.7000000000000044E-2</c:v>
                </c:pt>
                <c:pt idx="140">
                  <c:v>5.8000000000000045E-2</c:v>
                </c:pt>
                <c:pt idx="141">
                  <c:v>5.9000000000000045E-2</c:v>
                </c:pt>
                <c:pt idx="142">
                  <c:v>6.0000000000000046E-2</c:v>
                </c:pt>
                <c:pt idx="143">
                  <c:v>6.1000000000000047E-2</c:v>
                </c:pt>
                <c:pt idx="144">
                  <c:v>6.2000000000000048E-2</c:v>
                </c:pt>
                <c:pt idx="145">
                  <c:v>6.3000000000000042E-2</c:v>
                </c:pt>
                <c:pt idx="146">
                  <c:v>6.4000000000000043E-2</c:v>
                </c:pt>
                <c:pt idx="147">
                  <c:v>6.5000000000000044E-2</c:v>
                </c:pt>
                <c:pt idx="148">
                  <c:v>6.6000000000000045E-2</c:v>
                </c:pt>
                <c:pt idx="149">
                  <c:v>6.7000000000000046E-2</c:v>
                </c:pt>
                <c:pt idx="150">
                  <c:v>6.8000000000000047E-2</c:v>
                </c:pt>
                <c:pt idx="151">
                  <c:v>6.9000000000000047E-2</c:v>
                </c:pt>
                <c:pt idx="152">
                  <c:v>7.0000000000000048E-2</c:v>
                </c:pt>
                <c:pt idx="153">
                  <c:v>7.1000000000000049E-2</c:v>
                </c:pt>
                <c:pt idx="154">
                  <c:v>7.200000000000005E-2</c:v>
                </c:pt>
                <c:pt idx="155">
                  <c:v>7.3000000000000051E-2</c:v>
                </c:pt>
                <c:pt idx="156">
                  <c:v>7.4000000000000052E-2</c:v>
                </c:pt>
                <c:pt idx="157">
                  <c:v>7.5000000000000053E-2</c:v>
                </c:pt>
                <c:pt idx="158">
                  <c:v>7.6000000000000054E-2</c:v>
                </c:pt>
                <c:pt idx="159">
                  <c:v>7.7000000000000055E-2</c:v>
                </c:pt>
                <c:pt idx="160">
                  <c:v>7.8000000000000055E-2</c:v>
                </c:pt>
                <c:pt idx="161">
                  <c:v>7.9000000000000056E-2</c:v>
                </c:pt>
                <c:pt idx="162">
                  <c:v>8.0000000000000057E-2</c:v>
                </c:pt>
                <c:pt idx="163">
                  <c:v>8.1000000000000058E-2</c:v>
                </c:pt>
                <c:pt idx="164">
                  <c:v>8.2000000000000059E-2</c:v>
                </c:pt>
              </c:numCache>
            </c:numRef>
          </c:xVal>
          <c:yVal>
            <c:numRef>
              <c:f>'Notes | Quant Analysis'!$J$211:$J$375</c:f>
              <c:numCache>
                <c:formatCode>General</c:formatCode>
                <c:ptCount val="16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4</c:v>
                </c:pt>
                <c:pt idx="57">
                  <c:v>5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2</c:v>
                </c:pt>
                <c:pt idx="63">
                  <c:v>8</c:v>
                </c:pt>
                <c:pt idx="64">
                  <c:v>3</c:v>
                </c:pt>
                <c:pt idx="65">
                  <c:v>7</c:v>
                </c:pt>
                <c:pt idx="66">
                  <c:v>5</c:v>
                </c:pt>
                <c:pt idx="67">
                  <c:v>4</c:v>
                </c:pt>
                <c:pt idx="68">
                  <c:v>4</c:v>
                </c:pt>
                <c:pt idx="69">
                  <c:v>6</c:v>
                </c:pt>
                <c:pt idx="70">
                  <c:v>6</c:v>
                </c:pt>
                <c:pt idx="71">
                  <c:v>7</c:v>
                </c:pt>
                <c:pt idx="72">
                  <c:v>12</c:v>
                </c:pt>
                <c:pt idx="73">
                  <c:v>10</c:v>
                </c:pt>
                <c:pt idx="74">
                  <c:v>6</c:v>
                </c:pt>
                <c:pt idx="75">
                  <c:v>12</c:v>
                </c:pt>
                <c:pt idx="76">
                  <c:v>8</c:v>
                </c:pt>
                <c:pt idx="77">
                  <c:v>8</c:v>
                </c:pt>
                <c:pt idx="78">
                  <c:v>15</c:v>
                </c:pt>
                <c:pt idx="79">
                  <c:v>10</c:v>
                </c:pt>
                <c:pt idx="80">
                  <c:v>8</c:v>
                </c:pt>
                <c:pt idx="81">
                  <c:v>28</c:v>
                </c:pt>
                <c:pt idx="82">
                  <c:v>29</c:v>
                </c:pt>
                <c:pt idx="83">
                  <c:v>11</c:v>
                </c:pt>
                <c:pt idx="84">
                  <c:v>16</c:v>
                </c:pt>
                <c:pt idx="85">
                  <c:v>11</c:v>
                </c:pt>
                <c:pt idx="86">
                  <c:v>13</c:v>
                </c:pt>
                <c:pt idx="87">
                  <c:v>17</c:v>
                </c:pt>
                <c:pt idx="88">
                  <c:v>15</c:v>
                </c:pt>
                <c:pt idx="89">
                  <c:v>10</c:v>
                </c:pt>
                <c:pt idx="90">
                  <c:v>11</c:v>
                </c:pt>
                <c:pt idx="91">
                  <c:v>5</c:v>
                </c:pt>
                <c:pt idx="92">
                  <c:v>14</c:v>
                </c:pt>
                <c:pt idx="93">
                  <c:v>14</c:v>
                </c:pt>
                <c:pt idx="94">
                  <c:v>10</c:v>
                </c:pt>
                <c:pt idx="95">
                  <c:v>5</c:v>
                </c:pt>
                <c:pt idx="96">
                  <c:v>11</c:v>
                </c:pt>
                <c:pt idx="97">
                  <c:v>8</c:v>
                </c:pt>
                <c:pt idx="98">
                  <c:v>4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4</c:v>
                </c:pt>
                <c:pt idx="103">
                  <c:v>8</c:v>
                </c:pt>
                <c:pt idx="104">
                  <c:v>7</c:v>
                </c:pt>
                <c:pt idx="105">
                  <c:v>9</c:v>
                </c:pt>
                <c:pt idx="106">
                  <c:v>4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7</c:v>
                </c:pt>
                <c:pt idx="111">
                  <c:v>2</c:v>
                </c:pt>
                <c:pt idx="112">
                  <c:v>5</c:v>
                </c:pt>
                <c:pt idx="113">
                  <c:v>4</c:v>
                </c:pt>
                <c:pt idx="114">
                  <c:v>0</c:v>
                </c:pt>
                <c:pt idx="115">
                  <c:v>2</c:v>
                </c:pt>
                <c:pt idx="116">
                  <c:v>9</c:v>
                </c:pt>
                <c:pt idx="117">
                  <c:v>1</c:v>
                </c:pt>
                <c:pt idx="118">
                  <c:v>4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5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2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Analysis'!$L$209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Analysis'!$L$211:$L$381</c:f>
              <c:numCache>
                <c:formatCode>0.00%</c:formatCode>
                <c:ptCount val="171"/>
                <c:pt idx="0">
                  <c:v>-8.5000000000000062E-2</c:v>
                </c:pt>
                <c:pt idx="1">
                  <c:v>-8.4000000000000061E-2</c:v>
                </c:pt>
                <c:pt idx="2">
                  <c:v>-8.300000000000006E-2</c:v>
                </c:pt>
                <c:pt idx="3">
                  <c:v>-8.2000000000000059E-2</c:v>
                </c:pt>
                <c:pt idx="4">
                  <c:v>-8.1000000000000058E-2</c:v>
                </c:pt>
                <c:pt idx="5">
                  <c:v>-8.0000000000000057E-2</c:v>
                </c:pt>
                <c:pt idx="6">
                  <c:v>-7.9000000000000056E-2</c:v>
                </c:pt>
                <c:pt idx="7">
                  <c:v>-7.8000000000000055E-2</c:v>
                </c:pt>
                <c:pt idx="8">
                  <c:v>-7.7000000000000055E-2</c:v>
                </c:pt>
                <c:pt idx="9">
                  <c:v>-7.6000000000000054E-2</c:v>
                </c:pt>
                <c:pt idx="10">
                  <c:v>-7.5000000000000053E-2</c:v>
                </c:pt>
                <c:pt idx="11">
                  <c:v>-7.4000000000000052E-2</c:v>
                </c:pt>
                <c:pt idx="12">
                  <c:v>-7.3000000000000051E-2</c:v>
                </c:pt>
                <c:pt idx="13">
                  <c:v>-7.200000000000005E-2</c:v>
                </c:pt>
                <c:pt idx="14">
                  <c:v>-7.1000000000000049E-2</c:v>
                </c:pt>
                <c:pt idx="15">
                  <c:v>-7.0000000000000048E-2</c:v>
                </c:pt>
                <c:pt idx="16">
                  <c:v>-6.9000000000000047E-2</c:v>
                </c:pt>
                <c:pt idx="17">
                  <c:v>-6.8000000000000047E-2</c:v>
                </c:pt>
                <c:pt idx="18">
                  <c:v>-6.7000000000000046E-2</c:v>
                </c:pt>
                <c:pt idx="19">
                  <c:v>-6.6000000000000045E-2</c:v>
                </c:pt>
                <c:pt idx="20">
                  <c:v>-6.5000000000000044E-2</c:v>
                </c:pt>
                <c:pt idx="21">
                  <c:v>-6.4000000000000043E-2</c:v>
                </c:pt>
                <c:pt idx="22">
                  <c:v>-6.3000000000000042E-2</c:v>
                </c:pt>
                <c:pt idx="23">
                  <c:v>-6.2000000000000048E-2</c:v>
                </c:pt>
                <c:pt idx="24">
                  <c:v>-6.1000000000000047E-2</c:v>
                </c:pt>
                <c:pt idx="25">
                  <c:v>-6.0000000000000046E-2</c:v>
                </c:pt>
                <c:pt idx="26">
                  <c:v>-5.9000000000000045E-2</c:v>
                </c:pt>
                <c:pt idx="27">
                  <c:v>-5.8000000000000045E-2</c:v>
                </c:pt>
                <c:pt idx="28">
                  <c:v>-5.7000000000000044E-2</c:v>
                </c:pt>
                <c:pt idx="29">
                  <c:v>-5.6000000000000043E-2</c:v>
                </c:pt>
                <c:pt idx="30">
                  <c:v>-5.5000000000000042E-2</c:v>
                </c:pt>
                <c:pt idx="31">
                  <c:v>-5.4000000000000041E-2</c:v>
                </c:pt>
                <c:pt idx="32">
                  <c:v>-5.300000000000004E-2</c:v>
                </c:pt>
                <c:pt idx="33">
                  <c:v>-5.2000000000000039E-2</c:v>
                </c:pt>
                <c:pt idx="34">
                  <c:v>-5.1000000000000038E-2</c:v>
                </c:pt>
                <c:pt idx="35">
                  <c:v>-5.0000000000000037E-2</c:v>
                </c:pt>
                <c:pt idx="36">
                  <c:v>-4.9000000000000037E-2</c:v>
                </c:pt>
                <c:pt idx="37">
                  <c:v>-4.8000000000000036E-2</c:v>
                </c:pt>
                <c:pt idx="38">
                  <c:v>-4.7000000000000035E-2</c:v>
                </c:pt>
                <c:pt idx="39">
                  <c:v>-4.6000000000000034E-2</c:v>
                </c:pt>
                <c:pt idx="40">
                  <c:v>-4.5000000000000033E-2</c:v>
                </c:pt>
                <c:pt idx="41">
                  <c:v>-4.4000000000000032E-2</c:v>
                </c:pt>
                <c:pt idx="42">
                  <c:v>-4.3000000000000031E-2</c:v>
                </c:pt>
                <c:pt idx="43">
                  <c:v>-4.200000000000003E-2</c:v>
                </c:pt>
                <c:pt idx="44">
                  <c:v>-4.1000000000000029E-2</c:v>
                </c:pt>
                <c:pt idx="45">
                  <c:v>-4.0000000000000029E-2</c:v>
                </c:pt>
                <c:pt idx="46">
                  <c:v>-3.9000000000000028E-2</c:v>
                </c:pt>
                <c:pt idx="47">
                  <c:v>-3.8000000000000027E-2</c:v>
                </c:pt>
                <c:pt idx="48">
                  <c:v>-3.7000000000000026E-2</c:v>
                </c:pt>
                <c:pt idx="49">
                  <c:v>-3.6000000000000025E-2</c:v>
                </c:pt>
                <c:pt idx="50">
                  <c:v>-3.5000000000000024E-2</c:v>
                </c:pt>
                <c:pt idx="51">
                  <c:v>-3.4000000000000023E-2</c:v>
                </c:pt>
                <c:pt idx="52">
                  <c:v>-3.3000000000000022E-2</c:v>
                </c:pt>
                <c:pt idx="53">
                  <c:v>-3.2000000000000021E-2</c:v>
                </c:pt>
                <c:pt idx="54">
                  <c:v>-3.1000000000000021E-2</c:v>
                </c:pt>
                <c:pt idx="55">
                  <c:v>-3.000000000000002E-2</c:v>
                </c:pt>
                <c:pt idx="56">
                  <c:v>-2.9000000000000019E-2</c:v>
                </c:pt>
                <c:pt idx="57">
                  <c:v>-2.8000000000000018E-2</c:v>
                </c:pt>
                <c:pt idx="58">
                  <c:v>-2.7000000000000017E-2</c:v>
                </c:pt>
                <c:pt idx="59">
                  <c:v>-2.6000000000000016E-2</c:v>
                </c:pt>
                <c:pt idx="60">
                  <c:v>-2.5000000000000015E-2</c:v>
                </c:pt>
                <c:pt idx="61">
                  <c:v>-2.4000000000000014E-2</c:v>
                </c:pt>
                <c:pt idx="62">
                  <c:v>-2.3000000000000013E-2</c:v>
                </c:pt>
                <c:pt idx="63">
                  <c:v>-2.2000000000000013E-2</c:v>
                </c:pt>
                <c:pt idx="64">
                  <c:v>-2.1000000000000012E-2</c:v>
                </c:pt>
                <c:pt idx="65">
                  <c:v>-2.0000000000000011E-2</c:v>
                </c:pt>
                <c:pt idx="66">
                  <c:v>-1.900000000000001E-2</c:v>
                </c:pt>
                <c:pt idx="67">
                  <c:v>-1.8000000000000009E-2</c:v>
                </c:pt>
                <c:pt idx="68">
                  <c:v>-1.7000000000000008E-2</c:v>
                </c:pt>
                <c:pt idx="69">
                  <c:v>-1.6000000000000007E-2</c:v>
                </c:pt>
                <c:pt idx="70">
                  <c:v>-1.5000000000000006E-2</c:v>
                </c:pt>
                <c:pt idx="71">
                  <c:v>-1.4000000000000005E-2</c:v>
                </c:pt>
                <c:pt idx="72">
                  <c:v>-1.3000000000000005E-2</c:v>
                </c:pt>
                <c:pt idx="73">
                  <c:v>-1.2000000000000004E-2</c:v>
                </c:pt>
                <c:pt idx="74">
                  <c:v>-1.1000000000000003E-2</c:v>
                </c:pt>
                <c:pt idx="75">
                  <c:v>-1.0000000000000002E-2</c:v>
                </c:pt>
                <c:pt idx="76">
                  <c:v>-9.0000000000000011E-3</c:v>
                </c:pt>
                <c:pt idx="77">
                  <c:v>-8.0000000000000002E-3</c:v>
                </c:pt>
                <c:pt idx="78">
                  <c:v>-7.0000000000000001E-3</c:v>
                </c:pt>
                <c:pt idx="79">
                  <c:v>-6.0000000000000001E-3</c:v>
                </c:pt>
                <c:pt idx="80">
                  <c:v>-5.0000000000000001E-3</c:v>
                </c:pt>
                <c:pt idx="81">
                  <c:v>-4.0000000000000001E-3</c:v>
                </c:pt>
                <c:pt idx="82">
                  <c:v>-3.0000000000000001E-3</c:v>
                </c:pt>
                <c:pt idx="83">
                  <c:v>-2E-3</c:v>
                </c:pt>
                <c:pt idx="84">
                  <c:v>-1E-3</c:v>
                </c:pt>
                <c:pt idx="85">
                  <c:v>0</c:v>
                </c:pt>
                <c:pt idx="86">
                  <c:v>1E-3</c:v>
                </c:pt>
                <c:pt idx="87">
                  <c:v>2E-3</c:v>
                </c:pt>
                <c:pt idx="88">
                  <c:v>3.0000000000000001E-3</c:v>
                </c:pt>
                <c:pt idx="89">
                  <c:v>4.0000000000000001E-3</c:v>
                </c:pt>
                <c:pt idx="90">
                  <c:v>5.0000000000000001E-3</c:v>
                </c:pt>
                <c:pt idx="91">
                  <c:v>6.0000000000000001E-3</c:v>
                </c:pt>
                <c:pt idx="92">
                  <c:v>7.0000000000000001E-3</c:v>
                </c:pt>
                <c:pt idx="93">
                  <c:v>8.0000000000000002E-3</c:v>
                </c:pt>
                <c:pt idx="94">
                  <c:v>9.0000000000000011E-3</c:v>
                </c:pt>
                <c:pt idx="95">
                  <c:v>1.0000000000000002E-2</c:v>
                </c:pt>
                <c:pt idx="96">
                  <c:v>1.1000000000000003E-2</c:v>
                </c:pt>
                <c:pt idx="97">
                  <c:v>1.2000000000000004E-2</c:v>
                </c:pt>
                <c:pt idx="98">
                  <c:v>1.3000000000000005E-2</c:v>
                </c:pt>
                <c:pt idx="99">
                  <c:v>1.4000000000000005E-2</c:v>
                </c:pt>
                <c:pt idx="100">
                  <c:v>1.5000000000000006E-2</c:v>
                </c:pt>
                <c:pt idx="101">
                  <c:v>1.6000000000000007E-2</c:v>
                </c:pt>
                <c:pt idx="102">
                  <c:v>1.7000000000000008E-2</c:v>
                </c:pt>
                <c:pt idx="103">
                  <c:v>1.8000000000000009E-2</c:v>
                </c:pt>
                <c:pt idx="104">
                  <c:v>1.900000000000001E-2</c:v>
                </c:pt>
                <c:pt idx="105">
                  <c:v>2.0000000000000011E-2</c:v>
                </c:pt>
                <c:pt idx="106">
                  <c:v>2.1000000000000012E-2</c:v>
                </c:pt>
                <c:pt idx="107">
                  <c:v>2.2000000000000013E-2</c:v>
                </c:pt>
                <c:pt idx="108">
                  <c:v>2.3000000000000013E-2</c:v>
                </c:pt>
                <c:pt idx="109">
                  <c:v>2.4000000000000014E-2</c:v>
                </c:pt>
                <c:pt idx="110">
                  <c:v>2.5000000000000015E-2</c:v>
                </c:pt>
                <c:pt idx="111">
                  <c:v>2.6000000000000016E-2</c:v>
                </c:pt>
                <c:pt idx="112">
                  <c:v>2.7000000000000017E-2</c:v>
                </c:pt>
                <c:pt idx="113">
                  <c:v>2.8000000000000018E-2</c:v>
                </c:pt>
                <c:pt idx="114">
                  <c:v>2.9000000000000019E-2</c:v>
                </c:pt>
                <c:pt idx="115">
                  <c:v>3.000000000000002E-2</c:v>
                </c:pt>
                <c:pt idx="116">
                  <c:v>3.1000000000000021E-2</c:v>
                </c:pt>
                <c:pt idx="117">
                  <c:v>3.2000000000000021E-2</c:v>
                </c:pt>
                <c:pt idx="118">
                  <c:v>3.3000000000000022E-2</c:v>
                </c:pt>
                <c:pt idx="119">
                  <c:v>3.4000000000000023E-2</c:v>
                </c:pt>
                <c:pt idx="120">
                  <c:v>3.5000000000000024E-2</c:v>
                </c:pt>
                <c:pt idx="121">
                  <c:v>3.6000000000000025E-2</c:v>
                </c:pt>
                <c:pt idx="122">
                  <c:v>3.7000000000000026E-2</c:v>
                </c:pt>
                <c:pt idx="123">
                  <c:v>3.8000000000000027E-2</c:v>
                </c:pt>
                <c:pt idx="124">
                  <c:v>3.9000000000000028E-2</c:v>
                </c:pt>
                <c:pt idx="125">
                  <c:v>4.0000000000000029E-2</c:v>
                </c:pt>
                <c:pt idx="126">
                  <c:v>4.1000000000000029E-2</c:v>
                </c:pt>
                <c:pt idx="127">
                  <c:v>4.200000000000003E-2</c:v>
                </c:pt>
                <c:pt idx="128">
                  <c:v>4.3000000000000031E-2</c:v>
                </c:pt>
                <c:pt idx="129">
                  <c:v>4.4000000000000032E-2</c:v>
                </c:pt>
                <c:pt idx="130">
                  <c:v>4.5000000000000033E-2</c:v>
                </c:pt>
                <c:pt idx="131">
                  <c:v>4.6000000000000034E-2</c:v>
                </c:pt>
                <c:pt idx="132">
                  <c:v>4.7000000000000035E-2</c:v>
                </c:pt>
                <c:pt idx="133">
                  <c:v>4.8000000000000036E-2</c:v>
                </c:pt>
                <c:pt idx="134">
                  <c:v>4.9000000000000037E-2</c:v>
                </c:pt>
                <c:pt idx="135">
                  <c:v>5.0000000000000037E-2</c:v>
                </c:pt>
                <c:pt idx="136">
                  <c:v>5.1000000000000038E-2</c:v>
                </c:pt>
                <c:pt idx="137">
                  <c:v>5.2000000000000039E-2</c:v>
                </c:pt>
                <c:pt idx="138">
                  <c:v>5.300000000000004E-2</c:v>
                </c:pt>
                <c:pt idx="139">
                  <c:v>5.4000000000000041E-2</c:v>
                </c:pt>
                <c:pt idx="140">
                  <c:v>5.5000000000000042E-2</c:v>
                </c:pt>
                <c:pt idx="141">
                  <c:v>5.6000000000000043E-2</c:v>
                </c:pt>
                <c:pt idx="142">
                  <c:v>5.7000000000000044E-2</c:v>
                </c:pt>
                <c:pt idx="143">
                  <c:v>5.8000000000000045E-2</c:v>
                </c:pt>
                <c:pt idx="144">
                  <c:v>5.9000000000000045E-2</c:v>
                </c:pt>
                <c:pt idx="145">
                  <c:v>6.0000000000000046E-2</c:v>
                </c:pt>
                <c:pt idx="146">
                  <c:v>6.1000000000000047E-2</c:v>
                </c:pt>
                <c:pt idx="147">
                  <c:v>6.2000000000000048E-2</c:v>
                </c:pt>
                <c:pt idx="148">
                  <c:v>6.3000000000000042E-2</c:v>
                </c:pt>
                <c:pt idx="149">
                  <c:v>6.4000000000000043E-2</c:v>
                </c:pt>
                <c:pt idx="150">
                  <c:v>6.5000000000000044E-2</c:v>
                </c:pt>
                <c:pt idx="151">
                  <c:v>6.6000000000000045E-2</c:v>
                </c:pt>
                <c:pt idx="152">
                  <c:v>6.7000000000000046E-2</c:v>
                </c:pt>
                <c:pt idx="153">
                  <c:v>6.8000000000000047E-2</c:v>
                </c:pt>
                <c:pt idx="154">
                  <c:v>6.9000000000000047E-2</c:v>
                </c:pt>
                <c:pt idx="155">
                  <c:v>7.0000000000000048E-2</c:v>
                </c:pt>
                <c:pt idx="156">
                  <c:v>7.1000000000000049E-2</c:v>
                </c:pt>
                <c:pt idx="157">
                  <c:v>7.200000000000005E-2</c:v>
                </c:pt>
                <c:pt idx="158">
                  <c:v>7.3000000000000051E-2</c:v>
                </c:pt>
                <c:pt idx="159">
                  <c:v>7.4000000000000052E-2</c:v>
                </c:pt>
                <c:pt idx="160">
                  <c:v>7.5000000000000053E-2</c:v>
                </c:pt>
                <c:pt idx="161">
                  <c:v>7.6000000000000054E-2</c:v>
                </c:pt>
                <c:pt idx="162">
                  <c:v>7.7000000000000055E-2</c:v>
                </c:pt>
                <c:pt idx="163">
                  <c:v>7.8000000000000055E-2</c:v>
                </c:pt>
                <c:pt idx="164">
                  <c:v>7.9000000000000056E-2</c:v>
                </c:pt>
                <c:pt idx="165">
                  <c:v>8.0000000000000057E-2</c:v>
                </c:pt>
                <c:pt idx="166">
                  <c:v>8.1000000000000058E-2</c:v>
                </c:pt>
                <c:pt idx="167">
                  <c:v>8.2000000000000059E-2</c:v>
                </c:pt>
                <c:pt idx="168">
                  <c:v>8.300000000000006E-2</c:v>
                </c:pt>
                <c:pt idx="169">
                  <c:v>8.4000000000000061E-2</c:v>
                </c:pt>
                <c:pt idx="170">
                  <c:v>8.5000000000000062E-2</c:v>
                </c:pt>
              </c:numCache>
            </c:numRef>
          </c:xVal>
          <c:yVal>
            <c:numRef>
              <c:f>'Notes | Quant Analysis'!$M$211:$M$381</c:f>
              <c:numCache>
                <c:formatCode>General</c:formatCode>
                <c:ptCount val="171"/>
                <c:pt idx="0">
                  <c:v>5.8901596167727839E-2</c:v>
                </c:pt>
                <c:pt idx="1">
                  <c:v>6.6971826403459889E-2</c:v>
                </c:pt>
                <c:pt idx="2">
                  <c:v>7.603381666931229E-2</c:v>
                </c:pt>
                <c:pt idx="3">
                  <c:v>8.6192803996170977E-2</c:v>
                </c:pt>
                <c:pt idx="4">
                  <c:v>9.7562921503275446E-2</c:v>
                </c:pt>
                <c:pt idx="5">
                  <c:v>0.11026765876813814</c:v>
                </c:pt>
                <c:pt idx="6">
                  <c:v>0.12444030876232842</c:v>
                </c:pt>
                <c:pt idx="7">
                  <c:v>0.14022439531388944</c:v>
                </c:pt>
                <c:pt idx="8">
                  <c:v>0.15777407448318378</c:v>
                </c:pt>
                <c:pt idx="9">
                  <c:v>0.17725450267443296</c:v>
                </c:pt>
                <c:pt idx="10">
                  <c:v>0.19884216375941294</c:v>
                </c:pt>
                <c:pt idx="11">
                  <c:v>0.22272514697289067</c:v>
                </c:pt>
                <c:pt idx="12">
                  <c:v>0.24910336686244777</c:v>
                </c:pt>
                <c:pt idx="13">
                  <c:v>0.27818871615009494</c:v>
                </c:pt>
                <c:pt idx="14">
                  <c:v>0.31020514200194083</c:v>
                </c:pt>
                <c:pt idx="15">
                  <c:v>0.34538863591802543</c:v>
                </c:pt>
                <c:pt idx="16">
                  <c:v>0.38398712726045353</c:v>
                </c:pt>
                <c:pt idx="17">
                  <c:v>0.42626027034758052</c:v>
                </c:pt>
                <c:pt idx="18">
                  <c:v>0.47247911506839374</c:v>
                </c:pt>
                <c:pt idx="19">
                  <c:v>0.52292565112746026</c:v>
                </c:pt>
                <c:pt idx="20">
                  <c:v>0.5778922163291621</c:v>
                </c:pt>
                <c:pt idx="21">
                  <c:v>0.63768075976199756</c:v>
                </c:pt>
                <c:pt idx="22">
                  <c:v>0.70260195135980763</c:v>
                </c:pt>
                <c:pt idx="23">
                  <c:v>0.77297413010586224</c:v>
                </c:pt>
                <c:pt idx="24">
                  <c:v>0.8491220841148609</c:v>
                </c:pt>
                <c:pt idx="25">
                  <c:v>0.93137565698222669</c:v>
                </c:pt>
                <c:pt idx="26">
                  <c:v>1.0200681761321975</c:v>
                </c:pt>
                <c:pt idx="27">
                  <c:v>1.1155347004261835</c:v>
                </c:pt>
                <c:pt idx="28">
                  <c:v>1.2181100860077301</c:v>
                </c:pt>
                <c:pt idx="29">
                  <c:v>1.3281268712540337</c:v>
                </c:pt>
                <c:pt idx="30">
                  <c:v>1.4459129837668423</c:v>
                </c:pt>
                <c:pt idx="31">
                  <c:v>1.5717892745546327</c:v>
                </c:pt>
                <c:pt idx="32">
                  <c:v>1.7060668869164237</c:v>
                </c:pt>
                <c:pt idx="33">
                  <c:v>1.849044470015148</c:v>
                </c:pt>
                <c:pt idx="34">
                  <c:v>2.0010052497008122</c:v>
                </c:pt>
                <c:pt idx="35">
                  <c:v>2.1622139717832018</c:v>
                </c:pt>
                <c:pt idx="36">
                  <c:v>2.3329137356291909</c:v>
                </c:pt>
                <c:pt idx="37">
                  <c:v>2.5133227386365204</c:v>
                </c:pt>
                <c:pt idx="38">
                  <c:v>2.7036309547767758</c:v>
                </c:pt>
                <c:pt idx="39">
                  <c:v>2.9039967729653915</c:v>
                </c:pt>
                <c:pt idx="40">
                  <c:v>3.1145436234639496</c:v>
                </c:pt>
                <c:pt idx="41">
                  <c:v>3.3353566228064975</c:v>
                </c:pt>
                <c:pt idx="42">
                  <c:v>3.5664792698227679</c:v>
                </c:pt>
                <c:pt idx="43">
                  <c:v>3.807910227162822</c:v>
                </c:pt>
                <c:pt idx="44">
                  <c:v>4.0596002242657949</c:v>
                </c:pt>
                <c:pt idx="45">
                  <c:v>4.3214491189177675</c:v>
                </c:pt>
                <c:pt idx="46">
                  <c:v>4.5933031553701227</c:v>
                </c:pt>
                <c:pt idx="47">
                  <c:v>4.8749524574026646</c:v>
                </c:pt>
                <c:pt idx="48">
                  <c:v>5.1661287946821499</c:v>
                </c:pt>
                <c:pt idx="49">
                  <c:v>5.4665036602579713</c:v>
                </c:pt>
                <c:pt idx="50">
                  <c:v>5.7756866960291608</c:v>
                </c:pt>
                <c:pt idx="51">
                  <c:v>6.0932245014940936</c:v>
                </c:pt>
                <c:pt idx="52">
                  <c:v>6.4185998590457727</c:v>
                </c:pt>
                <c:pt idx="53">
                  <c:v>6.7512314064990253</c:v>
                </c:pt>
                <c:pt idx="54">
                  <c:v>7.0904737844367194</c:v>
                </c:pt>
                <c:pt idx="55">
                  <c:v>7.4356182823537207</c:v>
                </c:pt>
                <c:pt idx="56">
                  <c:v>7.7858940034823085</c:v>
                </c:pt>
                <c:pt idx="57">
                  <c:v>8.1404695636318625</c:v>
                </c:pt>
                <c:pt idx="58">
                  <c:v>8.4984553344084226</c:v>
                </c:pt>
                <c:pt idx="59">
                  <c:v>8.8589062358439588</c:v>
                </c:pt>
                <c:pt idx="60">
                  <c:v>9.22082507781702</c:v>
                </c:pt>
                <c:pt idx="61">
                  <c:v>9.5831664437485369</c:v>
                </c:pt>
                <c:pt idx="62">
                  <c:v>9.9448411039794653</c:v>
                </c:pt>
                <c:pt idx="63">
                  <c:v>10.304720940055919</c:v>
                </c:pt>
                <c:pt idx="64">
                  <c:v>10.66164435494321</c:v>
                </c:pt>
                <c:pt idx="65">
                  <c:v>11.014422138046964</c:v>
                </c:pt>
                <c:pt idx="66">
                  <c:v>11.361843747923583</c:v>
                </c:pt>
                <c:pt idx="67">
                  <c:v>11.702683969801463</c:v>
                </c:pt>
                <c:pt idx="68">
                  <c:v>12.03570989959568</c:v>
                </c:pt>
                <c:pt idx="69">
                  <c:v>12.359688201067531</c:v>
                </c:pt>
                <c:pt idx="70">
                  <c:v>12.673392578238284</c:v>
                </c:pt>
                <c:pt idx="71">
                  <c:v>12.975611401190815</c:v>
                </c:pt>
                <c:pt idx="72">
                  <c:v>13.26515542005423</c:v>
                </c:pt>
                <c:pt idx="73">
                  <c:v>13.540865499328319</c:v>
                </c:pt>
                <c:pt idx="74">
                  <c:v>13.801620302820698</c:v>
                </c:pt>
                <c:pt idx="75">
                  <c:v>14.046343858384546</c:v>
                </c:pt>
                <c:pt idx="76">
                  <c:v>14.27401293139128</c:v>
                </c:pt>
                <c:pt idx="77">
                  <c:v>14.483664136472546</c:v>
                </c:pt>
                <c:pt idx="78">
                  <c:v>14.67440071852779</c:v>
                </c:pt>
                <c:pt idx="79">
                  <c:v>14.845398936313838</c:v>
                </c:pt>
                <c:pt idx="80">
                  <c:v>14.995913985094353</c:v>
                </c:pt>
                <c:pt idx="81">
                  <c:v>15.125285398799873</c:v>
                </c:pt>
                <c:pt idx="82">
                  <c:v>15.23294187689093</c:v>
                </c:pt>
                <c:pt idx="83">
                  <c:v>15.318405486572695</c:v>
                </c:pt>
                <c:pt idx="84">
                  <c:v>15.381295197114046</c:v>
                </c:pt>
                <c:pt idx="85">
                  <c:v>15.421329709700096</c:v>
                </c:pt>
                <c:pt idx="86">
                  <c:v>15.438329553409755</c:v>
                </c:pt>
                <c:pt idx="87">
                  <c:v>15.432218425465123</c:v>
                </c:pt>
                <c:pt idx="88">
                  <c:v>15.403023761747537</c:v>
                </c:pt>
                <c:pt idx="89">
                  <c:v>15.350876531611188</c:v>
                </c:pt>
                <c:pt idx="90">
                  <c:v>15.276010259141636</c:v>
                </c:pt>
                <c:pt idx="91">
                  <c:v>15.178759281093921</c:v>
                </c:pt>
                <c:pt idx="92">
                  <c:v>15.059556259695038</c:v>
                </c:pt>
                <c:pt idx="93">
                  <c:v>14.918928976201441</c:v>
                </c:pt>
                <c:pt idx="94">
                  <c:v>14.757496438461986</c:v>
                </c:pt>
                <c:pt idx="95">
                  <c:v>14.575964342653267</c:v>
                </c:pt>
                <c:pt idx="96">
                  <c:v>14.375119935738288</c:v>
                </c:pt>
                <c:pt idx="97">
                  <c:v>14.155826330969838</c:v>
                </c:pt>
                <c:pt idx="98">
                  <c:v>13.919016333845901</c:v>
                </c:pt>
                <c:pt idx="99">
                  <c:v>13.665685840265654</c:v>
                </c:pt>
                <c:pt idx="100">
                  <c:v>13.396886872182971</c:v>
                </c:pt>
                <c:pt idx="101">
                  <c:v>13.113720318773872</c:v>
                </c:pt>
                <c:pt idx="102">
                  <c:v>12.817328453002109</c:v>
                </c:pt>
                <c:pt idx="103">
                  <c:v>12.508887294472823</c:v>
                </c:pt>
                <c:pt idx="104">
                  <c:v>12.189598889611112</c:v>
                </c:pt>
                <c:pt idx="105">
                  <c:v>11.860683579505832</c:v>
                </c:pt>
                <c:pt idx="106">
                  <c:v>11.523372324246541</c:v>
                </c:pt>
                <c:pt idx="107">
                  <c:v>11.178899150292674</c:v>
                </c:pt>
                <c:pt idx="108">
                  <c:v>10.828493784398177</c:v>
                </c:pt>
                <c:pt idx="109">
                  <c:v>10.473374533930883</c:v>
                </c:pt>
                <c:pt idx="110">
                  <c:v>10.114741469141691</c:v>
                </c:pt>
                <c:pt idx="111">
                  <c:v>9.7537699581279114</c:v>
                </c:pt>
                <c:pt idx="112">
                  <c:v>9.3916045999778959</c:v>
                </c:pt>
                <c:pt idx="113">
                  <c:v>9.0293535959643698</c:v>
                </c:pt>
                <c:pt idx="114">
                  <c:v>8.6680835927577995</c:v>
                </c:pt>
                <c:pt idx="115">
                  <c:v>8.3088150255463962</c:v>
                </c:pt>
                <c:pt idx="116">
                  <c:v>7.9525179827633199</c:v>
                </c:pt>
                <c:pt idx="117">
                  <c:v>7.6001086079192666</c:v>
                </c:pt>
                <c:pt idx="118">
                  <c:v>7.2524460479029038</c:v>
                </c:pt>
                <c:pt idx="119">
                  <c:v>6.9103299511200902</c:v>
                </c:pt>
                <c:pt idx="120">
                  <c:v>6.5744985130687512</c:v>
                </c:pt>
                <c:pt idx="121">
                  <c:v>6.245627061455739</c:v>
                </c:pt>
                <c:pt idx="122">
                  <c:v>5.9243271678147673</c:v>
                </c:pt>
                <c:pt idx="123">
                  <c:v>5.6111462678318613</c:v>
                </c:pt>
                <c:pt idx="124">
                  <c:v>5.3065677682706101</c:v>
                </c:pt>
                <c:pt idx="125">
                  <c:v>5.0110116145483934</c:v>
                </c:pt>
                <c:pt idx="126">
                  <c:v>4.724835289673428</c:v>
                </c:pt>
                <c:pt idx="127">
                  <c:v>4.4483352124283302</c:v>
                </c:pt>
                <c:pt idx="128">
                  <c:v>4.1817485003885198</c:v>
                </c:pt>
                <c:pt idx="129">
                  <c:v>3.9252550615938722</c:v>
                </c:pt>
                <c:pt idx="130">
                  <c:v>3.678979977443495</c:v>
                </c:pt>
                <c:pt idx="131">
                  <c:v>3.4429961386420294</c:v>
                </c:pt>
                <c:pt idx="132">
                  <c:v>3.2173270957715396</c:v>
                </c:pt>
                <c:pt idx="133">
                  <c:v>3.0019500862693929</c:v>
                </c:pt>
                <c:pt idx="134">
                  <c:v>2.7967992002284543</c:v>
                </c:pt>
                <c:pt idx="135">
                  <c:v>2.6017686484659239</c:v>
                </c:pt>
                <c:pt idx="136">
                  <c:v>2.4167160976921811</c:v>
                </c:pt>
                <c:pt idx="137">
                  <c:v>2.241466039309723</c:v>
                </c:pt>
                <c:pt idx="138">
                  <c:v>2.075813160341387</c:v>
                </c:pt>
                <c:pt idx="139">
                  <c:v>1.9195256871822419</c:v>
                </c:pt>
                <c:pt idx="140">
                  <c:v>1.7723486752466167</c:v>
                </c:pt>
                <c:pt idx="141">
                  <c:v>1.6340072200966533</c:v>
                </c:pt>
                <c:pt idx="142">
                  <c:v>1.5042095682490919</c:v>
                </c:pt>
                <c:pt idx="143">
                  <c:v>1.3826501085216234</c:v>
                </c:pt>
                <c:pt idx="144">
                  <c:v>1.2690122274606657</c:v>
                </c:pt>
                <c:pt idx="145">
                  <c:v>1.1629710150528938</c:v>
                </c:pt>
                <c:pt idx="146">
                  <c:v>1.0641958095305013</c:v>
                </c:pt>
                <c:pt idx="147">
                  <c:v>0.972352572605646</c:v>
                </c:pt>
                <c:pt idx="148">
                  <c:v>0.88710608888686926</c:v>
                </c:pt>
                <c:pt idx="149">
                  <c:v>0.80812198551737746</c:v>
                </c:pt>
                <c:pt idx="150">
                  <c:v>0.73506857021339511</c:v>
                </c:pt>
                <c:pt idx="151">
                  <c:v>0.66761848785559397</c:v>
                </c:pt>
                <c:pt idx="152">
                  <c:v>0.60545019758666774</c:v>
                </c:pt>
                <c:pt idx="153">
                  <c:v>0.54824927398579448</c:v>
                </c:pt>
                <c:pt idx="154">
                  <c:v>0.4957095373215486</c:v>
                </c:pt>
                <c:pt idx="155">
                  <c:v>0.44753401912747776</c:v>
                </c:pt>
                <c:pt idx="156">
                  <c:v>0.40343577040047995</c:v>
                </c:pt>
                <c:pt idx="157">
                  <c:v>0.3631385205952703</c:v>
                </c:pt>
                <c:pt idx="158">
                  <c:v>0.32637719628482542</c:v>
                </c:pt>
                <c:pt idx="159">
                  <c:v>0.29289830888485091</c:v>
                </c:pt>
                <c:pt idx="160">
                  <c:v>0.26246022120972629</c:v>
                </c:pt>
                <c:pt idx="161">
                  <c:v>0.23483330284910503</c:v>
                </c:pt>
                <c:pt idx="162">
                  <c:v>0.20979998444033149</c:v>
                </c:pt>
                <c:pt idx="163">
                  <c:v>0.18715472087485574</c:v>
                </c:pt>
                <c:pt idx="164">
                  <c:v>0.16670387333000405</c:v>
                </c:pt>
                <c:pt idx="165">
                  <c:v>0.14826551977415625</c:v>
                </c:pt>
                <c:pt idx="166">
                  <c:v>0.13166920326688386</c:v>
                </c:pt>
                <c:pt idx="167">
                  <c:v>0.11675562697900561</c:v>
                </c:pt>
                <c:pt idx="168">
                  <c:v>0.10337630440342455</c:v>
                </c:pt>
                <c:pt idx="169">
                  <c:v>9.1393172728141514E-2</c:v>
                </c:pt>
                <c:pt idx="170">
                  <c:v>8.0678176809344762E-2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Analysis'!$O$211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354950948878943E-2"/>
                  <c:y val="-8.86508602645032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67240703274126"/>
                      <c:h val="8.00673940883753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Analysis'!$P$211:$P$212</c:f>
              <c:numCache>
                <c:formatCode>0.00%</c:formatCode>
                <c:ptCount val="2"/>
                <c:pt idx="0">
                  <c:v>1.2356432286601529E-3</c:v>
                </c:pt>
                <c:pt idx="1">
                  <c:v>1.2356432286601529E-3</c:v>
                </c:pt>
              </c:numCache>
            </c:numRef>
          </c:xVal>
          <c:yVal>
            <c:numRef>
              <c:f>'Notes | Quant Analysis'!$Q$211:$Q$212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Analysis'!$O$213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Analysis'!$P$213:$P$214</c:f>
              <c:numCache>
                <c:formatCode>0.00%</c:formatCode>
                <c:ptCount val="2"/>
                <c:pt idx="0">
                  <c:v>-7.6284212313868491E-2</c:v>
                </c:pt>
                <c:pt idx="1">
                  <c:v>-7.6284212313868491E-2</c:v>
                </c:pt>
              </c:numCache>
            </c:numRef>
          </c:xVal>
          <c:yVal>
            <c:numRef>
              <c:f>'Notes | Quant Analysis'!$Q$213:$Q$214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Analysis'!$O$215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Analysis'!$P$215:$P$216</c:f>
              <c:numCache>
                <c:formatCode>0.00%</c:formatCode>
                <c:ptCount val="2"/>
                <c:pt idx="0">
                  <c:v>-5.0444260466358942E-2</c:v>
                </c:pt>
                <c:pt idx="1">
                  <c:v>-5.0444260466358942E-2</c:v>
                </c:pt>
              </c:numCache>
            </c:numRef>
          </c:xVal>
          <c:yVal>
            <c:numRef>
              <c:f>'Notes | Quant Analysis'!$Q$215:$Q$216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Analysis'!$O$217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8.1634329790492732E-2"/>
                  <c:y val="-4.00553505915543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Analysis'!$P$217:$P$218</c:f>
              <c:numCache>
                <c:formatCode>0.00%</c:formatCode>
                <c:ptCount val="2"/>
                <c:pt idx="0">
                  <c:v>-2.4604308618849397E-2</c:v>
                </c:pt>
                <c:pt idx="1">
                  <c:v>-2.4604308618849397E-2</c:v>
                </c:pt>
              </c:numCache>
            </c:numRef>
          </c:xVal>
          <c:yVal>
            <c:numRef>
              <c:f>'Notes | Quant Analysis'!$Q$217:$Q$218</c:f>
              <c:numCache>
                <c:formatCode>General</c:formatCode>
                <c:ptCount val="2"/>
                <c:pt idx="0">
                  <c:v>0</c:v>
                </c:pt>
                <c:pt idx="1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Analysis'!$O$219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2.4402100957485361E-2"/>
                  <c:y val="-4.267439870161215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Analysis'!$P$219:$P$220</c:f>
              <c:numCache>
                <c:formatCode>0.00%</c:formatCode>
                <c:ptCount val="2"/>
                <c:pt idx="0">
                  <c:v>2.70755950761697E-2</c:v>
                </c:pt>
                <c:pt idx="1">
                  <c:v>2.70755950761697E-2</c:v>
                </c:pt>
              </c:numCache>
            </c:numRef>
          </c:xVal>
          <c:yVal>
            <c:numRef>
              <c:f>'Notes | Quant Analysis'!$Q$219:$Q$220</c:f>
              <c:numCache>
                <c:formatCode>General</c:formatCode>
                <c:ptCount val="2"/>
                <c:pt idx="0">
                  <c:v>0</c:v>
                </c:pt>
                <c:pt idx="1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Analysis'!$O$221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Analysis'!$P$221:$P$222</c:f>
              <c:numCache>
                <c:formatCode>0.00%</c:formatCode>
                <c:ptCount val="2"/>
                <c:pt idx="0">
                  <c:v>5.2915546923679252E-2</c:v>
                </c:pt>
                <c:pt idx="1">
                  <c:v>5.2915546923679252E-2</c:v>
                </c:pt>
              </c:numCache>
            </c:numRef>
          </c:xVal>
          <c:yVal>
            <c:numRef>
              <c:f>'Notes | Quant Analysis'!$Q$221:$Q$222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Analysis'!$O$223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Analysis'!$P$223:$P$224</c:f>
              <c:numCache>
                <c:formatCode>0.00%</c:formatCode>
                <c:ptCount val="2"/>
                <c:pt idx="0">
                  <c:v>7.87554987711888E-2</c:v>
                </c:pt>
                <c:pt idx="1">
                  <c:v>7.87554987711888E-2</c:v>
                </c:pt>
              </c:numCache>
            </c:numRef>
          </c:xVal>
          <c:yVal>
            <c:numRef>
              <c:f>'Notes | Quant Analysis'!$Q$223:$Q$224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9.0000000000000024E-2"/>
          <c:min val="-9.000000000000002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(TLN)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11205</xdr:colOff>
      <xdr:row>2</xdr:row>
      <xdr:rowOff>11206</xdr:rowOff>
    </xdr:from>
    <xdr:to>
      <xdr:col>9</xdr:col>
      <xdr:colOff>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4D6A6-5F14-9D95-50AA-1714FA277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8999" y="381000"/>
          <a:ext cx="1804148" cy="1064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117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7048500" y="0"/>
          <a:ext cx="0" cy="210737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0</xdr:row>
      <xdr:rowOff>0</xdr:rowOff>
    </xdr:from>
    <xdr:to>
      <xdr:col>23</xdr:col>
      <xdr:colOff>0</xdr:colOff>
      <xdr:row>116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117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AD5FD08-BCA8-4938-9873-0A2849F146EA}"/>
            </a:ext>
          </a:extLst>
        </xdr:cNvPr>
        <xdr:cNvCxnSpPr/>
      </xdr:nvCxnSpPr>
      <xdr:spPr>
        <a:xfrm>
          <a:off x="7077075" y="0"/>
          <a:ext cx="0" cy="21278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0</xdr:row>
      <xdr:rowOff>0</xdr:rowOff>
    </xdr:from>
    <xdr:to>
      <xdr:col>23</xdr:col>
      <xdr:colOff>0</xdr:colOff>
      <xdr:row>116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7E8A645-2240-4985-AAED-B170CA4B6273}"/>
            </a:ext>
          </a:extLst>
        </xdr:cNvPr>
        <xdr:cNvCxnSpPr/>
      </xdr:nvCxnSpPr>
      <xdr:spPr>
        <a:xfrm>
          <a:off x="15611475" y="0"/>
          <a:ext cx="0" cy="210216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68</xdr:row>
      <xdr:rowOff>190499</xdr:rowOff>
    </xdr:from>
    <xdr:to>
      <xdr:col>23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105</xdr:row>
      <xdr:rowOff>0</xdr:rowOff>
    </xdr:from>
    <xdr:to>
      <xdr:col>23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170</xdr:row>
      <xdr:rowOff>0</xdr:rowOff>
    </xdr:from>
    <xdr:to>
      <xdr:col>23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138</xdr:row>
      <xdr:rowOff>0</xdr:rowOff>
    </xdr:from>
    <xdr:to>
      <xdr:col>23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17318</xdr:colOff>
      <xdr:row>2</xdr:row>
      <xdr:rowOff>17318</xdr:rowOff>
    </xdr:from>
    <xdr:to>
      <xdr:col>19</xdr:col>
      <xdr:colOff>0</xdr:colOff>
      <xdr:row>31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B2A34B-3750-D0CB-EBCE-E043246D3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136" y="381000"/>
          <a:ext cx="6650182" cy="5004955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2</xdr:row>
      <xdr:rowOff>17318</xdr:rowOff>
    </xdr:from>
    <xdr:to>
      <xdr:col>29</xdr:col>
      <xdr:colOff>1</xdr:colOff>
      <xdr:row>31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B7F1AA-8290-0486-E5B6-365D476E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75319" y="381000"/>
          <a:ext cx="6061364" cy="5004955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36</xdr:row>
      <xdr:rowOff>11205</xdr:rowOff>
    </xdr:from>
    <xdr:to>
      <xdr:col>17</xdr:col>
      <xdr:colOff>0</xdr:colOff>
      <xdr:row>63</xdr:row>
      <xdr:rowOff>179293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DB32E0-1019-9024-233B-D9A3101FE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118" y="6499411"/>
          <a:ext cx="5434853" cy="50090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Excel\TLN_Model%20(version%201).xlsb" TargetMode="External"/><Relationship Id="rId1" Type="http://schemas.openxmlformats.org/officeDocument/2006/relationships/externalLinkPath" Target="file:///C:\Users\User\AppData\Roaming\Microsoft\Excel\TLN_Model%20(version%201)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BSX_Model.xlsx" TargetMode="External"/><Relationship Id="rId1" Type="http://schemas.openxmlformats.org/officeDocument/2006/relationships/externalLinkPath" Target="file:///C:\Users\User\OneDrive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Management"/>
      <sheetName val="Table Formatting"/>
    </sheetNames>
    <sheetDataSet>
      <sheetData sheetId="0">
        <row r="3">
          <cell r="C3">
            <v>415.01</v>
          </cell>
        </row>
        <row r="4">
          <cell r="C4">
            <v>45.685000000000002</v>
          </cell>
        </row>
      </sheetData>
      <sheetData sheetId="1" refreshError="1"/>
      <sheetData sheetId="2">
        <row r="206">
          <cell r="K206">
            <v>1.58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50">
          <cell r="AW50">
            <v>2659</v>
          </cell>
          <cell r="AX50">
            <v>2708</v>
          </cell>
          <cell r="AY50">
            <v>2752</v>
          </cell>
          <cell r="AZ50">
            <v>3077</v>
          </cell>
          <cell r="BA50">
            <v>2932</v>
          </cell>
          <cell r="BB50">
            <v>3127</v>
          </cell>
          <cell r="BC50">
            <v>3026</v>
          </cell>
          <cell r="BD50">
            <v>3244</v>
          </cell>
          <cell r="BE50">
            <v>3170</v>
          </cell>
          <cell r="BF50">
            <v>3242</v>
          </cell>
          <cell r="BG50">
            <v>3389</v>
          </cell>
          <cell r="BH50">
            <v>3599</v>
          </cell>
          <cell r="BI50">
            <v>3527</v>
          </cell>
          <cell r="BJ50">
            <v>3725</v>
          </cell>
          <cell r="BK50">
            <v>3857</v>
          </cell>
          <cell r="BL50">
            <v>4120</v>
          </cell>
          <cell r="BM50">
            <v>4209</v>
          </cell>
          <cell r="BN50">
            <v>4561</v>
          </cell>
          <cell r="BO50">
            <v>4663</v>
          </cell>
          <cell r="BP50">
            <v>5061</v>
          </cell>
          <cell r="BQ50">
            <v>5065</v>
          </cell>
        </row>
        <row r="70">
          <cell r="AW70">
            <v>-169</v>
          </cell>
          <cell r="AX70">
            <v>196</v>
          </cell>
          <cell r="AY70">
            <v>327</v>
          </cell>
          <cell r="AZ70">
            <v>172</v>
          </cell>
          <cell r="BA70">
            <v>405</v>
          </cell>
          <cell r="BB70">
            <v>80</v>
          </cell>
          <cell r="BC70">
            <v>97</v>
          </cell>
          <cell r="BD70">
            <v>246</v>
          </cell>
          <cell r="BE70">
            <v>174</v>
          </cell>
          <cell r="BF70">
            <v>124</v>
          </cell>
          <cell r="BG70">
            <v>300</v>
          </cell>
          <cell r="BH70">
            <v>261</v>
          </cell>
          <cell r="BI70">
            <v>504</v>
          </cell>
          <cell r="BJ70">
            <v>504</v>
          </cell>
          <cell r="BK70">
            <v>495</v>
          </cell>
          <cell r="BL70">
            <v>324</v>
          </cell>
          <cell r="BM70">
            <v>468</v>
          </cell>
          <cell r="BN70">
            <v>565</v>
          </cell>
          <cell r="BO70">
            <v>674</v>
          </cell>
          <cell r="BP70">
            <v>797</v>
          </cell>
          <cell r="BQ70">
            <v>755</v>
          </cell>
        </row>
        <row r="115">
          <cell r="AX115">
            <v>0.4710676446617767</v>
          </cell>
          <cell r="AY115">
            <v>0.59416445623342173</v>
          </cell>
          <cell r="AZ115">
            <v>0.65676405597839427</v>
          </cell>
          <cell r="BA115">
            <v>0.4840875186474391</v>
          </cell>
          <cell r="BB115">
            <v>0.45050315937280599</v>
          </cell>
          <cell r="BC115">
            <v>7.6041179223210104E-2</v>
          </cell>
          <cell r="BD115">
            <v>7.107906258047901E-2</v>
          </cell>
          <cell r="BE115">
            <v>9.5519864750633982E-2</v>
          </cell>
          <cell r="BF115">
            <v>0.2440178806205627</v>
          </cell>
          <cell r="BG115">
            <v>0.13960323291697282</v>
          </cell>
          <cell r="BH115">
            <v>9.3380096448925906E-2</v>
          </cell>
          <cell r="BI115">
            <v>0.20790565625682464</v>
          </cell>
          <cell r="BJ115">
            <v>0.17551682205107419</v>
          </cell>
          <cell r="BK115">
            <v>0.47375915378356387</v>
          </cell>
          <cell r="BL115">
            <v>0.52241750358680061</v>
          </cell>
          <cell r="BM115">
            <v>0.42327863305701235</v>
          </cell>
          <cell r="BN115">
            <v>6.4551422319474833E-2</v>
          </cell>
          <cell r="BO115">
            <v>0.14333728746540134</v>
          </cell>
          <cell r="BP115">
            <v>0.1028703525332306</v>
          </cell>
          <cell r="BQ115" t="e">
            <v>#DIV/0!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lenenergy.com/" TargetMode="External"/><Relationship Id="rId2" Type="http://schemas.openxmlformats.org/officeDocument/2006/relationships/hyperlink" Target="https://app.godelterminal.com/" TargetMode="External"/><Relationship Id="rId1" Type="http://schemas.openxmlformats.org/officeDocument/2006/relationships/hyperlink" Target="https://www.sec.gov/edgar/browse/?CIK=310764&amp;owner=exclud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macrotrends.net/stocks/charts/TLN/talen-energy/income-statement?freq=Q" TargetMode="External"/><Relationship Id="rId4" Type="http://schemas.openxmlformats.org/officeDocument/2006/relationships/hyperlink" Target="https://ir.talenenerg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0"/>
  <sheetViews>
    <sheetView zoomScale="85" zoomScaleNormal="85" workbookViewId="0">
      <selection activeCell="Q18" sqref="Q18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85546875" style="1" customWidth="1"/>
    <col min="4" max="4" width="9.140625" style="1" customWidth="1"/>
    <col min="5" max="16384" width="9.140625" style="1"/>
  </cols>
  <sheetData>
    <row r="2" spans="2:18" ht="15">
      <c r="B2" s="2" t="s">
        <v>128</v>
      </c>
    </row>
    <row r="3" spans="2:18">
      <c r="B3" s="1" t="s">
        <v>0</v>
      </c>
      <c r="C3" s="43">
        <v>415.01</v>
      </c>
      <c r="D3" s="42" t="s">
        <v>798</v>
      </c>
    </row>
    <row r="4" spans="2:18">
      <c r="B4" s="1" t="s">
        <v>1</v>
      </c>
      <c r="C4" s="60">
        <v>45.685000000000002</v>
      </c>
      <c r="D4" s="1" t="s">
        <v>799</v>
      </c>
    </row>
    <row r="5" spans="2:18">
      <c r="B5" s="1" t="s">
        <v>2</v>
      </c>
      <c r="C5" s="44">
        <f>C3*C4</f>
        <v>18959.73185</v>
      </c>
    </row>
    <row r="6" spans="2:18">
      <c r="B6" s="1" t="s">
        <v>3</v>
      </c>
      <c r="C6" s="45">
        <f>122+13</f>
        <v>135</v>
      </c>
      <c r="D6" s="1" t="s">
        <v>799</v>
      </c>
    </row>
    <row r="7" spans="2:18">
      <c r="B7" s="1" t="s">
        <v>4</v>
      </c>
      <c r="C7" s="45">
        <f>70+17+30+2972</f>
        <v>3089</v>
      </c>
      <c r="D7" s="1" t="s">
        <v>799</v>
      </c>
    </row>
    <row r="8" spans="2:18">
      <c r="B8" s="1" t="s">
        <v>5</v>
      </c>
      <c r="C8" s="45">
        <f>C5-C6+C7</f>
        <v>21913.73185</v>
      </c>
    </row>
    <row r="10" spans="2:18" ht="15">
      <c r="B10" s="2" t="s">
        <v>706</v>
      </c>
    </row>
    <row r="12" spans="2:18" ht="15">
      <c r="B12" s="1" t="s">
        <v>707</v>
      </c>
      <c r="G12" s="1" t="s">
        <v>710</v>
      </c>
      <c r="N12" s="1" t="s">
        <v>99</v>
      </c>
      <c r="Q12" s="2"/>
    </row>
    <row r="13" spans="2:18">
      <c r="B13" s="1" t="s">
        <v>708</v>
      </c>
      <c r="G13" s="1" t="s">
        <v>711</v>
      </c>
      <c r="N13" s="1" t="s">
        <v>7</v>
      </c>
      <c r="Q13" s="46" t="s">
        <v>92</v>
      </c>
    </row>
    <row r="14" spans="2:18">
      <c r="B14" s="1" t="s">
        <v>709</v>
      </c>
      <c r="G14" s="1" t="s">
        <v>6</v>
      </c>
      <c r="N14" s="1" t="s">
        <v>103</v>
      </c>
      <c r="Q14" s="46" t="s">
        <v>124</v>
      </c>
    </row>
    <row r="15" spans="2:18">
      <c r="B15" s="1" t="s">
        <v>713</v>
      </c>
      <c r="G15" s="1" t="s">
        <v>96</v>
      </c>
      <c r="O15" s="1" t="s">
        <v>102</v>
      </c>
      <c r="R15" s="46" t="s">
        <v>125</v>
      </c>
    </row>
    <row r="16" spans="2:18">
      <c r="B16" s="1" t="s">
        <v>714</v>
      </c>
      <c r="G16" s="1" t="s">
        <v>89</v>
      </c>
      <c r="H16" s="1" t="s">
        <v>712</v>
      </c>
      <c r="J16" s="1" t="s">
        <v>90</v>
      </c>
      <c r="N16" s="1" t="s">
        <v>93</v>
      </c>
      <c r="Q16" s="46" t="s">
        <v>123</v>
      </c>
    </row>
    <row r="17" spans="1:17">
      <c r="B17" s="1" t="s">
        <v>716</v>
      </c>
      <c r="N17" s="1" t="s">
        <v>94</v>
      </c>
      <c r="Q17" s="46" t="s">
        <v>122</v>
      </c>
    </row>
    <row r="18" spans="1:17">
      <c r="B18" s="1" t="s">
        <v>715</v>
      </c>
      <c r="N18" s="1" t="s">
        <v>104</v>
      </c>
      <c r="Q18" s="46" t="s">
        <v>126</v>
      </c>
    </row>
    <row r="19" spans="1:17">
      <c r="B19" s="1" t="s">
        <v>728</v>
      </c>
      <c r="N19" s="1" t="s">
        <v>105</v>
      </c>
      <c r="Q19" s="46" t="s">
        <v>127</v>
      </c>
    </row>
    <row r="20" spans="1:17">
      <c r="B20" s="1" t="s">
        <v>717</v>
      </c>
      <c r="N20" s="1" t="s">
        <v>8</v>
      </c>
      <c r="Q20" s="46" t="s">
        <v>95</v>
      </c>
    </row>
    <row r="21" spans="1:17">
      <c r="Q21" s="46"/>
    </row>
    <row r="22" spans="1:17" ht="15">
      <c r="A22" s="2" t="s">
        <v>9</v>
      </c>
      <c r="N22" s="2"/>
    </row>
    <row r="23" spans="1:17">
      <c r="B23" s="1" t="s">
        <v>718</v>
      </c>
    </row>
    <row r="24" spans="1:17">
      <c r="B24" s="1" t="s">
        <v>719</v>
      </c>
    </row>
    <row r="25" spans="1:17">
      <c r="C25" s="1" t="s">
        <v>720</v>
      </c>
    </row>
    <row r="26" spans="1:17">
      <c r="C26" s="1" t="s">
        <v>721</v>
      </c>
    </row>
    <row r="27" spans="1:17">
      <c r="C27" s="1" t="s">
        <v>722</v>
      </c>
    </row>
    <row r="28" spans="1:17">
      <c r="B28" s="1" t="s">
        <v>723</v>
      </c>
    </row>
    <row r="30" spans="1:17" ht="15">
      <c r="A30" s="2" t="s">
        <v>97</v>
      </c>
    </row>
  </sheetData>
  <hyperlinks>
    <hyperlink ref="Q13" r:id="rId1" xr:uid="{739BC0F6-DDEA-409E-BAA0-CED0EC3FAC10}"/>
    <hyperlink ref="Q20" r:id="rId2" xr:uid="{14375537-5C3D-4253-9650-337AB6789785}"/>
    <hyperlink ref="Q14" r:id="rId3" xr:uid="{0F78B4A5-7C56-47CD-8430-3AC2EB8E6C8A}"/>
    <hyperlink ref="R15" r:id="rId4" xr:uid="{77A3C38C-22C0-4339-80E5-91FAE0875376}"/>
    <hyperlink ref="Q18" r:id="rId5" xr:uid="{DA33F741-6FF9-4071-A748-A39E87CAC64B}"/>
  </hyperlinks>
  <pageMargins left="0.7" right="0.7" top="0.75" bottom="0.75" header="0.3" footer="0.3"/>
  <ignoredErrors>
    <ignoredError sqref="D3" twoDigitTextYear="1"/>
  </ignoredError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CH104"/>
  <sheetViews>
    <sheetView tabSelected="1" zoomScale="85" zoomScaleNormal="85" workbookViewId="0">
      <pane xSplit="2" ySplit="3" topLeftCell="N48" activePane="bottomRight" state="frozen"/>
      <selection pane="topRight" activeCell="C1" sqref="C1"/>
      <selection pane="bottomLeft" activeCell="A4" sqref="A4"/>
      <selection pane="bottomRight" activeCell="X8" sqref="X8:AG8"/>
    </sheetView>
  </sheetViews>
  <sheetFormatPr defaultColWidth="9.140625" defaultRowHeight="14.25"/>
  <cols>
    <col min="1" max="1" width="3.140625" style="1" customWidth="1"/>
    <col min="2" max="2" width="39" style="1" customWidth="1"/>
    <col min="3" max="9" width="9.140625" style="1"/>
    <col min="10" max="14" width="9.140625" style="35"/>
    <col min="15" max="23" width="9.140625" style="1"/>
    <col min="24" max="85" width="9.140625" style="35"/>
    <col min="86" max="16384" width="9.140625" style="1"/>
  </cols>
  <sheetData>
    <row r="1" spans="2:86" ht="15">
      <c r="B1" s="1" t="s">
        <v>55</v>
      </c>
      <c r="C1" s="33" t="s">
        <v>43</v>
      </c>
      <c r="G1" s="33" t="s">
        <v>47</v>
      </c>
    </row>
    <row r="2" spans="2:86">
      <c r="B2" s="1" t="s">
        <v>56</v>
      </c>
    </row>
    <row r="3" spans="2:86" ht="15">
      <c r="B3" s="2" t="s">
        <v>57</v>
      </c>
      <c r="C3" s="33" t="s">
        <v>43</v>
      </c>
      <c r="D3" s="33" t="s">
        <v>44</v>
      </c>
      <c r="E3" s="33" t="s">
        <v>45</v>
      </c>
      <c r="F3" s="33" t="s">
        <v>46</v>
      </c>
      <c r="G3" s="33" t="s">
        <v>47</v>
      </c>
      <c r="H3" s="2" t="s">
        <v>48</v>
      </c>
      <c r="I3" s="2" t="s">
        <v>49</v>
      </c>
      <c r="J3" s="34" t="s">
        <v>50</v>
      </c>
      <c r="K3" s="34" t="s">
        <v>51</v>
      </c>
      <c r="L3" s="34" t="s">
        <v>52</v>
      </c>
      <c r="M3" s="34" t="s">
        <v>53</v>
      </c>
      <c r="N3" s="34" t="s">
        <v>54</v>
      </c>
      <c r="W3" s="2">
        <v>2024</v>
      </c>
      <c r="X3" s="34">
        <f t="shared" ref="X3:CE3" si="0">W3+1</f>
        <v>2025</v>
      </c>
      <c r="Y3" s="34">
        <f t="shared" si="0"/>
        <v>2026</v>
      </c>
      <c r="Z3" s="34">
        <f t="shared" si="0"/>
        <v>2027</v>
      </c>
      <c r="AA3" s="34">
        <f t="shared" si="0"/>
        <v>2028</v>
      </c>
      <c r="AB3" s="34">
        <f t="shared" si="0"/>
        <v>2029</v>
      </c>
      <c r="AC3" s="34">
        <f t="shared" si="0"/>
        <v>2030</v>
      </c>
      <c r="AD3" s="34">
        <f t="shared" si="0"/>
        <v>2031</v>
      </c>
      <c r="AE3" s="34">
        <f t="shared" si="0"/>
        <v>2032</v>
      </c>
      <c r="AF3" s="34">
        <f t="shared" si="0"/>
        <v>2033</v>
      </c>
      <c r="AG3" s="34">
        <f t="shared" si="0"/>
        <v>2034</v>
      </c>
      <c r="AH3" s="34">
        <f t="shared" si="0"/>
        <v>2035</v>
      </c>
      <c r="AI3" s="34">
        <f t="shared" si="0"/>
        <v>2036</v>
      </c>
      <c r="AJ3" s="34">
        <f t="shared" si="0"/>
        <v>2037</v>
      </c>
      <c r="AK3" s="34">
        <f t="shared" si="0"/>
        <v>2038</v>
      </c>
      <c r="AL3" s="34">
        <f t="shared" si="0"/>
        <v>2039</v>
      </c>
      <c r="AM3" s="34">
        <f t="shared" si="0"/>
        <v>2040</v>
      </c>
      <c r="AN3" s="34">
        <f t="shared" si="0"/>
        <v>2041</v>
      </c>
      <c r="AO3" s="34">
        <f t="shared" si="0"/>
        <v>2042</v>
      </c>
      <c r="AP3" s="34">
        <f t="shared" si="0"/>
        <v>2043</v>
      </c>
      <c r="AQ3" s="34">
        <f t="shared" si="0"/>
        <v>2044</v>
      </c>
      <c r="AR3" s="34">
        <f t="shared" si="0"/>
        <v>2045</v>
      </c>
      <c r="AS3" s="34">
        <f t="shared" si="0"/>
        <v>2046</v>
      </c>
      <c r="AT3" s="34">
        <f t="shared" si="0"/>
        <v>2047</v>
      </c>
      <c r="AU3" s="34">
        <f t="shared" si="0"/>
        <v>2048</v>
      </c>
      <c r="AV3" s="34">
        <f t="shared" si="0"/>
        <v>2049</v>
      </c>
      <c r="AW3" s="34">
        <f t="shared" si="0"/>
        <v>2050</v>
      </c>
      <c r="AX3" s="34">
        <f t="shared" si="0"/>
        <v>2051</v>
      </c>
      <c r="AY3" s="34">
        <f t="shared" si="0"/>
        <v>2052</v>
      </c>
      <c r="AZ3" s="34">
        <f t="shared" si="0"/>
        <v>2053</v>
      </c>
      <c r="BA3" s="34">
        <f t="shared" si="0"/>
        <v>2054</v>
      </c>
      <c r="BB3" s="34">
        <f t="shared" si="0"/>
        <v>2055</v>
      </c>
      <c r="BC3" s="34">
        <f t="shared" si="0"/>
        <v>2056</v>
      </c>
      <c r="BD3" s="34">
        <f t="shared" si="0"/>
        <v>2057</v>
      </c>
      <c r="BE3" s="34">
        <f t="shared" si="0"/>
        <v>2058</v>
      </c>
      <c r="BF3" s="34">
        <f t="shared" si="0"/>
        <v>2059</v>
      </c>
      <c r="BG3" s="34">
        <f t="shared" si="0"/>
        <v>2060</v>
      </c>
      <c r="BH3" s="34">
        <f t="shared" si="0"/>
        <v>2061</v>
      </c>
      <c r="BI3" s="34">
        <f t="shared" si="0"/>
        <v>2062</v>
      </c>
      <c r="BJ3" s="34">
        <f t="shared" si="0"/>
        <v>2063</v>
      </c>
      <c r="BK3" s="34">
        <f t="shared" si="0"/>
        <v>2064</v>
      </c>
      <c r="BL3" s="34">
        <f t="shared" si="0"/>
        <v>2065</v>
      </c>
      <c r="BM3" s="34">
        <f t="shared" si="0"/>
        <v>2066</v>
      </c>
      <c r="BN3" s="34">
        <f t="shared" si="0"/>
        <v>2067</v>
      </c>
      <c r="BO3" s="34">
        <f t="shared" si="0"/>
        <v>2068</v>
      </c>
      <c r="BP3" s="34">
        <f t="shared" si="0"/>
        <v>2069</v>
      </c>
      <c r="BQ3" s="34">
        <f t="shared" si="0"/>
        <v>2070</v>
      </c>
      <c r="BR3" s="34">
        <f t="shared" si="0"/>
        <v>2071</v>
      </c>
      <c r="BS3" s="34">
        <f t="shared" si="0"/>
        <v>2072</v>
      </c>
      <c r="BT3" s="34">
        <f t="shared" si="0"/>
        <v>2073</v>
      </c>
      <c r="BU3" s="34">
        <f t="shared" si="0"/>
        <v>2074</v>
      </c>
      <c r="BV3" s="34">
        <f t="shared" si="0"/>
        <v>2075</v>
      </c>
      <c r="BW3" s="34">
        <f t="shared" si="0"/>
        <v>2076</v>
      </c>
      <c r="BX3" s="34">
        <f t="shared" si="0"/>
        <v>2077</v>
      </c>
      <c r="BY3" s="34">
        <f t="shared" si="0"/>
        <v>2078</v>
      </c>
      <c r="BZ3" s="34">
        <f t="shared" si="0"/>
        <v>2079</v>
      </c>
      <c r="CA3" s="34">
        <f t="shared" si="0"/>
        <v>2080</v>
      </c>
      <c r="CB3" s="34">
        <f t="shared" si="0"/>
        <v>2081</v>
      </c>
      <c r="CC3" s="34">
        <f t="shared" si="0"/>
        <v>2082</v>
      </c>
      <c r="CD3" s="34">
        <f t="shared" si="0"/>
        <v>2083</v>
      </c>
      <c r="CE3" s="34">
        <f t="shared" si="0"/>
        <v>2084</v>
      </c>
      <c r="CF3" s="34"/>
      <c r="CG3" s="34"/>
      <c r="CH3" s="2"/>
    </row>
    <row r="4" spans="2:86">
      <c r="B4" s="36" t="s">
        <v>729</v>
      </c>
      <c r="C4" s="1">
        <v>45</v>
      </c>
      <c r="D4" s="1">
        <v>46</v>
      </c>
      <c r="E4" s="1">
        <v>50</v>
      </c>
      <c r="F4" s="1">
        <f>192-SUM(C4:E4)</f>
        <v>51</v>
      </c>
      <c r="G4" s="1">
        <v>49</v>
      </c>
      <c r="H4" s="1">
        <v>88</v>
      </c>
      <c r="I4" s="1">
        <v>166</v>
      </c>
      <c r="W4" s="1">
        <f t="shared" ref="W4:W9" si="1">SUM(C4:F4)</f>
        <v>192</v>
      </c>
      <c r="X4" s="69">
        <f t="shared" ref="X4:AG7" si="2">W4*(1+X13)</f>
        <v>464.64</v>
      </c>
      <c r="Y4" s="69">
        <f t="shared" si="2"/>
        <v>766.65599999999995</v>
      </c>
      <c r="Z4" s="69">
        <f t="shared" si="2"/>
        <v>858.65472</v>
      </c>
      <c r="AA4" s="69">
        <f t="shared" si="2"/>
        <v>910.17400320000002</v>
      </c>
      <c r="AB4" s="69">
        <f t="shared" si="2"/>
        <v>946.58096332800005</v>
      </c>
      <c r="AC4" s="69">
        <f t="shared" si="2"/>
        <v>979.71129704448003</v>
      </c>
      <c r="AD4" s="69">
        <f t="shared" si="2"/>
        <v>1011.5519141984256</v>
      </c>
      <c r="AE4" s="69">
        <f t="shared" si="2"/>
        <v>1041.8984716243783</v>
      </c>
      <c r="AF4" s="69">
        <f t="shared" si="2"/>
        <v>1070.5506795940489</v>
      </c>
      <c r="AG4" s="69">
        <f t="shared" si="2"/>
        <v>1097.3144465839</v>
      </c>
    </row>
    <row r="5" spans="2:86">
      <c r="B5" s="36" t="s">
        <v>735</v>
      </c>
      <c r="C5" s="1">
        <v>265</v>
      </c>
      <c r="D5" s="1">
        <v>249</v>
      </c>
      <c r="E5" s="1">
        <v>351</v>
      </c>
      <c r="F5" s="1">
        <f>1144-SUM(C5:E5)</f>
        <v>279</v>
      </c>
      <c r="G5" s="1">
        <v>582</v>
      </c>
      <c r="H5" s="1">
        <v>307</v>
      </c>
      <c r="I5" s="1">
        <v>496</v>
      </c>
      <c r="W5" s="1">
        <f t="shared" si="1"/>
        <v>1144</v>
      </c>
      <c r="X5" s="69">
        <f t="shared" si="2"/>
        <v>1887.6</v>
      </c>
      <c r="Y5" s="69">
        <f t="shared" si="2"/>
        <v>3454.308</v>
      </c>
      <c r="Z5" s="69">
        <f t="shared" si="2"/>
        <v>5077.8327600000002</v>
      </c>
      <c r="AA5" s="69">
        <f t="shared" si="2"/>
        <v>5788.7293464000013</v>
      </c>
      <c r="AB5" s="69">
        <f t="shared" si="2"/>
        <v>6483.3768679680024</v>
      </c>
      <c r="AC5" s="69">
        <f t="shared" si="2"/>
        <v>7196.5483234444837</v>
      </c>
      <c r="AD5" s="69">
        <f t="shared" si="2"/>
        <v>7916.2031557889331</v>
      </c>
      <c r="AE5" s="69">
        <f t="shared" si="2"/>
        <v>8668.2424555888811</v>
      </c>
      <c r="AF5" s="69">
        <f t="shared" si="2"/>
        <v>9448.3842765918816</v>
      </c>
      <c r="AG5" s="69">
        <f t="shared" si="2"/>
        <v>10251.496940102192</v>
      </c>
    </row>
    <row r="6" spans="2:86">
      <c r="B6" s="36" t="s">
        <v>730</v>
      </c>
      <c r="C6" s="1">
        <v>64</v>
      </c>
      <c r="D6" s="1">
        <v>22</v>
      </c>
      <c r="E6" s="1">
        <v>38</v>
      </c>
      <c r="F6" s="1">
        <f>147-SUM(C6:E6)</f>
        <v>23</v>
      </c>
      <c r="G6" s="1">
        <v>23</v>
      </c>
      <c r="H6" s="1">
        <v>14</v>
      </c>
      <c r="I6" s="1">
        <v>35</v>
      </c>
      <c r="W6" s="1">
        <f t="shared" si="1"/>
        <v>147</v>
      </c>
      <c r="X6" s="69">
        <f t="shared" si="2"/>
        <v>80.850000000000009</v>
      </c>
      <c r="Y6" s="69">
        <f t="shared" si="2"/>
        <v>88.935000000000016</v>
      </c>
      <c r="Z6" s="69">
        <f t="shared" si="2"/>
        <v>106.72200000000002</v>
      </c>
      <c r="AA6" s="69">
        <f t="shared" si="2"/>
        <v>128.06640000000002</v>
      </c>
      <c r="AB6" s="69">
        <f t="shared" si="2"/>
        <v>153.67968000000002</v>
      </c>
      <c r="AC6" s="69">
        <f t="shared" si="2"/>
        <v>184.41561600000003</v>
      </c>
      <c r="AD6" s="69">
        <f t="shared" si="2"/>
        <v>221.29873920000003</v>
      </c>
      <c r="AE6" s="69">
        <f t="shared" si="2"/>
        <v>265.55848704000005</v>
      </c>
      <c r="AF6" s="69">
        <f t="shared" si="2"/>
        <v>318.67018444800004</v>
      </c>
      <c r="AG6" s="69">
        <f t="shared" si="2"/>
        <v>382.40422133760006</v>
      </c>
    </row>
    <row r="7" spans="2:86">
      <c r="B7" s="36" t="s">
        <v>731</v>
      </c>
      <c r="C7" s="1">
        <v>42</v>
      </c>
      <c r="D7" s="1">
        <v>29</v>
      </c>
      <c r="E7" s="1">
        <v>20</v>
      </c>
      <c r="F7" s="1">
        <f>91-SUM(C7:E7)</f>
        <v>0</v>
      </c>
      <c r="G7" s="1">
        <v>0</v>
      </c>
      <c r="H7" s="1">
        <v>0</v>
      </c>
      <c r="I7" s="1">
        <v>0</v>
      </c>
      <c r="W7" s="1">
        <f t="shared" si="1"/>
        <v>91</v>
      </c>
      <c r="X7" s="69">
        <f t="shared" si="2"/>
        <v>0</v>
      </c>
      <c r="Y7" s="69">
        <f t="shared" si="2"/>
        <v>0</v>
      </c>
      <c r="Z7" s="69">
        <f t="shared" si="2"/>
        <v>0</v>
      </c>
      <c r="AA7" s="69">
        <f t="shared" si="2"/>
        <v>0</v>
      </c>
      <c r="AB7" s="69">
        <f t="shared" si="2"/>
        <v>0</v>
      </c>
      <c r="AC7" s="69">
        <f t="shared" si="2"/>
        <v>0</v>
      </c>
      <c r="AD7" s="69">
        <f t="shared" si="2"/>
        <v>0</v>
      </c>
      <c r="AE7" s="69">
        <f t="shared" si="2"/>
        <v>0</v>
      </c>
      <c r="AF7" s="69">
        <f t="shared" si="2"/>
        <v>0</v>
      </c>
      <c r="AG7" s="69">
        <f t="shared" si="2"/>
        <v>0</v>
      </c>
    </row>
    <row r="8" spans="2:86" s="2" customFormat="1" ht="15">
      <c r="B8" s="33" t="s">
        <v>732</v>
      </c>
      <c r="C8" s="2">
        <f t="shared" ref="C8:I8" si="3">SUM(C4:C7)</f>
        <v>416</v>
      </c>
      <c r="D8" s="2">
        <f t="shared" si="3"/>
        <v>346</v>
      </c>
      <c r="E8" s="2">
        <f t="shared" si="3"/>
        <v>459</v>
      </c>
      <c r="F8" s="2">
        <f t="shared" si="3"/>
        <v>353</v>
      </c>
      <c r="G8" s="2">
        <f t="shared" si="3"/>
        <v>654</v>
      </c>
      <c r="H8" s="2">
        <f t="shared" si="3"/>
        <v>409</v>
      </c>
      <c r="I8" s="2">
        <f t="shared" si="3"/>
        <v>697</v>
      </c>
      <c r="J8" s="34"/>
      <c r="K8" s="34"/>
      <c r="L8" s="34"/>
      <c r="M8" s="34"/>
      <c r="N8" s="34"/>
      <c r="W8" s="2">
        <f t="shared" si="1"/>
        <v>1574</v>
      </c>
      <c r="X8" s="70">
        <f>SUM(X4:X7)</f>
        <v>2433.0899999999997</v>
      </c>
      <c r="Y8" s="70">
        <f t="shared" ref="Y8:AG8" si="4">SUM(Y4:Y7)</f>
        <v>4309.8990000000003</v>
      </c>
      <c r="Z8" s="70">
        <f t="shared" si="4"/>
        <v>6043.2094799999995</v>
      </c>
      <c r="AA8" s="70">
        <f t="shared" si="4"/>
        <v>6826.9697496000008</v>
      </c>
      <c r="AB8" s="70">
        <f t="shared" si="4"/>
        <v>7583.6375112960022</v>
      </c>
      <c r="AC8" s="70">
        <f t="shared" si="4"/>
        <v>8360.6752364889635</v>
      </c>
      <c r="AD8" s="70">
        <f t="shared" si="4"/>
        <v>9149.0538091873586</v>
      </c>
      <c r="AE8" s="70">
        <f t="shared" si="4"/>
        <v>9975.6994142532585</v>
      </c>
      <c r="AF8" s="70">
        <f t="shared" si="4"/>
        <v>10837.60514063393</v>
      </c>
      <c r="AG8" s="70">
        <f t="shared" si="4"/>
        <v>11731.215608023691</v>
      </c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</row>
    <row r="9" spans="2:86">
      <c r="B9" s="36" t="s">
        <v>733</v>
      </c>
      <c r="C9" s="1">
        <v>57</v>
      </c>
      <c r="D9" s="1">
        <v>100</v>
      </c>
      <c r="E9" s="1">
        <v>119</v>
      </c>
      <c r="F9" s="1">
        <f>307-SUM(C9:E9)</f>
        <v>31</v>
      </c>
      <c r="G9" s="1">
        <v>-268</v>
      </c>
      <c r="H9" s="1">
        <v>218</v>
      </c>
      <c r="I9" s="1">
        <v>115</v>
      </c>
      <c r="W9" s="1">
        <f t="shared" si="1"/>
        <v>307</v>
      </c>
      <c r="X9" s="69">
        <f t="shared" ref="X9:AG10" si="5">W9*(1+X18)</f>
        <v>291.64999999999998</v>
      </c>
      <c r="Y9" s="69">
        <f t="shared" si="5"/>
        <v>277.06749999999994</v>
      </c>
      <c r="Z9" s="69">
        <f t="shared" si="5"/>
        <v>263.21412499999991</v>
      </c>
      <c r="AA9" s="69">
        <f t="shared" si="5"/>
        <v>250.05341874999991</v>
      </c>
      <c r="AB9" s="69">
        <f t="shared" si="5"/>
        <v>237.55074781249991</v>
      </c>
      <c r="AC9" s="69">
        <f t="shared" si="5"/>
        <v>225.6732104218749</v>
      </c>
      <c r="AD9" s="69">
        <f t="shared" si="5"/>
        <v>214.38954990078113</v>
      </c>
      <c r="AE9" s="69">
        <f t="shared" si="5"/>
        <v>203.67007240574208</v>
      </c>
      <c r="AF9" s="69">
        <f t="shared" si="5"/>
        <v>193.48656878545495</v>
      </c>
      <c r="AG9" s="69">
        <f t="shared" si="5"/>
        <v>183.81224034618219</v>
      </c>
    </row>
    <row r="10" spans="2:86">
      <c r="B10" s="36" t="s">
        <v>734</v>
      </c>
      <c r="C10" s="1">
        <v>36</v>
      </c>
      <c r="D10" s="1">
        <v>43</v>
      </c>
      <c r="E10" s="1">
        <v>72</v>
      </c>
      <c r="F10" s="1">
        <f>220+14-SUM(C10:E10)</f>
        <v>83</v>
      </c>
      <c r="G10" s="1">
        <v>4</v>
      </c>
      <c r="H10" s="1">
        <v>3</v>
      </c>
      <c r="I10" s="1">
        <v>0</v>
      </c>
      <c r="W10" s="1">
        <f>SUM(C10:F10)</f>
        <v>234</v>
      </c>
      <c r="X10" s="69">
        <f t="shared" si="5"/>
        <v>11.70000000000001</v>
      </c>
      <c r="Y10" s="69">
        <f t="shared" si="5"/>
        <v>0</v>
      </c>
      <c r="Z10" s="69">
        <f t="shared" si="5"/>
        <v>0</v>
      </c>
      <c r="AA10" s="69">
        <f t="shared" si="5"/>
        <v>0</v>
      </c>
      <c r="AB10" s="69">
        <f t="shared" si="5"/>
        <v>0</v>
      </c>
      <c r="AC10" s="69">
        <f t="shared" si="5"/>
        <v>0</v>
      </c>
      <c r="AD10" s="69">
        <f t="shared" si="5"/>
        <v>0</v>
      </c>
      <c r="AE10" s="69">
        <f t="shared" si="5"/>
        <v>0</v>
      </c>
      <c r="AF10" s="69">
        <f t="shared" si="5"/>
        <v>0</v>
      </c>
      <c r="AG10" s="69">
        <f t="shared" si="5"/>
        <v>0</v>
      </c>
    </row>
    <row r="11" spans="2:86" s="2" customFormat="1" ht="15">
      <c r="B11" s="33" t="s">
        <v>58</v>
      </c>
      <c r="C11" s="2">
        <f t="shared" ref="C11:I11" si="6">C8+SUM(C9:C10)</f>
        <v>509</v>
      </c>
      <c r="D11" s="2">
        <f t="shared" si="6"/>
        <v>489</v>
      </c>
      <c r="E11" s="2">
        <f t="shared" si="6"/>
        <v>650</v>
      </c>
      <c r="F11" s="2">
        <f t="shared" si="6"/>
        <v>467</v>
      </c>
      <c r="G11" s="2">
        <f t="shared" si="6"/>
        <v>390</v>
      </c>
      <c r="H11" s="2">
        <f t="shared" si="6"/>
        <v>630</v>
      </c>
      <c r="I11" s="2">
        <f t="shared" si="6"/>
        <v>812</v>
      </c>
      <c r="J11" s="34"/>
      <c r="K11" s="34"/>
      <c r="L11" s="34"/>
      <c r="M11" s="34"/>
      <c r="N11" s="34"/>
      <c r="W11" s="2">
        <f>SUM(C11:F11)</f>
        <v>2115</v>
      </c>
      <c r="X11" s="70">
        <f>X8+SUM(X9:X10)</f>
        <v>2736.4399999999996</v>
      </c>
      <c r="Y11" s="70">
        <f t="shared" ref="Y11:AG11" si="7">Y8+SUM(Y9:Y10)</f>
        <v>4586.9665000000005</v>
      </c>
      <c r="Z11" s="70">
        <f t="shared" si="7"/>
        <v>6306.423604999999</v>
      </c>
      <c r="AA11" s="70">
        <f t="shared" si="7"/>
        <v>7077.0231683500006</v>
      </c>
      <c r="AB11" s="70">
        <f t="shared" si="7"/>
        <v>7821.1882591085023</v>
      </c>
      <c r="AC11" s="70">
        <f t="shared" si="7"/>
        <v>8586.3484469108389</v>
      </c>
      <c r="AD11" s="70">
        <f t="shared" si="7"/>
        <v>9363.4433590881399</v>
      </c>
      <c r="AE11" s="70">
        <f t="shared" si="7"/>
        <v>10179.369486659001</v>
      </c>
      <c r="AF11" s="70">
        <f t="shared" si="7"/>
        <v>11031.091709419385</v>
      </c>
      <c r="AG11" s="70">
        <f t="shared" si="7"/>
        <v>11915.027848369873</v>
      </c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</row>
    <row r="12" spans="2:86">
      <c r="B12" s="36"/>
    </row>
    <row r="13" spans="2:86">
      <c r="B13" s="36" t="s">
        <v>767</v>
      </c>
      <c r="C13" s="66"/>
      <c r="D13" s="66"/>
      <c r="E13" s="66"/>
      <c r="F13" s="66"/>
      <c r="G13" s="66">
        <f>G4/C4-1</f>
        <v>8.8888888888888795E-2</v>
      </c>
      <c r="H13" s="66">
        <f>H4/D4-1</f>
        <v>0.91304347826086962</v>
      </c>
      <c r="I13" s="66">
        <f>I4/E4-1</f>
        <v>2.3199999999999998</v>
      </c>
      <c r="X13" s="73">
        <v>1.42</v>
      </c>
      <c r="Y13" s="73">
        <v>0.65</v>
      </c>
      <c r="Z13" s="73">
        <v>0.12</v>
      </c>
      <c r="AA13" s="73">
        <v>0.06</v>
      </c>
      <c r="AB13" s="73">
        <v>0.04</v>
      </c>
      <c r="AC13" s="73">
        <v>3.5000000000000003E-2</v>
      </c>
      <c r="AD13" s="73">
        <v>3.2500000000000001E-2</v>
      </c>
      <c r="AE13" s="73">
        <v>0.03</v>
      </c>
      <c r="AF13" s="73">
        <v>2.75E-2</v>
      </c>
      <c r="AG13" s="73">
        <v>2.5000000000000001E-2</v>
      </c>
    </row>
    <row r="14" spans="2:86">
      <c r="B14" s="36" t="s">
        <v>766</v>
      </c>
      <c r="C14" s="66"/>
      <c r="D14" s="66"/>
      <c r="E14" s="66"/>
      <c r="F14" s="66"/>
      <c r="G14" s="66">
        <f t="shared" ref="G14:I20" si="8">G5/C5-1</f>
        <v>1.1962264150943396</v>
      </c>
      <c r="H14" s="66">
        <f t="shared" si="8"/>
        <v>0.23293172690763053</v>
      </c>
      <c r="I14" s="66">
        <f t="shared" si="8"/>
        <v>0.41310541310541304</v>
      </c>
      <c r="X14" s="73">
        <v>0.65</v>
      </c>
      <c r="Y14" s="73">
        <v>0.83</v>
      </c>
      <c r="Z14" s="73">
        <v>0.47</v>
      </c>
      <c r="AA14" s="73">
        <v>0.14000000000000001</v>
      </c>
      <c r="AB14" s="73">
        <v>0.12</v>
      </c>
      <c r="AC14" s="73">
        <v>0.11</v>
      </c>
      <c r="AD14" s="73">
        <v>0.1</v>
      </c>
      <c r="AE14" s="73">
        <v>9.5000000000000001E-2</v>
      </c>
      <c r="AF14" s="73">
        <v>0.09</v>
      </c>
      <c r="AG14" s="73">
        <v>8.5000000000000006E-2</v>
      </c>
    </row>
    <row r="15" spans="2:86">
      <c r="B15" s="36" t="s">
        <v>765</v>
      </c>
      <c r="C15" s="66"/>
      <c r="D15" s="66"/>
      <c r="E15" s="66"/>
      <c r="F15" s="66"/>
      <c r="G15" s="66">
        <f t="shared" si="8"/>
        <v>-0.640625</v>
      </c>
      <c r="H15" s="66">
        <f t="shared" si="8"/>
        <v>-0.36363636363636365</v>
      </c>
      <c r="I15" s="66">
        <f t="shared" si="8"/>
        <v>-7.8947368421052655E-2</v>
      </c>
      <c r="X15" s="73">
        <v>-0.45</v>
      </c>
      <c r="Y15" s="73">
        <v>0.1</v>
      </c>
      <c r="Z15" s="73">
        <v>0.2</v>
      </c>
      <c r="AA15" s="73">
        <v>0.2</v>
      </c>
      <c r="AB15" s="73">
        <v>0.2</v>
      </c>
      <c r="AC15" s="73">
        <v>0.2</v>
      </c>
      <c r="AD15" s="73">
        <v>0.2</v>
      </c>
      <c r="AE15" s="73">
        <v>0.2</v>
      </c>
      <c r="AF15" s="73">
        <v>0.2</v>
      </c>
      <c r="AG15" s="73">
        <v>0.2</v>
      </c>
    </row>
    <row r="16" spans="2:86">
      <c r="B16" s="36" t="s">
        <v>764</v>
      </c>
      <c r="C16" s="66"/>
      <c r="D16" s="66"/>
      <c r="E16" s="66"/>
      <c r="F16" s="66"/>
      <c r="G16" s="66">
        <f t="shared" si="8"/>
        <v>-1</v>
      </c>
      <c r="H16" s="66">
        <f t="shared" si="8"/>
        <v>-1</v>
      </c>
      <c r="I16" s="66">
        <f t="shared" si="8"/>
        <v>-1</v>
      </c>
      <c r="X16" s="73">
        <v>-1</v>
      </c>
      <c r="Y16" s="73">
        <v>0</v>
      </c>
      <c r="Z16" s="73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</row>
    <row r="17" spans="2:85" s="2" customFormat="1" ht="15">
      <c r="B17" s="33" t="s">
        <v>763</v>
      </c>
      <c r="C17" s="67"/>
      <c r="D17" s="67"/>
      <c r="E17" s="67"/>
      <c r="F17" s="67"/>
      <c r="G17" s="67">
        <f t="shared" si="8"/>
        <v>0.57211538461538458</v>
      </c>
      <c r="H17" s="67">
        <f t="shared" si="8"/>
        <v>0.18208092485549132</v>
      </c>
      <c r="I17" s="67">
        <f t="shared" si="8"/>
        <v>0.5185185185185186</v>
      </c>
      <c r="J17" s="34"/>
      <c r="K17" s="34"/>
      <c r="L17" s="34"/>
      <c r="M17" s="34"/>
      <c r="N17" s="34"/>
      <c r="X17" s="74">
        <f>X8/W8-1</f>
        <v>0.54580050825921189</v>
      </c>
      <c r="Y17" s="74">
        <f t="shared" ref="Y17:AG17" si="9">Y8/X8-1</f>
        <v>0.77136850671368551</v>
      </c>
      <c r="Z17" s="74">
        <f t="shared" si="9"/>
        <v>0.40216962856902194</v>
      </c>
      <c r="AA17" s="74">
        <f t="shared" si="9"/>
        <v>0.1296927191079269</v>
      </c>
      <c r="AB17" s="74">
        <f t="shared" si="9"/>
        <v>0.11083508341901394</v>
      </c>
      <c r="AC17" s="74">
        <f t="shared" si="9"/>
        <v>0.10246240330389544</v>
      </c>
      <c r="AD17" s="74">
        <f t="shared" si="9"/>
        <v>9.429604073814879E-2</v>
      </c>
      <c r="AE17" s="74">
        <f t="shared" si="9"/>
        <v>9.035312528556716E-2</v>
      </c>
      <c r="AF17" s="74">
        <f t="shared" si="9"/>
        <v>8.6400530989253932E-2</v>
      </c>
      <c r="AG17" s="74">
        <f t="shared" si="9"/>
        <v>8.2454606510741657E-2</v>
      </c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</row>
    <row r="18" spans="2:85">
      <c r="B18" s="36" t="s">
        <v>762</v>
      </c>
      <c r="C18" s="66"/>
      <c r="D18" s="66"/>
      <c r="E18" s="66"/>
      <c r="F18" s="66"/>
      <c r="G18" s="66">
        <f t="shared" si="8"/>
        <v>-5.7017543859649127</v>
      </c>
      <c r="H18" s="66">
        <f t="shared" si="8"/>
        <v>1.1800000000000002</v>
      </c>
      <c r="I18" s="66">
        <f t="shared" si="8"/>
        <v>-3.3613445378151252E-2</v>
      </c>
      <c r="X18" s="73">
        <v>-0.05</v>
      </c>
      <c r="Y18" s="73">
        <v>-0.05</v>
      </c>
      <c r="Z18" s="73">
        <v>-0.05</v>
      </c>
      <c r="AA18" s="73">
        <v>-0.05</v>
      </c>
      <c r="AB18" s="73">
        <v>-0.05</v>
      </c>
      <c r="AC18" s="73">
        <v>-0.05</v>
      </c>
      <c r="AD18" s="73">
        <v>-0.05</v>
      </c>
      <c r="AE18" s="73">
        <v>-0.05</v>
      </c>
      <c r="AF18" s="73">
        <v>-0.05</v>
      </c>
      <c r="AG18" s="73">
        <v>-0.05</v>
      </c>
    </row>
    <row r="19" spans="2:85">
      <c r="B19" s="36" t="s">
        <v>761</v>
      </c>
      <c r="C19" s="66"/>
      <c r="D19" s="66"/>
      <c r="E19" s="66"/>
      <c r="F19" s="66"/>
      <c r="G19" s="66">
        <f t="shared" si="8"/>
        <v>-0.88888888888888884</v>
      </c>
      <c r="H19" s="66">
        <f t="shared" si="8"/>
        <v>-0.93023255813953487</v>
      </c>
      <c r="I19" s="66">
        <f t="shared" si="8"/>
        <v>-1</v>
      </c>
      <c r="X19" s="73">
        <v>-0.95</v>
      </c>
      <c r="Y19" s="73">
        <v>-1</v>
      </c>
      <c r="Z19" s="73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</row>
    <row r="20" spans="2:85" s="2" customFormat="1" ht="15">
      <c r="B20" s="33" t="s">
        <v>106</v>
      </c>
      <c r="C20" s="67"/>
      <c r="D20" s="67"/>
      <c r="E20" s="67"/>
      <c r="F20" s="67"/>
      <c r="G20" s="67">
        <f t="shared" si="8"/>
        <v>-0.23379174852652262</v>
      </c>
      <c r="H20" s="67">
        <f t="shared" si="8"/>
        <v>0.28834355828220848</v>
      </c>
      <c r="I20" s="67">
        <f t="shared" si="8"/>
        <v>0.24923076923076914</v>
      </c>
      <c r="J20" s="34"/>
      <c r="K20" s="34"/>
      <c r="L20" s="34"/>
      <c r="M20" s="34"/>
      <c r="N20" s="34"/>
      <c r="X20" s="74">
        <f t="shared" ref="X20:AG20" si="10">X11/W11-1</f>
        <v>0.29382505910165468</v>
      </c>
      <c r="Y20" s="74">
        <f t="shared" si="10"/>
        <v>0.67625327067284546</v>
      </c>
      <c r="Z20" s="74">
        <f t="shared" si="10"/>
        <v>0.37485713161410672</v>
      </c>
      <c r="AA20" s="74">
        <f t="shared" si="10"/>
        <v>0.12219280080377692</v>
      </c>
      <c r="AB20" s="74">
        <f t="shared" si="10"/>
        <v>0.10515227561873353</v>
      </c>
      <c r="AC20" s="74">
        <f t="shared" si="10"/>
        <v>9.7831705676082681E-2</v>
      </c>
      <c r="AD20" s="74">
        <f t="shared" si="10"/>
        <v>9.0503537910446852E-2</v>
      </c>
      <c r="AE20" s="74">
        <f t="shared" si="10"/>
        <v>8.7139537911437692E-2</v>
      </c>
      <c r="AF20" s="74">
        <f t="shared" si="10"/>
        <v>8.3671412446187698E-2</v>
      </c>
      <c r="AG20" s="74">
        <f t="shared" si="10"/>
        <v>8.0131338061100621E-2</v>
      </c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</row>
    <row r="22" spans="2:85">
      <c r="B22" s="36" t="s">
        <v>736</v>
      </c>
      <c r="C22" s="66">
        <f t="shared" ref="C22:I28" si="11">C4/$G$11</f>
        <v>0.11538461538461539</v>
      </c>
      <c r="D22" s="66">
        <f t="shared" si="11"/>
        <v>0.11794871794871795</v>
      </c>
      <c r="E22" s="66">
        <f t="shared" si="11"/>
        <v>0.12820512820512819</v>
      </c>
      <c r="F22" s="66">
        <f t="shared" si="11"/>
        <v>0.13076923076923078</v>
      </c>
      <c r="G22" s="66">
        <f t="shared" si="11"/>
        <v>0.12564102564102564</v>
      </c>
      <c r="H22" s="66">
        <f t="shared" si="11"/>
        <v>0.22564102564102564</v>
      </c>
      <c r="I22" s="66">
        <f t="shared" si="11"/>
        <v>0.42564102564102563</v>
      </c>
      <c r="W22" s="66">
        <f>W4/$W$11</f>
        <v>9.0780141843971637E-2</v>
      </c>
    </row>
    <row r="23" spans="2:85">
      <c r="B23" s="36" t="s">
        <v>741</v>
      </c>
      <c r="C23" s="66">
        <f t="shared" si="11"/>
        <v>0.67948717948717952</v>
      </c>
      <c r="D23" s="66">
        <f t="shared" si="11"/>
        <v>0.63846153846153841</v>
      </c>
      <c r="E23" s="66">
        <f t="shared" si="11"/>
        <v>0.9</v>
      </c>
      <c r="F23" s="66">
        <f t="shared" si="11"/>
        <v>0.7153846153846154</v>
      </c>
      <c r="G23" s="66">
        <f t="shared" si="11"/>
        <v>1.4923076923076923</v>
      </c>
      <c r="H23" s="66">
        <f t="shared" si="11"/>
        <v>0.78717948717948716</v>
      </c>
      <c r="I23" s="66">
        <f t="shared" si="11"/>
        <v>1.2717948717948717</v>
      </c>
      <c r="W23" s="66">
        <f t="shared" ref="W23:W28" si="12">W5/$W$11</f>
        <v>0.54089834515366431</v>
      </c>
    </row>
    <row r="24" spans="2:85">
      <c r="B24" s="36" t="s">
        <v>730</v>
      </c>
      <c r="C24" s="66">
        <f t="shared" si="11"/>
        <v>0.1641025641025641</v>
      </c>
      <c r="D24" s="66">
        <f t="shared" si="11"/>
        <v>5.6410256410256411E-2</v>
      </c>
      <c r="E24" s="66">
        <f t="shared" si="11"/>
        <v>9.7435897435897437E-2</v>
      </c>
      <c r="F24" s="66">
        <f t="shared" si="11"/>
        <v>5.8974358974358973E-2</v>
      </c>
      <c r="G24" s="66">
        <f t="shared" si="11"/>
        <v>5.8974358974358973E-2</v>
      </c>
      <c r="H24" s="66">
        <f t="shared" si="11"/>
        <v>3.5897435897435895E-2</v>
      </c>
      <c r="I24" s="66">
        <f t="shared" si="11"/>
        <v>8.9743589743589744E-2</v>
      </c>
      <c r="W24" s="66">
        <f t="shared" si="12"/>
        <v>6.9503546099290783E-2</v>
      </c>
    </row>
    <row r="25" spans="2:85">
      <c r="B25" s="36" t="s">
        <v>737</v>
      </c>
      <c r="C25" s="66">
        <f t="shared" si="11"/>
        <v>0.1076923076923077</v>
      </c>
      <c r="D25" s="66">
        <f t="shared" si="11"/>
        <v>7.4358974358974358E-2</v>
      </c>
      <c r="E25" s="66">
        <f t="shared" si="11"/>
        <v>5.128205128205128E-2</v>
      </c>
      <c r="F25" s="66">
        <f t="shared" si="11"/>
        <v>0</v>
      </c>
      <c r="G25" s="66">
        <f t="shared" si="11"/>
        <v>0</v>
      </c>
      <c r="H25" s="66">
        <f t="shared" si="11"/>
        <v>0</v>
      </c>
      <c r="I25" s="66">
        <f t="shared" si="11"/>
        <v>0</v>
      </c>
      <c r="W25" s="66">
        <f t="shared" si="12"/>
        <v>4.3026004728132387E-2</v>
      </c>
    </row>
    <row r="26" spans="2:85" ht="15">
      <c r="B26" s="33" t="s">
        <v>738</v>
      </c>
      <c r="C26" s="66">
        <f t="shared" si="11"/>
        <v>1.0666666666666667</v>
      </c>
      <c r="D26" s="66">
        <f t="shared" si="11"/>
        <v>0.88717948717948714</v>
      </c>
      <c r="E26" s="66">
        <f t="shared" si="11"/>
        <v>1.176923076923077</v>
      </c>
      <c r="F26" s="66">
        <f t="shared" si="11"/>
        <v>0.90512820512820513</v>
      </c>
      <c r="G26" s="66">
        <f t="shared" si="11"/>
        <v>1.676923076923077</v>
      </c>
      <c r="H26" s="66">
        <f t="shared" si="11"/>
        <v>1.0487179487179488</v>
      </c>
      <c r="I26" s="66">
        <f t="shared" si="11"/>
        <v>1.7871794871794873</v>
      </c>
      <c r="W26" s="66">
        <f t="shared" si="12"/>
        <v>0.74420803782505907</v>
      </c>
    </row>
    <row r="27" spans="2:85">
      <c r="B27" s="36" t="s">
        <v>739</v>
      </c>
      <c r="C27" s="66">
        <f t="shared" si="11"/>
        <v>0.14615384615384616</v>
      </c>
      <c r="D27" s="66">
        <f t="shared" si="11"/>
        <v>0.25641025641025639</v>
      </c>
      <c r="E27" s="66">
        <f t="shared" si="11"/>
        <v>0.30512820512820515</v>
      </c>
      <c r="F27" s="66">
        <f t="shared" si="11"/>
        <v>7.9487179487179482E-2</v>
      </c>
      <c r="G27" s="66">
        <f t="shared" si="11"/>
        <v>-0.68717948717948718</v>
      </c>
      <c r="H27" s="66">
        <f t="shared" si="11"/>
        <v>0.55897435897435899</v>
      </c>
      <c r="I27" s="66">
        <f t="shared" si="11"/>
        <v>0.29487179487179488</v>
      </c>
      <c r="W27" s="66">
        <f t="shared" si="12"/>
        <v>0.14515366430260046</v>
      </c>
    </row>
    <row r="28" spans="2:85">
      <c r="B28" s="36" t="s">
        <v>740</v>
      </c>
      <c r="C28" s="66">
        <f t="shared" si="11"/>
        <v>9.2307692307692313E-2</v>
      </c>
      <c r="D28" s="66">
        <f t="shared" si="11"/>
        <v>0.11025641025641025</v>
      </c>
      <c r="E28" s="66">
        <f t="shared" si="11"/>
        <v>0.18461538461538463</v>
      </c>
      <c r="F28" s="66">
        <f t="shared" si="11"/>
        <v>0.21282051282051281</v>
      </c>
      <c r="G28" s="66">
        <f t="shared" si="11"/>
        <v>1.0256410256410256E-2</v>
      </c>
      <c r="H28" s="66">
        <f t="shared" si="11"/>
        <v>7.6923076923076927E-3</v>
      </c>
      <c r="I28" s="66">
        <f t="shared" si="11"/>
        <v>0</v>
      </c>
      <c r="W28" s="66">
        <f t="shared" si="12"/>
        <v>0.11063829787234042</v>
      </c>
    </row>
    <row r="30" spans="2:85" s="2" customFormat="1" ht="15">
      <c r="B30" s="2" t="s">
        <v>57</v>
      </c>
      <c r="C30" s="2">
        <f t="shared" ref="C30:I30" si="13">C11</f>
        <v>509</v>
      </c>
      <c r="D30" s="2">
        <f t="shared" si="13"/>
        <v>489</v>
      </c>
      <c r="E30" s="2">
        <f t="shared" si="13"/>
        <v>650</v>
      </c>
      <c r="F30" s="2">
        <f t="shared" si="13"/>
        <v>467</v>
      </c>
      <c r="G30" s="2">
        <f t="shared" si="13"/>
        <v>390</v>
      </c>
      <c r="H30" s="2">
        <f t="shared" si="13"/>
        <v>630</v>
      </c>
      <c r="I30" s="2">
        <f t="shared" si="13"/>
        <v>812</v>
      </c>
      <c r="J30" s="34"/>
      <c r="K30" s="34"/>
      <c r="L30" s="34"/>
      <c r="M30" s="34"/>
      <c r="N30" s="34"/>
      <c r="W30" s="2">
        <f>SUM(C30:F30)</f>
        <v>2115</v>
      </c>
      <c r="X30" s="70">
        <f>X11</f>
        <v>2736.4399999999996</v>
      </c>
      <c r="Y30" s="70">
        <f t="shared" ref="Y30:AG30" si="14">Y11</f>
        <v>4586.9665000000005</v>
      </c>
      <c r="Z30" s="70">
        <f t="shared" si="14"/>
        <v>6306.423604999999</v>
      </c>
      <c r="AA30" s="70">
        <f t="shared" si="14"/>
        <v>7077.0231683500006</v>
      </c>
      <c r="AB30" s="70">
        <f t="shared" si="14"/>
        <v>7821.1882591085023</v>
      </c>
      <c r="AC30" s="70">
        <f t="shared" si="14"/>
        <v>8586.3484469108389</v>
      </c>
      <c r="AD30" s="70">
        <f t="shared" si="14"/>
        <v>9363.4433590881399</v>
      </c>
      <c r="AE30" s="70">
        <f t="shared" si="14"/>
        <v>10179.369486659001</v>
      </c>
      <c r="AF30" s="70">
        <f t="shared" si="14"/>
        <v>11031.091709419385</v>
      </c>
      <c r="AG30" s="70">
        <f t="shared" si="14"/>
        <v>11915.027848369873</v>
      </c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</row>
    <row r="31" spans="2:85">
      <c r="B31" s="1" t="s">
        <v>742</v>
      </c>
      <c r="C31" s="1">
        <v>150</v>
      </c>
      <c r="D31" s="1">
        <v>163</v>
      </c>
      <c r="E31" s="1">
        <v>222</v>
      </c>
      <c r="F31" s="1">
        <f>694-SUM(C31:E31)</f>
        <v>159</v>
      </c>
      <c r="G31" s="1">
        <v>268</v>
      </c>
      <c r="H31" s="1">
        <v>150</v>
      </c>
      <c r="I31" s="1">
        <v>259</v>
      </c>
      <c r="W31" s="1">
        <f t="shared" ref="W31:W52" si="15">SUM(C31:F31)</f>
        <v>694</v>
      </c>
    </row>
    <row r="32" spans="2:85">
      <c r="B32" s="1" t="s">
        <v>743</v>
      </c>
      <c r="C32" s="1">
        <v>35</v>
      </c>
      <c r="D32" s="1">
        <v>28</v>
      </c>
      <c r="E32" s="1">
        <v>30</v>
      </c>
      <c r="F32" s="1">
        <f>123-SUM(C32:E32)</f>
        <v>30</v>
      </c>
      <c r="G32" s="1">
        <v>26</v>
      </c>
      <c r="H32" s="1">
        <v>18</v>
      </c>
      <c r="I32" s="1">
        <v>27</v>
      </c>
      <c r="W32" s="1">
        <f t="shared" si="15"/>
        <v>123</v>
      </c>
    </row>
    <row r="33" spans="2:33">
      <c r="B33" s="1" t="s">
        <v>744</v>
      </c>
      <c r="C33" s="1">
        <v>27</v>
      </c>
      <c r="D33" s="1">
        <v>-15</v>
      </c>
      <c r="E33" s="1">
        <v>-7</v>
      </c>
      <c r="F33" s="1">
        <f>-20-SUM(C33:E33)</f>
        <v>-25</v>
      </c>
      <c r="G33" s="1">
        <v>-59</v>
      </c>
      <c r="H33" s="1">
        <v>84</v>
      </c>
      <c r="I33" s="1">
        <v>6</v>
      </c>
      <c r="W33" s="1">
        <f t="shared" si="15"/>
        <v>-20</v>
      </c>
    </row>
    <row r="34" spans="2:33">
      <c r="B34" s="1" t="s">
        <v>752</v>
      </c>
      <c r="C34" s="1">
        <f t="shared" ref="C34:I34" si="16">SUM(C31:C33)</f>
        <v>212</v>
      </c>
      <c r="D34" s="1">
        <f t="shared" si="16"/>
        <v>176</v>
      </c>
      <c r="E34" s="1">
        <f t="shared" si="16"/>
        <v>245</v>
      </c>
      <c r="F34" s="1">
        <f t="shared" si="16"/>
        <v>164</v>
      </c>
      <c r="G34" s="1">
        <f t="shared" si="16"/>
        <v>235</v>
      </c>
      <c r="H34" s="1">
        <f t="shared" si="16"/>
        <v>252</v>
      </c>
      <c r="I34" s="1">
        <f t="shared" si="16"/>
        <v>292</v>
      </c>
      <c r="W34" s="1">
        <f t="shared" si="15"/>
        <v>797</v>
      </c>
      <c r="X34" s="69">
        <f>X30*(1-X54)</f>
        <v>1012.4827999999999</v>
      </c>
      <c r="Y34" s="69">
        <f t="shared" ref="Y34:AG34" si="17">Y30*(1-Y54)</f>
        <v>1834.7866000000004</v>
      </c>
      <c r="Z34" s="69">
        <f t="shared" si="17"/>
        <v>2522.569442</v>
      </c>
      <c r="AA34" s="69">
        <f t="shared" si="17"/>
        <v>2830.8092673400006</v>
      </c>
      <c r="AB34" s="69">
        <f t="shared" si="17"/>
        <v>3128.4753036434013</v>
      </c>
      <c r="AC34" s="69">
        <f t="shared" si="17"/>
        <v>3434.5393787643357</v>
      </c>
      <c r="AD34" s="69">
        <f t="shared" si="17"/>
        <v>3745.3773436352562</v>
      </c>
      <c r="AE34" s="69">
        <f t="shared" si="17"/>
        <v>4071.7477946636009</v>
      </c>
      <c r="AF34" s="69">
        <f t="shared" si="17"/>
        <v>4412.4366837677544</v>
      </c>
      <c r="AG34" s="69">
        <f t="shared" si="17"/>
        <v>4766.0111393479492</v>
      </c>
    </row>
    <row r="35" spans="2:33">
      <c r="B35" s="1" t="s">
        <v>59</v>
      </c>
      <c r="C35" s="1">
        <f t="shared" ref="C35:H35" si="18">C30-C34</f>
        <v>297</v>
      </c>
      <c r="D35" s="1">
        <f t="shared" si="18"/>
        <v>313</v>
      </c>
      <c r="E35" s="1">
        <f t="shared" si="18"/>
        <v>405</v>
      </c>
      <c r="F35" s="1">
        <f t="shared" si="18"/>
        <v>303</v>
      </c>
      <c r="G35" s="1">
        <f t="shared" si="18"/>
        <v>155</v>
      </c>
      <c r="H35" s="1">
        <f t="shared" si="18"/>
        <v>378</v>
      </c>
      <c r="I35" s="1">
        <f>I30-I34</f>
        <v>520</v>
      </c>
      <c r="W35" s="1">
        <f t="shared" si="15"/>
        <v>1318</v>
      </c>
      <c r="X35" s="69">
        <f>X30-X34</f>
        <v>1723.9571999999998</v>
      </c>
      <c r="Y35" s="69">
        <f t="shared" ref="Y35:AG35" si="19">Y30-Y34</f>
        <v>2752.1799000000001</v>
      </c>
      <c r="Z35" s="69">
        <f t="shared" si="19"/>
        <v>3783.8541629999991</v>
      </c>
      <c r="AA35" s="69">
        <f t="shared" si="19"/>
        <v>4246.21390101</v>
      </c>
      <c r="AB35" s="69">
        <f t="shared" si="19"/>
        <v>4692.712955465101</v>
      </c>
      <c r="AC35" s="69">
        <f t="shared" si="19"/>
        <v>5151.8090681465037</v>
      </c>
      <c r="AD35" s="69">
        <f t="shared" si="19"/>
        <v>5618.0660154528832</v>
      </c>
      <c r="AE35" s="69">
        <f t="shared" si="19"/>
        <v>6107.6216919954004</v>
      </c>
      <c r="AF35" s="69">
        <f t="shared" si="19"/>
        <v>6618.6550256516302</v>
      </c>
      <c r="AG35" s="69">
        <f t="shared" si="19"/>
        <v>7149.0167090219238</v>
      </c>
    </row>
    <row r="36" spans="2:33">
      <c r="B36" s="1" t="s">
        <v>745</v>
      </c>
      <c r="C36" s="1">
        <v>154</v>
      </c>
      <c r="D36" s="1">
        <v>164</v>
      </c>
      <c r="E36" s="1">
        <v>127</v>
      </c>
      <c r="F36" s="1">
        <f>592-SUM(C36:E36)</f>
        <v>147</v>
      </c>
      <c r="G36" s="1">
        <v>146</v>
      </c>
      <c r="H36" s="1">
        <v>192</v>
      </c>
      <c r="I36" s="1">
        <v>131</v>
      </c>
      <c r="W36" s="1">
        <f t="shared" si="15"/>
        <v>592</v>
      </c>
      <c r="X36" s="69">
        <f>X30*X55</f>
        <v>875.66079999999988</v>
      </c>
      <c r="Y36" s="69">
        <f t="shared" ref="Y36:AG36" si="20">Y30*Y55</f>
        <v>1559.5686100000003</v>
      </c>
      <c r="Z36" s="69">
        <f t="shared" si="20"/>
        <v>1954.9913175499996</v>
      </c>
      <c r="AA36" s="69">
        <f t="shared" si="20"/>
        <v>2052.3367188215002</v>
      </c>
      <c r="AB36" s="69">
        <f t="shared" si="20"/>
        <v>2229.0386538459229</v>
      </c>
      <c r="AC36" s="69">
        <f t="shared" si="20"/>
        <v>2404.1775651350349</v>
      </c>
      <c r="AD36" s="69">
        <f t="shared" si="20"/>
        <v>2574.9469237492385</v>
      </c>
      <c r="AE36" s="69">
        <f t="shared" si="20"/>
        <v>2748.4297613979306</v>
      </c>
      <c r="AF36" s="69">
        <f t="shared" si="20"/>
        <v>2923.2393029961372</v>
      </c>
      <c r="AG36" s="69">
        <f t="shared" si="20"/>
        <v>3097.9072405761672</v>
      </c>
    </row>
    <row r="37" spans="2:33">
      <c r="B37" s="1" t="s">
        <v>746</v>
      </c>
      <c r="C37" s="1">
        <v>43</v>
      </c>
      <c r="D37" s="1">
        <v>40</v>
      </c>
      <c r="E37" s="1">
        <v>38</v>
      </c>
      <c r="F37" s="1">
        <f>163-SUM(C37:E37)</f>
        <v>42</v>
      </c>
      <c r="G37" s="1">
        <v>34</v>
      </c>
      <c r="H37" s="1">
        <v>41</v>
      </c>
      <c r="I37" s="1">
        <v>38</v>
      </c>
      <c r="W37" s="1">
        <f t="shared" si="15"/>
        <v>163</v>
      </c>
      <c r="X37" s="69">
        <f>X30*X56</f>
        <v>210.8934846335697</v>
      </c>
      <c r="Y37" s="69">
        <f t="shared" ref="Y37:AG37" si="21">Y30*Y56</f>
        <v>353.51089338061468</v>
      </c>
      <c r="Z37" s="69">
        <f t="shared" si="21"/>
        <v>486.02697286761224</v>
      </c>
      <c r="AA37" s="69">
        <f t="shared" si="21"/>
        <v>545.41596994848703</v>
      </c>
      <c r="AB37" s="69">
        <f t="shared" si="21"/>
        <v>602.76770034736921</v>
      </c>
      <c r="AC37" s="69">
        <f t="shared" si="21"/>
        <v>661.73749259880219</v>
      </c>
      <c r="AD37" s="69">
        <f t="shared" si="21"/>
        <v>721.62707684698194</v>
      </c>
      <c r="AE37" s="69">
        <f t="shared" si="21"/>
        <v>784.50932686780959</v>
      </c>
      <c r="AF37" s="69">
        <f t="shared" si="21"/>
        <v>850.1503303240471</v>
      </c>
      <c r="AG37" s="69">
        <f t="shared" si="21"/>
        <v>918.27401384599966</v>
      </c>
    </row>
    <row r="38" spans="2:33">
      <c r="B38" s="1" t="s">
        <v>747</v>
      </c>
      <c r="C38" s="1">
        <v>75</v>
      </c>
      <c r="D38" s="1">
        <v>75</v>
      </c>
      <c r="E38" s="1">
        <v>75</v>
      </c>
      <c r="F38" s="1">
        <f>298-SUM(C38:E38)</f>
        <v>73</v>
      </c>
      <c r="G38" s="1">
        <v>74</v>
      </c>
      <c r="H38" s="1">
        <v>70</v>
      </c>
      <c r="I38" s="1">
        <v>61</v>
      </c>
      <c r="W38" s="1">
        <f t="shared" si="15"/>
        <v>298</v>
      </c>
      <c r="X38" s="69">
        <f>X30*X57</f>
        <v>342.05499999999995</v>
      </c>
      <c r="Y38" s="69">
        <f t="shared" ref="Y38:AG38" si="22">Y30*Y57</f>
        <v>573.37081250000006</v>
      </c>
      <c r="Z38" s="69">
        <f t="shared" si="22"/>
        <v>788.30295062499988</v>
      </c>
      <c r="AA38" s="69">
        <f t="shared" si="22"/>
        <v>884.62789604375007</v>
      </c>
      <c r="AB38" s="69">
        <f t="shared" si="22"/>
        <v>977.64853238856278</v>
      </c>
      <c r="AC38" s="69">
        <f t="shared" si="22"/>
        <v>1073.2935558638549</v>
      </c>
      <c r="AD38" s="69">
        <f t="shared" si="22"/>
        <v>1170.4304198860175</v>
      </c>
      <c r="AE38" s="69">
        <f t="shared" si="22"/>
        <v>1272.4211858323752</v>
      </c>
      <c r="AF38" s="69">
        <f t="shared" si="22"/>
        <v>1378.8864636774231</v>
      </c>
      <c r="AG38" s="69">
        <f t="shared" si="22"/>
        <v>1489.3784810462341</v>
      </c>
    </row>
    <row r="39" spans="2:33">
      <c r="B39" s="1" t="s">
        <v>748</v>
      </c>
      <c r="C39" s="1">
        <v>0</v>
      </c>
      <c r="D39" s="1">
        <v>0</v>
      </c>
      <c r="E39" s="1">
        <v>0</v>
      </c>
      <c r="F39" s="1">
        <f>1-SUM(C39:E39)</f>
        <v>1</v>
      </c>
      <c r="G39" s="1">
        <v>0</v>
      </c>
      <c r="H39" s="1">
        <v>0</v>
      </c>
      <c r="I39" s="1">
        <v>0</v>
      </c>
      <c r="W39" s="1">
        <f t="shared" si="15"/>
        <v>1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</row>
    <row r="40" spans="2:33">
      <c r="B40" s="1" t="s">
        <v>749</v>
      </c>
      <c r="C40" s="1">
        <v>0</v>
      </c>
      <c r="D40" s="1">
        <v>0</v>
      </c>
      <c r="E40" s="1">
        <v>0</v>
      </c>
      <c r="F40" s="1">
        <f>0-SUM(C40:E40)</f>
        <v>0</v>
      </c>
      <c r="G40" s="1">
        <v>0</v>
      </c>
      <c r="H40" s="1">
        <v>0</v>
      </c>
      <c r="I40" s="1">
        <v>0</v>
      </c>
      <c r="W40" s="1">
        <f t="shared" si="15"/>
        <v>0</v>
      </c>
      <c r="X40" s="69">
        <v>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</row>
    <row r="41" spans="2:33">
      <c r="B41" s="1" t="s">
        <v>750</v>
      </c>
      <c r="C41" s="1">
        <v>0</v>
      </c>
      <c r="D41" s="1">
        <v>7</v>
      </c>
      <c r="E41" s="1">
        <v>7</v>
      </c>
      <c r="F41" s="1">
        <f>38-SUM(C41:E41)</f>
        <v>24</v>
      </c>
      <c r="G41" s="1">
        <v>7</v>
      </c>
      <c r="H41" s="1">
        <v>9</v>
      </c>
      <c r="I41" s="1">
        <v>27</v>
      </c>
      <c r="W41" s="1">
        <f t="shared" si="15"/>
        <v>38</v>
      </c>
      <c r="X41" s="69">
        <f>X35*X58</f>
        <v>43.098929999999996</v>
      </c>
      <c r="Y41" s="69">
        <f t="shared" ref="Y41:AG41" si="23">Y35*Y58</f>
        <v>68.804497500000011</v>
      </c>
      <c r="Z41" s="69">
        <f t="shared" si="23"/>
        <v>94.596354074999979</v>
      </c>
      <c r="AA41" s="69">
        <f t="shared" si="23"/>
        <v>106.15534752525001</v>
      </c>
      <c r="AB41" s="69">
        <f t="shared" si="23"/>
        <v>117.31782388662754</v>
      </c>
      <c r="AC41" s="69">
        <f t="shared" si="23"/>
        <v>128.79522670366259</v>
      </c>
      <c r="AD41" s="69">
        <f t="shared" si="23"/>
        <v>140.45165038632209</v>
      </c>
      <c r="AE41" s="69">
        <f t="shared" si="23"/>
        <v>152.69054229988501</v>
      </c>
      <c r="AF41" s="69">
        <f t="shared" si="23"/>
        <v>165.46637564129077</v>
      </c>
      <c r="AG41" s="69">
        <f t="shared" si="23"/>
        <v>178.72541772554811</v>
      </c>
    </row>
    <row r="42" spans="2:33">
      <c r="B42" s="1" t="s">
        <v>751</v>
      </c>
      <c r="C42" s="1">
        <f t="shared" ref="C42:I42" si="24">C35-SUM(C36:C41)</f>
        <v>25</v>
      </c>
      <c r="D42" s="1">
        <f t="shared" si="24"/>
        <v>27</v>
      </c>
      <c r="E42" s="1">
        <f t="shared" si="24"/>
        <v>158</v>
      </c>
      <c r="F42" s="1">
        <f t="shared" si="24"/>
        <v>16</v>
      </c>
      <c r="G42" s="1">
        <f t="shared" si="24"/>
        <v>-106</v>
      </c>
      <c r="H42" s="1">
        <f t="shared" si="24"/>
        <v>66</v>
      </c>
      <c r="I42" s="1">
        <f t="shared" si="24"/>
        <v>263</v>
      </c>
      <c r="W42" s="1">
        <f t="shared" si="15"/>
        <v>226</v>
      </c>
      <c r="X42" s="69">
        <f>X35-SUM(X36:X41)</f>
        <v>252.24898536643013</v>
      </c>
      <c r="Y42" s="69">
        <f t="shared" ref="Y42:AG42" si="25">Y35-SUM(Y36:Y41)</f>
        <v>196.92508661938564</v>
      </c>
      <c r="Z42" s="69">
        <f t="shared" si="25"/>
        <v>459.93656788238741</v>
      </c>
      <c r="AA42" s="69">
        <f t="shared" si="25"/>
        <v>657.67796867101288</v>
      </c>
      <c r="AB42" s="69">
        <f t="shared" si="25"/>
        <v>765.94024499661873</v>
      </c>
      <c r="AC42" s="69">
        <f t="shared" si="25"/>
        <v>883.8052278451496</v>
      </c>
      <c r="AD42" s="69">
        <f t="shared" si="25"/>
        <v>1010.6099445843229</v>
      </c>
      <c r="AE42" s="69">
        <f t="shared" si="25"/>
        <v>1149.5708755974001</v>
      </c>
      <c r="AF42" s="69">
        <f t="shared" si="25"/>
        <v>1300.9125530127321</v>
      </c>
      <c r="AG42" s="69">
        <f t="shared" si="25"/>
        <v>1464.7315558279752</v>
      </c>
    </row>
    <row r="43" spans="2:33">
      <c r="B43" s="1" t="s">
        <v>797</v>
      </c>
      <c r="C43" s="1">
        <v>75</v>
      </c>
      <c r="D43" s="1">
        <v>27</v>
      </c>
      <c r="E43" s="1">
        <v>67</v>
      </c>
      <c r="F43" s="1">
        <f>178-SUM(C43:E43)</f>
        <v>9</v>
      </c>
      <c r="G43" s="1">
        <v>-12</v>
      </c>
      <c r="H43" s="1">
        <v>80</v>
      </c>
      <c r="I43" s="1">
        <v>81</v>
      </c>
      <c r="W43" s="1">
        <f t="shared" si="15"/>
        <v>178</v>
      </c>
      <c r="X43" s="69">
        <f>W43*(1.025)</f>
        <v>182.45</v>
      </c>
      <c r="Y43" s="69">
        <f t="shared" ref="Y43:AG43" si="26">X43*(1.025)</f>
        <v>187.01124999999996</v>
      </c>
      <c r="Z43" s="69">
        <f t="shared" si="26"/>
        <v>191.68653124999994</v>
      </c>
      <c r="AA43" s="69">
        <f t="shared" si="26"/>
        <v>196.47869453124991</v>
      </c>
      <c r="AB43" s="69">
        <f t="shared" si="26"/>
        <v>201.39066189453115</v>
      </c>
      <c r="AC43" s="69">
        <f t="shared" si="26"/>
        <v>206.42542844189441</v>
      </c>
      <c r="AD43" s="69">
        <f t="shared" si="26"/>
        <v>211.58606415294176</v>
      </c>
      <c r="AE43" s="69">
        <f t="shared" si="26"/>
        <v>216.87571575676529</v>
      </c>
      <c r="AF43" s="69">
        <f t="shared" si="26"/>
        <v>222.2976086506844</v>
      </c>
      <c r="AG43" s="69">
        <f t="shared" si="26"/>
        <v>227.85504886695148</v>
      </c>
    </row>
    <row r="44" spans="2:33">
      <c r="B44" s="1" t="s">
        <v>753</v>
      </c>
      <c r="C44" s="1">
        <v>-59</v>
      </c>
      <c r="D44" s="1">
        <v>-62</v>
      </c>
      <c r="E44" s="1">
        <v>-66</v>
      </c>
      <c r="F44" s="1">
        <f>-238-SUM(C44:E44)</f>
        <v>-51</v>
      </c>
      <c r="G44" s="1">
        <v>-74</v>
      </c>
      <c r="H44" s="1">
        <v>-62</v>
      </c>
      <c r="I44" s="1">
        <v>-67</v>
      </c>
      <c r="W44" s="1">
        <f t="shared" si="15"/>
        <v>-238</v>
      </c>
      <c r="X44" s="69">
        <f>-(SUM(H75:H76)+H81)*0.09</f>
        <v>-275.31</v>
      </c>
      <c r="Y44" s="69">
        <f>X44*1.09</f>
        <v>-300.08790000000005</v>
      </c>
      <c r="Z44" s="69">
        <f t="shared" ref="Z44:AG44" si="27">Y44*1.09</f>
        <v>-327.09581100000008</v>
      </c>
      <c r="AA44" s="69">
        <f t="shared" si="27"/>
        <v>-356.53443399000014</v>
      </c>
      <c r="AB44" s="69">
        <f t="shared" si="27"/>
        <v>-388.62253304910018</v>
      </c>
      <c r="AC44" s="69">
        <f t="shared" si="27"/>
        <v>-423.59856102351921</v>
      </c>
      <c r="AD44" s="69">
        <f t="shared" si="27"/>
        <v>-461.72243151563595</v>
      </c>
      <c r="AE44" s="69">
        <f t="shared" si="27"/>
        <v>-503.27745035204322</v>
      </c>
      <c r="AF44" s="69">
        <f t="shared" si="27"/>
        <v>-548.57242088372709</v>
      </c>
      <c r="AG44" s="69">
        <f t="shared" si="27"/>
        <v>-597.94393876326262</v>
      </c>
    </row>
    <row r="45" spans="2:33">
      <c r="B45" s="1" t="s">
        <v>754</v>
      </c>
      <c r="C45" s="1">
        <v>324</v>
      </c>
      <c r="D45" s="1">
        <v>561</v>
      </c>
      <c r="E45" s="1">
        <v>0</v>
      </c>
      <c r="F45" s="1">
        <f>0-SUM(C45:E45)</f>
        <v>-885</v>
      </c>
      <c r="G45" s="1">
        <v>2</v>
      </c>
      <c r="H45" s="1">
        <v>9</v>
      </c>
      <c r="I45" s="1">
        <v>25</v>
      </c>
      <c r="W45" s="1">
        <f t="shared" si="15"/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</row>
    <row r="46" spans="2:33">
      <c r="B46" s="1" t="s">
        <v>755</v>
      </c>
      <c r="C46" s="1">
        <v>0</v>
      </c>
      <c r="D46" s="1">
        <v>0</v>
      </c>
      <c r="E46" s="1">
        <v>0</v>
      </c>
      <c r="F46" s="1">
        <f>884+SUM(C46:E46)</f>
        <v>884</v>
      </c>
      <c r="G46" s="1">
        <v>0</v>
      </c>
      <c r="H46" s="1">
        <v>0</v>
      </c>
      <c r="I46" s="1">
        <v>0</v>
      </c>
      <c r="W46" s="1">
        <f t="shared" si="15"/>
        <v>884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</row>
    <row r="47" spans="2:33">
      <c r="B47" s="1" t="s">
        <v>756</v>
      </c>
      <c r="C47" s="1">
        <v>23</v>
      </c>
      <c r="D47" s="1">
        <v>17</v>
      </c>
      <c r="E47" s="1">
        <v>20</v>
      </c>
      <c r="F47" s="1">
        <f>61-SUM(C47:E47)</f>
        <v>1</v>
      </c>
      <c r="G47" s="1">
        <v>3</v>
      </c>
      <c r="H47" s="1">
        <v>4</v>
      </c>
      <c r="I47" s="1">
        <v>2</v>
      </c>
      <c r="W47" s="1">
        <f t="shared" si="15"/>
        <v>61</v>
      </c>
      <c r="X47" s="69">
        <f t="shared" ref="X47:AC47" si="28">W63*(1+$AG$65)</f>
        <v>335.54399999999998</v>
      </c>
      <c r="Y47" s="69">
        <f t="shared" si="28"/>
        <v>715.28133302239337</v>
      </c>
      <c r="Z47" s="69">
        <f t="shared" si="28"/>
        <v>1328.4136487800483</v>
      </c>
      <c r="AA47" s="69">
        <f t="shared" si="28"/>
        <v>2596.6325826261141</v>
      </c>
      <c r="AB47" s="69">
        <f t="shared" si="28"/>
        <v>4970.6995870091077</v>
      </c>
      <c r="AC47" s="69">
        <f t="shared" si="28"/>
        <v>9228.4828449721572</v>
      </c>
      <c r="AD47" s="69">
        <f>AC47*(1+$AG$65)</f>
        <v>9440.7379504065157</v>
      </c>
      <c r="AE47" s="69">
        <f>AD47*(1+$AG$65)</f>
        <v>9657.8749232658647</v>
      </c>
      <c r="AF47" s="69">
        <f>AE47*(1+$AG$65)</f>
        <v>9880.0060465009792</v>
      </c>
      <c r="AG47" s="69">
        <f>AF47*(1+$AG$65)</f>
        <v>10107.246185570501</v>
      </c>
    </row>
    <row r="48" spans="2:33">
      <c r="B48" s="1" t="s">
        <v>757</v>
      </c>
      <c r="C48" s="1">
        <f t="shared" ref="C48:I48" si="29">C42+SUM(C43:C47)</f>
        <v>388</v>
      </c>
      <c r="D48" s="1">
        <f t="shared" si="29"/>
        <v>570</v>
      </c>
      <c r="E48" s="1">
        <f t="shared" si="29"/>
        <v>179</v>
      </c>
      <c r="F48" s="1">
        <f t="shared" si="29"/>
        <v>-26</v>
      </c>
      <c r="G48" s="1">
        <f t="shared" si="29"/>
        <v>-187</v>
      </c>
      <c r="H48" s="1">
        <f t="shared" si="29"/>
        <v>97</v>
      </c>
      <c r="I48" s="1">
        <f t="shared" si="29"/>
        <v>304</v>
      </c>
      <c r="W48" s="1">
        <f t="shared" si="15"/>
        <v>1111</v>
      </c>
      <c r="X48" s="69">
        <f>X42+SUM(X43:X47)</f>
        <v>494.9329853664301</v>
      </c>
      <c r="Y48" s="69">
        <f t="shared" ref="Y48:AG48" si="30">Y42+SUM(Y43:Y47)</f>
        <v>799.12976964177892</v>
      </c>
      <c r="Z48" s="69">
        <f t="shared" si="30"/>
        <v>1652.9409369124355</v>
      </c>
      <c r="AA48" s="69">
        <f t="shared" si="30"/>
        <v>3094.2548118383766</v>
      </c>
      <c r="AB48" s="69">
        <f t="shared" si="30"/>
        <v>5549.4079608511565</v>
      </c>
      <c r="AC48" s="69">
        <f t="shared" si="30"/>
        <v>9895.1149402356823</v>
      </c>
      <c r="AD48" s="69">
        <f t="shared" si="30"/>
        <v>10201.211527628144</v>
      </c>
      <c r="AE48" s="69">
        <f t="shared" si="30"/>
        <v>10521.044064267986</v>
      </c>
      <c r="AF48" s="69">
        <f t="shared" si="30"/>
        <v>10854.643787280667</v>
      </c>
      <c r="AG48" s="69">
        <f t="shared" si="30"/>
        <v>11201.888851502164</v>
      </c>
    </row>
    <row r="49" spans="2:85">
      <c r="B49" s="1" t="s">
        <v>758</v>
      </c>
      <c r="C49" s="1">
        <v>69</v>
      </c>
      <c r="D49" s="1">
        <v>112</v>
      </c>
      <c r="E49" s="1">
        <v>10</v>
      </c>
      <c r="F49" s="1">
        <f>98-SUM(C49:E49)</f>
        <v>-93</v>
      </c>
      <c r="G49" s="1">
        <v>-52</v>
      </c>
      <c r="H49" s="1">
        <v>25</v>
      </c>
      <c r="I49" s="1">
        <v>97</v>
      </c>
      <c r="W49" s="1">
        <f t="shared" si="15"/>
        <v>98</v>
      </c>
      <c r="X49" s="69">
        <f>X48*X60</f>
        <v>123.73324634160753</v>
      </c>
      <c r="Y49" s="69">
        <f t="shared" ref="Y49:AG49" si="31">Y48*Y60</f>
        <v>199.78244241044473</v>
      </c>
      <c r="Z49" s="69">
        <f t="shared" si="31"/>
        <v>413.23523422810888</v>
      </c>
      <c r="AA49" s="69">
        <f t="shared" si="31"/>
        <v>773.56370295959414</v>
      </c>
      <c r="AB49" s="69">
        <f t="shared" si="31"/>
        <v>1387.3519902127891</v>
      </c>
      <c r="AC49" s="69">
        <f t="shared" si="31"/>
        <v>2473.7787350589206</v>
      </c>
      <c r="AD49" s="69">
        <f t="shared" si="31"/>
        <v>2550.302881907036</v>
      </c>
      <c r="AE49" s="69">
        <f t="shared" si="31"/>
        <v>2630.2610160669965</v>
      </c>
      <c r="AF49" s="69">
        <f t="shared" si="31"/>
        <v>2713.6609468201668</v>
      </c>
      <c r="AG49" s="69">
        <f t="shared" si="31"/>
        <v>2800.4722128755411</v>
      </c>
    </row>
    <row r="50" spans="2:85" s="2" customFormat="1" ht="15">
      <c r="B50" s="2" t="s">
        <v>759</v>
      </c>
      <c r="C50" s="2">
        <f>C48-C49-25</f>
        <v>294</v>
      </c>
      <c r="D50" s="2">
        <f>D48-D49-4</f>
        <v>454</v>
      </c>
      <c r="E50" s="2">
        <f>E48-E49-1</f>
        <v>168</v>
      </c>
      <c r="F50" s="2">
        <f>F48-F49+15</f>
        <v>82</v>
      </c>
      <c r="G50" s="2">
        <f>G48-G49</f>
        <v>-135</v>
      </c>
      <c r="H50" s="2">
        <f>H48-H49</f>
        <v>72</v>
      </c>
      <c r="I50" s="2">
        <f>I48-I49</f>
        <v>207</v>
      </c>
      <c r="J50" s="34"/>
      <c r="K50" s="34"/>
      <c r="L50" s="34"/>
      <c r="M50" s="34"/>
      <c r="N50" s="34"/>
      <c r="W50" s="72">
        <f t="shared" si="15"/>
        <v>998</v>
      </c>
      <c r="X50" s="70">
        <f>X48-X49</f>
        <v>371.19973902482258</v>
      </c>
      <c r="Y50" s="70">
        <f t="shared" ref="Y50:AG50" si="32">Y48-Y49</f>
        <v>599.34732723133425</v>
      </c>
      <c r="Z50" s="70">
        <f t="shared" si="32"/>
        <v>1239.7057026843268</v>
      </c>
      <c r="AA50" s="70">
        <f t="shared" si="32"/>
        <v>2320.6911088787824</v>
      </c>
      <c r="AB50" s="70">
        <f t="shared" si="32"/>
        <v>4162.0559706383674</v>
      </c>
      <c r="AC50" s="70">
        <f t="shared" si="32"/>
        <v>7421.3362051767617</v>
      </c>
      <c r="AD50" s="70">
        <f t="shared" si="32"/>
        <v>7650.9086457211079</v>
      </c>
      <c r="AE50" s="70">
        <f t="shared" si="32"/>
        <v>7890.7830482009895</v>
      </c>
      <c r="AF50" s="70">
        <f t="shared" si="32"/>
        <v>8140.9828404605005</v>
      </c>
      <c r="AG50" s="70">
        <f t="shared" si="32"/>
        <v>8401.4166386266224</v>
      </c>
      <c r="AH50" s="70">
        <f>AG50*(1+$AG$66)</f>
        <v>8485.4308050128893</v>
      </c>
      <c r="AI50" s="70">
        <f t="shared" ref="AI50:CE50" si="33">AH50*(1+$AG$66)</f>
        <v>8570.2851130630188</v>
      </c>
      <c r="AJ50" s="70">
        <f t="shared" si="33"/>
        <v>8655.9879641936495</v>
      </c>
      <c r="AK50" s="70">
        <f t="shared" si="33"/>
        <v>8742.5478438355858</v>
      </c>
      <c r="AL50" s="70">
        <f t="shared" si="33"/>
        <v>8829.9733222739414</v>
      </c>
      <c r="AM50" s="70">
        <f t="shared" si="33"/>
        <v>8918.2730554966802</v>
      </c>
      <c r="AN50" s="70">
        <f t="shared" si="33"/>
        <v>9007.455786051647</v>
      </c>
      <c r="AO50" s="70">
        <f t="shared" si="33"/>
        <v>9097.5303439121635</v>
      </c>
      <c r="AP50" s="70">
        <f t="shared" si="33"/>
        <v>9188.505647351285</v>
      </c>
      <c r="AQ50" s="70">
        <f t="shared" si="33"/>
        <v>9280.390703824798</v>
      </c>
      <c r="AR50" s="70">
        <f t="shared" si="33"/>
        <v>9373.1946108630455</v>
      </c>
      <c r="AS50" s="70">
        <f t="shared" si="33"/>
        <v>9466.9265569716754</v>
      </c>
      <c r="AT50" s="70">
        <f t="shared" si="33"/>
        <v>9561.5958225413924</v>
      </c>
      <c r="AU50" s="70">
        <f t="shared" si="33"/>
        <v>9657.2117807668055</v>
      </c>
      <c r="AV50" s="70">
        <f t="shared" si="33"/>
        <v>9753.7838985744729</v>
      </c>
      <c r="AW50" s="70">
        <f t="shared" si="33"/>
        <v>9851.321737560218</v>
      </c>
      <c r="AX50" s="70">
        <f t="shared" si="33"/>
        <v>9949.8349549358209</v>
      </c>
      <c r="AY50" s="70">
        <f t="shared" si="33"/>
        <v>10049.333304485179</v>
      </c>
      <c r="AZ50" s="70">
        <f t="shared" si="33"/>
        <v>10149.82663753003</v>
      </c>
      <c r="BA50" s="70">
        <f t="shared" si="33"/>
        <v>10251.32490390533</v>
      </c>
      <c r="BB50" s="70">
        <f t="shared" si="33"/>
        <v>10353.838152944383</v>
      </c>
      <c r="BC50" s="70">
        <f t="shared" si="33"/>
        <v>10457.376534473828</v>
      </c>
      <c r="BD50" s="70">
        <f t="shared" si="33"/>
        <v>10561.950299818565</v>
      </c>
      <c r="BE50" s="70">
        <f t="shared" si="33"/>
        <v>10667.569802816752</v>
      </c>
      <c r="BF50" s="70">
        <f t="shared" si="33"/>
        <v>10774.24550084492</v>
      </c>
      <c r="BG50" s="70">
        <f t="shared" si="33"/>
        <v>10881.987955853368</v>
      </c>
      <c r="BH50" s="70">
        <f t="shared" si="33"/>
        <v>10990.807835411902</v>
      </c>
      <c r="BI50" s="70">
        <f t="shared" si="33"/>
        <v>11100.715913766022</v>
      </c>
      <c r="BJ50" s="70">
        <f t="shared" si="33"/>
        <v>11211.723072903682</v>
      </c>
      <c r="BK50" s="70">
        <f t="shared" si="33"/>
        <v>11323.840303632718</v>
      </c>
      <c r="BL50" s="70">
        <f t="shared" si="33"/>
        <v>11437.078706669045</v>
      </c>
      <c r="BM50" s="70">
        <f t="shared" si="33"/>
        <v>11551.449493735736</v>
      </c>
      <c r="BN50" s="70">
        <f t="shared" si="33"/>
        <v>11666.963988673093</v>
      </c>
      <c r="BO50" s="70">
        <f t="shared" si="33"/>
        <v>11783.633628559825</v>
      </c>
      <c r="BP50" s="70">
        <f t="shared" si="33"/>
        <v>11901.469964845423</v>
      </c>
      <c r="BQ50" s="70">
        <f t="shared" si="33"/>
        <v>12020.484664493877</v>
      </c>
      <c r="BR50" s="70">
        <f t="shared" si="33"/>
        <v>12140.689511138817</v>
      </c>
      <c r="BS50" s="70">
        <f t="shared" si="33"/>
        <v>12262.096406250204</v>
      </c>
      <c r="BT50" s="70">
        <f t="shared" si="33"/>
        <v>12384.717370312706</v>
      </c>
      <c r="BU50" s="70">
        <f t="shared" si="33"/>
        <v>12508.564544015833</v>
      </c>
      <c r="BV50" s="70">
        <f t="shared" si="33"/>
        <v>12633.650189455991</v>
      </c>
      <c r="BW50" s="70">
        <f t="shared" si="33"/>
        <v>12759.986691350552</v>
      </c>
      <c r="BX50" s="70">
        <f t="shared" si="33"/>
        <v>12887.586558264058</v>
      </c>
      <c r="BY50" s="70">
        <f t="shared" si="33"/>
        <v>13016.462423846699</v>
      </c>
      <c r="BZ50" s="70">
        <f t="shared" si="33"/>
        <v>13146.627048085165</v>
      </c>
      <c r="CA50" s="70">
        <f t="shared" si="33"/>
        <v>13278.093318566018</v>
      </c>
      <c r="CB50" s="70">
        <f t="shared" si="33"/>
        <v>13410.874251751678</v>
      </c>
      <c r="CC50" s="70">
        <f t="shared" si="33"/>
        <v>13544.982994269196</v>
      </c>
      <c r="CD50" s="70">
        <f t="shared" si="33"/>
        <v>13680.432824211888</v>
      </c>
      <c r="CE50" s="70">
        <f t="shared" si="33"/>
        <v>13817.237152454007</v>
      </c>
      <c r="CF50" s="34"/>
      <c r="CG50" s="34"/>
    </row>
    <row r="51" spans="2:85">
      <c r="B51" s="1" t="s">
        <v>76</v>
      </c>
      <c r="C51" s="68">
        <v>58.9</v>
      </c>
      <c r="D51" s="68">
        <v>57.433999999999997</v>
      </c>
      <c r="E51" s="68">
        <v>50.923999999999999</v>
      </c>
      <c r="F51" s="68">
        <v>54.253999999999998</v>
      </c>
      <c r="G51" s="68">
        <v>45.848999999999997</v>
      </c>
      <c r="H51" s="68">
        <v>45.55</v>
      </c>
      <c r="I51" s="68">
        <v>45.683999999999997</v>
      </c>
      <c r="W51" s="68">
        <v>54.253999999999998</v>
      </c>
    </row>
    <row r="52" spans="2:85">
      <c r="B52" s="1" t="s">
        <v>760</v>
      </c>
      <c r="C52" s="39">
        <f>C50/C51+0.01</f>
        <v>5.0015110356536505</v>
      </c>
      <c r="D52" s="39">
        <f t="shared" ref="D52:I52" si="34">D50/D51</f>
        <v>7.9047254239648987</v>
      </c>
      <c r="E52" s="39">
        <f t="shared" si="34"/>
        <v>3.2990338543712201</v>
      </c>
      <c r="F52" s="39">
        <f t="shared" si="34"/>
        <v>1.5114092970103588</v>
      </c>
      <c r="G52" s="39">
        <f t="shared" si="34"/>
        <v>-2.9444480795655306</v>
      </c>
      <c r="H52" s="39">
        <f t="shared" si="34"/>
        <v>1.5806805708013174</v>
      </c>
      <c r="I52" s="39">
        <f t="shared" si="34"/>
        <v>4.531126871552404</v>
      </c>
      <c r="W52" s="39">
        <f t="shared" si="15"/>
        <v>17.716679611000128</v>
      </c>
    </row>
    <row r="54" spans="2:85">
      <c r="B54" s="37" t="s">
        <v>60</v>
      </c>
      <c r="C54" s="66">
        <f t="shared" ref="C54:H54" si="35">C35/C30</f>
        <v>0.58349705304518662</v>
      </c>
      <c r="D54" s="66">
        <f t="shared" si="35"/>
        <v>0.64008179959100209</v>
      </c>
      <c r="E54" s="66">
        <f t="shared" si="35"/>
        <v>0.62307692307692308</v>
      </c>
      <c r="F54" s="66">
        <f t="shared" si="35"/>
        <v>0.64882226980728053</v>
      </c>
      <c r="G54" s="66">
        <f t="shared" si="35"/>
        <v>0.39743589743589741</v>
      </c>
      <c r="H54" s="66">
        <f t="shared" si="35"/>
        <v>0.6</v>
      </c>
      <c r="I54" s="66">
        <f>I35/I30</f>
        <v>0.64039408866995073</v>
      </c>
      <c r="W54" s="66">
        <f>W35/W30</f>
        <v>0.6231678486997636</v>
      </c>
      <c r="X54" s="71">
        <v>0.63</v>
      </c>
      <c r="Y54" s="71">
        <v>0.6</v>
      </c>
      <c r="Z54" s="71">
        <v>0.6</v>
      </c>
      <c r="AA54" s="71">
        <v>0.6</v>
      </c>
      <c r="AB54" s="71">
        <v>0.6</v>
      </c>
      <c r="AC54" s="71">
        <v>0.6</v>
      </c>
      <c r="AD54" s="71">
        <v>0.6</v>
      </c>
      <c r="AE54" s="71">
        <v>0.6</v>
      </c>
      <c r="AF54" s="71">
        <v>0.6</v>
      </c>
      <c r="AG54" s="71">
        <v>0.6</v>
      </c>
    </row>
    <row r="55" spans="2:85">
      <c r="B55" s="1" t="s">
        <v>794</v>
      </c>
      <c r="C55" s="66">
        <f t="shared" ref="C55:I55" si="36">C36/C30</f>
        <v>0.30255402750491162</v>
      </c>
      <c r="D55" s="66">
        <f t="shared" si="36"/>
        <v>0.33537832310838445</v>
      </c>
      <c r="E55" s="66">
        <f t="shared" si="36"/>
        <v>0.19538461538461538</v>
      </c>
      <c r="F55" s="66">
        <f t="shared" si="36"/>
        <v>0.31477516059957172</v>
      </c>
      <c r="G55" s="66">
        <f t="shared" si="36"/>
        <v>0.37435897435897436</v>
      </c>
      <c r="H55" s="66">
        <f t="shared" si="36"/>
        <v>0.30476190476190479</v>
      </c>
      <c r="I55" s="66">
        <f t="shared" si="36"/>
        <v>0.16133004926108374</v>
      </c>
      <c r="W55" s="66">
        <f>W36/W30</f>
        <v>0.27990543735224588</v>
      </c>
      <c r="X55" s="71">
        <v>0.32</v>
      </c>
      <c r="Y55" s="71">
        <v>0.34</v>
      </c>
      <c r="Z55" s="71">
        <v>0.31</v>
      </c>
      <c r="AA55" s="71">
        <v>0.28999999999999998</v>
      </c>
      <c r="AB55" s="71">
        <v>0.28499999999999998</v>
      </c>
      <c r="AC55" s="71">
        <v>0.28000000000000003</v>
      </c>
      <c r="AD55" s="71">
        <v>0.27500000000000002</v>
      </c>
      <c r="AE55" s="71">
        <v>0.27</v>
      </c>
      <c r="AF55" s="71">
        <v>0.26500000000000001</v>
      </c>
      <c r="AG55" s="71">
        <v>0.26</v>
      </c>
    </row>
    <row r="56" spans="2:85">
      <c r="B56" s="37" t="s">
        <v>768</v>
      </c>
      <c r="C56" s="66">
        <f t="shared" ref="C56:H56" si="37">C37/C30</f>
        <v>8.4479371316306479E-2</v>
      </c>
      <c r="D56" s="66">
        <f t="shared" si="37"/>
        <v>8.1799591002044994E-2</v>
      </c>
      <c r="E56" s="66">
        <f t="shared" si="37"/>
        <v>5.8461538461538461E-2</v>
      </c>
      <c r="F56" s="66">
        <f t="shared" si="37"/>
        <v>8.9935760171306209E-2</v>
      </c>
      <c r="G56" s="66">
        <f t="shared" si="37"/>
        <v>8.7179487179487175E-2</v>
      </c>
      <c r="H56" s="66">
        <f t="shared" si="37"/>
        <v>6.5079365079365084E-2</v>
      </c>
      <c r="I56" s="66">
        <f>I37/I30</f>
        <v>4.6798029556650245E-2</v>
      </c>
      <c r="W56" s="66">
        <f>W37/W30</f>
        <v>7.706855791962175E-2</v>
      </c>
      <c r="X56" s="71">
        <v>7.706855791962175E-2</v>
      </c>
      <c r="Y56" s="71">
        <v>7.706855791962175E-2</v>
      </c>
      <c r="Z56" s="71">
        <v>7.706855791962175E-2</v>
      </c>
      <c r="AA56" s="71">
        <v>7.706855791962175E-2</v>
      </c>
      <c r="AB56" s="71">
        <v>7.706855791962175E-2</v>
      </c>
      <c r="AC56" s="71">
        <v>7.706855791962175E-2</v>
      </c>
      <c r="AD56" s="71">
        <v>7.706855791962175E-2</v>
      </c>
      <c r="AE56" s="71">
        <v>7.706855791962175E-2</v>
      </c>
      <c r="AF56" s="71">
        <v>7.706855791962175E-2</v>
      </c>
      <c r="AG56" s="71">
        <v>7.706855791962175E-2</v>
      </c>
    </row>
    <row r="57" spans="2:85">
      <c r="B57" s="37" t="s">
        <v>795</v>
      </c>
      <c r="C57" s="66">
        <f t="shared" ref="C57:I57" si="38">C38/C30</f>
        <v>0.14734774066797643</v>
      </c>
      <c r="D57" s="66">
        <f t="shared" si="38"/>
        <v>0.15337423312883436</v>
      </c>
      <c r="E57" s="66">
        <f t="shared" si="38"/>
        <v>0.11538461538461539</v>
      </c>
      <c r="F57" s="66">
        <f t="shared" si="38"/>
        <v>0.15631691648822268</v>
      </c>
      <c r="G57" s="66">
        <f t="shared" si="38"/>
        <v>0.18974358974358974</v>
      </c>
      <c r="H57" s="66">
        <f t="shared" si="38"/>
        <v>0.1111111111111111</v>
      </c>
      <c r="I57" s="66">
        <f t="shared" si="38"/>
        <v>7.5123152709359611E-2</v>
      </c>
      <c r="W57" s="66">
        <f>W38/W30</f>
        <v>0.14089834515366431</v>
      </c>
      <c r="X57" s="71">
        <v>0.125</v>
      </c>
      <c r="Y57" s="71">
        <v>0.125</v>
      </c>
      <c r="Z57" s="71">
        <v>0.125</v>
      </c>
      <c r="AA57" s="71">
        <v>0.125</v>
      </c>
      <c r="AB57" s="71">
        <v>0.125</v>
      </c>
      <c r="AC57" s="71">
        <v>0.125</v>
      </c>
      <c r="AD57" s="71">
        <v>0.125</v>
      </c>
      <c r="AE57" s="71">
        <v>0.125</v>
      </c>
      <c r="AF57" s="71">
        <v>0.125</v>
      </c>
      <c r="AG57" s="71">
        <v>0.125</v>
      </c>
    </row>
    <row r="58" spans="2:85">
      <c r="B58" s="37" t="s">
        <v>796</v>
      </c>
      <c r="C58" s="66">
        <f t="shared" ref="C58:I58" si="39">C41/C30</f>
        <v>0</v>
      </c>
      <c r="D58" s="66">
        <f t="shared" si="39"/>
        <v>1.4314928425357873E-2</v>
      </c>
      <c r="E58" s="66">
        <f t="shared" si="39"/>
        <v>1.0769230769230769E-2</v>
      </c>
      <c r="F58" s="66">
        <f t="shared" si="39"/>
        <v>5.1391862955032119E-2</v>
      </c>
      <c r="G58" s="66">
        <f t="shared" si="39"/>
        <v>1.7948717948717947E-2</v>
      </c>
      <c r="H58" s="66">
        <f t="shared" si="39"/>
        <v>1.4285714285714285E-2</v>
      </c>
      <c r="I58" s="66">
        <f t="shared" si="39"/>
        <v>3.3251231527093597E-2</v>
      </c>
      <c r="W58" s="66">
        <f>W41/W30</f>
        <v>1.7966903073286054E-2</v>
      </c>
      <c r="X58" s="71">
        <v>2.5000000000000001E-2</v>
      </c>
      <c r="Y58" s="71">
        <v>2.5000000000000001E-2</v>
      </c>
      <c r="Z58" s="71">
        <v>2.5000000000000001E-2</v>
      </c>
      <c r="AA58" s="71">
        <v>2.5000000000000001E-2</v>
      </c>
      <c r="AB58" s="71">
        <v>2.5000000000000001E-2</v>
      </c>
      <c r="AC58" s="71">
        <v>2.5000000000000001E-2</v>
      </c>
      <c r="AD58" s="71">
        <v>2.5000000000000001E-2</v>
      </c>
      <c r="AE58" s="71">
        <v>2.5000000000000001E-2</v>
      </c>
      <c r="AF58" s="71">
        <v>2.5000000000000001E-2</v>
      </c>
      <c r="AG58" s="71">
        <v>2.5000000000000001E-2</v>
      </c>
    </row>
    <row r="59" spans="2:85">
      <c r="B59" s="37" t="s">
        <v>61</v>
      </c>
      <c r="C59" s="66">
        <f t="shared" ref="C59:H59" si="40">C42/C30</f>
        <v>4.9115913555992138E-2</v>
      </c>
      <c r="D59" s="66">
        <f t="shared" si="40"/>
        <v>5.5214723926380369E-2</v>
      </c>
      <c r="E59" s="66">
        <f t="shared" si="40"/>
        <v>0.24307692307692308</v>
      </c>
      <c r="F59" s="66">
        <f t="shared" si="40"/>
        <v>3.4261241970021415E-2</v>
      </c>
      <c r="G59" s="66">
        <f t="shared" si="40"/>
        <v>-0.27179487179487177</v>
      </c>
      <c r="H59" s="66">
        <f t="shared" si="40"/>
        <v>0.10476190476190476</v>
      </c>
      <c r="I59" s="66">
        <f>I42/I30</f>
        <v>0.32389162561576357</v>
      </c>
      <c r="W59" s="66">
        <f>W42/W30</f>
        <v>0.10685579196217494</v>
      </c>
      <c r="X59" s="71">
        <f>X42/X30</f>
        <v>9.218144208037822E-2</v>
      </c>
      <c r="Y59" s="71">
        <f t="shared" ref="Y59:AG59" si="41">Y42/Y30</f>
        <v>4.2931442080378308E-2</v>
      </c>
      <c r="Z59" s="71">
        <f t="shared" si="41"/>
        <v>7.2931442080378217E-2</v>
      </c>
      <c r="AA59" s="71">
        <f t="shared" si="41"/>
        <v>9.2931442080378221E-2</v>
      </c>
      <c r="AB59" s="71">
        <f t="shared" si="41"/>
        <v>9.7931442080378253E-2</v>
      </c>
      <c r="AC59" s="71">
        <f t="shared" si="41"/>
        <v>0.10293144208037835</v>
      </c>
      <c r="AD59" s="71">
        <f t="shared" si="41"/>
        <v>0.10793144208037814</v>
      </c>
      <c r="AE59" s="71">
        <f t="shared" si="41"/>
        <v>0.1129314420803782</v>
      </c>
      <c r="AF59" s="71">
        <f t="shared" si="41"/>
        <v>0.11793144208037819</v>
      </c>
      <c r="AG59" s="71">
        <f t="shared" si="41"/>
        <v>0.12293144208037828</v>
      </c>
    </row>
    <row r="60" spans="2:85">
      <c r="B60" s="37" t="s">
        <v>62</v>
      </c>
      <c r="C60" s="66">
        <f t="shared" ref="C60:H60" si="42">C49/C48</f>
        <v>0.17783505154639176</v>
      </c>
      <c r="D60" s="66">
        <f t="shared" si="42"/>
        <v>0.19649122807017544</v>
      </c>
      <c r="E60" s="66">
        <f t="shared" si="42"/>
        <v>5.5865921787709494E-2</v>
      </c>
      <c r="F60" s="66">
        <f t="shared" si="42"/>
        <v>3.5769230769230771</v>
      </c>
      <c r="G60" s="66">
        <f t="shared" si="42"/>
        <v>0.27807486631016043</v>
      </c>
      <c r="H60" s="66">
        <f t="shared" si="42"/>
        <v>0.25773195876288657</v>
      </c>
      <c r="I60" s="66">
        <f>I49/I48</f>
        <v>0.31907894736842107</v>
      </c>
      <c r="W60" s="66">
        <f>W49/W48</f>
        <v>8.8208820882088215E-2</v>
      </c>
      <c r="X60" s="71">
        <v>0.25</v>
      </c>
      <c r="Y60" s="71">
        <v>0.25</v>
      </c>
      <c r="Z60" s="71">
        <v>0.25</v>
      </c>
      <c r="AA60" s="71">
        <v>0.25</v>
      </c>
      <c r="AB60" s="71">
        <v>0.25</v>
      </c>
      <c r="AC60" s="71">
        <v>0.25</v>
      </c>
      <c r="AD60" s="71">
        <v>0.25</v>
      </c>
      <c r="AE60" s="71">
        <v>0.25</v>
      </c>
      <c r="AF60" s="71">
        <v>0.25</v>
      </c>
      <c r="AG60" s="71">
        <v>0.25</v>
      </c>
    </row>
    <row r="61" spans="2:85">
      <c r="B61" s="37" t="s">
        <v>63</v>
      </c>
      <c r="C61" s="66">
        <f t="shared" ref="C61:H61" si="43">C50/C30</f>
        <v>0.57760314341846763</v>
      </c>
      <c r="D61" s="66">
        <f t="shared" si="43"/>
        <v>0.92842535787321068</v>
      </c>
      <c r="E61" s="66">
        <f t="shared" si="43"/>
        <v>0.25846153846153846</v>
      </c>
      <c r="F61" s="66">
        <f t="shared" si="43"/>
        <v>0.17558886509635974</v>
      </c>
      <c r="G61" s="66">
        <f t="shared" si="43"/>
        <v>-0.34615384615384615</v>
      </c>
      <c r="H61" s="66">
        <f t="shared" si="43"/>
        <v>0.11428571428571428</v>
      </c>
      <c r="I61" s="66">
        <f>I50/I30</f>
        <v>0.25492610837438423</v>
      </c>
      <c r="W61" s="66">
        <f>W50/W30</f>
        <v>0.47186761229314422</v>
      </c>
      <c r="X61" s="71">
        <f>X50/X30</f>
        <v>0.13565060407859211</v>
      </c>
      <c r="Y61" s="71">
        <f t="shared" ref="Y61:AG61" si="44">Y50/Y30</f>
        <v>0.13066311411503315</v>
      </c>
      <c r="Z61" s="71">
        <f t="shared" si="44"/>
        <v>0.19657824788386175</v>
      </c>
      <c r="AA61" s="71">
        <f t="shared" si="44"/>
        <v>0.32791910576998279</v>
      </c>
      <c r="AB61" s="71">
        <f t="shared" si="44"/>
        <v>0.53215136022218434</v>
      </c>
      <c r="AC61" s="71">
        <f t="shared" si="44"/>
        <v>0.86431808015510714</v>
      </c>
      <c r="AD61" s="71">
        <f t="shared" si="44"/>
        <v>0.81710417335895458</v>
      </c>
      <c r="AE61" s="71">
        <f t="shared" si="44"/>
        <v>0.77517404771902476</v>
      </c>
      <c r="AF61" s="71">
        <f t="shared" si="44"/>
        <v>0.73800336856133308</v>
      </c>
      <c r="AG61" s="71">
        <f t="shared" si="44"/>
        <v>0.70511095278522939</v>
      </c>
    </row>
    <row r="63" spans="2:85" ht="13.5" customHeight="1">
      <c r="B63" s="1" t="s">
        <v>64</v>
      </c>
      <c r="F63" s="1">
        <v>328</v>
      </c>
      <c r="G63" s="1">
        <v>295</v>
      </c>
      <c r="H63" s="1">
        <v>122</v>
      </c>
      <c r="I63" s="1">
        <v>497</v>
      </c>
      <c r="W63" s="1">
        <f>F63</f>
        <v>328</v>
      </c>
      <c r="X63" s="69">
        <f>W63+X50</f>
        <v>699.19973902482252</v>
      </c>
      <c r="Y63" s="69">
        <f t="shared" ref="Y63:AG63" si="45">X63+Y50</f>
        <v>1298.5470662561568</v>
      </c>
      <c r="Z63" s="69">
        <f t="shared" si="45"/>
        <v>2538.2527689404833</v>
      </c>
      <c r="AA63" s="69">
        <f t="shared" si="45"/>
        <v>4858.9438778192653</v>
      </c>
      <c r="AB63" s="69">
        <f t="shared" si="45"/>
        <v>9020.9998484576317</v>
      </c>
      <c r="AC63" s="69">
        <f t="shared" si="45"/>
        <v>16442.336053634393</v>
      </c>
      <c r="AD63" s="69">
        <f t="shared" si="45"/>
        <v>24093.244699355502</v>
      </c>
      <c r="AE63" s="69">
        <f t="shared" si="45"/>
        <v>31984.027747556491</v>
      </c>
      <c r="AF63" s="69">
        <f t="shared" si="45"/>
        <v>40125.010588016994</v>
      </c>
      <c r="AG63" s="69">
        <f t="shared" si="45"/>
        <v>48526.427226643616</v>
      </c>
    </row>
    <row r="64" spans="2:85" ht="13.5" customHeight="1">
      <c r="B64" s="1" t="s">
        <v>769</v>
      </c>
      <c r="F64" s="1">
        <v>37</v>
      </c>
      <c r="G64" s="1">
        <v>25</v>
      </c>
      <c r="H64" s="1">
        <v>13</v>
      </c>
      <c r="I64" s="1">
        <v>0</v>
      </c>
      <c r="W64" s="1">
        <f t="shared" ref="W64:W89" si="46">F64</f>
        <v>37</v>
      </c>
    </row>
    <row r="65" spans="2:85" ht="13.5" customHeight="1">
      <c r="B65" s="1" t="s">
        <v>770</v>
      </c>
      <c r="F65" s="1">
        <v>123</v>
      </c>
      <c r="G65" s="1">
        <v>100</v>
      </c>
      <c r="H65" s="1">
        <v>226</v>
      </c>
      <c r="I65" s="1">
        <v>180</v>
      </c>
      <c r="W65" s="1">
        <f t="shared" si="46"/>
        <v>123</v>
      </c>
      <c r="Y65" s="47" t="s">
        <v>107</v>
      </c>
      <c r="Z65" s="48"/>
      <c r="AA65" s="48"/>
      <c r="AB65" s="47" t="s">
        <v>108</v>
      </c>
      <c r="AC65" s="48"/>
      <c r="AD65" s="49" t="s">
        <v>109</v>
      </c>
      <c r="AE65" s="48"/>
      <c r="AF65" s="50" t="s">
        <v>110</v>
      </c>
      <c r="AG65" s="51">
        <v>2.3E-2</v>
      </c>
      <c r="AH65" s="48"/>
    </row>
    <row r="66" spans="2:85" ht="13.5" customHeight="1">
      <c r="B66" s="1" t="s">
        <v>771</v>
      </c>
      <c r="F66" s="1">
        <v>302</v>
      </c>
      <c r="G66" s="1">
        <v>219</v>
      </c>
      <c r="H66" s="1">
        <v>224</v>
      </c>
      <c r="I66" s="1">
        <v>263</v>
      </c>
      <c r="W66" s="1">
        <f t="shared" si="46"/>
        <v>302</v>
      </c>
      <c r="Y66" s="48">
        <v>2025</v>
      </c>
      <c r="Z66" s="48"/>
      <c r="AA66" s="48">
        <v>2024</v>
      </c>
      <c r="AB66" s="48">
        <v>2025</v>
      </c>
      <c r="AC66" s="48"/>
      <c r="AD66" s="49" t="s">
        <v>111</v>
      </c>
      <c r="AE66" s="48"/>
      <c r="AF66" s="50" t="s">
        <v>112</v>
      </c>
      <c r="AG66" s="51">
        <v>0.01</v>
      </c>
      <c r="AH66" s="48"/>
    </row>
    <row r="67" spans="2:85" ht="13.5" customHeight="1">
      <c r="B67" s="1" t="s">
        <v>775</v>
      </c>
      <c r="F67" s="1">
        <v>66</v>
      </c>
      <c r="G67" s="1">
        <v>33</v>
      </c>
      <c r="H67" s="1">
        <v>80</v>
      </c>
      <c r="I67" s="1">
        <v>45</v>
      </c>
      <c r="W67" s="1">
        <f t="shared" si="46"/>
        <v>66</v>
      </c>
      <c r="Y67" s="69">
        <f>W42*(1-W60)</f>
        <v>206.06480648064806</v>
      </c>
      <c r="Z67" s="48"/>
      <c r="AA67" s="53">
        <f>SUM(W63:W67)-SUM(W76:W78)+W69</f>
        <v>3709</v>
      </c>
      <c r="AC67" s="48"/>
      <c r="AD67" s="53">
        <f>AVERAGE(AA67:AA67)</f>
        <v>3709</v>
      </c>
      <c r="AE67" s="48"/>
      <c r="AF67" s="50" t="s">
        <v>113</v>
      </c>
      <c r="AG67" s="51">
        <v>3.9899999999999998E-2</v>
      </c>
      <c r="AH67" s="48"/>
    </row>
    <row r="68" spans="2:85" ht="13.5" customHeight="1">
      <c r="B68" s="1" t="s">
        <v>772</v>
      </c>
      <c r="F68" s="1">
        <v>184</v>
      </c>
      <c r="G68" s="1">
        <v>174</v>
      </c>
      <c r="H68" s="1">
        <v>165</v>
      </c>
      <c r="I68" s="1">
        <v>63</v>
      </c>
      <c r="W68" s="1">
        <f t="shared" si="46"/>
        <v>184</v>
      </c>
      <c r="Y68" s="71">
        <f>Y67/AD67</f>
        <v>5.555804973864871E-2</v>
      </c>
      <c r="Z68" s="48"/>
      <c r="AA68" s="48"/>
      <c r="AB68" s="48"/>
      <c r="AC68" s="48"/>
      <c r="AD68" s="48"/>
      <c r="AE68" s="48"/>
      <c r="AF68" s="50" t="s">
        <v>114</v>
      </c>
      <c r="AG68" s="51">
        <f>13.4%-AG67</f>
        <v>9.4100000000000017E-2</v>
      </c>
      <c r="AH68" s="48"/>
    </row>
    <row r="69" spans="2:85" ht="13.5" customHeight="1">
      <c r="B69" s="1" t="s">
        <v>773</v>
      </c>
      <c r="F69" s="1">
        <v>3154</v>
      </c>
      <c r="G69" s="1">
        <v>3138</v>
      </c>
      <c r="H69" s="1">
        <v>3089</v>
      </c>
      <c r="I69" s="1">
        <v>3075</v>
      </c>
      <c r="W69" s="1">
        <f t="shared" si="46"/>
        <v>3154</v>
      </c>
      <c r="Y69" s="48"/>
      <c r="Z69" s="48"/>
      <c r="AA69" s="48"/>
      <c r="AB69" s="48"/>
      <c r="AC69" s="48"/>
      <c r="AD69" s="48"/>
      <c r="AE69" s="48"/>
      <c r="AF69" s="50" t="s">
        <v>115</v>
      </c>
      <c r="AG69" s="48">
        <f>'[3]Notes | Quant Analysis'!K206</f>
        <v>1.58</v>
      </c>
      <c r="AH69" s="48"/>
    </row>
    <row r="70" spans="2:85" ht="13.5" customHeight="1">
      <c r="B70" s="1" t="s">
        <v>774</v>
      </c>
      <c r="F70" s="1">
        <v>1724</v>
      </c>
      <c r="G70" s="1">
        <v>1717</v>
      </c>
      <c r="H70" s="1">
        <v>1790</v>
      </c>
      <c r="I70" s="1">
        <v>1870</v>
      </c>
      <c r="W70" s="1">
        <f t="shared" si="46"/>
        <v>1724</v>
      </c>
      <c r="Y70" s="48"/>
      <c r="Z70" s="48"/>
      <c r="AA70" s="48"/>
      <c r="AB70" s="48"/>
      <c r="AC70" s="48"/>
      <c r="AD70" s="48"/>
      <c r="AE70" s="48"/>
      <c r="AF70" s="50" t="s">
        <v>116</v>
      </c>
      <c r="AG70" s="51">
        <f>+AG67+(AG68*AG69)</f>
        <v>0.18857800000000002</v>
      </c>
      <c r="AH70" s="54"/>
    </row>
    <row r="71" spans="2:85" ht="13.5" customHeight="1">
      <c r="B71" s="1" t="s">
        <v>776</v>
      </c>
      <c r="F71" s="1">
        <v>5</v>
      </c>
      <c r="G71" s="1">
        <v>5</v>
      </c>
      <c r="H71" s="1">
        <v>0</v>
      </c>
      <c r="I71" s="1">
        <v>1</v>
      </c>
      <c r="W71" s="1">
        <f t="shared" si="46"/>
        <v>5</v>
      </c>
      <c r="Y71" s="54"/>
      <c r="Z71" s="54"/>
      <c r="AA71" s="54"/>
      <c r="AB71" s="54"/>
      <c r="AC71" s="54"/>
      <c r="AD71" s="54"/>
      <c r="AE71" s="54"/>
      <c r="AF71" s="50"/>
      <c r="AG71" s="48"/>
      <c r="AH71" s="48"/>
    </row>
    <row r="72" spans="2:85" ht="13.5" customHeight="1">
      <c r="B72" s="1" t="s">
        <v>777</v>
      </c>
      <c r="F72" s="1">
        <v>183</v>
      </c>
      <c r="G72" s="1">
        <v>159</v>
      </c>
      <c r="H72" s="1">
        <v>118</v>
      </c>
      <c r="I72" s="1">
        <v>103</v>
      </c>
      <c r="W72" s="1">
        <f t="shared" si="46"/>
        <v>183</v>
      </c>
      <c r="Y72" s="48"/>
      <c r="Z72" s="48"/>
      <c r="AA72" s="48"/>
      <c r="AB72" s="48"/>
      <c r="AC72" s="48"/>
      <c r="AD72" s="48"/>
      <c r="AE72" s="48"/>
      <c r="AF72" s="50" t="s">
        <v>117</v>
      </c>
      <c r="AG72" s="52">
        <f>NPV(AG70,X50:BU50)</f>
        <v>22933.067613667499</v>
      </c>
      <c r="AH72" s="48"/>
    </row>
    <row r="73" spans="2:85" s="2" customFormat="1" ht="13.5" customHeight="1">
      <c r="B73" s="2" t="s">
        <v>778</v>
      </c>
      <c r="F73" s="2">
        <f>SUM(F63:F72)</f>
        <v>6106</v>
      </c>
      <c r="G73" s="2">
        <f>SUM(G63:G72)</f>
        <v>5865</v>
      </c>
      <c r="H73" s="2">
        <f>SUM(H63:H72)</f>
        <v>5827</v>
      </c>
      <c r="I73" s="2">
        <f>SUM(I63:I72)</f>
        <v>6097</v>
      </c>
      <c r="J73" s="34"/>
      <c r="K73" s="34"/>
      <c r="L73" s="34"/>
      <c r="M73" s="34"/>
      <c r="N73" s="34"/>
      <c r="W73" s="2">
        <f t="shared" si="46"/>
        <v>6106</v>
      </c>
      <c r="X73" s="34"/>
      <c r="Y73" s="54"/>
      <c r="Z73" s="54"/>
      <c r="AA73" s="54"/>
      <c r="AB73" s="54"/>
      <c r="AC73" s="54"/>
      <c r="AD73" s="54"/>
      <c r="AE73" s="54"/>
      <c r="AF73" s="50" t="s">
        <v>76</v>
      </c>
      <c r="AG73" s="53">
        <f>[3]Main!C4</f>
        <v>45.685000000000002</v>
      </c>
      <c r="AH73" s="55" t="s">
        <v>118</v>
      </c>
      <c r="AI73" s="35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</row>
    <row r="74" spans="2:85" ht="13.5" customHeight="1">
      <c r="Y74" s="48"/>
      <c r="Z74" s="48"/>
      <c r="AA74" s="48"/>
      <c r="AB74" s="48"/>
      <c r="AC74" s="48"/>
      <c r="AD74" s="48"/>
      <c r="AE74" s="48"/>
      <c r="AF74" s="50" t="s">
        <v>119</v>
      </c>
      <c r="AG74" s="56">
        <f>AG72/AG73</f>
        <v>501.98243654738968</v>
      </c>
      <c r="AH74" s="47"/>
    </row>
    <row r="75" spans="2:85" ht="13.5" customHeight="1">
      <c r="B75" s="1" t="s">
        <v>784</v>
      </c>
      <c r="F75" s="1">
        <v>0</v>
      </c>
      <c r="G75" s="1">
        <v>0</v>
      </c>
      <c r="H75" s="1">
        <v>70</v>
      </c>
      <c r="I75" s="1">
        <v>0</v>
      </c>
      <c r="W75" s="1">
        <f t="shared" si="46"/>
        <v>0</v>
      </c>
      <c r="Y75" s="48"/>
      <c r="Z75" s="48"/>
      <c r="AA75" s="48"/>
      <c r="AB75" s="48"/>
      <c r="AC75" s="48"/>
      <c r="AD75" s="48"/>
      <c r="AE75" s="48"/>
      <c r="AF75" s="50" t="s">
        <v>120</v>
      </c>
      <c r="AG75" s="56">
        <f>[3]Main!C3</f>
        <v>415.01</v>
      </c>
      <c r="AH75" s="57"/>
    </row>
    <row r="76" spans="2:85" ht="13.5" customHeight="1">
      <c r="B76" s="1" t="s">
        <v>793</v>
      </c>
      <c r="F76" s="1">
        <v>17</v>
      </c>
      <c r="G76" s="1">
        <v>17</v>
      </c>
      <c r="H76" s="1">
        <v>17</v>
      </c>
      <c r="I76" s="1">
        <v>17</v>
      </c>
      <c r="W76" s="1">
        <f t="shared" si="46"/>
        <v>17</v>
      </c>
      <c r="Y76" s="48"/>
      <c r="Z76" s="48"/>
      <c r="AA76" s="48"/>
      <c r="AB76" s="48"/>
      <c r="AC76" s="48"/>
      <c r="AD76" s="48"/>
      <c r="AE76" s="48"/>
      <c r="AF76" s="50" t="s">
        <v>121</v>
      </c>
      <c r="AG76" s="51">
        <f>AG74/AG75-1</f>
        <v>0.20956708644945832</v>
      </c>
      <c r="AH76" s="58" t="str">
        <f>IF(AG76&gt;0,"Upside","Downside")</f>
        <v>Upside</v>
      </c>
    </row>
    <row r="77" spans="2:85" ht="13.5" customHeight="1">
      <c r="B77" s="1" t="s">
        <v>779</v>
      </c>
      <c r="F77" s="1">
        <v>18</v>
      </c>
      <c r="G77" s="1">
        <v>54</v>
      </c>
      <c r="H77" s="1">
        <v>30</v>
      </c>
      <c r="I77" s="1">
        <v>53</v>
      </c>
      <c r="W77" s="1">
        <f t="shared" si="46"/>
        <v>18</v>
      </c>
      <c r="Y77" s="54"/>
      <c r="Z77" s="54"/>
      <c r="AA77" s="54"/>
      <c r="AB77" s="54"/>
      <c r="AC77" s="54"/>
      <c r="AD77" s="54"/>
      <c r="AE77" s="54"/>
      <c r="AF77" s="75" t="str" cm="1">
        <f t="array" ref="AF77">_xlfn.IFS(AG76&gt;=25%,"Strong Buy",AG76&gt;=10.00001%,"Buy",AND(AG76&lt;=10%,AG76&gt;=-4.9999%),"Hold",AND(AG76&lt;=-5%,AG76&gt;=-14.999999%),"Sell",AG76&lt;=-15%,"Strong Sell")</f>
        <v>Buy</v>
      </c>
      <c r="AG77" s="75"/>
    </row>
    <row r="78" spans="2:85" ht="13.5" customHeight="1">
      <c r="B78" s="1" t="s">
        <v>780</v>
      </c>
      <c r="F78" s="1">
        <v>266</v>
      </c>
      <c r="G78" s="1">
        <v>203</v>
      </c>
      <c r="H78" s="1">
        <v>226</v>
      </c>
      <c r="I78" s="1">
        <v>192</v>
      </c>
      <c r="W78" s="1">
        <f t="shared" si="46"/>
        <v>266</v>
      </c>
    </row>
    <row r="79" spans="2:85" ht="13.5" customHeight="1">
      <c r="B79" s="1" t="s">
        <v>781</v>
      </c>
      <c r="F79" s="1">
        <v>0</v>
      </c>
      <c r="G79" s="1">
        <v>92</v>
      </c>
      <c r="H79" s="1">
        <v>32</v>
      </c>
      <c r="I79" s="1">
        <v>44</v>
      </c>
      <c r="W79" s="1">
        <f t="shared" si="46"/>
        <v>0</v>
      </c>
    </row>
    <row r="80" spans="2:85" ht="13.5" customHeight="1">
      <c r="B80" s="1" t="s">
        <v>782</v>
      </c>
      <c r="F80" s="1">
        <v>154</v>
      </c>
      <c r="G80" s="1">
        <v>156</v>
      </c>
      <c r="H80" s="1">
        <v>77</v>
      </c>
      <c r="I80" s="1">
        <v>151</v>
      </c>
      <c r="W80" s="1">
        <f t="shared" si="46"/>
        <v>154</v>
      </c>
    </row>
    <row r="81" spans="2:85">
      <c r="B81" s="1" t="s">
        <v>783</v>
      </c>
      <c r="F81" s="1">
        <v>2987</v>
      </c>
      <c r="G81" s="1">
        <v>2975</v>
      </c>
      <c r="H81" s="1">
        <v>2972</v>
      </c>
      <c r="I81" s="1">
        <v>2969</v>
      </c>
      <c r="W81" s="1">
        <f t="shared" si="46"/>
        <v>2987</v>
      </c>
    </row>
    <row r="82" spans="2:85">
      <c r="B82" s="1" t="s">
        <v>785</v>
      </c>
      <c r="F82" s="1">
        <v>7</v>
      </c>
      <c r="G82" s="1">
        <v>42</v>
      </c>
      <c r="H82" s="1">
        <v>62</v>
      </c>
      <c r="I82" s="1">
        <v>37</v>
      </c>
      <c r="W82" s="1">
        <f t="shared" si="46"/>
        <v>7</v>
      </c>
    </row>
    <row r="83" spans="2:85">
      <c r="B83" s="1" t="s">
        <v>786</v>
      </c>
      <c r="F83" s="1">
        <v>305</v>
      </c>
      <c r="G83" s="1">
        <v>289</v>
      </c>
      <c r="H83" s="1">
        <v>282</v>
      </c>
      <c r="I83" s="1">
        <v>243</v>
      </c>
      <c r="W83" s="1">
        <f t="shared" si="46"/>
        <v>305</v>
      </c>
    </row>
    <row r="84" spans="2:85">
      <c r="B84" s="1" t="s">
        <v>787</v>
      </c>
      <c r="F84" s="1">
        <v>468</v>
      </c>
      <c r="G84" s="1">
        <v>468</v>
      </c>
      <c r="H84" s="1">
        <v>478</v>
      </c>
      <c r="I84" s="1">
        <v>477</v>
      </c>
      <c r="W84" s="1">
        <f t="shared" si="46"/>
        <v>468</v>
      </c>
    </row>
    <row r="85" spans="2:85">
      <c r="B85" s="1" t="s">
        <v>788</v>
      </c>
      <c r="F85" s="1">
        <v>362</v>
      </c>
      <c r="G85" s="1">
        <v>294</v>
      </c>
      <c r="H85" s="1">
        <v>297</v>
      </c>
      <c r="I85" s="1">
        <v>409</v>
      </c>
      <c r="W85" s="1">
        <f t="shared" si="46"/>
        <v>362</v>
      </c>
    </row>
    <row r="86" spans="2:85">
      <c r="B86" s="1" t="s">
        <v>789</v>
      </c>
      <c r="F86" s="1">
        <v>135</v>
      </c>
      <c r="G86" s="1">
        <v>95</v>
      </c>
      <c r="H86" s="1">
        <v>38</v>
      </c>
      <c r="I86" s="1">
        <v>36</v>
      </c>
      <c r="W86" s="1">
        <f t="shared" si="46"/>
        <v>135</v>
      </c>
    </row>
    <row r="87" spans="2:85" s="2" customFormat="1" ht="15">
      <c r="B87" s="2" t="s">
        <v>790</v>
      </c>
      <c r="F87" s="2">
        <f>SUM(F76:F86)</f>
        <v>4719</v>
      </c>
      <c r="G87" s="2">
        <f>SUM(G77:G86)</f>
        <v>4668</v>
      </c>
      <c r="H87" s="2">
        <f>SUM(H75:H86)</f>
        <v>4581</v>
      </c>
      <c r="I87" s="2">
        <f>SUM(I75:I86)</f>
        <v>4628</v>
      </c>
      <c r="J87" s="34"/>
      <c r="K87" s="34"/>
      <c r="L87" s="34"/>
      <c r="M87" s="34"/>
      <c r="N87" s="34"/>
      <c r="W87" s="2">
        <f t="shared" si="46"/>
        <v>4719</v>
      </c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</row>
    <row r="88" spans="2:85">
      <c r="B88" s="1" t="s">
        <v>791</v>
      </c>
      <c r="F88" s="1">
        <v>1387</v>
      </c>
      <c r="G88" s="1">
        <v>1180</v>
      </c>
      <c r="H88" s="1">
        <v>1246</v>
      </c>
      <c r="I88" s="1">
        <v>1469</v>
      </c>
      <c r="W88" s="1">
        <f t="shared" si="46"/>
        <v>1387</v>
      </c>
    </row>
    <row r="89" spans="2:85" s="2" customFormat="1" ht="15">
      <c r="B89" s="2" t="s">
        <v>792</v>
      </c>
      <c r="F89" s="2">
        <f>F87+F88</f>
        <v>6106</v>
      </c>
      <c r="G89" s="2">
        <f>G87+G88</f>
        <v>5848</v>
      </c>
      <c r="H89" s="2">
        <f>H87+H88</f>
        <v>5827</v>
      </c>
      <c r="I89" s="2">
        <f>I87+I88</f>
        <v>6097</v>
      </c>
      <c r="J89" s="34"/>
      <c r="K89" s="34"/>
      <c r="L89" s="34"/>
      <c r="M89" s="34"/>
      <c r="N89" s="34"/>
      <c r="W89" s="2">
        <f t="shared" si="46"/>
        <v>6106</v>
      </c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</row>
    <row r="91" spans="2:85">
      <c r="B91" s="1" t="s">
        <v>65</v>
      </c>
      <c r="F91" s="39">
        <f>SUM(F63:F67)/SUM(F75:F80)</f>
        <v>1.8813186813186813</v>
      </c>
      <c r="G91" s="39">
        <f>SUM(G63:G67)/SUM(G75:G80)</f>
        <v>1.2873563218390804</v>
      </c>
      <c r="H91" s="39">
        <f>SUM(H63:H67)/SUM(H75:H80)</f>
        <v>1.4712389380530972</v>
      </c>
      <c r="I91" s="39">
        <f>SUM(I63:I67)/SUM(I75:I80)</f>
        <v>2.1553610503282274</v>
      </c>
      <c r="W91" s="39">
        <f>SUM(W63:W67)/SUM(W75:W80)</f>
        <v>1.8813186813186813</v>
      </c>
    </row>
    <row r="92" spans="2:85">
      <c r="B92" s="1" t="s">
        <v>66</v>
      </c>
      <c r="F92" s="39">
        <f>(SUM(F63:F68)-F66)/SUM(F75:F80)</f>
        <v>1.621978021978022</v>
      </c>
      <c r="G92" s="39">
        <f>(SUM(G63:G68)-G66)/SUM(G75:G80)</f>
        <v>1.2011494252873562</v>
      </c>
      <c r="H92" s="39">
        <f>(SUM(H63:H68)-H66)/SUM(H75:H80)</f>
        <v>1.3407079646017699</v>
      </c>
      <c r="I92" s="39">
        <f>(SUM(I63:I68)-I66)/SUM(I75:I80)</f>
        <v>1.7177242888402626</v>
      </c>
      <c r="W92" s="39">
        <f>(SUM(W63:W68)-W66)/SUM(W75:W80)</f>
        <v>1.621978021978022</v>
      </c>
    </row>
    <row r="93" spans="2:85">
      <c r="B93" s="1" t="s">
        <v>67</v>
      </c>
      <c r="F93" s="39">
        <f>SUM(F63:F64)/SUM(F75:F80)</f>
        <v>0.80219780219780223</v>
      </c>
      <c r="G93" s="39">
        <f>SUM(G63:G64)/SUM(G75:G80)</f>
        <v>0.6130268199233716</v>
      </c>
      <c r="H93" s="39">
        <f>SUM(H63:H64)/SUM(H75:H80)</f>
        <v>0.29867256637168144</v>
      </c>
      <c r="I93" s="39">
        <f>SUM(I63:I64)/SUM(I75:I80)</f>
        <v>1.087527352297593</v>
      </c>
      <c r="W93" s="39">
        <f>SUM(W63:W64)/SUM(W75:W80)</f>
        <v>0.80219780219780223</v>
      </c>
    </row>
    <row r="94" spans="2:85">
      <c r="B94" s="1" t="s">
        <v>68</v>
      </c>
      <c r="F94" s="39">
        <f>F30/F73</f>
        <v>7.6482148706190634E-2</v>
      </c>
      <c r="G94" s="39">
        <f>G30/G73</f>
        <v>6.6496163682864456E-2</v>
      </c>
      <c r="H94" s="39">
        <f>H30/H73</f>
        <v>0.10811738458898232</v>
      </c>
      <c r="I94" s="39">
        <f>I30/I73</f>
        <v>0.13318025258323765</v>
      </c>
      <c r="W94" s="39">
        <f>W30/W73</f>
        <v>0.34638060923681624</v>
      </c>
    </row>
    <row r="95" spans="2:85">
      <c r="B95" s="1" t="s">
        <v>69</v>
      </c>
      <c r="F95" s="39">
        <f>F34/AVERAGE(C66:F66)</f>
        <v>0.54304635761589404</v>
      </c>
      <c r="G95" s="39">
        <f>G34/AVERAGE(D66:G66)</f>
        <v>0.90211132437619956</v>
      </c>
      <c r="H95" s="39">
        <f>H34/AVERAGE(E66:H66)</f>
        <v>1.0147651006711409</v>
      </c>
      <c r="I95" s="39">
        <f>I34/AVERAGE(F66:I66)</f>
        <v>1.1587301587301588</v>
      </c>
      <c r="W95" s="39">
        <f>W34/AVERAGE(T66:W66)</f>
        <v>2.6390728476821192</v>
      </c>
    </row>
    <row r="96" spans="2:85">
      <c r="B96" s="1" t="s">
        <v>70</v>
      </c>
      <c r="F96" s="66">
        <f>F50/F73</f>
        <v>1.3429413691451031E-2</v>
      </c>
      <c r="G96" s="66">
        <f>G50/G73</f>
        <v>-2.3017902813299233E-2</v>
      </c>
      <c r="H96" s="66">
        <f>H50/H73</f>
        <v>1.2356272524455123E-2</v>
      </c>
      <c r="I96" s="66">
        <f>I50/I73</f>
        <v>3.395112350336231E-2</v>
      </c>
      <c r="W96" s="66">
        <f>W50/W73</f>
        <v>0.16344579102522108</v>
      </c>
    </row>
    <row r="97" spans="2:85">
      <c r="B97" s="1" t="s">
        <v>71</v>
      </c>
      <c r="F97" s="66">
        <f>F50/F88</f>
        <v>5.9120403749098771E-2</v>
      </c>
      <c r="G97" s="66">
        <f>G50/G88</f>
        <v>-0.11440677966101695</v>
      </c>
      <c r="H97" s="66">
        <f>H50/H88</f>
        <v>5.7784911717495988E-2</v>
      </c>
      <c r="I97" s="66">
        <f>I50/I88</f>
        <v>0.14091218515997278</v>
      </c>
      <c r="W97" s="66">
        <f>W50/W88</f>
        <v>0.71953857245854358</v>
      </c>
    </row>
    <row r="99" spans="2:85">
      <c r="B99" s="1" t="s">
        <v>72</v>
      </c>
      <c r="C99" s="1">
        <f t="shared" ref="C99:I99" si="47">C50</f>
        <v>294</v>
      </c>
      <c r="D99" s="1">
        <f t="shared" si="47"/>
        <v>454</v>
      </c>
      <c r="E99" s="1">
        <f t="shared" si="47"/>
        <v>168</v>
      </c>
      <c r="F99" s="1">
        <f t="shared" si="47"/>
        <v>82</v>
      </c>
      <c r="G99" s="1">
        <f t="shared" si="47"/>
        <v>-135</v>
      </c>
      <c r="H99" s="1">
        <f t="shared" si="47"/>
        <v>72</v>
      </c>
      <c r="I99" s="1">
        <f t="shared" si="47"/>
        <v>207</v>
      </c>
      <c r="W99" s="1">
        <f>SUM(C99:F99)</f>
        <v>998</v>
      </c>
    </row>
    <row r="100" spans="2:85" s="2" customFormat="1" ht="15">
      <c r="B100" s="2" t="s">
        <v>73</v>
      </c>
      <c r="C100" s="2">
        <v>173</v>
      </c>
      <c r="D100" s="2">
        <v>-23</v>
      </c>
      <c r="E100" s="2">
        <v>96</v>
      </c>
      <c r="F100" s="2">
        <v>10</v>
      </c>
      <c r="G100" s="2">
        <v>119</v>
      </c>
      <c r="H100" s="2">
        <v>-184</v>
      </c>
      <c r="I100" s="2">
        <f>424-SUM(G100:H100)</f>
        <v>489</v>
      </c>
      <c r="J100" s="34"/>
      <c r="K100" s="34"/>
      <c r="L100" s="34"/>
      <c r="M100" s="34"/>
      <c r="N100" s="34"/>
      <c r="W100" s="2">
        <f>SUM(C100:F100)</f>
        <v>256</v>
      </c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</row>
    <row r="101" spans="2:85">
      <c r="B101" s="1" t="s">
        <v>74</v>
      </c>
      <c r="C101" s="1">
        <v>-66</v>
      </c>
      <c r="D101" s="1">
        <v>-23</v>
      </c>
      <c r="E101" s="1">
        <v>-58</v>
      </c>
      <c r="F101" s="1">
        <v>-42</v>
      </c>
      <c r="G101" s="1">
        <v>-64</v>
      </c>
      <c r="H101" s="1">
        <v>-37</v>
      </c>
      <c r="I101" s="1">
        <v>-23</v>
      </c>
      <c r="W101" s="1">
        <f>SUM(C101:F101)</f>
        <v>-189</v>
      </c>
    </row>
    <row r="102" spans="2:85" s="2" customFormat="1" ht="15">
      <c r="B102" s="2" t="s">
        <v>75</v>
      </c>
      <c r="C102" s="2">
        <f t="shared" ref="C102:I102" si="48">C100+C101</f>
        <v>107</v>
      </c>
      <c r="D102" s="2">
        <f t="shared" si="48"/>
        <v>-46</v>
      </c>
      <c r="E102" s="2">
        <f t="shared" si="48"/>
        <v>38</v>
      </c>
      <c r="F102" s="2">
        <f t="shared" si="48"/>
        <v>-32</v>
      </c>
      <c r="G102" s="2">
        <f t="shared" si="48"/>
        <v>55</v>
      </c>
      <c r="H102" s="2">
        <f t="shared" si="48"/>
        <v>-221</v>
      </c>
      <c r="I102" s="2">
        <f t="shared" si="48"/>
        <v>466</v>
      </c>
      <c r="J102" s="34"/>
      <c r="K102" s="34"/>
      <c r="L102" s="34"/>
      <c r="M102" s="34"/>
      <c r="N102" s="34"/>
      <c r="W102" s="2">
        <f>SUM(C102:F102)</f>
        <v>67</v>
      </c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</row>
    <row r="103" spans="2:85">
      <c r="B103" s="1" t="s">
        <v>76</v>
      </c>
      <c r="C103" s="68">
        <f t="shared" ref="C103:I103" si="49">C51</f>
        <v>58.9</v>
      </c>
      <c r="D103" s="68">
        <f t="shared" si="49"/>
        <v>57.433999999999997</v>
      </c>
      <c r="E103" s="68">
        <f t="shared" si="49"/>
        <v>50.923999999999999</v>
      </c>
      <c r="F103" s="68">
        <f t="shared" si="49"/>
        <v>54.253999999999998</v>
      </c>
      <c r="G103" s="68">
        <f t="shared" si="49"/>
        <v>45.848999999999997</v>
      </c>
      <c r="H103" s="68">
        <f t="shared" si="49"/>
        <v>45.55</v>
      </c>
      <c r="I103" s="68">
        <f t="shared" si="49"/>
        <v>45.683999999999997</v>
      </c>
      <c r="W103" s="68">
        <f>W51</f>
        <v>54.253999999999998</v>
      </c>
    </row>
    <row r="104" spans="2:85">
      <c r="B104" s="1" t="s">
        <v>77</v>
      </c>
      <c r="C104" s="39">
        <f t="shared" ref="C104:H104" si="50">C102/C103</f>
        <v>1.8166383701188455</v>
      </c>
      <c r="D104" s="39">
        <f t="shared" si="50"/>
        <v>-0.80091931608454925</v>
      </c>
      <c r="E104" s="39">
        <f t="shared" si="50"/>
        <v>0.74621003848872836</v>
      </c>
      <c r="F104" s="39">
        <f t="shared" si="50"/>
        <v>-0.58981826224794487</v>
      </c>
      <c r="G104" s="39">
        <f t="shared" si="50"/>
        <v>1.1995899583415124</v>
      </c>
      <c r="H104" s="39">
        <f t="shared" si="50"/>
        <v>-4.8518111964873771</v>
      </c>
      <c r="I104" s="39">
        <f>I102/I103</f>
        <v>10.200507836441643</v>
      </c>
      <c r="W104" s="39">
        <f>W102/W103</f>
        <v>1.2349319865816346</v>
      </c>
    </row>
  </sheetData>
  <mergeCells count="1">
    <mergeCell ref="AF77:AG77"/>
  </mergeCells>
  <conditionalFormatting sqref="AF7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Sell",AF77)))</formula>
    </cfRule>
    <cfRule type="containsText" dxfId="3" priority="3" operator="containsText" text="Sell">
      <formula>NOT(ISERROR(SEARCH("Sell",AF77)))</formula>
    </cfRule>
    <cfRule type="containsText" dxfId="2" priority="4" operator="containsText" text="Hold">
      <formula>NOT(ISERROR(SEARCH("Hold",AF77)))</formula>
    </cfRule>
    <cfRule type="beginsWith" dxfId="1" priority="5" operator="beginsWith" text="Buy">
      <formula>LEFT(AF77,LEN("Buy"))="Buy"</formula>
    </cfRule>
    <cfRule type="beginsWith" dxfId="0" priority="6" operator="beginsWith" text="Strong">
      <formula>LEFT(AF77,LEN("Strong"))="Strong"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B1557"/>
  <sheetViews>
    <sheetView topLeftCell="H137" zoomScale="85" zoomScaleNormal="85" workbookViewId="0">
      <selection activeCell="AB101" sqref="AB101"/>
    </sheetView>
  </sheetViews>
  <sheetFormatPr defaultColWidth="9.140625" defaultRowHeight="14.25"/>
  <cols>
    <col min="1" max="7" width="9.140625" style="1" hidden="1" customWidth="1"/>
    <col min="8" max="8" width="3.140625" style="1" customWidth="1"/>
    <col min="9" max="29" width="9.140625" style="1"/>
    <col min="30" max="30" width="2.85546875" style="1" customWidth="1"/>
    <col min="31" max="16384" width="9.140625" style="1"/>
  </cols>
  <sheetData>
    <row r="1" spans="8:80">
      <c r="CB1" s="1">
        <v>0</v>
      </c>
    </row>
    <row r="2" spans="8:80" ht="15">
      <c r="H2" s="2" t="s">
        <v>98</v>
      </c>
      <c r="AE2" s="2" t="s">
        <v>727</v>
      </c>
    </row>
    <row r="32" spans="9:10">
      <c r="I32" s="1" t="s">
        <v>14</v>
      </c>
      <c r="J32" s="1" t="s">
        <v>15</v>
      </c>
    </row>
    <row r="33" spans="8:31">
      <c r="J33" s="1" t="s">
        <v>16</v>
      </c>
    </row>
    <row r="34" spans="8:31">
      <c r="J34" s="1" t="s">
        <v>17</v>
      </c>
    </row>
    <row r="35" spans="8:31" ht="15">
      <c r="AE35" s="2" t="s">
        <v>726</v>
      </c>
    </row>
    <row r="36" spans="8:31" ht="15">
      <c r="H36" s="2" t="s">
        <v>725</v>
      </c>
      <c r="AE36" s="2" t="s">
        <v>78</v>
      </c>
    </row>
    <row r="65" spans="8:31">
      <c r="I65" s="1" t="s">
        <v>14</v>
      </c>
      <c r="J65" s="1" t="s">
        <v>15</v>
      </c>
    </row>
    <row r="66" spans="8:31">
      <c r="J66" s="1" t="s">
        <v>16</v>
      </c>
    </row>
    <row r="67" spans="8:31">
      <c r="J67" s="1" t="s">
        <v>17</v>
      </c>
    </row>
    <row r="69" spans="8:31" ht="15">
      <c r="H69" s="2" t="s">
        <v>724</v>
      </c>
      <c r="AE69" s="2" t="s">
        <v>79</v>
      </c>
    </row>
    <row r="101" spans="8:31">
      <c r="I101" s="1" t="s">
        <v>14</v>
      </c>
      <c r="J101" s="1" t="s">
        <v>15</v>
      </c>
    </row>
    <row r="102" spans="8:31">
      <c r="J102" s="1" t="s">
        <v>16</v>
      </c>
    </row>
    <row r="103" spans="8:31">
      <c r="J103" s="1" t="s">
        <v>17</v>
      </c>
    </row>
    <row r="105" spans="8:31" ht="15">
      <c r="H105" s="2" t="s">
        <v>101</v>
      </c>
      <c r="AE105" s="2" t="s">
        <v>80</v>
      </c>
    </row>
    <row r="134" spans="8:31">
      <c r="I134" s="1" t="s">
        <v>14</v>
      </c>
      <c r="J134" s="1" t="s">
        <v>15</v>
      </c>
    </row>
    <row r="135" spans="8:31">
      <c r="J135" s="1" t="s">
        <v>16</v>
      </c>
    </row>
    <row r="136" spans="8:31">
      <c r="J136" s="1" t="s">
        <v>17</v>
      </c>
    </row>
    <row r="138" spans="8:31" ht="15">
      <c r="H138" s="2" t="s">
        <v>100</v>
      </c>
      <c r="AE138" s="2" t="s">
        <v>81</v>
      </c>
    </row>
    <row r="154" ht="15" customHeight="1"/>
    <row r="167" spans="9:10">
      <c r="I167" s="1" t="s">
        <v>14</v>
      </c>
      <c r="J167" s="1" t="s">
        <v>15</v>
      </c>
    </row>
    <row r="168" spans="9:10">
      <c r="J168" s="1" t="s">
        <v>16</v>
      </c>
    </row>
    <row r="169" spans="9:10">
      <c r="J169" s="1" t="s">
        <v>17</v>
      </c>
    </row>
    <row r="185" spans="1:7">
      <c r="A185" s="1" t="s">
        <v>704</v>
      </c>
    </row>
    <row r="186" spans="1:7">
      <c r="A186" s="24" t="s">
        <v>18</v>
      </c>
      <c r="B186" s="24" t="s">
        <v>19</v>
      </c>
      <c r="C186" s="24" t="s">
        <v>20</v>
      </c>
      <c r="D186" s="24" t="s">
        <v>21</v>
      </c>
      <c r="E186" s="24" t="s">
        <v>22</v>
      </c>
      <c r="F186" s="24" t="s">
        <v>23</v>
      </c>
      <c r="G186" s="24" t="s">
        <v>24</v>
      </c>
    </row>
    <row r="187" spans="1:7">
      <c r="A187" s="61">
        <v>429.72</v>
      </c>
      <c r="B187" s="61">
        <v>430.71</v>
      </c>
      <c r="C187" s="61">
        <v>416.17</v>
      </c>
      <c r="D187" s="61">
        <v>424</v>
      </c>
      <c r="E187" s="61">
        <v>856162</v>
      </c>
      <c r="F187" s="61" t="s">
        <v>129</v>
      </c>
      <c r="G187" s="25">
        <f t="shared" ref="G187:G250" si="0">A187/D187-1</f>
        <v>1.3490566037736018E-2</v>
      </c>
    </row>
    <row r="188" spans="1:7">
      <c r="A188" s="61">
        <v>423.56</v>
      </c>
      <c r="B188" s="61">
        <v>427.07</v>
      </c>
      <c r="C188" s="61">
        <v>415</v>
      </c>
      <c r="D188" s="61">
        <v>415.1</v>
      </c>
      <c r="E188" s="61">
        <v>1462654</v>
      </c>
      <c r="F188" s="61" t="s">
        <v>130</v>
      </c>
      <c r="G188" s="25">
        <f t="shared" si="0"/>
        <v>2.0380631173211317E-2</v>
      </c>
    </row>
    <row r="189" spans="1:7">
      <c r="A189" s="61">
        <v>415.25</v>
      </c>
      <c r="B189" s="61">
        <v>422.77</v>
      </c>
      <c r="C189" s="61">
        <v>409</v>
      </c>
      <c r="D189" s="61">
        <v>410.71</v>
      </c>
      <c r="E189" s="61">
        <v>701953</v>
      </c>
      <c r="F189" s="61" t="s">
        <v>131</v>
      </c>
      <c r="G189" s="25">
        <f t="shared" si="0"/>
        <v>1.105402838986147E-2</v>
      </c>
    </row>
    <row r="190" spans="1:7">
      <c r="A190" s="61">
        <v>408.09</v>
      </c>
      <c r="B190" s="61">
        <v>413</v>
      </c>
      <c r="C190" s="61">
        <v>401.65</v>
      </c>
      <c r="D190" s="61">
        <v>410</v>
      </c>
      <c r="E190" s="61">
        <v>727341</v>
      </c>
      <c r="F190" s="61" t="s">
        <v>132</v>
      </c>
      <c r="G190" s="25">
        <f t="shared" si="0"/>
        <v>-4.6585365853659688E-3</v>
      </c>
    </row>
    <row r="191" spans="1:7">
      <c r="A191" s="61">
        <v>409.6</v>
      </c>
      <c r="B191" s="61">
        <v>411.44</v>
      </c>
      <c r="C191" s="61">
        <v>401.27</v>
      </c>
      <c r="D191" s="61">
        <v>404.49</v>
      </c>
      <c r="E191" s="61">
        <v>676506</v>
      </c>
      <c r="F191" s="61" t="s">
        <v>133</v>
      </c>
      <c r="G191" s="25">
        <f t="shared" si="0"/>
        <v>1.263319241514016E-2</v>
      </c>
    </row>
    <row r="192" spans="1:7">
      <c r="A192" s="61">
        <v>405.45</v>
      </c>
      <c r="B192" s="61">
        <v>411.36</v>
      </c>
      <c r="C192" s="61">
        <v>400.05</v>
      </c>
      <c r="D192" s="61">
        <v>401.26</v>
      </c>
      <c r="E192" s="61">
        <v>683090</v>
      </c>
      <c r="F192" s="61" t="s">
        <v>134</v>
      </c>
      <c r="G192" s="25">
        <f t="shared" si="0"/>
        <v>1.0442107361810393E-2</v>
      </c>
    </row>
    <row r="193" spans="1:13">
      <c r="A193" s="61">
        <v>402.53</v>
      </c>
      <c r="B193" s="61">
        <v>405.95499999999998</v>
      </c>
      <c r="C193" s="61">
        <v>397.91</v>
      </c>
      <c r="D193" s="61">
        <v>397.91</v>
      </c>
      <c r="E193" s="61">
        <v>435001</v>
      </c>
      <c r="F193" s="61" t="s">
        <v>135</v>
      </c>
      <c r="G193" s="25">
        <f t="shared" si="0"/>
        <v>1.1610665728430947E-2</v>
      </c>
    </row>
    <row r="194" spans="1:13">
      <c r="A194" s="61">
        <v>400.92</v>
      </c>
      <c r="B194" s="61">
        <v>409.2</v>
      </c>
      <c r="C194" s="61">
        <v>398.01</v>
      </c>
      <c r="D194" s="61">
        <v>407.85</v>
      </c>
      <c r="E194" s="61">
        <v>604925</v>
      </c>
      <c r="F194" s="61" t="s">
        <v>136</v>
      </c>
      <c r="G194" s="25">
        <f t="shared" si="0"/>
        <v>-1.6991541007723487E-2</v>
      </c>
    </row>
    <row r="195" spans="1:13">
      <c r="A195" s="61">
        <v>402.65</v>
      </c>
      <c r="B195" s="61">
        <v>410</v>
      </c>
      <c r="C195" s="61">
        <v>397.245</v>
      </c>
      <c r="D195" s="61">
        <v>405.39</v>
      </c>
      <c r="E195" s="61">
        <v>1049954</v>
      </c>
      <c r="F195" s="61" t="s">
        <v>137</v>
      </c>
      <c r="G195" s="25">
        <f t="shared" si="0"/>
        <v>-6.7589235057599062E-3</v>
      </c>
    </row>
    <row r="196" spans="1:13">
      <c r="A196" s="61">
        <v>389.43</v>
      </c>
      <c r="B196" s="61">
        <v>398.7799</v>
      </c>
      <c r="C196" s="61">
        <v>387</v>
      </c>
      <c r="D196" s="61">
        <v>392.22</v>
      </c>
      <c r="E196" s="61">
        <v>960174</v>
      </c>
      <c r="F196" s="61" t="s">
        <v>138</v>
      </c>
      <c r="G196" s="25">
        <f t="shared" si="0"/>
        <v>-7.1133547498852812E-3</v>
      </c>
    </row>
    <row r="197" spans="1:13">
      <c r="A197" s="61">
        <v>383.49</v>
      </c>
      <c r="B197" s="61">
        <v>392.99</v>
      </c>
      <c r="C197" s="61">
        <v>382.87</v>
      </c>
      <c r="D197" s="61">
        <v>391.6</v>
      </c>
      <c r="E197" s="61">
        <v>912702</v>
      </c>
      <c r="F197" s="61" t="s">
        <v>139</v>
      </c>
      <c r="G197" s="25">
        <f t="shared" si="0"/>
        <v>-2.0709908069458716E-2</v>
      </c>
    </row>
    <row r="198" spans="1:13">
      <c r="A198" s="61">
        <v>389.19</v>
      </c>
      <c r="B198" s="61">
        <v>389.67</v>
      </c>
      <c r="C198" s="61">
        <v>366.4</v>
      </c>
      <c r="D198" s="61">
        <v>385.41</v>
      </c>
      <c r="E198" s="61">
        <v>751453</v>
      </c>
      <c r="F198" s="61" t="s">
        <v>140</v>
      </c>
      <c r="G198" s="25">
        <f t="shared" si="0"/>
        <v>9.807737214913903E-3</v>
      </c>
    </row>
    <row r="199" spans="1:13">
      <c r="A199" s="61">
        <v>380.44</v>
      </c>
      <c r="B199" s="61">
        <v>387.35</v>
      </c>
      <c r="C199" s="61">
        <v>380.03</v>
      </c>
      <c r="D199" s="61">
        <v>382.75</v>
      </c>
      <c r="E199" s="61">
        <v>518502</v>
      </c>
      <c r="F199" s="61" t="s">
        <v>141</v>
      </c>
      <c r="G199" s="25">
        <f t="shared" si="0"/>
        <v>-6.0352710646636165E-3</v>
      </c>
    </row>
    <row r="200" spans="1:13">
      <c r="A200" s="61">
        <v>377.76</v>
      </c>
      <c r="B200" s="61">
        <v>385.53</v>
      </c>
      <c r="C200" s="61">
        <v>373.64</v>
      </c>
      <c r="D200" s="61">
        <v>376.48</v>
      </c>
      <c r="E200" s="61">
        <v>525056</v>
      </c>
      <c r="F200" s="61" t="s">
        <v>142</v>
      </c>
      <c r="G200" s="25">
        <f t="shared" si="0"/>
        <v>3.399915002124887E-3</v>
      </c>
      <c r="I200" s="26"/>
      <c r="J200" s="26" t="s">
        <v>25</v>
      </c>
      <c r="K200" s="65">
        <f>MIN(G187:G761)</f>
        <v>-0.11447004608294931</v>
      </c>
    </row>
    <row r="201" spans="1:13">
      <c r="A201" s="61">
        <v>375.15</v>
      </c>
      <c r="B201" s="61">
        <v>376.48989999999998</v>
      </c>
      <c r="C201" s="61">
        <v>363.07</v>
      </c>
      <c r="D201" s="61">
        <v>368.85</v>
      </c>
      <c r="E201" s="61">
        <v>804736</v>
      </c>
      <c r="F201" s="61" t="s">
        <v>143</v>
      </c>
      <c r="G201" s="25">
        <f t="shared" si="0"/>
        <v>1.7080113867425695E-2</v>
      </c>
      <c r="I201" s="26"/>
      <c r="J201" s="26" t="s">
        <v>26</v>
      </c>
      <c r="K201" s="27">
        <f>MAX(G187:G761)</f>
        <v>0.12306748466257678</v>
      </c>
    </row>
    <row r="202" spans="1:13">
      <c r="A202" s="61">
        <v>378.92</v>
      </c>
      <c r="B202" s="61">
        <v>386.14499999999998</v>
      </c>
      <c r="C202" s="61">
        <v>371.15</v>
      </c>
      <c r="D202" s="61">
        <v>385.58</v>
      </c>
      <c r="E202" s="61">
        <v>1194108</v>
      </c>
      <c r="F202" s="61" t="s">
        <v>144</v>
      </c>
      <c r="G202" s="25">
        <f t="shared" si="0"/>
        <v>-1.7272680118263328E-2</v>
      </c>
      <c r="I202" s="26"/>
      <c r="J202" s="26" t="s">
        <v>27</v>
      </c>
      <c r="K202" s="27">
        <f>AVERAGE(G187:G761)</f>
        <v>1.2356432286601529E-3</v>
      </c>
    </row>
    <row r="203" spans="1:13">
      <c r="A203" s="61">
        <v>388.22</v>
      </c>
      <c r="B203" s="61">
        <v>394.25</v>
      </c>
      <c r="C203" s="61">
        <v>375.01</v>
      </c>
      <c r="D203" s="61">
        <v>377.22</v>
      </c>
      <c r="E203" s="61">
        <v>1086743</v>
      </c>
      <c r="F203" s="61" t="s">
        <v>145</v>
      </c>
      <c r="G203" s="25">
        <f t="shared" si="0"/>
        <v>2.916070197762588E-2</v>
      </c>
      <c r="I203" s="26"/>
      <c r="J203" s="26" t="s">
        <v>28</v>
      </c>
      <c r="K203" s="27">
        <f>MEDIAN(G187:G761)</f>
        <v>1.0764262648008671E-3</v>
      </c>
    </row>
    <row r="204" spans="1:13" ht="15">
      <c r="A204" s="61">
        <v>381.5</v>
      </c>
      <c r="B204" s="61">
        <v>382.8</v>
      </c>
      <c r="C204" s="61">
        <v>375</v>
      </c>
      <c r="D204" s="61">
        <v>379.47</v>
      </c>
      <c r="E204" s="61">
        <v>7200318</v>
      </c>
      <c r="F204" s="61" t="s">
        <v>146</v>
      </c>
      <c r="G204" s="25">
        <f t="shared" si="0"/>
        <v>5.3495665006455528E-3</v>
      </c>
      <c r="I204" s="26"/>
      <c r="J204" s="26" t="s">
        <v>29</v>
      </c>
      <c r="K204" s="27">
        <f>_xlfn.STDEV.P(G187:G761)</f>
        <v>2.5839951847509549E-2</v>
      </c>
      <c r="M204" s="2"/>
    </row>
    <row r="205" spans="1:13" ht="15">
      <c r="A205" s="61">
        <v>378.79</v>
      </c>
      <c r="B205" s="61">
        <v>380.13</v>
      </c>
      <c r="C205" s="61">
        <v>367.01</v>
      </c>
      <c r="D205" s="61">
        <v>374.91</v>
      </c>
      <c r="E205" s="61">
        <v>2380541</v>
      </c>
      <c r="F205" s="61" t="s">
        <v>147</v>
      </c>
      <c r="G205" s="25">
        <f t="shared" si="0"/>
        <v>1.0349150462777734E-2</v>
      </c>
      <c r="I205" s="26"/>
      <c r="J205" s="28" t="s">
        <v>30</v>
      </c>
      <c r="K205" s="27">
        <f>3*K204</f>
        <v>7.7519855542528646E-2</v>
      </c>
      <c r="L205" s="26"/>
      <c r="M205" s="2" t="s">
        <v>91</v>
      </c>
    </row>
    <row r="206" spans="1:13" ht="15">
      <c r="A206" s="61">
        <v>355.53</v>
      </c>
      <c r="B206" s="61">
        <v>361.67</v>
      </c>
      <c r="C206" s="61">
        <v>353.04</v>
      </c>
      <c r="D206" s="61">
        <v>358.5</v>
      </c>
      <c r="E206" s="61">
        <v>433093</v>
      </c>
      <c r="F206" s="61" t="s">
        <v>148</v>
      </c>
      <c r="G206" s="25">
        <f t="shared" si="0"/>
        <v>-8.2845188284519367E-3</v>
      </c>
      <c r="I206" s="26"/>
      <c r="J206" s="28" t="s">
        <v>31</v>
      </c>
      <c r="K206" s="26">
        <v>1.58</v>
      </c>
      <c r="L206" s="26"/>
      <c r="M206" s="2" t="s">
        <v>32</v>
      </c>
    </row>
    <row r="207" spans="1:13">
      <c r="A207" s="61">
        <v>356.11</v>
      </c>
      <c r="B207" s="61">
        <v>364.04</v>
      </c>
      <c r="C207" s="61">
        <v>348.86</v>
      </c>
      <c r="D207" s="61">
        <v>357.86</v>
      </c>
      <c r="E207" s="61">
        <v>807639</v>
      </c>
      <c r="F207" s="61" t="s">
        <v>149</v>
      </c>
      <c r="G207" s="25">
        <f t="shared" si="0"/>
        <v>-4.8901805175207702E-3</v>
      </c>
    </row>
    <row r="208" spans="1:13">
      <c r="A208" s="61">
        <v>357.86</v>
      </c>
      <c r="B208" s="61">
        <v>367.97</v>
      </c>
      <c r="C208" s="61">
        <v>357.47</v>
      </c>
      <c r="D208" s="61">
        <v>360</v>
      </c>
      <c r="E208" s="61">
        <v>533750</v>
      </c>
      <c r="F208" s="61" t="s">
        <v>150</v>
      </c>
      <c r="G208" s="25">
        <f t="shared" si="0"/>
        <v>-5.9444444444444189E-3</v>
      </c>
      <c r="I208" s="29" t="s">
        <v>33</v>
      </c>
      <c r="J208" s="30">
        <v>557</v>
      </c>
    </row>
    <row r="209" spans="1:17" ht="15" thickBot="1">
      <c r="A209" s="61">
        <v>360.1</v>
      </c>
      <c r="B209" s="61">
        <v>365.72</v>
      </c>
      <c r="C209" s="61">
        <v>351.00009999999997</v>
      </c>
      <c r="D209" s="61">
        <v>364.11</v>
      </c>
      <c r="E209" s="61">
        <v>961412</v>
      </c>
      <c r="F209" s="61" t="s">
        <v>151</v>
      </c>
      <c r="G209" s="25">
        <f t="shared" si="0"/>
        <v>-1.1013155365136917E-2</v>
      </c>
      <c r="I209" s="1" t="s">
        <v>34</v>
      </c>
      <c r="L209" s="1" t="s">
        <v>35</v>
      </c>
      <c r="P209" s="1" t="s">
        <v>36</v>
      </c>
    </row>
    <row r="210" spans="1:17" ht="15" customHeight="1">
      <c r="A210" s="61">
        <v>368.16</v>
      </c>
      <c r="B210" s="61">
        <v>372.44499999999999</v>
      </c>
      <c r="C210" s="61">
        <v>361.4255</v>
      </c>
      <c r="D210" s="61">
        <v>371.98</v>
      </c>
      <c r="E210" s="61">
        <v>810202</v>
      </c>
      <c r="F210" s="61" t="s">
        <v>152</v>
      </c>
      <c r="G210" s="25">
        <f t="shared" si="0"/>
        <v>-1.0269369320931254E-2</v>
      </c>
      <c r="I210" s="64" t="s">
        <v>37</v>
      </c>
      <c r="J210" s="64" t="s">
        <v>38</v>
      </c>
      <c r="L210" s="31" t="s">
        <v>39</v>
      </c>
      <c r="M210" s="32" t="s">
        <v>40</v>
      </c>
      <c r="P210" s="31" t="s">
        <v>41</v>
      </c>
      <c r="Q210" s="32" t="s">
        <v>42</v>
      </c>
    </row>
    <row r="211" spans="1:17" ht="15">
      <c r="A211" s="61">
        <v>376.89</v>
      </c>
      <c r="B211" s="61">
        <v>381.84</v>
      </c>
      <c r="C211" s="61">
        <v>373.58</v>
      </c>
      <c r="D211" s="61">
        <v>377.82</v>
      </c>
      <c r="E211" s="61">
        <v>876316</v>
      </c>
      <c r="F211" s="61" t="s">
        <v>153</v>
      </c>
      <c r="G211" s="25">
        <f t="shared" si="0"/>
        <v>-2.4614895982213447E-3</v>
      </c>
      <c r="I211" s="62">
        <v>-8.2000000000000059E-2</v>
      </c>
      <c r="J211">
        <v>7</v>
      </c>
      <c r="L211" s="59">
        <f t="shared" ref="L211:L213" si="1">L212-0.001</f>
        <v>-8.5000000000000062E-2</v>
      </c>
      <c r="M211" s="1">
        <f t="shared" ref="M211:M242" si="2">_xlfn.NORM.DIST(L211,$K$202,$K$204,FALSE)</f>
        <v>5.8901596167727839E-2</v>
      </c>
      <c r="O211" s="1" t="s">
        <v>82</v>
      </c>
      <c r="P211" s="59">
        <f>K202</f>
        <v>1.2356432286601529E-3</v>
      </c>
      <c r="Q211" s="1">
        <v>0</v>
      </c>
    </row>
    <row r="212" spans="1:17" ht="15">
      <c r="A212" s="61">
        <v>377.82</v>
      </c>
      <c r="B212" s="61">
        <v>383.47500000000002</v>
      </c>
      <c r="C212" s="61">
        <v>371.05</v>
      </c>
      <c r="D212" s="61">
        <v>381.33</v>
      </c>
      <c r="E212" s="61">
        <v>768556</v>
      </c>
      <c r="F212" s="61" t="s">
        <v>154</v>
      </c>
      <c r="G212" s="25">
        <f t="shared" si="0"/>
        <v>-9.2046259145621701E-3</v>
      </c>
      <c r="I212" s="62">
        <v>-8.1000000000000058E-2</v>
      </c>
      <c r="J212">
        <v>0</v>
      </c>
      <c r="L212" s="59">
        <f t="shared" si="1"/>
        <v>-8.4000000000000061E-2</v>
      </c>
      <c r="M212" s="1">
        <f t="shared" si="2"/>
        <v>6.6971826403459889E-2</v>
      </c>
      <c r="P212" s="59">
        <f>K202</f>
        <v>1.2356432286601529E-3</v>
      </c>
      <c r="Q212" s="1">
        <v>14</v>
      </c>
    </row>
    <row r="213" spans="1:17" ht="15">
      <c r="A213" s="61">
        <v>380.6</v>
      </c>
      <c r="B213" s="61">
        <v>386.17</v>
      </c>
      <c r="C213" s="61">
        <v>378.6</v>
      </c>
      <c r="D213" s="61">
        <v>381.09</v>
      </c>
      <c r="E213" s="61">
        <v>495965</v>
      </c>
      <c r="F213" s="61" t="s">
        <v>155</v>
      </c>
      <c r="G213" s="25">
        <f t="shared" si="0"/>
        <v>-1.2857855099843718E-3</v>
      </c>
      <c r="I213" s="62">
        <v>-8.0000000000000057E-2</v>
      </c>
      <c r="J213">
        <v>0</v>
      </c>
      <c r="L213" s="59">
        <f t="shared" si="1"/>
        <v>-8.300000000000006E-2</v>
      </c>
      <c r="M213" s="1">
        <f t="shared" si="2"/>
        <v>7.603381666931229E-2</v>
      </c>
      <c r="O213" s="38" t="s">
        <v>83</v>
      </c>
      <c r="P213" s="59">
        <f>($K$204*-3)+$K$202</f>
        <v>-7.6284212313868491E-2</v>
      </c>
      <c r="Q213" s="1">
        <v>0</v>
      </c>
    </row>
    <row r="214" spans="1:17" ht="15">
      <c r="A214" s="61">
        <v>380.25</v>
      </c>
      <c r="B214" s="61">
        <v>387.99990000000003</v>
      </c>
      <c r="C214" s="61">
        <v>365.08</v>
      </c>
      <c r="D214" s="61">
        <v>383.83</v>
      </c>
      <c r="E214" s="61">
        <v>828871</v>
      </c>
      <c r="F214" s="61" t="s">
        <v>156</v>
      </c>
      <c r="G214" s="25">
        <f t="shared" si="0"/>
        <v>-9.3270458275799273E-3</v>
      </c>
      <c r="I214" s="62">
        <v>-7.9000000000000056E-2</v>
      </c>
      <c r="J214">
        <v>0</v>
      </c>
      <c r="L214" s="59">
        <f t="shared" ref="L214:L277" si="3">L215-0.001</f>
        <v>-8.2000000000000059E-2</v>
      </c>
      <c r="M214" s="1">
        <f t="shared" si="2"/>
        <v>8.6192803996170977E-2</v>
      </c>
      <c r="O214" s="39"/>
      <c r="P214" s="59">
        <f>($K$204*-3)+$K$202</f>
        <v>-7.6284212313868491E-2</v>
      </c>
      <c r="Q214" s="1">
        <v>1</v>
      </c>
    </row>
    <row r="215" spans="1:17" ht="15">
      <c r="A215" s="61">
        <v>380.61</v>
      </c>
      <c r="B215" s="61">
        <v>381.5</v>
      </c>
      <c r="C215" s="61">
        <v>369.56</v>
      </c>
      <c r="D215" s="61">
        <v>370.13</v>
      </c>
      <c r="E215" s="61">
        <v>782635</v>
      </c>
      <c r="F215" s="61" t="s">
        <v>157</v>
      </c>
      <c r="G215" s="25">
        <f t="shared" si="0"/>
        <v>2.8314376030043498E-2</v>
      </c>
      <c r="I215" s="62">
        <v>-7.8000000000000055E-2</v>
      </c>
      <c r="J215">
        <v>0</v>
      </c>
      <c r="L215" s="59">
        <f t="shared" si="3"/>
        <v>-8.1000000000000058E-2</v>
      </c>
      <c r="M215" s="1">
        <f t="shared" si="2"/>
        <v>9.7562921503275446E-2</v>
      </c>
      <c r="O215" s="38" t="s">
        <v>84</v>
      </c>
      <c r="P215" s="59">
        <f>($K$204*-2)+$K$202</f>
        <v>-5.0444260466358942E-2</v>
      </c>
      <c r="Q215" s="1">
        <v>0</v>
      </c>
    </row>
    <row r="216" spans="1:17" ht="15">
      <c r="A216" s="61">
        <v>369.95</v>
      </c>
      <c r="B216" s="61">
        <v>380</v>
      </c>
      <c r="C216" s="61">
        <v>364.77</v>
      </c>
      <c r="D216" s="61">
        <v>379.31</v>
      </c>
      <c r="E216" s="61">
        <v>900712</v>
      </c>
      <c r="F216" s="61" t="s">
        <v>158</v>
      </c>
      <c r="G216" s="25">
        <f t="shared" si="0"/>
        <v>-2.4676386069441891E-2</v>
      </c>
      <c r="I216" s="62">
        <v>-7.7000000000000055E-2</v>
      </c>
      <c r="J216">
        <v>0</v>
      </c>
      <c r="L216" s="59">
        <f t="shared" si="3"/>
        <v>-8.0000000000000057E-2</v>
      </c>
      <c r="M216" s="1">
        <f t="shared" si="2"/>
        <v>0.11026765876813814</v>
      </c>
      <c r="O216" s="39"/>
      <c r="P216" s="59">
        <f>($K$204*-2)+$K$202</f>
        <v>-5.0444260466358942E-2</v>
      </c>
      <c r="Q216" s="1">
        <v>3</v>
      </c>
    </row>
    <row r="217" spans="1:17" ht="15">
      <c r="A217" s="61">
        <v>374.68</v>
      </c>
      <c r="B217" s="61">
        <v>377.14299999999997</v>
      </c>
      <c r="C217" s="61">
        <v>368.26</v>
      </c>
      <c r="D217" s="61">
        <v>372</v>
      </c>
      <c r="E217" s="61">
        <v>619882</v>
      </c>
      <c r="F217" s="61" t="s">
        <v>159</v>
      </c>
      <c r="G217" s="25">
        <f t="shared" si="0"/>
        <v>7.2043010752689263E-3</v>
      </c>
      <c r="I217" s="62">
        <v>-7.6000000000000054E-2</v>
      </c>
      <c r="J217">
        <v>0</v>
      </c>
      <c r="L217" s="59">
        <f t="shared" si="3"/>
        <v>-7.9000000000000056E-2</v>
      </c>
      <c r="M217" s="1">
        <f t="shared" si="2"/>
        <v>0.12444030876232842</v>
      </c>
      <c r="O217" s="40" t="s">
        <v>85</v>
      </c>
      <c r="P217" s="59">
        <f>($K$204*-1)+$K$202</f>
        <v>-2.4604308618849397E-2</v>
      </c>
      <c r="Q217" s="1">
        <v>0</v>
      </c>
    </row>
    <row r="218" spans="1:17" ht="15">
      <c r="A218" s="61">
        <v>375.58</v>
      </c>
      <c r="B218" s="61">
        <v>383.7199</v>
      </c>
      <c r="C218" s="61">
        <v>368.25</v>
      </c>
      <c r="D218" s="61">
        <v>374.03</v>
      </c>
      <c r="E218" s="61">
        <v>1356917</v>
      </c>
      <c r="F218" s="61" t="s">
        <v>160</v>
      </c>
      <c r="G218" s="25">
        <f t="shared" si="0"/>
        <v>4.1440526161002911E-3</v>
      </c>
      <c r="I218" s="62">
        <v>-7.5000000000000053E-2</v>
      </c>
      <c r="J218">
        <v>0</v>
      </c>
      <c r="L218" s="59">
        <f t="shared" si="3"/>
        <v>-7.8000000000000055E-2</v>
      </c>
      <c r="M218" s="1">
        <f t="shared" si="2"/>
        <v>0.14022439531388944</v>
      </c>
      <c r="P218" s="59">
        <f>($K$204*-1)+$K$202</f>
        <v>-2.4604308618849397E-2</v>
      </c>
      <c r="Q218" s="1">
        <v>9.5</v>
      </c>
    </row>
    <row r="219" spans="1:17" ht="15" customHeight="1">
      <c r="A219" s="61">
        <v>378.67</v>
      </c>
      <c r="B219" s="61">
        <v>387.625</v>
      </c>
      <c r="C219" s="61">
        <v>372.52</v>
      </c>
      <c r="D219" s="61">
        <v>387.01</v>
      </c>
      <c r="E219" s="61">
        <v>1210450</v>
      </c>
      <c r="F219" s="61" t="s">
        <v>161</v>
      </c>
      <c r="G219" s="25">
        <f t="shared" si="0"/>
        <v>-2.1549830753727184E-2</v>
      </c>
      <c r="I219" s="62">
        <v>-7.4000000000000052E-2</v>
      </c>
      <c r="J219">
        <v>0</v>
      </c>
      <c r="L219" s="59">
        <f t="shared" si="3"/>
        <v>-7.7000000000000055E-2</v>
      </c>
      <c r="M219" s="1">
        <f t="shared" si="2"/>
        <v>0.15777407448318378</v>
      </c>
      <c r="O219" s="1" t="s">
        <v>86</v>
      </c>
      <c r="P219" s="59">
        <f>($K$204*1)+$K$202</f>
        <v>2.70755950761697E-2</v>
      </c>
      <c r="Q219" s="1">
        <v>0</v>
      </c>
    </row>
    <row r="220" spans="1:17" ht="15" customHeight="1">
      <c r="A220" s="61">
        <v>384.27</v>
      </c>
      <c r="B220" s="61">
        <v>392.35</v>
      </c>
      <c r="C220" s="61">
        <v>377.04</v>
      </c>
      <c r="D220" s="61">
        <v>390.71</v>
      </c>
      <c r="E220" s="61">
        <v>1256574</v>
      </c>
      <c r="F220" s="61" t="s">
        <v>162</v>
      </c>
      <c r="G220" s="25">
        <f t="shared" si="0"/>
        <v>-1.648281333981727E-2</v>
      </c>
      <c r="I220" s="62">
        <v>-7.3000000000000051E-2</v>
      </c>
      <c r="J220">
        <v>0</v>
      </c>
      <c r="L220" s="59">
        <f t="shared" si="3"/>
        <v>-7.6000000000000054E-2</v>
      </c>
      <c r="M220" s="1">
        <f t="shared" si="2"/>
        <v>0.17725450267443296</v>
      </c>
      <c r="P220" s="59">
        <f>($K$204*1)+$K$202</f>
        <v>2.70755950761697E-2</v>
      </c>
      <c r="Q220" s="1">
        <v>9.5</v>
      </c>
    </row>
    <row r="221" spans="1:17" ht="15">
      <c r="A221" s="61">
        <v>390.68</v>
      </c>
      <c r="B221" s="61">
        <v>394.07</v>
      </c>
      <c r="C221" s="61">
        <v>379.25889999999998</v>
      </c>
      <c r="D221" s="61">
        <v>382</v>
      </c>
      <c r="E221" s="61">
        <v>1241322</v>
      </c>
      <c r="F221" s="61" t="s">
        <v>163</v>
      </c>
      <c r="G221" s="25">
        <f t="shared" si="0"/>
        <v>2.2722513089005192E-2</v>
      </c>
      <c r="I221" s="62">
        <v>-7.200000000000005E-2</v>
      </c>
      <c r="J221">
        <v>0</v>
      </c>
      <c r="L221" s="59">
        <f t="shared" si="3"/>
        <v>-7.5000000000000053E-2</v>
      </c>
      <c r="M221" s="1">
        <f t="shared" si="2"/>
        <v>0.19884216375941294</v>
      </c>
      <c r="O221" s="41" t="s">
        <v>87</v>
      </c>
      <c r="P221" s="59">
        <f>($K$204*2)+$K$202</f>
        <v>5.2915546923679252E-2</v>
      </c>
      <c r="Q221" s="1">
        <v>0</v>
      </c>
    </row>
    <row r="222" spans="1:17" ht="15">
      <c r="A222" s="61">
        <v>378.01</v>
      </c>
      <c r="B222" s="61">
        <v>384.91500000000002</v>
      </c>
      <c r="C222" s="61">
        <v>358</v>
      </c>
      <c r="D222" s="61">
        <v>363.64</v>
      </c>
      <c r="E222" s="61">
        <v>1549017</v>
      </c>
      <c r="F222" s="61" t="s">
        <v>164</v>
      </c>
      <c r="G222" s="25">
        <f t="shared" si="0"/>
        <v>3.9517104828951766E-2</v>
      </c>
      <c r="I222" s="62">
        <v>-7.1000000000000049E-2</v>
      </c>
      <c r="J222">
        <v>0</v>
      </c>
      <c r="L222" s="59">
        <f t="shared" si="3"/>
        <v>-7.4000000000000052E-2</v>
      </c>
      <c r="M222" s="1">
        <f t="shared" si="2"/>
        <v>0.22272514697289067</v>
      </c>
      <c r="P222" s="59">
        <f>($K$204*2)+$K$202</f>
        <v>5.2915546923679252E-2</v>
      </c>
      <c r="Q222" s="1">
        <v>3</v>
      </c>
    </row>
    <row r="223" spans="1:17" ht="15">
      <c r="A223" s="61">
        <v>377.57</v>
      </c>
      <c r="B223" s="61">
        <v>380.53</v>
      </c>
      <c r="C223" s="61">
        <v>371.12430000000001</v>
      </c>
      <c r="D223" s="61">
        <v>375</v>
      </c>
      <c r="E223" s="61">
        <v>893173</v>
      </c>
      <c r="F223" s="61" t="s">
        <v>165</v>
      </c>
      <c r="G223" s="25">
        <f t="shared" si="0"/>
        <v>6.8533333333333779E-3</v>
      </c>
      <c r="I223" s="62">
        <v>-7.0000000000000048E-2</v>
      </c>
      <c r="J223">
        <v>1</v>
      </c>
      <c r="L223" s="59">
        <f t="shared" si="3"/>
        <v>-7.3000000000000051E-2</v>
      </c>
      <c r="M223" s="1">
        <f t="shared" si="2"/>
        <v>0.24910336686244777</v>
      </c>
      <c r="O223" s="41" t="s">
        <v>88</v>
      </c>
      <c r="P223" s="59">
        <f>($K$204*3)+$K$202</f>
        <v>7.87554987711888E-2</v>
      </c>
      <c r="Q223" s="1">
        <v>0</v>
      </c>
    </row>
    <row r="224" spans="1:17" ht="15">
      <c r="A224" s="61">
        <v>373.36</v>
      </c>
      <c r="B224" s="61">
        <v>376.16</v>
      </c>
      <c r="C224" s="61">
        <v>360.45</v>
      </c>
      <c r="D224" s="61">
        <v>362.7</v>
      </c>
      <c r="E224" s="61">
        <v>1107983</v>
      </c>
      <c r="F224" s="61" t="s">
        <v>166</v>
      </c>
      <c r="G224" s="25">
        <f t="shared" si="0"/>
        <v>2.9390681003584218E-2</v>
      </c>
      <c r="I224" s="62">
        <v>-6.9000000000000047E-2</v>
      </c>
      <c r="J224">
        <v>0</v>
      </c>
      <c r="L224" s="59">
        <f t="shared" si="3"/>
        <v>-7.200000000000005E-2</v>
      </c>
      <c r="M224" s="1">
        <f t="shared" si="2"/>
        <v>0.27818871615009494</v>
      </c>
      <c r="O224" s="41"/>
      <c r="P224" s="59">
        <f>($K$204*3)+$K$202</f>
        <v>7.87554987711888E-2</v>
      </c>
      <c r="Q224" s="1">
        <v>1</v>
      </c>
    </row>
    <row r="225" spans="1:13" ht="15">
      <c r="A225" s="61">
        <v>361.21</v>
      </c>
      <c r="B225" s="61">
        <v>365.3999</v>
      </c>
      <c r="C225" s="61">
        <v>354.73</v>
      </c>
      <c r="D225" s="61">
        <v>359.89</v>
      </c>
      <c r="E225" s="61">
        <v>716684</v>
      </c>
      <c r="F225" s="61" t="s">
        <v>167</v>
      </c>
      <c r="G225" s="25">
        <f t="shared" si="0"/>
        <v>3.6677873794770388E-3</v>
      </c>
      <c r="I225" s="62">
        <v>-6.8000000000000047E-2</v>
      </c>
      <c r="J225">
        <v>0</v>
      </c>
      <c r="L225" s="59">
        <f t="shared" si="3"/>
        <v>-7.1000000000000049E-2</v>
      </c>
      <c r="M225" s="1">
        <f t="shared" si="2"/>
        <v>0.31020514200194083</v>
      </c>
    </row>
    <row r="226" spans="1:13" ht="15">
      <c r="A226" s="61">
        <v>358.77</v>
      </c>
      <c r="B226" s="61">
        <v>359.23500000000001</v>
      </c>
      <c r="C226" s="61">
        <v>348</v>
      </c>
      <c r="D226" s="61">
        <v>350.98</v>
      </c>
      <c r="E226" s="61">
        <v>1233432</v>
      </c>
      <c r="F226" s="61" t="s">
        <v>168</v>
      </c>
      <c r="G226" s="25">
        <f t="shared" si="0"/>
        <v>2.2194996865918082E-2</v>
      </c>
      <c r="I226" s="62">
        <v>-6.7000000000000046E-2</v>
      </c>
      <c r="J226">
        <v>0</v>
      </c>
      <c r="L226" s="59">
        <f t="shared" si="3"/>
        <v>-7.0000000000000048E-2</v>
      </c>
      <c r="M226" s="1">
        <f t="shared" si="2"/>
        <v>0.34538863591802543</v>
      </c>
    </row>
    <row r="227" spans="1:13" ht="15">
      <c r="A227" s="61">
        <v>346.62</v>
      </c>
      <c r="B227" s="61">
        <v>352.77</v>
      </c>
      <c r="C227" s="61">
        <v>338.52499999999998</v>
      </c>
      <c r="D227" s="61">
        <v>339.75</v>
      </c>
      <c r="E227" s="61">
        <v>1637100</v>
      </c>
      <c r="F227" s="61" t="s">
        <v>169</v>
      </c>
      <c r="G227" s="25">
        <f t="shared" si="0"/>
        <v>2.0220750551876332E-2</v>
      </c>
      <c r="I227" s="62">
        <v>-6.6000000000000045E-2</v>
      </c>
      <c r="J227">
        <v>0</v>
      </c>
      <c r="L227" s="59">
        <f t="shared" si="3"/>
        <v>-6.9000000000000047E-2</v>
      </c>
      <c r="M227" s="1">
        <f t="shared" si="2"/>
        <v>0.38398712726045353</v>
      </c>
    </row>
    <row r="228" spans="1:13" ht="15">
      <c r="A228" s="61">
        <v>339.16</v>
      </c>
      <c r="B228" s="61">
        <v>344.74</v>
      </c>
      <c r="C228" s="61">
        <v>336</v>
      </c>
      <c r="D228" s="61">
        <v>339.26</v>
      </c>
      <c r="E228" s="61">
        <v>1159215</v>
      </c>
      <c r="F228" s="61" t="s">
        <v>170</v>
      </c>
      <c r="G228" s="25">
        <f t="shared" si="0"/>
        <v>-2.947591817483719E-4</v>
      </c>
      <c r="I228" s="62">
        <v>-6.5000000000000044E-2</v>
      </c>
      <c r="J228">
        <v>0</v>
      </c>
      <c r="L228" s="59">
        <f t="shared" si="3"/>
        <v>-6.8000000000000047E-2</v>
      </c>
      <c r="M228" s="1">
        <f t="shared" si="2"/>
        <v>0.42626027034758052</v>
      </c>
    </row>
    <row r="229" spans="1:13" ht="15">
      <c r="A229" s="61">
        <v>339.24</v>
      </c>
      <c r="B229" s="61">
        <v>350.52499999999998</v>
      </c>
      <c r="C229" s="61">
        <v>331.02</v>
      </c>
      <c r="D229" s="61">
        <v>343</v>
      </c>
      <c r="E229" s="61">
        <v>2492278</v>
      </c>
      <c r="F229" s="61" t="s">
        <v>171</v>
      </c>
      <c r="G229" s="25">
        <f t="shared" si="0"/>
        <v>-1.0962099125364388E-2</v>
      </c>
      <c r="I229" s="62">
        <v>-6.4000000000000043E-2</v>
      </c>
      <c r="J229">
        <v>1</v>
      </c>
      <c r="L229" s="59">
        <f t="shared" si="3"/>
        <v>-6.7000000000000046E-2</v>
      </c>
      <c r="M229" s="1">
        <f t="shared" si="2"/>
        <v>0.47247911506839374</v>
      </c>
    </row>
    <row r="230" spans="1:13" ht="15">
      <c r="A230" s="61">
        <v>313.58</v>
      </c>
      <c r="B230" s="61">
        <v>316.27</v>
      </c>
      <c r="C230" s="61">
        <v>300</v>
      </c>
      <c r="D230" s="61">
        <v>310.3</v>
      </c>
      <c r="E230" s="61">
        <v>1765078</v>
      </c>
      <c r="F230" s="61" t="s">
        <v>172</v>
      </c>
      <c r="G230" s="25">
        <f t="shared" si="0"/>
        <v>1.0570415726715909E-2</v>
      </c>
      <c r="I230" s="62">
        <v>-6.3000000000000042E-2</v>
      </c>
      <c r="J230">
        <v>1</v>
      </c>
      <c r="L230" s="59">
        <f t="shared" si="3"/>
        <v>-6.6000000000000045E-2</v>
      </c>
      <c r="M230" s="1">
        <f t="shared" si="2"/>
        <v>0.52292565112746026</v>
      </c>
    </row>
    <row r="231" spans="1:13" ht="15">
      <c r="A231" s="61">
        <v>310.14</v>
      </c>
      <c r="B231" s="61">
        <v>329.61</v>
      </c>
      <c r="C231" s="61">
        <v>308.45999999999998</v>
      </c>
      <c r="D231" s="61">
        <v>327.60000000000002</v>
      </c>
      <c r="E231" s="61">
        <v>1550860</v>
      </c>
      <c r="F231" s="61" t="s">
        <v>173</v>
      </c>
      <c r="G231" s="25">
        <f t="shared" si="0"/>
        <v>-5.329670329670344E-2</v>
      </c>
      <c r="I231" s="62">
        <v>-6.2000000000000048E-2</v>
      </c>
      <c r="J231">
        <v>1</v>
      </c>
      <c r="L231" s="59">
        <f t="shared" si="3"/>
        <v>-6.5000000000000044E-2</v>
      </c>
      <c r="M231" s="1">
        <f t="shared" si="2"/>
        <v>0.5778922163291621</v>
      </c>
    </row>
    <row r="232" spans="1:13" ht="15">
      <c r="A232" s="61">
        <v>328.63</v>
      </c>
      <c r="B232" s="61">
        <v>330.99</v>
      </c>
      <c r="C232" s="61">
        <v>302.49</v>
      </c>
      <c r="D232" s="61">
        <v>310</v>
      </c>
      <c r="E232" s="61">
        <v>4482303</v>
      </c>
      <c r="F232" s="61" t="s">
        <v>174</v>
      </c>
      <c r="G232" s="25">
        <f t="shared" si="0"/>
        <v>6.0096774193548308E-2</v>
      </c>
      <c r="I232" s="62">
        <v>-6.1000000000000047E-2</v>
      </c>
      <c r="J232">
        <v>0</v>
      </c>
      <c r="L232" s="59">
        <f t="shared" si="3"/>
        <v>-6.4000000000000043E-2</v>
      </c>
      <c r="M232" s="1">
        <f t="shared" si="2"/>
        <v>0.63768075976199756</v>
      </c>
    </row>
    <row r="233" spans="1:13" ht="15">
      <c r="A233" s="61">
        <v>264</v>
      </c>
      <c r="B233" s="61">
        <v>267.86</v>
      </c>
      <c r="C233" s="61">
        <v>261.56</v>
      </c>
      <c r="D233" s="61">
        <v>265.75</v>
      </c>
      <c r="E233" s="61">
        <v>691497</v>
      </c>
      <c r="F233" s="61" t="s">
        <v>175</v>
      </c>
      <c r="G233" s="25">
        <f t="shared" si="0"/>
        <v>-6.5851364063970186E-3</v>
      </c>
      <c r="I233" s="62">
        <v>-6.0000000000000046E-2</v>
      </c>
      <c r="J233">
        <v>1</v>
      </c>
      <c r="L233" s="59">
        <f t="shared" si="3"/>
        <v>-6.3000000000000042E-2</v>
      </c>
      <c r="M233" s="1">
        <f t="shared" si="2"/>
        <v>0.70260195135980763</v>
      </c>
    </row>
    <row r="234" spans="1:13" ht="15">
      <c r="A234" s="61">
        <v>264.77999999999997</v>
      </c>
      <c r="B234" s="61">
        <v>269.04000000000002</v>
      </c>
      <c r="C234" s="61">
        <v>255.5</v>
      </c>
      <c r="D234" s="61">
        <v>268.7</v>
      </c>
      <c r="E234" s="61">
        <v>1512712</v>
      </c>
      <c r="F234" s="61" t="s">
        <v>176</v>
      </c>
      <c r="G234" s="25">
        <f t="shared" si="0"/>
        <v>-1.4588760699665082E-2</v>
      </c>
      <c r="I234" s="62">
        <v>-5.9000000000000045E-2</v>
      </c>
      <c r="J234">
        <v>2</v>
      </c>
      <c r="L234" s="59">
        <f t="shared" si="3"/>
        <v>-6.2000000000000048E-2</v>
      </c>
      <c r="M234" s="1">
        <f t="shared" si="2"/>
        <v>0.77297413010586224</v>
      </c>
    </row>
    <row r="235" spans="1:13" ht="15">
      <c r="A235" s="61">
        <v>268.14999999999998</v>
      </c>
      <c r="B235" s="61">
        <v>285</v>
      </c>
      <c r="C235" s="61">
        <v>264.67</v>
      </c>
      <c r="D235" s="61">
        <v>282.42</v>
      </c>
      <c r="E235" s="61">
        <v>1520737</v>
      </c>
      <c r="F235" s="61" t="s">
        <v>177</v>
      </c>
      <c r="G235" s="25">
        <f t="shared" si="0"/>
        <v>-5.0527583032363266E-2</v>
      </c>
      <c r="I235" s="62">
        <v>-5.8000000000000045E-2</v>
      </c>
      <c r="J235">
        <v>1</v>
      </c>
      <c r="L235" s="59">
        <f t="shared" si="3"/>
        <v>-6.1000000000000047E-2</v>
      </c>
      <c r="M235" s="1">
        <f t="shared" si="2"/>
        <v>0.8491220841148609</v>
      </c>
    </row>
    <row r="236" spans="1:13" ht="15">
      <c r="A236" s="61">
        <v>281.95999999999998</v>
      </c>
      <c r="B236" s="61">
        <v>282.80529999999999</v>
      </c>
      <c r="C236" s="61">
        <v>270.37</v>
      </c>
      <c r="D236" s="61">
        <v>276.97000000000003</v>
      </c>
      <c r="E236" s="61">
        <v>960920</v>
      </c>
      <c r="F236" s="61" t="s">
        <v>178</v>
      </c>
      <c r="G236" s="25">
        <f t="shared" si="0"/>
        <v>1.8016391666967335E-2</v>
      </c>
      <c r="I236" s="62">
        <v>-5.7000000000000044E-2</v>
      </c>
      <c r="J236">
        <v>2</v>
      </c>
      <c r="L236" s="59">
        <f t="shared" si="3"/>
        <v>-6.0000000000000046E-2</v>
      </c>
      <c r="M236" s="1">
        <f t="shared" si="2"/>
        <v>0.93137565698222669</v>
      </c>
    </row>
    <row r="237" spans="1:13" ht="15">
      <c r="A237" s="61">
        <v>276.17</v>
      </c>
      <c r="B237" s="61">
        <v>280.58999999999997</v>
      </c>
      <c r="C237" s="61">
        <v>266.79500000000002</v>
      </c>
      <c r="D237" s="61">
        <v>270.7</v>
      </c>
      <c r="E237" s="61">
        <v>1018674</v>
      </c>
      <c r="F237" s="61" t="s">
        <v>179</v>
      </c>
      <c r="G237" s="25">
        <f t="shared" si="0"/>
        <v>2.0206871074990973E-2</v>
      </c>
      <c r="I237" s="62">
        <v>-5.6000000000000043E-2</v>
      </c>
      <c r="J237">
        <v>1</v>
      </c>
      <c r="L237" s="59">
        <f t="shared" si="3"/>
        <v>-5.9000000000000045E-2</v>
      </c>
      <c r="M237" s="1">
        <f t="shared" si="2"/>
        <v>1.0200681761321975</v>
      </c>
    </row>
    <row r="238" spans="1:13" ht="15">
      <c r="A238" s="61">
        <v>267.62</v>
      </c>
      <c r="B238" s="61">
        <v>274.7</v>
      </c>
      <c r="C238" s="61">
        <v>265</v>
      </c>
      <c r="D238" s="61">
        <v>274.07</v>
      </c>
      <c r="E238" s="61">
        <v>810951</v>
      </c>
      <c r="F238" s="61" t="s">
        <v>180</v>
      </c>
      <c r="G238" s="25">
        <f t="shared" si="0"/>
        <v>-2.3534133615499608E-2</v>
      </c>
      <c r="I238" s="62">
        <v>-5.5000000000000042E-2</v>
      </c>
      <c r="J238">
        <v>0</v>
      </c>
      <c r="L238" s="59">
        <f t="shared" si="3"/>
        <v>-5.8000000000000045E-2</v>
      </c>
      <c r="M238" s="1">
        <f t="shared" si="2"/>
        <v>1.1155347004261835</v>
      </c>
    </row>
    <row r="239" spans="1:13" ht="15">
      <c r="A239" s="61">
        <v>272.14999999999998</v>
      </c>
      <c r="B239" s="61">
        <v>279.14</v>
      </c>
      <c r="C239" s="61">
        <v>271.94</v>
      </c>
      <c r="D239" s="61">
        <v>279.14</v>
      </c>
      <c r="E239" s="61">
        <v>950803</v>
      </c>
      <c r="F239" s="61" t="s">
        <v>181</v>
      </c>
      <c r="G239" s="25">
        <f t="shared" si="0"/>
        <v>-2.5041197965178785E-2</v>
      </c>
      <c r="I239" s="62">
        <v>-5.4000000000000041E-2</v>
      </c>
      <c r="J239">
        <v>0</v>
      </c>
      <c r="L239" s="59">
        <f t="shared" si="3"/>
        <v>-5.7000000000000044E-2</v>
      </c>
      <c r="M239" s="1">
        <f t="shared" si="2"/>
        <v>1.2181100860077301</v>
      </c>
    </row>
    <row r="240" spans="1:13" ht="15">
      <c r="A240" s="61">
        <v>277.45999999999998</v>
      </c>
      <c r="B240" s="61">
        <v>286.8399</v>
      </c>
      <c r="C240" s="61">
        <v>272.23</v>
      </c>
      <c r="D240" s="61">
        <v>284</v>
      </c>
      <c r="E240" s="61">
        <v>646679</v>
      </c>
      <c r="F240" s="61" t="s">
        <v>182</v>
      </c>
      <c r="G240" s="25">
        <f t="shared" si="0"/>
        <v>-2.3028169014084554E-2</v>
      </c>
      <c r="I240" s="62">
        <v>-5.300000000000004E-2</v>
      </c>
      <c r="J240">
        <v>1</v>
      </c>
      <c r="L240" s="59">
        <f t="shared" si="3"/>
        <v>-5.6000000000000043E-2</v>
      </c>
      <c r="M240" s="1">
        <f t="shared" si="2"/>
        <v>1.3281268712540337</v>
      </c>
    </row>
    <row r="241" spans="1:13" ht="15">
      <c r="A241" s="61">
        <v>285.10000000000002</v>
      </c>
      <c r="B241" s="61">
        <v>286.90989999999999</v>
      </c>
      <c r="C241" s="61">
        <v>280.3</v>
      </c>
      <c r="D241" s="61">
        <v>281.35000000000002</v>
      </c>
      <c r="E241" s="61">
        <v>666155</v>
      </c>
      <c r="F241" s="61" t="s">
        <v>183</v>
      </c>
      <c r="G241" s="25">
        <f t="shared" si="0"/>
        <v>1.3328594277590256E-2</v>
      </c>
      <c r="I241" s="62">
        <v>-5.2000000000000039E-2</v>
      </c>
      <c r="J241">
        <v>0</v>
      </c>
      <c r="L241" s="59">
        <f t="shared" si="3"/>
        <v>-5.5000000000000042E-2</v>
      </c>
      <c r="M241" s="1">
        <f t="shared" si="2"/>
        <v>1.4459129837668423</v>
      </c>
    </row>
    <row r="242" spans="1:13" ht="15">
      <c r="A242" s="61">
        <v>286.31</v>
      </c>
      <c r="B242" s="61">
        <v>287.52</v>
      </c>
      <c r="C242" s="61">
        <v>276.43619999999999</v>
      </c>
      <c r="D242" s="61">
        <v>277.08999999999997</v>
      </c>
      <c r="E242" s="61">
        <v>811994</v>
      </c>
      <c r="F242" s="61" t="s">
        <v>184</v>
      </c>
      <c r="G242" s="25">
        <f t="shared" si="0"/>
        <v>3.3274387383160908E-2</v>
      </c>
      <c r="I242" s="62">
        <v>-5.1000000000000038E-2</v>
      </c>
      <c r="J242">
        <v>0</v>
      </c>
      <c r="L242" s="59">
        <f t="shared" si="3"/>
        <v>-5.4000000000000041E-2</v>
      </c>
      <c r="M242" s="1">
        <f t="shared" si="2"/>
        <v>1.5717892745546327</v>
      </c>
    </row>
    <row r="243" spans="1:13" ht="15">
      <c r="A243" s="61">
        <v>276.27</v>
      </c>
      <c r="B243" s="61">
        <v>282.11</v>
      </c>
      <c r="C243" s="61">
        <v>273.74</v>
      </c>
      <c r="D243" s="61">
        <v>278.10000000000002</v>
      </c>
      <c r="E243" s="61">
        <v>819458</v>
      </c>
      <c r="F243" s="61" t="s">
        <v>185</v>
      </c>
      <c r="G243" s="25">
        <f t="shared" si="0"/>
        <v>-6.5803667745416572E-3</v>
      </c>
      <c r="I243" s="62">
        <v>-5.0000000000000037E-2</v>
      </c>
      <c r="J243">
        <v>1</v>
      </c>
      <c r="L243" s="59">
        <f t="shared" si="3"/>
        <v>-5.300000000000004E-2</v>
      </c>
      <c r="M243" s="1">
        <f t="shared" ref="M243:M274" si="4">_xlfn.NORM.DIST(L243,$K$202,$K$204,FALSE)</f>
        <v>1.7060668869164237</v>
      </c>
    </row>
    <row r="244" spans="1:13" ht="15">
      <c r="A244" s="61">
        <v>279.99</v>
      </c>
      <c r="B244" s="61">
        <v>292.49</v>
      </c>
      <c r="C244" s="61">
        <v>278.35000000000002</v>
      </c>
      <c r="D244" s="61">
        <v>291.02999999999997</v>
      </c>
      <c r="E244" s="61">
        <v>1262934</v>
      </c>
      <c r="F244" s="61" t="s">
        <v>186</v>
      </c>
      <c r="G244" s="25">
        <f t="shared" si="0"/>
        <v>-3.7934233584166477E-2</v>
      </c>
      <c r="I244" s="62">
        <v>-4.9000000000000037E-2</v>
      </c>
      <c r="J244">
        <v>0</v>
      </c>
      <c r="L244" s="59">
        <f t="shared" si="3"/>
        <v>-5.2000000000000039E-2</v>
      </c>
      <c r="M244" s="1">
        <f t="shared" si="4"/>
        <v>1.849044470015148</v>
      </c>
    </row>
    <row r="245" spans="1:13" ht="15">
      <c r="A245" s="61">
        <v>290.77</v>
      </c>
      <c r="B245" s="61">
        <v>301.69499999999999</v>
      </c>
      <c r="C245" s="61">
        <v>289.08</v>
      </c>
      <c r="D245" s="61">
        <v>298.49</v>
      </c>
      <c r="E245" s="61">
        <v>811763</v>
      </c>
      <c r="F245" s="61" t="s">
        <v>187</v>
      </c>
      <c r="G245" s="25">
        <f t="shared" si="0"/>
        <v>-2.5863513015511486E-2</v>
      </c>
      <c r="I245" s="62">
        <v>-4.8000000000000036E-2</v>
      </c>
      <c r="J245">
        <v>0</v>
      </c>
      <c r="L245" s="59">
        <f t="shared" si="3"/>
        <v>-5.1000000000000038E-2</v>
      </c>
      <c r="M245" s="1">
        <f t="shared" si="4"/>
        <v>2.0010052497008122</v>
      </c>
    </row>
    <row r="246" spans="1:13" ht="15">
      <c r="A246" s="61">
        <v>297.88</v>
      </c>
      <c r="B246" s="61">
        <v>298.45999999999998</v>
      </c>
      <c r="C246" s="61">
        <v>290.99</v>
      </c>
      <c r="D246" s="61">
        <v>294.76</v>
      </c>
      <c r="E246" s="61">
        <v>4503368</v>
      </c>
      <c r="F246" s="61" t="s">
        <v>188</v>
      </c>
      <c r="G246" s="25">
        <f t="shared" si="0"/>
        <v>1.058488261636592E-2</v>
      </c>
      <c r="I246" s="62">
        <v>-4.7000000000000035E-2</v>
      </c>
      <c r="J246">
        <v>2</v>
      </c>
      <c r="L246" s="59">
        <f t="shared" si="3"/>
        <v>-5.0000000000000037E-2</v>
      </c>
      <c r="M246" s="1">
        <f t="shared" si="4"/>
        <v>2.1622139717832018</v>
      </c>
    </row>
    <row r="247" spans="1:13" ht="15">
      <c r="A247" s="61">
        <v>291.38</v>
      </c>
      <c r="B247" s="61">
        <v>294.42</v>
      </c>
      <c r="C247" s="61">
        <v>282.91000000000003</v>
      </c>
      <c r="D247" s="61">
        <v>289.97000000000003</v>
      </c>
      <c r="E247" s="61">
        <v>787046</v>
      </c>
      <c r="F247" s="61" t="s">
        <v>189</v>
      </c>
      <c r="G247" s="25">
        <f t="shared" si="0"/>
        <v>4.8625719902057885E-3</v>
      </c>
      <c r="I247" s="62">
        <v>-4.6000000000000034E-2</v>
      </c>
      <c r="J247">
        <v>1</v>
      </c>
      <c r="L247" s="59">
        <f t="shared" si="3"/>
        <v>-4.9000000000000037E-2</v>
      </c>
      <c r="M247" s="1">
        <f t="shared" si="4"/>
        <v>2.3329137356291909</v>
      </c>
    </row>
    <row r="248" spans="1:13" ht="15">
      <c r="A248" s="61">
        <v>288</v>
      </c>
      <c r="B248" s="61">
        <v>300</v>
      </c>
      <c r="C248" s="61">
        <v>287.35000000000002</v>
      </c>
      <c r="D248" s="61">
        <v>298.32</v>
      </c>
      <c r="E248" s="61">
        <v>873230</v>
      </c>
      <c r="F248" s="61" t="s">
        <v>190</v>
      </c>
      <c r="G248" s="25">
        <f t="shared" si="0"/>
        <v>-3.4593724859211528E-2</v>
      </c>
      <c r="I248" s="62">
        <v>-4.5000000000000033E-2</v>
      </c>
      <c r="J248">
        <v>0</v>
      </c>
      <c r="L248" s="59">
        <f t="shared" si="3"/>
        <v>-4.8000000000000036E-2</v>
      </c>
      <c r="M248" s="1">
        <f t="shared" si="4"/>
        <v>2.5133227386365204</v>
      </c>
    </row>
    <row r="249" spans="1:13" ht="15">
      <c r="A249" s="61">
        <v>294.17</v>
      </c>
      <c r="B249" s="61">
        <v>296.89</v>
      </c>
      <c r="C249" s="61">
        <v>289.45580000000001</v>
      </c>
      <c r="D249" s="61">
        <v>292.44</v>
      </c>
      <c r="E249" s="61">
        <v>606127</v>
      </c>
      <c r="F249" s="61" t="s">
        <v>191</v>
      </c>
      <c r="G249" s="25">
        <f t="shared" si="0"/>
        <v>5.9157434003556109E-3</v>
      </c>
      <c r="I249" s="62">
        <v>-4.4000000000000032E-2</v>
      </c>
      <c r="J249">
        <v>2</v>
      </c>
      <c r="L249" s="59">
        <f t="shared" si="3"/>
        <v>-4.7000000000000035E-2</v>
      </c>
      <c r="M249" s="1">
        <f t="shared" si="4"/>
        <v>2.7036309547767758</v>
      </c>
    </row>
    <row r="250" spans="1:13" ht="15">
      <c r="A250" s="61">
        <v>291.58999999999997</v>
      </c>
      <c r="B250" s="61">
        <v>294.76</v>
      </c>
      <c r="C250" s="61">
        <v>284.64</v>
      </c>
      <c r="D250" s="61">
        <v>289.27999999999997</v>
      </c>
      <c r="E250" s="61">
        <v>779556</v>
      </c>
      <c r="F250" s="61" t="s">
        <v>192</v>
      </c>
      <c r="G250" s="25">
        <f t="shared" si="0"/>
        <v>7.9853429203540216E-3</v>
      </c>
      <c r="I250" s="62">
        <v>-4.3000000000000031E-2</v>
      </c>
      <c r="J250">
        <v>1</v>
      </c>
      <c r="L250" s="59">
        <f t="shared" si="3"/>
        <v>-4.6000000000000034E-2</v>
      </c>
      <c r="M250" s="1">
        <f t="shared" si="4"/>
        <v>2.9039967729653915</v>
      </c>
    </row>
    <row r="251" spans="1:13" ht="15">
      <c r="A251" s="61">
        <v>288.66000000000003</v>
      </c>
      <c r="B251" s="61">
        <v>293.37</v>
      </c>
      <c r="C251" s="61">
        <v>287.69</v>
      </c>
      <c r="D251" s="61">
        <v>291.31</v>
      </c>
      <c r="E251" s="61">
        <v>888941</v>
      </c>
      <c r="F251" s="61" t="s">
        <v>193</v>
      </c>
      <c r="G251" s="25">
        <f t="shared" ref="G251:G314" si="5">A251/D251-1</f>
        <v>-9.0968384195529994E-3</v>
      </c>
      <c r="I251" s="62">
        <v>-4.200000000000003E-2</v>
      </c>
      <c r="J251">
        <v>0</v>
      </c>
      <c r="L251" s="59">
        <f t="shared" si="3"/>
        <v>-4.5000000000000033E-2</v>
      </c>
      <c r="M251" s="1">
        <f t="shared" si="4"/>
        <v>3.1145436234639496</v>
      </c>
    </row>
    <row r="252" spans="1:13" ht="15">
      <c r="A252" s="61">
        <v>290.38</v>
      </c>
      <c r="B252" s="61">
        <v>294.45999999999998</v>
      </c>
      <c r="C252" s="61">
        <v>285.04000000000002</v>
      </c>
      <c r="D252" s="61">
        <v>285.04000000000002</v>
      </c>
      <c r="E252" s="61">
        <v>988711</v>
      </c>
      <c r="F252" s="61" t="s">
        <v>194</v>
      </c>
      <c r="G252" s="25">
        <f t="shared" si="5"/>
        <v>1.8734212742071099E-2</v>
      </c>
      <c r="I252" s="62">
        <v>-4.1000000000000029E-2</v>
      </c>
      <c r="J252">
        <v>2</v>
      </c>
      <c r="L252" s="59">
        <f t="shared" si="3"/>
        <v>-4.4000000000000032E-2</v>
      </c>
      <c r="M252" s="1">
        <f t="shared" si="4"/>
        <v>3.3353566228064975</v>
      </c>
    </row>
    <row r="253" spans="1:13" ht="15">
      <c r="A253" s="61">
        <v>285.88</v>
      </c>
      <c r="B253" s="61">
        <v>287.05</v>
      </c>
      <c r="C253" s="61">
        <v>279.2466</v>
      </c>
      <c r="D253" s="61">
        <v>282.56</v>
      </c>
      <c r="E253" s="61">
        <v>686174</v>
      </c>
      <c r="F253" s="61" t="s">
        <v>195</v>
      </c>
      <c r="G253" s="25">
        <f t="shared" si="5"/>
        <v>1.174971687429216E-2</v>
      </c>
      <c r="I253" s="62">
        <v>-4.0000000000000029E-2</v>
      </c>
      <c r="J253">
        <v>1</v>
      </c>
      <c r="L253" s="59">
        <f t="shared" si="3"/>
        <v>-4.3000000000000031E-2</v>
      </c>
      <c r="M253" s="1">
        <f t="shared" si="4"/>
        <v>3.5664792698227679</v>
      </c>
    </row>
    <row r="254" spans="1:13" ht="15">
      <c r="A254" s="61">
        <v>280.92</v>
      </c>
      <c r="B254" s="61">
        <v>286.38</v>
      </c>
      <c r="C254" s="61">
        <v>279.03500000000003</v>
      </c>
      <c r="D254" s="61">
        <v>282.36</v>
      </c>
      <c r="E254" s="61">
        <v>739456</v>
      </c>
      <c r="F254" s="61" t="s">
        <v>196</v>
      </c>
      <c r="G254" s="25">
        <f t="shared" si="5"/>
        <v>-5.0998725031874415E-3</v>
      </c>
      <c r="I254" s="62">
        <v>-3.9000000000000028E-2</v>
      </c>
      <c r="J254">
        <v>2</v>
      </c>
      <c r="L254" s="59">
        <f t="shared" si="3"/>
        <v>-4.200000000000003E-2</v>
      </c>
      <c r="M254" s="1">
        <f t="shared" si="4"/>
        <v>3.807910227162822</v>
      </c>
    </row>
    <row r="255" spans="1:13" ht="15">
      <c r="A255" s="61">
        <v>277.16000000000003</v>
      </c>
      <c r="B255" s="61">
        <v>280.29000000000002</v>
      </c>
      <c r="C255" s="61">
        <v>272.05</v>
      </c>
      <c r="D255" s="61">
        <v>274.99</v>
      </c>
      <c r="E255" s="61">
        <v>1012798</v>
      </c>
      <c r="F255" s="61" t="s">
        <v>197</v>
      </c>
      <c r="G255" s="25">
        <f t="shared" si="5"/>
        <v>7.8911960434926431E-3</v>
      </c>
      <c r="I255" s="62">
        <v>-3.8000000000000027E-2</v>
      </c>
      <c r="J255">
        <v>1</v>
      </c>
      <c r="L255" s="59">
        <f t="shared" si="3"/>
        <v>-4.1000000000000029E-2</v>
      </c>
      <c r="M255" s="1">
        <f t="shared" si="4"/>
        <v>4.0596002242657949</v>
      </c>
    </row>
    <row r="256" spans="1:13" ht="15">
      <c r="A256" s="61">
        <v>274.99</v>
      </c>
      <c r="B256" s="61">
        <v>277.19990000000001</v>
      </c>
      <c r="C256" s="61">
        <v>271.74</v>
      </c>
      <c r="D256" s="61">
        <v>273.36</v>
      </c>
      <c r="E256" s="61">
        <v>1200181</v>
      </c>
      <c r="F256" s="61" t="s">
        <v>198</v>
      </c>
      <c r="G256" s="25">
        <f t="shared" si="5"/>
        <v>5.9628328943517328E-3</v>
      </c>
      <c r="I256" s="62">
        <v>-3.7000000000000026E-2</v>
      </c>
      <c r="J256">
        <v>3</v>
      </c>
      <c r="L256" s="59">
        <f t="shared" si="3"/>
        <v>-4.0000000000000029E-2</v>
      </c>
      <c r="M256" s="1">
        <f t="shared" si="4"/>
        <v>4.3214491189177675</v>
      </c>
    </row>
    <row r="257" spans="1:13" ht="15">
      <c r="A257" s="61">
        <v>274.82</v>
      </c>
      <c r="B257" s="61">
        <v>275.81</v>
      </c>
      <c r="C257" s="61">
        <v>255.53</v>
      </c>
      <c r="D257" s="61">
        <v>271.89999999999998</v>
      </c>
      <c r="E257" s="61">
        <v>3265739</v>
      </c>
      <c r="F257" s="61" t="s">
        <v>199</v>
      </c>
      <c r="G257" s="25">
        <f t="shared" si="5"/>
        <v>1.0739242368517976E-2</v>
      </c>
      <c r="I257" s="62">
        <v>-3.6000000000000025E-2</v>
      </c>
      <c r="J257">
        <v>3</v>
      </c>
      <c r="L257" s="59">
        <f t="shared" si="3"/>
        <v>-3.9000000000000028E-2</v>
      </c>
      <c r="M257" s="1">
        <f t="shared" si="4"/>
        <v>4.5933031553701227</v>
      </c>
    </row>
    <row r="258" spans="1:13" ht="15">
      <c r="A258" s="61">
        <v>255.095</v>
      </c>
      <c r="B258" s="61">
        <v>259</v>
      </c>
      <c r="C258" s="61">
        <v>246.95</v>
      </c>
      <c r="D258" s="61">
        <v>257.41000000000003</v>
      </c>
      <c r="E258" s="61">
        <v>1133494</v>
      </c>
      <c r="F258" s="61" t="s">
        <v>200</v>
      </c>
      <c r="G258" s="25">
        <f t="shared" si="5"/>
        <v>-8.9934345985005493E-3</v>
      </c>
      <c r="I258" s="62">
        <v>-3.5000000000000024E-2</v>
      </c>
      <c r="J258">
        <v>1</v>
      </c>
      <c r="L258" s="59">
        <f t="shared" si="3"/>
        <v>-3.8000000000000027E-2</v>
      </c>
      <c r="M258" s="1">
        <f t="shared" si="4"/>
        <v>4.8749524574026646</v>
      </c>
    </row>
    <row r="259" spans="1:13" ht="15">
      <c r="A259" s="61">
        <v>257.02</v>
      </c>
      <c r="B259" s="61">
        <v>274.88679999999999</v>
      </c>
      <c r="C259" s="61">
        <v>250</v>
      </c>
      <c r="D259" s="61">
        <v>261.33999999999997</v>
      </c>
      <c r="E259" s="61">
        <v>1895866</v>
      </c>
      <c r="F259" s="61" t="s">
        <v>201</v>
      </c>
      <c r="G259" s="25">
        <f t="shared" si="5"/>
        <v>-1.6530190556363289E-2</v>
      </c>
      <c r="I259" s="62">
        <v>-3.4000000000000023E-2</v>
      </c>
      <c r="J259">
        <v>1</v>
      </c>
      <c r="L259" s="59">
        <f t="shared" si="3"/>
        <v>-3.7000000000000026E-2</v>
      </c>
      <c r="M259" s="1">
        <f t="shared" si="4"/>
        <v>5.1661287946821499</v>
      </c>
    </row>
    <row r="260" spans="1:13" ht="15">
      <c r="A260" s="61">
        <v>258.54000000000002</v>
      </c>
      <c r="B260" s="61">
        <v>259.77999999999997</v>
      </c>
      <c r="C260" s="61">
        <v>252.26</v>
      </c>
      <c r="D260" s="61">
        <v>258.99</v>
      </c>
      <c r="E260" s="61">
        <v>516519</v>
      </c>
      <c r="F260" s="61" t="s">
        <v>202</v>
      </c>
      <c r="G260" s="25">
        <f t="shared" si="5"/>
        <v>-1.7375188231205652E-3</v>
      </c>
      <c r="I260" s="62">
        <v>-3.3000000000000022E-2</v>
      </c>
      <c r="J260">
        <v>1</v>
      </c>
      <c r="L260" s="59">
        <f t="shared" si="3"/>
        <v>-3.6000000000000025E-2</v>
      </c>
      <c r="M260" s="1">
        <f t="shared" si="4"/>
        <v>5.4665036602579713</v>
      </c>
    </row>
    <row r="261" spans="1:13" ht="15">
      <c r="A261" s="61">
        <v>255.94</v>
      </c>
      <c r="B261" s="61">
        <v>261.03500000000003</v>
      </c>
      <c r="C261" s="61">
        <v>252.39</v>
      </c>
      <c r="D261" s="61">
        <v>261</v>
      </c>
      <c r="E261" s="61">
        <v>508051</v>
      </c>
      <c r="F261" s="61" t="s">
        <v>203</v>
      </c>
      <c r="G261" s="25">
        <f t="shared" si="5"/>
        <v>-1.938697318007665E-2</v>
      </c>
      <c r="I261" s="62">
        <v>-3.2000000000000021E-2</v>
      </c>
      <c r="J261">
        <v>2</v>
      </c>
      <c r="L261" s="59">
        <f t="shared" si="3"/>
        <v>-3.5000000000000024E-2</v>
      </c>
      <c r="M261" s="1">
        <f t="shared" si="4"/>
        <v>5.7756866960291608</v>
      </c>
    </row>
    <row r="262" spans="1:13" ht="15">
      <c r="A262" s="61">
        <v>260</v>
      </c>
      <c r="B262" s="61">
        <v>261.98</v>
      </c>
      <c r="C262" s="61">
        <v>251.99</v>
      </c>
      <c r="D262" s="61">
        <v>256.08</v>
      </c>
      <c r="E262" s="61">
        <v>1008801</v>
      </c>
      <c r="F262" s="61" t="s">
        <v>204</v>
      </c>
      <c r="G262" s="25">
        <f t="shared" si="5"/>
        <v>1.5307716338644139E-2</v>
      </c>
      <c r="I262" s="62">
        <v>-3.1000000000000021E-2</v>
      </c>
      <c r="J262">
        <v>1</v>
      </c>
      <c r="L262" s="59">
        <f t="shared" si="3"/>
        <v>-3.4000000000000023E-2</v>
      </c>
      <c r="M262" s="1">
        <f t="shared" si="4"/>
        <v>6.0932245014940936</v>
      </c>
    </row>
    <row r="263" spans="1:13" ht="15">
      <c r="A263" s="61">
        <v>255.48</v>
      </c>
      <c r="B263" s="61">
        <v>260.89</v>
      </c>
      <c r="C263" s="61">
        <v>252.01499999999999</v>
      </c>
      <c r="D263" s="61">
        <v>257.31</v>
      </c>
      <c r="E263" s="61">
        <v>1580003</v>
      </c>
      <c r="F263" s="61" t="s">
        <v>205</v>
      </c>
      <c r="G263" s="25">
        <f t="shared" si="5"/>
        <v>-7.1120438381718776E-3</v>
      </c>
      <c r="I263" s="62">
        <v>-3.000000000000002E-2</v>
      </c>
      <c r="J263">
        <v>1</v>
      </c>
      <c r="L263" s="59">
        <f t="shared" si="3"/>
        <v>-3.3000000000000022E-2</v>
      </c>
      <c r="M263" s="1">
        <f t="shared" si="4"/>
        <v>6.4185998590457727</v>
      </c>
    </row>
    <row r="264" spans="1:13" ht="15">
      <c r="A264" s="61">
        <v>248.56</v>
      </c>
      <c r="B264" s="61">
        <v>249.89</v>
      </c>
      <c r="C264" s="61">
        <v>240.9</v>
      </c>
      <c r="D264" s="61">
        <v>245.38</v>
      </c>
      <c r="E264" s="61">
        <v>748120</v>
      </c>
      <c r="F264" s="61" t="s">
        <v>206</v>
      </c>
      <c r="G264" s="25">
        <f t="shared" si="5"/>
        <v>1.2959491401092205E-2</v>
      </c>
      <c r="I264" s="62">
        <v>-2.9000000000000019E-2</v>
      </c>
      <c r="J264">
        <v>3</v>
      </c>
      <c r="L264" s="59">
        <f t="shared" si="3"/>
        <v>-3.2000000000000021E-2</v>
      </c>
      <c r="M264" s="1">
        <f t="shared" si="4"/>
        <v>6.7512314064990253</v>
      </c>
    </row>
    <row r="265" spans="1:13" ht="15">
      <c r="A265" s="61">
        <v>243.95</v>
      </c>
      <c r="B265" s="61">
        <v>246.85</v>
      </c>
      <c r="C265" s="61">
        <v>239.89</v>
      </c>
      <c r="D265" s="61">
        <v>242.78</v>
      </c>
      <c r="E265" s="61">
        <v>724724</v>
      </c>
      <c r="F265" s="61" t="s">
        <v>207</v>
      </c>
      <c r="G265" s="25">
        <f t="shared" si="5"/>
        <v>4.819177856495438E-3</v>
      </c>
      <c r="I265" s="62">
        <v>-2.8000000000000018E-2</v>
      </c>
      <c r="J265">
        <v>3</v>
      </c>
      <c r="L265" s="59">
        <f t="shared" si="3"/>
        <v>-3.1000000000000021E-2</v>
      </c>
      <c r="M265" s="1">
        <f t="shared" si="4"/>
        <v>7.0904737844367194</v>
      </c>
    </row>
    <row r="266" spans="1:13" ht="15">
      <c r="A266" s="61">
        <v>244.69</v>
      </c>
      <c r="B266" s="61">
        <v>247.6113</v>
      </c>
      <c r="C266" s="61">
        <v>239.2</v>
      </c>
      <c r="D266" s="61">
        <v>247.5</v>
      </c>
      <c r="E266" s="61">
        <v>568812</v>
      </c>
      <c r="F266" s="61" t="s">
        <v>208</v>
      </c>
      <c r="G266" s="25">
        <f t="shared" si="5"/>
        <v>-1.1353535353535338E-2</v>
      </c>
      <c r="I266" s="62">
        <v>-2.7000000000000017E-2</v>
      </c>
      <c r="J266">
        <v>2</v>
      </c>
      <c r="L266" s="59">
        <f t="shared" si="3"/>
        <v>-3.000000000000002E-2</v>
      </c>
      <c r="M266" s="1">
        <f t="shared" si="4"/>
        <v>7.4356182823537207</v>
      </c>
    </row>
    <row r="267" spans="1:13" ht="15">
      <c r="A267" s="61">
        <v>244.52</v>
      </c>
      <c r="B267" s="61">
        <v>246.59</v>
      </c>
      <c r="C267" s="61">
        <v>242.5</v>
      </c>
      <c r="D267" s="61">
        <v>245.5</v>
      </c>
      <c r="E267" s="61">
        <v>461855</v>
      </c>
      <c r="F267" s="61" t="s">
        <v>209</v>
      </c>
      <c r="G267" s="25">
        <f t="shared" si="5"/>
        <v>-3.9918533604887951E-3</v>
      </c>
      <c r="I267" s="62">
        <v>-2.6000000000000016E-2</v>
      </c>
      <c r="J267">
        <v>4</v>
      </c>
      <c r="L267" s="59">
        <f t="shared" si="3"/>
        <v>-2.9000000000000019E-2</v>
      </c>
      <c r="M267" s="1">
        <f t="shared" si="4"/>
        <v>7.7858940034823085</v>
      </c>
    </row>
    <row r="268" spans="1:13" ht="15">
      <c r="A268" s="61">
        <v>245.22</v>
      </c>
      <c r="B268" s="61">
        <v>247.86</v>
      </c>
      <c r="C268" s="61">
        <v>242.52</v>
      </c>
      <c r="D268" s="61">
        <v>247</v>
      </c>
      <c r="E268" s="61">
        <v>802771</v>
      </c>
      <c r="F268" s="61" t="s">
        <v>210</v>
      </c>
      <c r="G268" s="25">
        <f t="shared" si="5"/>
        <v>-7.2064777327934815E-3</v>
      </c>
      <c r="I268" s="62">
        <v>-2.5000000000000015E-2</v>
      </c>
      <c r="J268">
        <v>5</v>
      </c>
      <c r="L268" s="59">
        <f t="shared" si="3"/>
        <v>-2.8000000000000018E-2</v>
      </c>
      <c r="M268" s="1">
        <f t="shared" si="4"/>
        <v>8.1404695636318625</v>
      </c>
    </row>
    <row r="269" spans="1:13" ht="15">
      <c r="A269" s="61">
        <v>243.08</v>
      </c>
      <c r="B269" s="61">
        <v>244.5</v>
      </c>
      <c r="C269" s="61">
        <v>237.35</v>
      </c>
      <c r="D269" s="61">
        <v>238.37</v>
      </c>
      <c r="E269" s="61">
        <v>457583</v>
      </c>
      <c r="F269" s="61" t="s">
        <v>211</v>
      </c>
      <c r="G269" s="25">
        <f t="shared" si="5"/>
        <v>1.9759197885639956E-2</v>
      </c>
      <c r="I269" s="62">
        <v>-2.4000000000000014E-2</v>
      </c>
      <c r="J269">
        <v>3</v>
      </c>
      <c r="L269" s="59">
        <f t="shared" si="3"/>
        <v>-2.7000000000000017E-2</v>
      </c>
      <c r="M269" s="1">
        <f t="shared" si="4"/>
        <v>8.4984553344084226</v>
      </c>
    </row>
    <row r="270" spans="1:13" ht="15">
      <c r="A270" s="61">
        <v>238.63</v>
      </c>
      <c r="B270" s="61">
        <v>240.78</v>
      </c>
      <c r="C270" s="61">
        <v>232.33959999999999</v>
      </c>
      <c r="D270" s="61">
        <v>233.79</v>
      </c>
      <c r="E270" s="61">
        <v>608524</v>
      </c>
      <c r="F270" s="61" t="s">
        <v>212</v>
      </c>
      <c r="G270" s="25">
        <f t="shared" si="5"/>
        <v>2.0702339706574202E-2</v>
      </c>
      <c r="I270" s="62">
        <v>-2.3000000000000013E-2</v>
      </c>
      <c r="J270">
        <v>3</v>
      </c>
      <c r="L270" s="59">
        <f t="shared" si="3"/>
        <v>-2.6000000000000016E-2</v>
      </c>
      <c r="M270" s="1">
        <f t="shared" si="4"/>
        <v>8.8589062358439588</v>
      </c>
    </row>
    <row r="271" spans="1:13" ht="15">
      <c r="A271" s="61">
        <v>235.39</v>
      </c>
      <c r="B271" s="61">
        <v>241.72880000000001</v>
      </c>
      <c r="C271" s="61">
        <v>233.91499999999999</v>
      </c>
      <c r="D271" s="61">
        <v>237.96</v>
      </c>
      <c r="E271" s="61">
        <v>502606</v>
      </c>
      <c r="F271" s="61" t="s">
        <v>213</v>
      </c>
      <c r="G271" s="25">
        <f t="shared" si="5"/>
        <v>-1.0800134476382728E-2</v>
      </c>
      <c r="I271" s="62">
        <v>-2.2000000000000013E-2</v>
      </c>
      <c r="J271">
        <v>4</v>
      </c>
      <c r="L271" s="59">
        <f t="shared" si="3"/>
        <v>-2.5000000000000015E-2</v>
      </c>
      <c r="M271" s="1">
        <f t="shared" si="4"/>
        <v>9.22082507781702</v>
      </c>
    </row>
    <row r="272" spans="1:13" ht="15">
      <c r="A272" s="61">
        <v>241.21</v>
      </c>
      <c r="B272" s="61">
        <v>244.35</v>
      </c>
      <c r="C272" s="61">
        <v>239.62</v>
      </c>
      <c r="D272" s="61">
        <v>241.17</v>
      </c>
      <c r="E272" s="61">
        <v>510056</v>
      </c>
      <c r="F272" s="61" t="s">
        <v>214</v>
      </c>
      <c r="G272" s="25">
        <f t="shared" si="5"/>
        <v>1.6585810838831705E-4</v>
      </c>
      <c r="I272" s="62">
        <v>-2.1000000000000012E-2</v>
      </c>
      <c r="J272">
        <v>5</v>
      </c>
      <c r="L272" s="59">
        <f t="shared" si="3"/>
        <v>-2.4000000000000014E-2</v>
      </c>
      <c r="M272" s="1">
        <f t="shared" si="4"/>
        <v>9.5831664437485369</v>
      </c>
    </row>
    <row r="273" spans="1:13" ht="15">
      <c r="A273" s="61">
        <v>240.3</v>
      </c>
      <c r="B273" s="61">
        <v>242.14</v>
      </c>
      <c r="C273" s="61">
        <v>236.9736</v>
      </c>
      <c r="D273" s="61">
        <v>239.85</v>
      </c>
      <c r="E273" s="61">
        <v>746938</v>
      </c>
      <c r="F273" s="61" t="s">
        <v>215</v>
      </c>
      <c r="G273" s="25">
        <f t="shared" si="5"/>
        <v>1.8761726078799779E-3</v>
      </c>
      <c r="I273" s="62">
        <v>-2.0000000000000011E-2</v>
      </c>
      <c r="J273">
        <v>2</v>
      </c>
      <c r="L273" s="59">
        <f t="shared" si="3"/>
        <v>-2.3000000000000013E-2</v>
      </c>
      <c r="M273" s="1">
        <f t="shared" si="4"/>
        <v>9.9448411039794653</v>
      </c>
    </row>
    <row r="274" spans="1:13" ht="15">
      <c r="A274" s="61">
        <v>244.86</v>
      </c>
      <c r="B274" s="61">
        <v>247.35290000000001</v>
      </c>
      <c r="C274" s="61">
        <v>242.65</v>
      </c>
      <c r="D274" s="61">
        <v>246</v>
      </c>
      <c r="E274" s="61">
        <v>796714</v>
      </c>
      <c r="F274" s="61" t="s">
        <v>216</v>
      </c>
      <c r="G274" s="25">
        <f t="shared" si="5"/>
        <v>-4.6341463414633077E-3</v>
      </c>
      <c r="I274" s="62">
        <v>-1.900000000000001E-2</v>
      </c>
      <c r="J274">
        <v>8</v>
      </c>
      <c r="L274" s="59">
        <f t="shared" si="3"/>
        <v>-2.2000000000000013E-2</v>
      </c>
      <c r="M274" s="1">
        <f t="shared" si="4"/>
        <v>10.304720940055919</v>
      </c>
    </row>
    <row r="275" spans="1:13" ht="15">
      <c r="A275" s="61">
        <v>244.8</v>
      </c>
      <c r="B275" s="61">
        <v>245.82</v>
      </c>
      <c r="C275" s="61">
        <v>240.35</v>
      </c>
      <c r="D275" s="61">
        <v>243.24</v>
      </c>
      <c r="E275" s="61">
        <v>806956</v>
      </c>
      <c r="F275" s="61" t="s">
        <v>217</v>
      </c>
      <c r="G275" s="25">
        <f t="shared" si="5"/>
        <v>6.4134188455846619E-3</v>
      </c>
      <c r="I275" s="62">
        <v>-1.8000000000000009E-2</v>
      </c>
      <c r="J275">
        <v>3</v>
      </c>
      <c r="L275" s="59">
        <f t="shared" si="3"/>
        <v>-2.1000000000000012E-2</v>
      </c>
      <c r="M275" s="1">
        <f t="shared" ref="M275:M306" si="6">_xlfn.NORM.DIST(L275,$K$202,$K$204,FALSE)</f>
        <v>10.66164435494321</v>
      </c>
    </row>
    <row r="276" spans="1:13" ht="15">
      <c r="A276" s="61">
        <v>244.92</v>
      </c>
      <c r="B276" s="61">
        <v>246.53</v>
      </c>
      <c r="C276" s="61">
        <v>239.0771</v>
      </c>
      <c r="D276" s="61">
        <v>243.24</v>
      </c>
      <c r="E276" s="61">
        <v>616653</v>
      </c>
      <c r="F276" s="61" t="s">
        <v>218</v>
      </c>
      <c r="G276" s="25">
        <f t="shared" si="5"/>
        <v>6.90675875678326E-3</v>
      </c>
      <c r="I276" s="62">
        <v>-1.7000000000000008E-2</v>
      </c>
      <c r="J276">
        <v>7</v>
      </c>
      <c r="L276" s="59">
        <f t="shared" si="3"/>
        <v>-2.0000000000000011E-2</v>
      </c>
      <c r="M276" s="1">
        <f t="shared" si="6"/>
        <v>11.014422138046964</v>
      </c>
    </row>
    <row r="277" spans="1:13" ht="15">
      <c r="A277" s="61">
        <v>241.08</v>
      </c>
      <c r="B277" s="61">
        <v>246.14</v>
      </c>
      <c r="C277" s="61">
        <v>234.67</v>
      </c>
      <c r="D277" s="61">
        <v>236.26</v>
      </c>
      <c r="E277" s="61">
        <v>878821</v>
      </c>
      <c r="F277" s="61" t="s">
        <v>219</v>
      </c>
      <c r="G277" s="25">
        <f t="shared" si="5"/>
        <v>2.0401252857022101E-2</v>
      </c>
      <c r="I277" s="62">
        <v>-1.6000000000000007E-2</v>
      </c>
      <c r="J277">
        <v>5</v>
      </c>
      <c r="L277" s="59">
        <f t="shared" si="3"/>
        <v>-1.900000000000001E-2</v>
      </c>
      <c r="M277" s="1">
        <f t="shared" si="6"/>
        <v>11.361843747923583</v>
      </c>
    </row>
    <row r="278" spans="1:13" ht="15">
      <c r="A278" s="61">
        <v>236.62</v>
      </c>
      <c r="B278" s="61">
        <v>240.14</v>
      </c>
      <c r="C278" s="61">
        <v>232.5607</v>
      </c>
      <c r="D278" s="61">
        <v>235.46</v>
      </c>
      <c r="E278" s="61">
        <v>1397194</v>
      </c>
      <c r="F278" s="61" t="s">
        <v>220</v>
      </c>
      <c r="G278" s="25">
        <f t="shared" si="5"/>
        <v>4.926526798606945E-3</v>
      </c>
      <c r="I278" s="62">
        <v>-1.5000000000000006E-2</v>
      </c>
      <c r="J278">
        <v>4</v>
      </c>
      <c r="L278" s="59">
        <f t="shared" ref="L278:L293" si="7">L279-0.001</f>
        <v>-1.8000000000000009E-2</v>
      </c>
      <c r="M278" s="1">
        <f t="shared" si="6"/>
        <v>11.702683969801463</v>
      </c>
    </row>
    <row r="279" spans="1:13" ht="15">
      <c r="A279" s="61">
        <v>225.16</v>
      </c>
      <c r="B279" s="61">
        <v>226.89</v>
      </c>
      <c r="C279" s="61">
        <v>220.59</v>
      </c>
      <c r="D279" s="61">
        <v>226.76</v>
      </c>
      <c r="E279" s="61">
        <v>802066</v>
      </c>
      <c r="F279" s="61" t="s">
        <v>221</v>
      </c>
      <c r="G279" s="25">
        <f t="shared" si="5"/>
        <v>-7.0559181513494273E-3</v>
      </c>
      <c r="I279" s="62">
        <v>-1.4000000000000005E-2</v>
      </c>
      <c r="J279">
        <v>4</v>
      </c>
      <c r="L279" s="59">
        <f t="shared" si="7"/>
        <v>-1.7000000000000008E-2</v>
      </c>
      <c r="M279" s="1">
        <f t="shared" si="6"/>
        <v>12.03570989959568</v>
      </c>
    </row>
    <row r="280" spans="1:13" ht="15">
      <c r="A280" s="61">
        <v>228.61</v>
      </c>
      <c r="B280" s="61">
        <v>242.6</v>
      </c>
      <c r="C280" s="61">
        <v>227.5</v>
      </c>
      <c r="D280" s="61">
        <v>228.38</v>
      </c>
      <c r="E280" s="61">
        <v>1221875</v>
      </c>
      <c r="F280" s="61" t="s">
        <v>222</v>
      </c>
      <c r="G280" s="25">
        <f t="shared" si="5"/>
        <v>1.0070934407566678E-3</v>
      </c>
      <c r="I280" s="62">
        <v>-1.3000000000000005E-2</v>
      </c>
      <c r="J280">
        <v>6</v>
      </c>
      <c r="L280" s="59">
        <f t="shared" si="7"/>
        <v>-1.6000000000000007E-2</v>
      </c>
      <c r="M280" s="1">
        <f t="shared" si="6"/>
        <v>12.359688201067531</v>
      </c>
    </row>
    <row r="281" spans="1:13" ht="15">
      <c r="A281" s="61">
        <v>231.31</v>
      </c>
      <c r="B281" s="61">
        <v>233.51</v>
      </c>
      <c r="C281" s="61">
        <v>228</v>
      </c>
      <c r="D281" s="61">
        <v>230.77500000000001</v>
      </c>
      <c r="E281" s="61">
        <v>1420310</v>
      </c>
      <c r="F281" s="61" t="s">
        <v>223</v>
      </c>
      <c r="G281" s="25">
        <f t="shared" si="5"/>
        <v>2.3182753764487973E-3</v>
      </c>
      <c r="I281" s="62">
        <v>-1.2000000000000004E-2</v>
      </c>
      <c r="J281">
        <v>6</v>
      </c>
      <c r="L281" s="59">
        <f t="shared" si="7"/>
        <v>-1.5000000000000006E-2</v>
      </c>
      <c r="M281" s="1">
        <f t="shared" si="6"/>
        <v>12.673392578238284</v>
      </c>
    </row>
    <row r="282" spans="1:13" ht="15">
      <c r="A282" s="61">
        <v>234.72</v>
      </c>
      <c r="B282" s="61">
        <v>238</v>
      </c>
      <c r="C282" s="61">
        <v>221.94</v>
      </c>
      <c r="D282" s="61">
        <v>221.94</v>
      </c>
      <c r="E282" s="61">
        <v>1398645</v>
      </c>
      <c r="F282" s="61" t="s">
        <v>224</v>
      </c>
      <c r="G282" s="25">
        <f t="shared" si="5"/>
        <v>5.758313057583142E-2</v>
      </c>
      <c r="I282" s="62">
        <v>-1.1000000000000003E-2</v>
      </c>
      <c r="J282">
        <v>7</v>
      </c>
      <c r="L282" s="59">
        <f t="shared" si="7"/>
        <v>-1.4000000000000005E-2</v>
      </c>
      <c r="M282" s="1">
        <f t="shared" si="6"/>
        <v>12.975611401190815</v>
      </c>
    </row>
    <row r="283" spans="1:13" ht="15">
      <c r="A283" s="61">
        <v>222.28</v>
      </c>
      <c r="B283" s="61">
        <v>225.46729999999999</v>
      </c>
      <c r="C283" s="61">
        <v>216.2</v>
      </c>
      <c r="D283" s="61">
        <v>222.74</v>
      </c>
      <c r="E283" s="61">
        <v>768503</v>
      </c>
      <c r="F283" s="61" t="s">
        <v>225</v>
      </c>
      <c r="G283" s="25">
        <f t="shared" si="5"/>
        <v>-2.0651881116997561E-3</v>
      </c>
      <c r="I283" s="62">
        <v>-1.0000000000000002E-2</v>
      </c>
      <c r="J283">
        <v>12</v>
      </c>
      <c r="L283" s="59">
        <f t="shared" si="7"/>
        <v>-1.3000000000000005E-2</v>
      </c>
      <c r="M283" s="1">
        <f t="shared" si="6"/>
        <v>13.26515542005423</v>
      </c>
    </row>
    <row r="284" spans="1:13" ht="15">
      <c r="A284" s="61">
        <v>225.94</v>
      </c>
      <c r="B284" s="61">
        <v>230.35499999999999</v>
      </c>
      <c r="C284" s="61">
        <v>221.45</v>
      </c>
      <c r="D284" s="61">
        <v>224.3</v>
      </c>
      <c r="E284" s="61">
        <v>720333</v>
      </c>
      <c r="F284" s="61" t="s">
        <v>226</v>
      </c>
      <c r="G284" s="25">
        <f t="shared" si="5"/>
        <v>7.3116362015157588E-3</v>
      </c>
      <c r="I284" s="62">
        <v>-9.0000000000000011E-3</v>
      </c>
      <c r="J284">
        <v>10</v>
      </c>
      <c r="L284" s="59">
        <f t="shared" si="7"/>
        <v>-1.2000000000000004E-2</v>
      </c>
      <c r="M284" s="1">
        <f t="shared" si="6"/>
        <v>13.540865499328319</v>
      </c>
    </row>
    <row r="285" spans="1:13" ht="15">
      <c r="A285" s="61">
        <v>223.34</v>
      </c>
      <c r="B285" s="61">
        <v>230.63</v>
      </c>
      <c r="C285" s="61">
        <v>220.21520000000001</v>
      </c>
      <c r="D285" s="61">
        <v>221.38</v>
      </c>
      <c r="E285" s="61">
        <v>1145698</v>
      </c>
      <c r="F285" s="61" t="s">
        <v>227</v>
      </c>
      <c r="G285" s="25">
        <f t="shared" si="5"/>
        <v>8.8535549733490537E-3</v>
      </c>
      <c r="I285" s="62">
        <v>-8.0000000000000002E-3</v>
      </c>
      <c r="J285">
        <v>6</v>
      </c>
      <c r="L285" s="59">
        <f t="shared" si="7"/>
        <v>-1.1000000000000003E-2</v>
      </c>
      <c r="M285" s="1">
        <f t="shared" si="6"/>
        <v>13.801620302820698</v>
      </c>
    </row>
    <row r="286" spans="1:13" ht="15">
      <c r="A286" s="61">
        <v>215.08</v>
      </c>
      <c r="B286" s="61">
        <v>217.14</v>
      </c>
      <c r="C286" s="61">
        <v>206.01</v>
      </c>
      <c r="D286" s="61">
        <v>209.67</v>
      </c>
      <c r="E286" s="61">
        <v>700728</v>
      </c>
      <c r="F286" s="61" t="s">
        <v>228</v>
      </c>
      <c r="G286" s="25">
        <f t="shared" si="5"/>
        <v>2.5802451471359955E-2</v>
      </c>
      <c r="I286" s="62">
        <v>-7.0000000000000001E-3</v>
      </c>
      <c r="J286">
        <v>12</v>
      </c>
      <c r="L286" s="59">
        <f t="shared" si="7"/>
        <v>-1.0000000000000002E-2</v>
      </c>
      <c r="M286" s="1">
        <f t="shared" si="6"/>
        <v>14.046343858384546</v>
      </c>
    </row>
    <row r="287" spans="1:13" ht="15">
      <c r="A287" s="61">
        <v>213.95</v>
      </c>
      <c r="B287" s="61">
        <v>215.1842</v>
      </c>
      <c r="C287" s="61">
        <v>209.87739999999999</v>
      </c>
      <c r="D287" s="61">
        <v>210.44</v>
      </c>
      <c r="E287" s="61">
        <v>533148</v>
      </c>
      <c r="F287" s="61" t="s">
        <v>229</v>
      </c>
      <c r="G287" s="25">
        <f t="shared" si="5"/>
        <v>1.6679338528796661E-2</v>
      </c>
      <c r="I287" s="62">
        <v>-6.0000000000000001E-3</v>
      </c>
      <c r="J287">
        <v>8</v>
      </c>
      <c r="L287" s="59">
        <f t="shared" si="7"/>
        <v>-9.0000000000000011E-3</v>
      </c>
      <c r="M287" s="1">
        <f t="shared" si="6"/>
        <v>14.27401293139128</v>
      </c>
    </row>
    <row r="288" spans="1:13" ht="15">
      <c r="A288" s="61">
        <v>213.43</v>
      </c>
      <c r="B288" s="61">
        <v>215.5</v>
      </c>
      <c r="C288" s="61">
        <v>209.21</v>
      </c>
      <c r="D288" s="61">
        <v>212.95</v>
      </c>
      <c r="E288" s="61">
        <v>582010</v>
      </c>
      <c r="F288" s="61" t="s">
        <v>230</v>
      </c>
      <c r="G288" s="25">
        <f t="shared" si="5"/>
        <v>2.2540502465369094E-3</v>
      </c>
      <c r="I288" s="62">
        <v>-5.0000000000000001E-3</v>
      </c>
      <c r="J288">
        <v>8</v>
      </c>
      <c r="L288" s="59">
        <f t="shared" si="7"/>
        <v>-8.0000000000000002E-3</v>
      </c>
      <c r="M288" s="1">
        <f t="shared" si="6"/>
        <v>14.483664136472546</v>
      </c>
    </row>
    <row r="289" spans="1:13" ht="15">
      <c r="A289" s="61">
        <v>211.56</v>
      </c>
      <c r="B289" s="61">
        <v>216.4</v>
      </c>
      <c r="C289" s="61">
        <v>209.63</v>
      </c>
      <c r="D289" s="61">
        <v>209.63</v>
      </c>
      <c r="E289" s="61">
        <v>703854</v>
      </c>
      <c r="F289" s="61" t="s">
        <v>231</v>
      </c>
      <c r="G289" s="25">
        <f t="shared" si="5"/>
        <v>9.206697514668738E-3</v>
      </c>
      <c r="I289" s="62">
        <v>-4.0000000000000001E-3</v>
      </c>
      <c r="J289">
        <v>15</v>
      </c>
      <c r="L289" s="59">
        <f t="shared" si="7"/>
        <v>-7.0000000000000001E-3</v>
      </c>
      <c r="M289" s="1">
        <f t="shared" si="6"/>
        <v>14.67440071852779</v>
      </c>
    </row>
    <row r="290" spans="1:13" ht="15">
      <c r="A290" s="61">
        <v>211.01</v>
      </c>
      <c r="B290" s="61">
        <v>213.88</v>
      </c>
      <c r="C290" s="61">
        <v>205.45</v>
      </c>
      <c r="D290" s="61">
        <v>205.45</v>
      </c>
      <c r="E290" s="61">
        <v>471360</v>
      </c>
      <c r="F290" s="61" t="s">
        <v>232</v>
      </c>
      <c r="G290" s="25">
        <f t="shared" si="5"/>
        <v>2.7062545631540535E-2</v>
      </c>
      <c r="I290" s="62">
        <v>-3.0000000000000001E-3</v>
      </c>
      <c r="J290">
        <v>10</v>
      </c>
      <c r="L290" s="59">
        <f t="shared" si="7"/>
        <v>-6.0000000000000001E-3</v>
      </c>
      <c r="M290" s="1">
        <f t="shared" si="6"/>
        <v>14.845398936313838</v>
      </c>
    </row>
    <row r="291" spans="1:13" ht="15">
      <c r="A291" s="61">
        <v>204.66</v>
      </c>
      <c r="B291" s="61">
        <v>212.71</v>
      </c>
      <c r="C291" s="61">
        <v>202.44</v>
      </c>
      <c r="D291" s="61">
        <v>208.97</v>
      </c>
      <c r="E291" s="61">
        <v>855276</v>
      </c>
      <c r="F291" s="61" t="s">
        <v>233</v>
      </c>
      <c r="G291" s="25">
        <f t="shared" si="5"/>
        <v>-2.0624970091400741E-2</v>
      </c>
      <c r="I291" s="62">
        <v>-2E-3</v>
      </c>
      <c r="J291">
        <v>8</v>
      </c>
      <c r="L291" s="59">
        <f t="shared" si="7"/>
        <v>-5.0000000000000001E-3</v>
      </c>
      <c r="M291" s="1">
        <f t="shared" si="6"/>
        <v>14.995913985094353</v>
      </c>
    </row>
    <row r="292" spans="1:13" ht="15">
      <c r="A292" s="61">
        <v>197.59</v>
      </c>
      <c r="B292" s="61">
        <v>201.16</v>
      </c>
      <c r="C292" s="61">
        <v>194.535</v>
      </c>
      <c r="D292" s="61">
        <v>195.32</v>
      </c>
      <c r="E292" s="61">
        <v>816278</v>
      </c>
      <c r="F292" s="61" t="s">
        <v>234</v>
      </c>
      <c r="G292" s="25">
        <f t="shared" si="5"/>
        <v>1.1621953716977274E-2</v>
      </c>
      <c r="I292" s="62">
        <v>-1E-3</v>
      </c>
      <c r="J292">
        <v>28</v>
      </c>
      <c r="L292" s="59">
        <f t="shared" si="7"/>
        <v>-4.0000000000000001E-3</v>
      </c>
      <c r="M292" s="1">
        <f t="shared" si="6"/>
        <v>15.125285398799873</v>
      </c>
    </row>
    <row r="293" spans="1:13" ht="15">
      <c r="A293" s="61">
        <v>191.37</v>
      </c>
      <c r="B293" s="61">
        <v>200.4</v>
      </c>
      <c r="C293" s="61">
        <v>186.49440000000001</v>
      </c>
      <c r="D293" s="61">
        <v>197.98</v>
      </c>
      <c r="E293" s="61">
        <v>737253</v>
      </c>
      <c r="F293" s="61" t="s">
        <v>235</v>
      </c>
      <c r="G293" s="25">
        <f t="shared" si="5"/>
        <v>-3.3387210829376679E-2</v>
      </c>
      <c r="I293" s="62">
        <v>0</v>
      </c>
      <c r="J293">
        <v>29</v>
      </c>
      <c r="L293" s="59">
        <f t="shared" si="7"/>
        <v>-3.0000000000000001E-3</v>
      </c>
      <c r="M293" s="1">
        <f t="shared" si="6"/>
        <v>15.23294187689093</v>
      </c>
    </row>
    <row r="294" spans="1:13" ht="15">
      <c r="A294" s="61">
        <v>203.46</v>
      </c>
      <c r="B294" s="61">
        <v>208</v>
      </c>
      <c r="C294" s="61">
        <v>201.78</v>
      </c>
      <c r="D294" s="61">
        <v>206.85</v>
      </c>
      <c r="E294" s="61">
        <v>649929</v>
      </c>
      <c r="F294" s="61" t="s">
        <v>236</v>
      </c>
      <c r="G294" s="25">
        <f t="shared" si="5"/>
        <v>-1.6388687454677253E-2</v>
      </c>
      <c r="I294" s="62">
        <v>1E-3</v>
      </c>
      <c r="J294">
        <v>11</v>
      </c>
      <c r="L294" s="59">
        <f>L295-0.001</f>
        <v>-2E-3</v>
      </c>
      <c r="M294" s="1">
        <f t="shared" si="6"/>
        <v>15.318405486572695</v>
      </c>
    </row>
    <row r="295" spans="1:13" ht="15">
      <c r="A295" s="61">
        <v>203.2</v>
      </c>
      <c r="B295" s="61">
        <v>206.12</v>
      </c>
      <c r="C295" s="61">
        <v>194.97499999999999</v>
      </c>
      <c r="D295" s="61">
        <v>198.3</v>
      </c>
      <c r="E295" s="61">
        <v>779499</v>
      </c>
      <c r="F295" s="61" t="s">
        <v>237</v>
      </c>
      <c r="G295" s="25">
        <f t="shared" si="5"/>
        <v>2.4710035300050226E-2</v>
      </c>
      <c r="I295" s="62">
        <v>2E-3</v>
      </c>
      <c r="J295">
        <v>16</v>
      </c>
      <c r="L295" s="59">
        <f>L296-0.001</f>
        <v>-1E-3</v>
      </c>
      <c r="M295" s="1">
        <f t="shared" si="6"/>
        <v>15.381295197114046</v>
      </c>
    </row>
    <row r="296" spans="1:13" ht="15">
      <c r="A296" s="61">
        <v>202.93</v>
      </c>
      <c r="B296" s="61">
        <v>206.84899999999999</v>
      </c>
      <c r="C296" s="61">
        <v>198</v>
      </c>
      <c r="D296" s="61">
        <v>203.46</v>
      </c>
      <c r="E296" s="61">
        <v>540954</v>
      </c>
      <c r="F296" s="61" t="s">
        <v>238</v>
      </c>
      <c r="G296" s="25">
        <f t="shared" si="5"/>
        <v>-2.6049346308857357E-3</v>
      </c>
      <c r="I296" s="62">
        <v>3.0000000000000001E-3</v>
      </c>
      <c r="J296">
        <v>11</v>
      </c>
      <c r="L296" s="59">
        <v>0</v>
      </c>
      <c r="M296" s="1">
        <f t="shared" si="6"/>
        <v>15.421329709700096</v>
      </c>
    </row>
    <row r="297" spans="1:13" ht="15">
      <c r="A297" s="61">
        <v>200.23</v>
      </c>
      <c r="B297" s="61">
        <v>206.67500000000001</v>
      </c>
      <c r="C297" s="61">
        <v>196.31</v>
      </c>
      <c r="D297" s="61">
        <v>204.31</v>
      </c>
      <c r="E297" s="61">
        <v>554938</v>
      </c>
      <c r="F297" s="61" t="s">
        <v>239</v>
      </c>
      <c r="G297" s="25">
        <f t="shared" si="5"/>
        <v>-1.9969653957221944E-2</v>
      </c>
      <c r="I297" s="62">
        <v>4.0000000000000001E-3</v>
      </c>
      <c r="J297">
        <v>13</v>
      </c>
      <c r="L297" s="25">
        <f>L296+0.001</f>
        <v>1E-3</v>
      </c>
      <c r="M297" s="1">
        <f t="shared" si="6"/>
        <v>15.438329553409755</v>
      </c>
    </row>
    <row r="298" spans="1:13" ht="15">
      <c r="A298" s="61">
        <v>198.035</v>
      </c>
      <c r="B298" s="61">
        <v>198.85</v>
      </c>
      <c r="C298" s="61">
        <v>190.05</v>
      </c>
      <c r="D298" s="61">
        <v>192.42</v>
      </c>
      <c r="E298" s="61">
        <v>960365</v>
      </c>
      <c r="F298" s="61" t="s">
        <v>240</v>
      </c>
      <c r="G298" s="25">
        <f t="shared" si="5"/>
        <v>2.9180958320341066E-2</v>
      </c>
      <c r="I298" s="62">
        <v>5.0000000000000001E-3</v>
      </c>
      <c r="J298">
        <v>17</v>
      </c>
      <c r="L298" s="25">
        <f>L297+0.001</f>
        <v>2E-3</v>
      </c>
      <c r="M298" s="1">
        <f t="shared" si="6"/>
        <v>15.432218425465123</v>
      </c>
    </row>
    <row r="299" spans="1:13" ht="15">
      <c r="A299" s="61">
        <v>196.39</v>
      </c>
      <c r="B299" s="61">
        <v>202.34</v>
      </c>
      <c r="C299" s="61">
        <v>190.65</v>
      </c>
      <c r="D299" s="61">
        <v>196.01</v>
      </c>
      <c r="E299" s="61">
        <v>1054464</v>
      </c>
      <c r="F299" s="61" t="s">
        <v>241</v>
      </c>
      <c r="G299" s="25">
        <f t="shared" si="5"/>
        <v>1.938676598132627E-3</v>
      </c>
      <c r="I299" s="62">
        <v>6.0000000000000001E-3</v>
      </c>
      <c r="J299">
        <v>15</v>
      </c>
      <c r="L299" s="25">
        <f>L298+0.001</f>
        <v>3.0000000000000001E-3</v>
      </c>
      <c r="M299" s="1">
        <f t="shared" si="6"/>
        <v>15.403023761747537</v>
      </c>
    </row>
    <row r="300" spans="1:13" ht="15">
      <c r="A300" s="61">
        <v>203.41</v>
      </c>
      <c r="B300" s="61">
        <v>206.58</v>
      </c>
      <c r="C300" s="61">
        <v>176.8</v>
      </c>
      <c r="D300" s="61">
        <v>181.62</v>
      </c>
      <c r="E300" s="61">
        <v>1704041</v>
      </c>
      <c r="F300" s="61" t="s">
        <v>242</v>
      </c>
      <c r="G300" s="25">
        <f t="shared" si="5"/>
        <v>0.11997577359321654</v>
      </c>
      <c r="I300" s="62">
        <v>7.0000000000000001E-3</v>
      </c>
      <c r="J300">
        <v>10</v>
      </c>
      <c r="L300" s="25">
        <f t="shared" ref="L300:L363" si="8">L299+0.001</f>
        <v>4.0000000000000001E-3</v>
      </c>
      <c r="M300" s="1">
        <f t="shared" si="6"/>
        <v>15.350876531611188</v>
      </c>
    </row>
    <row r="301" spans="1:13" ht="15">
      <c r="A301" s="61">
        <v>182.61500000000001</v>
      </c>
      <c r="B301" s="61">
        <v>197.49</v>
      </c>
      <c r="C301" s="61">
        <v>179.34</v>
      </c>
      <c r="D301" s="61">
        <v>194.11</v>
      </c>
      <c r="E301" s="61">
        <v>1413231</v>
      </c>
      <c r="F301" s="61" t="s">
        <v>243</v>
      </c>
      <c r="G301" s="25">
        <f t="shared" si="5"/>
        <v>-5.9218999536345351E-2</v>
      </c>
      <c r="I301" s="62">
        <v>8.0000000000000002E-3</v>
      </c>
      <c r="J301">
        <v>11</v>
      </c>
      <c r="L301" s="25">
        <f t="shared" si="8"/>
        <v>5.0000000000000001E-3</v>
      </c>
      <c r="M301" s="1">
        <f t="shared" si="6"/>
        <v>15.276010259141636</v>
      </c>
    </row>
    <row r="302" spans="1:13" ht="15">
      <c r="A302" s="61">
        <v>183.06</v>
      </c>
      <c r="B302" s="61">
        <v>195.47</v>
      </c>
      <c r="C302" s="61">
        <v>163</v>
      </c>
      <c r="D302" s="61">
        <v>163</v>
      </c>
      <c r="E302" s="61">
        <v>1633491</v>
      </c>
      <c r="F302" s="61" t="s">
        <v>244</v>
      </c>
      <c r="G302" s="25">
        <f t="shared" si="5"/>
        <v>0.12306748466257678</v>
      </c>
      <c r="I302" s="62">
        <v>9.0000000000000011E-3</v>
      </c>
      <c r="J302">
        <v>5</v>
      </c>
      <c r="L302" s="25">
        <f t="shared" si="8"/>
        <v>6.0000000000000001E-3</v>
      </c>
      <c r="M302" s="1">
        <f t="shared" si="6"/>
        <v>15.178759281093921</v>
      </c>
    </row>
    <row r="303" spans="1:13" ht="15">
      <c r="A303" s="61">
        <v>174.4</v>
      </c>
      <c r="B303" s="61">
        <v>179.52500000000001</v>
      </c>
      <c r="C303" s="61">
        <v>162.30860000000001</v>
      </c>
      <c r="D303" s="61">
        <v>177.51</v>
      </c>
      <c r="E303" s="61">
        <v>2379900</v>
      </c>
      <c r="F303" s="61" t="s">
        <v>245</v>
      </c>
      <c r="G303" s="25">
        <f t="shared" si="5"/>
        <v>-1.7520139710438754E-2</v>
      </c>
      <c r="I303" s="62">
        <v>1.0000000000000002E-2</v>
      </c>
      <c r="J303">
        <v>14</v>
      </c>
      <c r="L303" s="25">
        <f t="shared" si="8"/>
        <v>7.0000000000000001E-3</v>
      </c>
      <c r="M303" s="1">
        <f t="shared" si="6"/>
        <v>15.059556259695038</v>
      </c>
    </row>
    <row r="304" spans="1:13" ht="15">
      <c r="A304" s="61">
        <v>184.41</v>
      </c>
      <c r="B304" s="61">
        <v>204</v>
      </c>
      <c r="C304" s="61">
        <v>183.17</v>
      </c>
      <c r="D304" s="61">
        <v>198.3</v>
      </c>
      <c r="E304" s="61">
        <v>1608317</v>
      </c>
      <c r="F304" s="61" t="s">
        <v>246</v>
      </c>
      <c r="G304" s="25">
        <f t="shared" si="5"/>
        <v>-7.004538577912256E-2</v>
      </c>
      <c r="I304" s="62">
        <v>1.1000000000000003E-2</v>
      </c>
      <c r="J304">
        <v>14</v>
      </c>
      <c r="L304" s="25">
        <f t="shared" si="8"/>
        <v>8.0000000000000002E-3</v>
      </c>
      <c r="M304" s="1">
        <f t="shared" si="6"/>
        <v>14.918928976201441</v>
      </c>
    </row>
    <row r="305" spans="1:13" ht="15">
      <c r="A305" s="61">
        <v>214.73</v>
      </c>
      <c r="B305" s="61">
        <v>214.95</v>
      </c>
      <c r="C305" s="61">
        <v>201</v>
      </c>
      <c r="D305" s="61">
        <v>201.31</v>
      </c>
      <c r="E305" s="61">
        <v>1098961</v>
      </c>
      <c r="F305" s="61" t="s">
        <v>247</v>
      </c>
      <c r="G305" s="25">
        <f t="shared" si="5"/>
        <v>6.6663355024588977E-2</v>
      </c>
      <c r="I305" s="62">
        <v>1.2000000000000004E-2</v>
      </c>
      <c r="J305">
        <v>10</v>
      </c>
      <c r="L305" s="25">
        <f t="shared" si="8"/>
        <v>9.0000000000000011E-3</v>
      </c>
      <c r="M305" s="1">
        <f t="shared" si="6"/>
        <v>14.757496438461986</v>
      </c>
    </row>
    <row r="306" spans="1:13" ht="15">
      <c r="A306" s="61">
        <v>207.44</v>
      </c>
      <c r="B306" s="61">
        <v>207.92</v>
      </c>
      <c r="C306" s="61">
        <v>196.54499999999999</v>
      </c>
      <c r="D306" s="61">
        <v>200.625</v>
      </c>
      <c r="E306" s="61">
        <v>959659</v>
      </c>
      <c r="F306" s="61" t="s">
        <v>248</v>
      </c>
      <c r="G306" s="25">
        <f t="shared" si="5"/>
        <v>3.3968847352024989E-2</v>
      </c>
      <c r="I306" s="62">
        <v>1.3000000000000005E-2</v>
      </c>
      <c r="J306">
        <v>5</v>
      </c>
      <c r="L306" s="25">
        <f t="shared" si="8"/>
        <v>1.0000000000000002E-2</v>
      </c>
      <c r="M306" s="1">
        <f t="shared" si="6"/>
        <v>14.575964342653267</v>
      </c>
    </row>
    <row r="307" spans="1:13" ht="15">
      <c r="A307" s="61">
        <v>199.67</v>
      </c>
      <c r="B307" s="61">
        <v>200.72</v>
      </c>
      <c r="C307" s="61">
        <v>188</v>
      </c>
      <c r="D307" s="61">
        <v>190.31</v>
      </c>
      <c r="E307" s="61">
        <v>837619</v>
      </c>
      <c r="F307" s="61" t="s">
        <v>249</v>
      </c>
      <c r="G307" s="25">
        <f t="shared" si="5"/>
        <v>4.9182912090799169E-2</v>
      </c>
      <c r="I307" s="62">
        <v>1.4000000000000005E-2</v>
      </c>
      <c r="J307">
        <v>11</v>
      </c>
      <c r="L307" s="25">
        <f t="shared" si="8"/>
        <v>1.1000000000000003E-2</v>
      </c>
      <c r="M307" s="1">
        <f t="shared" ref="M307:M338" si="9">_xlfn.NORM.DIST(L307,$K$202,$K$204,FALSE)</f>
        <v>14.375119935738288</v>
      </c>
    </row>
    <row r="308" spans="1:13" ht="15">
      <c r="A308" s="61">
        <v>197.48</v>
      </c>
      <c r="B308" s="61">
        <v>205.26</v>
      </c>
      <c r="C308" s="61">
        <v>194.06</v>
      </c>
      <c r="D308" s="61">
        <v>200.05</v>
      </c>
      <c r="E308" s="61">
        <v>850047</v>
      </c>
      <c r="F308" s="61" t="s">
        <v>250</v>
      </c>
      <c r="G308" s="25">
        <f t="shared" si="5"/>
        <v>-1.2846788302924406E-2</v>
      </c>
      <c r="I308" s="62">
        <v>1.5000000000000006E-2</v>
      </c>
      <c r="J308">
        <v>8</v>
      </c>
      <c r="L308" s="25">
        <f t="shared" si="8"/>
        <v>1.2000000000000004E-2</v>
      </c>
      <c r="M308" s="1">
        <f t="shared" si="9"/>
        <v>14.155826330969838</v>
      </c>
    </row>
    <row r="309" spans="1:13" ht="15">
      <c r="A309" s="61">
        <v>202.79</v>
      </c>
      <c r="B309" s="61">
        <v>205.09</v>
      </c>
      <c r="C309" s="61">
        <v>194.86</v>
      </c>
      <c r="D309" s="61">
        <v>199.1</v>
      </c>
      <c r="E309" s="61">
        <v>1146266</v>
      </c>
      <c r="F309" s="61" t="s">
        <v>251</v>
      </c>
      <c r="G309" s="25">
        <f t="shared" si="5"/>
        <v>1.8533400301356195E-2</v>
      </c>
      <c r="I309" s="62">
        <v>1.6000000000000007E-2</v>
      </c>
      <c r="J309">
        <v>4</v>
      </c>
      <c r="L309" s="25">
        <f t="shared" si="8"/>
        <v>1.3000000000000005E-2</v>
      </c>
      <c r="M309" s="1">
        <f t="shared" si="9"/>
        <v>13.919016333845901</v>
      </c>
    </row>
    <row r="310" spans="1:13" ht="15">
      <c r="A310" s="61">
        <v>203.09</v>
      </c>
      <c r="B310" s="61">
        <v>217.7</v>
      </c>
      <c r="C310" s="61">
        <v>202.72</v>
      </c>
      <c r="D310" s="61">
        <v>216.88</v>
      </c>
      <c r="E310" s="61">
        <v>1351512</v>
      </c>
      <c r="F310" s="61" t="s">
        <v>252</v>
      </c>
      <c r="G310" s="25">
        <f t="shared" si="5"/>
        <v>-6.3583548506086274E-2</v>
      </c>
      <c r="I310" s="62">
        <v>1.7000000000000008E-2</v>
      </c>
      <c r="J310">
        <v>6</v>
      </c>
      <c r="L310" s="25">
        <f t="shared" si="8"/>
        <v>1.4000000000000005E-2</v>
      </c>
      <c r="M310" s="1">
        <f t="shared" si="9"/>
        <v>13.665685840265654</v>
      </c>
    </row>
    <row r="311" spans="1:13" ht="15">
      <c r="A311" s="61">
        <v>217.73</v>
      </c>
      <c r="B311" s="61">
        <v>219.5</v>
      </c>
      <c r="C311" s="61">
        <v>208.90010000000001</v>
      </c>
      <c r="D311" s="61">
        <v>219.34</v>
      </c>
      <c r="E311" s="61">
        <v>1081905</v>
      </c>
      <c r="F311" s="61" t="s">
        <v>253</v>
      </c>
      <c r="G311" s="25">
        <f t="shared" si="5"/>
        <v>-7.3402024254582976E-3</v>
      </c>
      <c r="I311" s="62">
        <v>1.8000000000000009E-2</v>
      </c>
      <c r="J311">
        <v>7</v>
      </c>
      <c r="L311" s="25">
        <f t="shared" si="8"/>
        <v>1.5000000000000006E-2</v>
      </c>
      <c r="M311" s="1">
        <f t="shared" si="9"/>
        <v>13.396886872182971</v>
      </c>
    </row>
    <row r="312" spans="1:13" ht="15">
      <c r="A312" s="61">
        <v>218.96</v>
      </c>
      <c r="B312" s="61">
        <v>220.59</v>
      </c>
      <c r="C312" s="61">
        <v>214.51</v>
      </c>
      <c r="D312" s="61">
        <v>217.505</v>
      </c>
      <c r="E312" s="61">
        <v>1333888</v>
      </c>
      <c r="F312" s="61" t="s">
        <v>254</v>
      </c>
      <c r="G312" s="25">
        <f t="shared" si="5"/>
        <v>6.6895013907726231E-3</v>
      </c>
      <c r="I312" s="62">
        <v>1.900000000000001E-2</v>
      </c>
      <c r="J312">
        <v>8</v>
      </c>
      <c r="L312" s="25">
        <f t="shared" si="8"/>
        <v>1.6000000000000007E-2</v>
      </c>
      <c r="M312" s="1">
        <f t="shared" si="9"/>
        <v>13.113720318773872</v>
      </c>
    </row>
    <row r="313" spans="1:13" ht="15">
      <c r="A313" s="61">
        <v>214.81</v>
      </c>
      <c r="B313" s="61">
        <v>215.9</v>
      </c>
      <c r="C313" s="61">
        <v>208</v>
      </c>
      <c r="D313" s="61">
        <v>212.42</v>
      </c>
      <c r="E313" s="61">
        <v>1268418</v>
      </c>
      <c r="F313" s="61" t="s">
        <v>255</v>
      </c>
      <c r="G313" s="25">
        <f t="shared" si="5"/>
        <v>1.1251294605027828E-2</v>
      </c>
      <c r="I313" s="62">
        <v>2.0000000000000011E-2</v>
      </c>
      <c r="J313">
        <v>4</v>
      </c>
      <c r="L313" s="25">
        <f t="shared" si="8"/>
        <v>1.7000000000000008E-2</v>
      </c>
      <c r="M313" s="1">
        <f t="shared" si="9"/>
        <v>12.817328453002109</v>
      </c>
    </row>
    <row r="314" spans="1:13" ht="15">
      <c r="A314" s="61">
        <v>212.96</v>
      </c>
      <c r="B314" s="61">
        <v>215.9</v>
      </c>
      <c r="C314" s="61">
        <v>205.57</v>
      </c>
      <c r="D314" s="61">
        <v>209.97</v>
      </c>
      <c r="E314" s="61">
        <v>760386</v>
      </c>
      <c r="F314" s="61" t="s">
        <v>256</v>
      </c>
      <c r="G314" s="25">
        <f t="shared" si="5"/>
        <v>1.4240129542315572E-2</v>
      </c>
      <c r="I314" s="62">
        <v>2.1000000000000012E-2</v>
      </c>
      <c r="J314">
        <v>8</v>
      </c>
      <c r="L314" s="25">
        <f t="shared" si="8"/>
        <v>1.8000000000000009E-2</v>
      </c>
      <c r="M314" s="1">
        <f t="shared" si="9"/>
        <v>12.508887294472823</v>
      </c>
    </row>
    <row r="315" spans="1:13" ht="15">
      <c r="A315" s="61">
        <v>210.3</v>
      </c>
      <c r="B315" s="61">
        <v>214.42</v>
      </c>
      <c r="C315" s="61">
        <v>201.57</v>
      </c>
      <c r="D315" s="61">
        <v>204.07</v>
      </c>
      <c r="E315" s="61">
        <v>1037970</v>
      </c>
      <c r="F315" s="61" t="s">
        <v>257</v>
      </c>
      <c r="G315" s="25">
        <f t="shared" ref="G315:G378" si="10">A315/D315-1</f>
        <v>3.052874013818796E-2</v>
      </c>
      <c r="I315" s="62">
        <v>2.2000000000000013E-2</v>
      </c>
      <c r="J315">
        <v>7</v>
      </c>
      <c r="L315" s="25">
        <f t="shared" si="8"/>
        <v>1.900000000000001E-2</v>
      </c>
      <c r="M315" s="1">
        <f t="shared" si="9"/>
        <v>12.189598889611112</v>
      </c>
    </row>
    <row r="316" spans="1:13" ht="15">
      <c r="A316" s="61">
        <v>202.745</v>
      </c>
      <c r="B316" s="61">
        <v>206.01499999999999</v>
      </c>
      <c r="C316" s="61">
        <v>198.1799</v>
      </c>
      <c r="D316" s="61">
        <v>204.4</v>
      </c>
      <c r="E316" s="61">
        <v>991464</v>
      </c>
      <c r="F316" s="61" t="s">
        <v>258</v>
      </c>
      <c r="G316" s="25">
        <f t="shared" si="10"/>
        <v>-8.0968688845400871E-3</v>
      </c>
      <c r="I316" s="62">
        <v>2.3000000000000013E-2</v>
      </c>
      <c r="J316">
        <v>9</v>
      </c>
      <c r="L316" s="25">
        <f t="shared" si="8"/>
        <v>2.0000000000000011E-2</v>
      </c>
      <c r="M316" s="1">
        <f t="shared" si="9"/>
        <v>11.860683579505832</v>
      </c>
    </row>
    <row r="317" spans="1:13" ht="15">
      <c r="A317" s="61">
        <v>207</v>
      </c>
      <c r="B317" s="61">
        <v>211.36500000000001</v>
      </c>
      <c r="C317" s="61">
        <v>203.68</v>
      </c>
      <c r="D317" s="61">
        <v>204.95</v>
      </c>
      <c r="E317" s="61">
        <v>907908</v>
      </c>
      <c r="F317" s="61" t="s">
        <v>259</v>
      </c>
      <c r="G317" s="25">
        <f t="shared" si="10"/>
        <v>1.0002439619419379E-2</v>
      </c>
      <c r="I317" s="62">
        <v>2.4000000000000014E-2</v>
      </c>
      <c r="J317">
        <v>4</v>
      </c>
      <c r="L317" s="25">
        <f t="shared" si="8"/>
        <v>2.1000000000000012E-2</v>
      </c>
      <c r="M317" s="1">
        <f t="shared" si="9"/>
        <v>11.523372324246541</v>
      </c>
    </row>
    <row r="318" spans="1:13" ht="15">
      <c r="A318" s="61">
        <v>204.93</v>
      </c>
      <c r="B318" s="61">
        <v>205.08500000000001</v>
      </c>
      <c r="C318" s="61">
        <v>196</v>
      </c>
      <c r="D318" s="61">
        <v>201</v>
      </c>
      <c r="E318" s="61">
        <v>1224521</v>
      </c>
      <c r="F318" s="61" t="s">
        <v>260</v>
      </c>
      <c r="G318" s="25">
        <f t="shared" si="10"/>
        <v>1.9552238805970124E-2</v>
      </c>
      <c r="I318" s="62">
        <v>2.5000000000000015E-2</v>
      </c>
      <c r="J318">
        <v>3</v>
      </c>
      <c r="L318" s="25">
        <f t="shared" si="8"/>
        <v>2.2000000000000013E-2</v>
      </c>
      <c r="M318" s="1">
        <f t="shared" si="9"/>
        <v>11.178899150292674</v>
      </c>
    </row>
    <row r="319" spans="1:13" ht="15">
      <c r="A319" s="61">
        <v>195.2</v>
      </c>
      <c r="B319" s="61">
        <v>198.46</v>
      </c>
      <c r="C319" s="61">
        <v>188.75</v>
      </c>
      <c r="D319" s="61">
        <v>197.58</v>
      </c>
      <c r="E319" s="61">
        <v>1193595</v>
      </c>
      <c r="F319" s="61" t="s">
        <v>261</v>
      </c>
      <c r="G319" s="25">
        <f t="shared" si="10"/>
        <v>-1.2045753618787458E-2</v>
      </c>
      <c r="I319" s="62">
        <v>2.6000000000000016E-2</v>
      </c>
      <c r="J319">
        <v>3</v>
      </c>
      <c r="L319" s="25">
        <f t="shared" si="8"/>
        <v>2.3000000000000013E-2</v>
      </c>
      <c r="M319" s="1">
        <f t="shared" si="9"/>
        <v>10.828493784398177</v>
      </c>
    </row>
    <row r="320" spans="1:13" ht="15">
      <c r="A320" s="61">
        <v>199.09</v>
      </c>
      <c r="B320" s="61">
        <v>200</v>
      </c>
      <c r="C320" s="61">
        <v>187.7</v>
      </c>
      <c r="D320" s="61">
        <v>192.79</v>
      </c>
      <c r="E320" s="61">
        <v>3297744</v>
      </c>
      <c r="F320" s="61" t="s">
        <v>262</v>
      </c>
      <c r="G320" s="25">
        <f t="shared" si="10"/>
        <v>3.2678043466984885E-2</v>
      </c>
      <c r="I320" s="62">
        <v>2.7000000000000017E-2</v>
      </c>
      <c r="J320">
        <v>3</v>
      </c>
      <c r="L320" s="25">
        <f t="shared" si="8"/>
        <v>2.4000000000000014E-2</v>
      </c>
      <c r="M320" s="1">
        <f t="shared" si="9"/>
        <v>10.473374533930883</v>
      </c>
    </row>
    <row r="321" spans="1:13" ht="15">
      <c r="A321" s="61">
        <v>176.56</v>
      </c>
      <c r="B321" s="61">
        <v>180.75120000000001</v>
      </c>
      <c r="C321" s="61">
        <v>163.41</v>
      </c>
      <c r="D321" s="61">
        <v>166.79</v>
      </c>
      <c r="E321" s="61">
        <v>1965033</v>
      </c>
      <c r="F321" s="61" t="s">
        <v>263</v>
      </c>
      <c r="G321" s="25">
        <f t="shared" si="10"/>
        <v>5.8576653276575463E-2</v>
      </c>
      <c r="I321" s="62">
        <v>2.8000000000000018E-2</v>
      </c>
      <c r="J321">
        <v>7</v>
      </c>
      <c r="L321" s="25">
        <f t="shared" si="8"/>
        <v>2.5000000000000015E-2</v>
      </c>
      <c r="M321" s="1">
        <f t="shared" si="9"/>
        <v>10.114741469141691</v>
      </c>
    </row>
    <row r="322" spans="1:13" ht="15">
      <c r="A322" s="61">
        <v>165.75</v>
      </c>
      <c r="B322" s="61">
        <v>170.57</v>
      </c>
      <c r="C322" s="61">
        <v>158.08000000000001</v>
      </c>
      <c r="D322" s="61">
        <v>168.68</v>
      </c>
      <c r="E322" s="61">
        <v>3046243</v>
      </c>
      <c r="F322" s="61" t="s">
        <v>264</v>
      </c>
      <c r="G322" s="25">
        <f t="shared" si="10"/>
        <v>-1.737016836613714E-2</v>
      </c>
      <c r="I322" s="62">
        <v>2.9000000000000019E-2</v>
      </c>
      <c r="J322">
        <v>2</v>
      </c>
      <c r="L322" s="25">
        <f t="shared" si="8"/>
        <v>2.6000000000000016E-2</v>
      </c>
      <c r="M322" s="1">
        <f t="shared" si="9"/>
        <v>9.7537699581279114</v>
      </c>
    </row>
    <row r="323" spans="1:13" ht="15">
      <c r="A323" s="61">
        <v>176.24</v>
      </c>
      <c r="B323" s="61">
        <v>184.52340000000001</v>
      </c>
      <c r="C323" s="61">
        <v>171.79499999999999</v>
      </c>
      <c r="D323" s="61">
        <v>180.58</v>
      </c>
      <c r="E323" s="61">
        <v>1664298</v>
      </c>
      <c r="F323" s="61" t="s">
        <v>265</v>
      </c>
      <c r="G323" s="25">
        <f t="shared" si="10"/>
        <v>-2.4033669287850223E-2</v>
      </c>
      <c r="I323" s="62">
        <v>3.000000000000002E-2</v>
      </c>
      <c r="J323">
        <v>5</v>
      </c>
      <c r="L323" s="25">
        <f t="shared" si="8"/>
        <v>2.7000000000000017E-2</v>
      </c>
      <c r="M323" s="1">
        <f t="shared" si="9"/>
        <v>9.3916045999778959</v>
      </c>
    </row>
    <row r="324" spans="1:13" ht="15">
      <c r="A324" s="61">
        <v>180.53</v>
      </c>
      <c r="B324" s="61">
        <v>193.57</v>
      </c>
      <c r="C324" s="61">
        <v>176.9</v>
      </c>
      <c r="D324" s="61">
        <v>187.96</v>
      </c>
      <c r="E324" s="61">
        <v>1864424</v>
      </c>
      <c r="F324" s="61" t="s">
        <v>266</v>
      </c>
      <c r="G324" s="25">
        <f t="shared" si="10"/>
        <v>-3.9529687167482508E-2</v>
      </c>
      <c r="I324" s="62">
        <v>3.1000000000000021E-2</v>
      </c>
      <c r="J324">
        <v>4</v>
      </c>
      <c r="L324" s="25">
        <f t="shared" si="8"/>
        <v>2.8000000000000018E-2</v>
      </c>
      <c r="M324" s="1">
        <f t="shared" si="9"/>
        <v>9.0293535959643698</v>
      </c>
    </row>
    <row r="325" spans="1:13" ht="15">
      <c r="A325" s="61">
        <v>197.85</v>
      </c>
      <c r="B325" s="61">
        <v>201.23500000000001</v>
      </c>
      <c r="C325" s="61">
        <v>190.13</v>
      </c>
      <c r="D325" s="61">
        <v>192.54</v>
      </c>
      <c r="E325" s="61">
        <v>1144998</v>
      </c>
      <c r="F325" s="61" t="s">
        <v>267</v>
      </c>
      <c r="G325" s="25">
        <f t="shared" si="10"/>
        <v>2.7578684948582177E-2</v>
      </c>
      <c r="I325" s="62">
        <v>3.2000000000000021E-2</v>
      </c>
      <c r="J325">
        <v>0</v>
      </c>
      <c r="L325" s="25">
        <f t="shared" si="8"/>
        <v>2.9000000000000019E-2</v>
      </c>
      <c r="M325" s="1">
        <f t="shared" si="9"/>
        <v>8.6680835927577995</v>
      </c>
    </row>
    <row r="326" spans="1:13" ht="15">
      <c r="A326" s="61">
        <v>195.76</v>
      </c>
      <c r="B326" s="61">
        <v>202.565</v>
      </c>
      <c r="C326" s="61">
        <v>178.91</v>
      </c>
      <c r="D326" s="61">
        <v>188</v>
      </c>
      <c r="E326" s="61">
        <v>2605946</v>
      </c>
      <c r="F326" s="61" t="s">
        <v>268</v>
      </c>
      <c r="G326" s="25">
        <f t="shared" si="10"/>
        <v>4.1276595744680789E-2</v>
      </c>
      <c r="I326" s="62">
        <v>3.3000000000000022E-2</v>
      </c>
      <c r="J326">
        <v>2</v>
      </c>
      <c r="L326" s="25">
        <f t="shared" si="8"/>
        <v>3.000000000000002E-2</v>
      </c>
      <c r="M326" s="1">
        <f t="shared" si="9"/>
        <v>8.3088150255463962</v>
      </c>
    </row>
    <row r="327" spans="1:13" ht="15">
      <c r="A327" s="61">
        <v>188.02</v>
      </c>
      <c r="B327" s="61">
        <v>213.62</v>
      </c>
      <c r="C327" s="61">
        <v>185.75</v>
      </c>
      <c r="D327" s="61">
        <v>206.9</v>
      </c>
      <c r="E327" s="61">
        <v>1542327</v>
      </c>
      <c r="F327" s="61" t="s">
        <v>269</v>
      </c>
      <c r="G327" s="25">
        <f t="shared" si="10"/>
        <v>-9.1251812469792193E-2</v>
      </c>
      <c r="I327" s="62">
        <v>3.4000000000000023E-2</v>
      </c>
      <c r="J327">
        <v>9</v>
      </c>
      <c r="L327" s="25">
        <f t="shared" si="8"/>
        <v>3.1000000000000021E-2</v>
      </c>
      <c r="M327" s="1">
        <f t="shared" si="9"/>
        <v>7.9525179827633199</v>
      </c>
    </row>
    <row r="328" spans="1:13" ht="15">
      <c r="A328" s="61">
        <v>207.95</v>
      </c>
      <c r="B328" s="61">
        <v>209.83</v>
      </c>
      <c r="C328" s="61">
        <v>192</v>
      </c>
      <c r="D328" s="61">
        <v>193.18</v>
      </c>
      <c r="E328" s="61">
        <v>2210081</v>
      </c>
      <c r="F328" s="61" t="s">
        <v>270</v>
      </c>
      <c r="G328" s="25">
        <f t="shared" si="10"/>
        <v>7.6457190185319268E-2</v>
      </c>
      <c r="I328" s="62">
        <v>3.5000000000000024E-2</v>
      </c>
      <c r="J328">
        <v>1</v>
      </c>
      <c r="L328" s="25">
        <f t="shared" si="8"/>
        <v>3.2000000000000021E-2</v>
      </c>
      <c r="M328" s="1">
        <f t="shared" si="9"/>
        <v>7.6001086079192666</v>
      </c>
    </row>
    <row r="329" spans="1:13" ht="15">
      <c r="A329" s="61">
        <v>201.82</v>
      </c>
      <c r="B329" s="61">
        <v>224</v>
      </c>
      <c r="C329" s="61">
        <v>200.30500000000001</v>
      </c>
      <c r="D329" s="61">
        <v>223.37</v>
      </c>
      <c r="E329" s="61">
        <v>1491900</v>
      </c>
      <c r="F329" s="61" t="s">
        <v>271</v>
      </c>
      <c r="G329" s="25">
        <f t="shared" si="10"/>
        <v>-9.6476697855575999E-2</v>
      </c>
      <c r="I329" s="62">
        <v>3.6000000000000025E-2</v>
      </c>
      <c r="J329">
        <v>4</v>
      </c>
      <c r="L329" s="25">
        <f t="shared" si="8"/>
        <v>3.3000000000000022E-2</v>
      </c>
      <c r="M329" s="1">
        <f t="shared" si="9"/>
        <v>7.2524460479029038</v>
      </c>
    </row>
    <row r="330" spans="1:13" ht="15">
      <c r="A330" s="61">
        <v>217.71</v>
      </c>
      <c r="B330" s="61">
        <v>227.52</v>
      </c>
      <c r="C330" s="61">
        <v>215.28</v>
      </c>
      <c r="D330" s="61">
        <v>219.67</v>
      </c>
      <c r="E330" s="61">
        <v>1219450</v>
      </c>
      <c r="F330" s="61" t="s">
        <v>272</v>
      </c>
      <c r="G330" s="25">
        <f t="shared" si="10"/>
        <v>-8.9224746210223582E-3</v>
      </c>
      <c r="I330" s="62">
        <v>3.7000000000000026E-2</v>
      </c>
      <c r="J330">
        <v>1</v>
      </c>
      <c r="L330" s="25">
        <f t="shared" si="8"/>
        <v>3.4000000000000023E-2</v>
      </c>
      <c r="M330" s="1">
        <f t="shared" si="9"/>
        <v>6.9103299511200902</v>
      </c>
    </row>
    <row r="331" spans="1:13" ht="15">
      <c r="A331" s="61">
        <v>211.59</v>
      </c>
      <c r="B331" s="61">
        <v>212.71</v>
      </c>
      <c r="C331" s="61">
        <v>197.26</v>
      </c>
      <c r="D331" s="61">
        <v>211.02</v>
      </c>
      <c r="E331" s="61">
        <v>1590275</v>
      </c>
      <c r="F331" s="61" t="s">
        <v>273</v>
      </c>
      <c r="G331" s="25">
        <f t="shared" si="10"/>
        <v>2.7011657662781019E-3</v>
      </c>
      <c r="I331" s="62">
        <v>3.8000000000000027E-2</v>
      </c>
      <c r="J331">
        <v>0</v>
      </c>
      <c r="L331" s="25">
        <f t="shared" si="8"/>
        <v>3.5000000000000024E-2</v>
      </c>
      <c r="M331" s="1">
        <f t="shared" si="9"/>
        <v>6.5744985130687512</v>
      </c>
    </row>
    <row r="332" spans="1:13" ht="15">
      <c r="A332" s="61">
        <v>215.845</v>
      </c>
      <c r="B332" s="61">
        <v>222</v>
      </c>
      <c r="C332" s="61">
        <v>206.24010000000001</v>
      </c>
      <c r="D332" s="61">
        <v>219.23</v>
      </c>
      <c r="E332" s="61">
        <v>1453548</v>
      </c>
      <c r="F332" s="61" t="s">
        <v>274</v>
      </c>
      <c r="G332" s="25">
        <f t="shared" si="10"/>
        <v>-1.5440405054052753E-2</v>
      </c>
      <c r="I332" s="62">
        <v>3.9000000000000028E-2</v>
      </c>
      <c r="J332">
        <v>0</v>
      </c>
      <c r="L332" s="25">
        <f t="shared" si="8"/>
        <v>3.6000000000000025E-2</v>
      </c>
      <c r="M332" s="1">
        <f t="shared" si="9"/>
        <v>6.245627061455739</v>
      </c>
    </row>
    <row r="333" spans="1:13" ht="15">
      <c r="A333" s="61">
        <v>218.8</v>
      </c>
      <c r="B333" s="61">
        <v>238.53</v>
      </c>
      <c r="C333" s="61">
        <v>214.06</v>
      </c>
      <c r="D333" s="61">
        <v>238.37</v>
      </c>
      <c r="E333" s="61">
        <v>2494019</v>
      </c>
      <c r="F333" s="61" t="s">
        <v>275</v>
      </c>
      <c r="G333" s="25">
        <f t="shared" si="10"/>
        <v>-8.2099257456894725E-2</v>
      </c>
      <c r="I333" s="62">
        <v>4.0000000000000029E-2</v>
      </c>
      <c r="J333">
        <v>1</v>
      </c>
      <c r="L333" s="25">
        <f t="shared" si="8"/>
        <v>3.7000000000000026E-2</v>
      </c>
      <c r="M333" s="1">
        <f t="shared" si="9"/>
        <v>5.9243271678147673</v>
      </c>
    </row>
    <row r="334" spans="1:13" ht="15">
      <c r="A334" s="61">
        <v>236.43</v>
      </c>
      <c r="B334" s="61">
        <v>247</v>
      </c>
      <c r="C334" s="61">
        <v>233.94</v>
      </c>
      <c r="D334" s="61">
        <v>245.35</v>
      </c>
      <c r="E334" s="61">
        <v>921382</v>
      </c>
      <c r="F334" s="61" t="s">
        <v>276</v>
      </c>
      <c r="G334" s="25">
        <f t="shared" si="10"/>
        <v>-3.6356225799877628E-2</v>
      </c>
      <c r="I334" s="62">
        <v>4.1000000000000029E-2</v>
      </c>
      <c r="J334">
        <v>0</v>
      </c>
      <c r="L334" s="25">
        <f t="shared" si="8"/>
        <v>3.8000000000000027E-2</v>
      </c>
      <c r="M334" s="1">
        <f t="shared" si="9"/>
        <v>5.6111462678318613</v>
      </c>
    </row>
    <row r="335" spans="1:13" ht="15">
      <c r="A335" s="61">
        <v>248.33</v>
      </c>
      <c r="B335" s="61">
        <v>249.25389999999999</v>
      </c>
      <c r="C335" s="61">
        <v>242.69</v>
      </c>
      <c r="D335" s="61">
        <v>247.94499999999999</v>
      </c>
      <c r="E335" s="61">
        <v>838153</v>
      </c>
      <c r="F335" s="61" t="s">
        <v>277</v>
      </c>
      <c r="G335" s="25">
        <f t="shared" si="10"/>
        <v>1.5527637177601417E-3</v>
      </c>
      <c r="I335" s="62">
        <v>4.200000000000003E-2</v>
      </c>
      <c r="J335">
        <v>5</v>
      </c>
      <c r="L335" s="25">
        <f t="shared" si="8"/>
        <v>3.9000000000000028E-2</v>
      </c>
      <c r="M335" s="1">
        <f t="shared" si="9"/>
        <v>5.3065677682706101</v>
      </c>
    </row>
    <row r="336" spans="1:13" ht="15">
      <c r="A336" s="61">
        <v>250.37</v>
      </c>
      <c r="B336" s="61">
        <v>250.72</v>
      </c>
      <c r="C336" s="61">
        <v>241.13</v>
      </c>
      <c r="D336" s="61">
        <v>245</v>
      </c>
      <c r="E336" s="61">
        <v>707758</v>
      </c>
      <c r="F336" s="61" t="s">
        <v>278</v>
      </c>
      <c r="G336" s="25">
        <f t="shared" si="10"/>
        <v>2.191836734693875E-2</v>
      </c>
      <c r="I336" s="62">
        <v>4.3000000000000031E-2</v>
      </c>
      <c r="J336">
        <v>2</v>
      </c>
      <c r="L336" s="25">
        <f t="shared" si="8"/>
        <v>4.0000000000000029E-2</v>
      </c>
      <c r="M336" s="1">
        <f t="shared" si="9"/>
        <v>5.0110116145483934</v>
      </c>
    </row>
    <row r="337" spans="1:13" ht="15">
      <c r="A337" s="61">
        <v>241.54</v>
      </c>
      <c r="B337" s="61">
        <v>245.81</v>
      </c>
      <c r="C337" s="61">
        <v>235.49549999999999</v>
      </c>
      <c r="D337" s="61">
        <v>240.19</v>
      </c>
      <c r="E337" s="61">
        <v>686012</v>
      </c>
      <c r="F337" s="61" t="s">
        <v>279</v>
      </c>
      <c r="G337" s="25">
        <f t="shared" si="10"/>
        <v>5.6205503976018978E-3</v>
      </c>
      <c r="I337" s="62">
        <v>4.4000000000000032E-2</v>
      </c>
      <c r="J337">
        <v>1</v>
      </c>
      <c r="L337" s="25">
        <f t="shared" si="8"/>
        <v>4.1000000000000029E-2</v>
      </c>
      <c r="M337" s="1">
        <f t="shared" si="9"/>
        <v>4.724835289673428</v>
      </c>
    </row>
    <row r="338" spans="1:13" ht="15">
      <c r="A338" s="61">
        <v>240.38</v>
      </c>
      <c r="B338" s="61">
        <v>240.78870000000001</v>
      </c>
      <c r="C338" s="61">
        <v>233.9906</v>
      </c>
      <c r="D338" s="61">
        <v>236.07</v>
      </c>
      <c r="E338" s="61">
        <v>671802</v>
      </c>
      <c r="F338" s="61" t="s">
        <v>280</v>
      </c>
      <c r="G338" s="25">
        <f t="shared" si="10"/>
        <v>1.8257296564578418E-2</v>
      </c>
      <c r="I338" s="62">
        <v>4.5000000000000033E-2</v>
      </c>
      <c r="J338">
        <v>0</v>
      </c>
      <c r="L338" s="25">
        <f t="shared" si="8"/>
        <v>4.200000000000003E-2</v>
      </c>
      <c r="M338" s="1">
        <f t="shared" si="9"/>
        <v>4.4483352124283302</v>
      </c>
    </row>
    <row r="339" spans="1:13" ht="15">
      <c r="A339" s="61">
        <v>236.5</v>
      </c>
      <c r="B339" s="61">
        <v>242.28139999999999</v>
      </c>
      <c r="C339" s="61">
        <v>226</v>
      </c>
      <c r="D339" s="61">
        <v>227</v>
      </c>
      <c r="E339" s="61">
        <v>650282</v>
      </c>
      <c r="F339" s="61" t="s">
        <v>281</v>
      </c>
      <c r="G339" s="25">
        <f t="shared" si="10"/>
        <v>4.1850220264317173E-2</v>
      </c>
      <c r="I339" s="62">
        <v>4.6000000000000034E-2</v>
      </c>
      <c r="J339">
        <v>1</v>
      </c>
      <c r="L339" s="25">
        <f t="shared" si="8"/>
        <v>4.3000000000000031E-2</v>
      </c>
      <c r="M339" s="1">
        <f t="shared" ref="M339:M370" si="11">_xlfn.NORM.DIST(L339,$K$202,$K$204,FALSE)</f>
        <v>4.1817485003885198</v>
      </c>
    </row>
    <row r="340" spans="1:13" ht="15">
      <c r="A340" s="61">
        <v>233.95</v>
      </c>
      <c r="B340" s="61">
        <v>237.03</v>
      </c>
      <c r="C340" s="61">
        <v>229.11</v>
      </c>
      <c r="D340" s="61">
        <v>235.46</v>
      </c>
      <c r="E340" s="61">
        <v>736992</v>
      </c>
      <c r="F340" s="61" t="s">
        <v>282</v>
      </c>
      <c r="G340" s="25">
        <f t="shared" si="10"/>
        <v>-6.4129788499108775E-3</v>
      </c>
      <c r="I340" s="62">
        <v>4.7000000000000035E-2</v>
      </c>
      <c r="J340">
        <v>0</v>
      </c>
      <c r="L340" s="25">
        <f t="shared" si="8"/>
        <v>4.4000000000000032E-2</v>
      </c>
      <c r="M340" s="1">
        <f t="shared" si="11"/>
        <v>3.9252550615938722</v>
      </c>
    </row>
    <row r="341" spans="1:13" ht="15">
      <c r="A341" s="61">
        <v>238.23</v>
      </c>
      <c r="B341" s="61">
        <v>243.965</v>
      </c>
      <c r="C341" s="61">
        <v>235.85</v>
      </c>
      <c r="D341" s="61">
        <v>238.96</v>
      </c>
      <c r="E341" s="61">
        <v>628702</v>
      </c>
      <c r="F341" s="61" t="s">
        <v>283</v>
      </c>
      <c r="G341" s="25">
        <f t="shared" si="10"/>
        <v>-3.0549045865417845E-3</v>
      </c>
      <c r="I341" s="62">
        <v>4.8000000000000036E-2</v>
      </c>
      <c r="J341">
        <v>0</v>
      </c>
      <c r="L341" s="25">
        <f t="shared" si="8"/>
        <v>4.5000000000000033E-2</v>
      </c>
      <c r="M341" s="1">
        <f t="shared" si="11"/>
        <v>3.678979977443495</v>
      </c>
    </row>
    <row r="342" spans="1:13" ht="15">
      <c r="A342" s="61">
        <v>238.73</v>
      </c>
      <c r="B342" s="61">
        <v>244.93</v>
      </c>
      <c r="C342" s="61">
        <v>235.59</v>
      </c>
      <c r="D342" s="61">
        <v>241.63</v>
      </c>
      <c r="E342" s="61">
        <v>652715</v>
      </c>
      <c r="F342" s="61" t="s">
        <v>284</v>
      </c>
      <c r="G342" s="25">
        <f t="shared" si="10"/>
        <v>-1.2001820965939713E-2</v>
      </c>
      <c r="I342" s="62">
        <v>4.9000000000000037E-2</v>
      </c>
      <c r="J342">
        <v>0</v>
      </c>
      <c r="L342" s="25">
        <f t="shared" si="8"/>
        <v>4.6000000000000034E-2</v>
      </c>
      <c r="M342" s="1">
        <f t="shared" si="11"/>
        <v>3.4429961386420294</v>
      </c>
    </row>
    <row r="343" spans="1:13" ht="15">
      <c r="A343" s="61">
        <v>238.91</v>
      </c>
      <c r="B343" s="61">
        <v>240.86500000000001</v>
      </c>
      <c r="C343" s="61">
        <v>231.67</v>
      </c>
      <c r="D343" s="61">
        <v>236.78</v>
      </c>
      <c r="E343" s="61">
        <v>662482</v>
      </c>
      <c r="F343" s="61" t="s">
        <v>285</v>
      </c>
      <c r="G343" s="25">
        <f t="shared" si="10"/>
        <v>8.9956922037333076E-3</v>
      </c>
      <c r="I343" s="62">
        <v>5.0000000000000037E-2</v>
      </c>
      <c r="J343">
        <v>1</v>
      </c>
      <c r="L343" s="25">
        <f t="shared" si="8"/>
        <v>4.7000000000000035E-2</v>
      </c>
      <c r="M343" s="1">
        <f t="shared" si="11"/>
        <v>3.2173270957715396</v>
      </c>
    </row>
    <row r="344" spans="1:13" ht="15">
      <c r="A344" s="61">
        <v>235.85</v>
      </c>
      <c r="B344" s="61">
        <v>241.79</v>
      </c>
      <c r="C344" s="61">
        <v>231.47</v>
      </c>
      <c r="D344" s="61">
        <v>237.9</v>
      </c>
      <c r="E344" s="61">
        <v>826293</v>
      </c>
      <c r="F344" s="61" t="s">
        <v>286</v>
      </c>
      <c r="G344" s="25">
        <f t="shared" si="10"/>
        <v>-8.6170659941152694E-3</v>
      </c>
      <c r="I344" s="62">
        <v>5.1000000000000038E-2</v>
      </c>
      <c r="J344">
        <v>0</v>
      </c>
      <c r="L344" s="25">
        <f t="shared" si="8"/>
        <v>4.8000000000000036E-2</v>
      </c>
      <c r="M344" s="1">
        <f t="shared" si="11"/>
        <v>3.0019500862693929</v>
      </c>
    </row>
    <row r="345" spans="1:13" ht="15">
      <c r="A345" s="61">
        <v>234.42</v>
      </c>
      <c r="B345" s="61">
        <v>235</v>
      </c>
      <c r="C345" s="61">
        <v>221.08</v>
      </c>
      <c r="D345" s="61">
        <v>231.28</v>
      </c>
      <c r="E345" s="61">
        <v>991069</v>
      </c>
      <c r="F345" s="61" t="s">
        <v>287</v>
      </c>
      <c r="G345" s="25">
        <f t="shared" si="10"/>
        <v>1.3576617087512899E-2</v>
      </c>
      <c r="I345" s="62">
        <v>5.2000000000000039E-2</v>
      </c>
      <c r="J345">
        <v>0</v>
      </c>
      <c r="L345" s="25">
        <f t="shared" si="8"/>
        <v>4.9000000000000037E-2</v>
      </c>
      <c r="M345" s="1">
        <f t="shared" si="11"/>
        <v>2.7967992002284543</v>
      </c>
    </row>
    <row r="346" spans="1:13" ht="15">
      <c r="A346" s="61">
        <v>230.85</v>
      </c>
      <c r="B346" s="61">
        <v>232.22</v>
      </c>
      <c r="C346" s="61">
        <v>213.3005</v>
      </c>
      <c r="D346" s="61">
        <v>213.73</v>
      </c>
      <c r="E346" s="61">
        <v>1204753</v>
      </c>
      <c r="F346" s="61" t="s">
        <v>288</v>
      </c>
      <c r="G346" s="25">
        <f t="shared" si="10"/>
        <v>8.0101062087680752E-2</v>
      </c>
      <c r="I346" s="62">
        <v>5.300000000000004E-2</v>
      </c>
      <c r="J346">
        <v>1</v>
      </c>
      <c r="L346" s="25">
        <f t="shared" si="8"/>
        <v>5.0000000000000037E-2</v>
      </c>
      <c r="M346" s="1">
        <f t="shared" si="11"/>
        <v>2.6017686484659239</v>
      </c>
    </row>
    <row r="347" spans="1:13" ht="15">
      <c r="A347" s="61">
        <v>221.73</v>
      </c>
      <c r="B347" s="61">
        <v>231.18879999999999</v>
      </c>
      <c r="C347" s="61">
        <v>220.29</v>
      </c>
      <c r="D347" s="61">
        <v>227.47</v>
      </c>
      <c r="E347" s="61">
        <v>1039061</v>
      </c>
      <c r="F347" s="61" t="s">
        <v>289</v>
      </c>
      <c r="G347" s="25">
        <f t="shared" si="10"/>
        <v>-2.5234096803974149E-2</v>
      </c>
      <c r="I347" s="62">
        <v>5.4000000000000041E-2</v>
      </c>
      <c r="J347">
        <v>1</v>
      </c>
      <c r="L347" s="25">
        <f t="shared" si="8"/>
        <v>5.1000000000000038E-2</v>
      </c>
      <c r="M347" s="1">
        <f t="shared" si="11"/>
        <v>2.4167160976921811</v>
      </c>
    </row>
    <row r="348" spans="1:13" ht="15">
      <c r="A348" s="61">
        <v>224.95</v>
      </c>
      <c r="B348" s="61">
        <v>230</v>
      </c>
      <c r="C348" s="61">
        <v>218.58500000000001</v>
      </c>
      <c r="D348" s="61">
        <v>221.06</v>
      </c>
      <c r="E348" s="61">
        <v>1440888</v>
      </c>
      <c r="F348" s="61" t="s">
        <v>290</v>
      </c>
      <c r="G348" s="25">
        <f t="shared" si="10"/>
        <v>1.7597032479869767E-2</v>
      </c>
      <c r="I348" s="62">
        <v>5.5000000000000042E-2</v>
      </c>
      <c r="J348">
        <v>0</v>
      </c>
      <c r="L348" s="25">
        <f t="shared" si="8"/>
        <v>5.2000000000000039E-2</v>
      </c>
      <c r="M348" s="1">
        <f t="shared" si="11"/>
        <v>2.241466039309723</v>
      </c>
    </row>
    <row r="349" spans="1:13" ht="15">
      <c r="A349" s="61">
        <v>214</v>
      </c>
      <c r="B349" s="61">
        <v>218.12</v>
      </c>
      <c r="C349" s="61">
        <v>206</v>
      </c>
      <c r="D349" s="61">
        <v>209.91</v>
      </c>
      <c r="E349" s="61">
        <v>2021113</v>
      </c>
      <c r="F349" s="61" t="s">
        <v>291</v>
      </c>
      <c r="G349" s="25">
        <f t="shared" si="10"/>
        <v>1.9484540993759181E-2</v>
      </c>
      <c r="I349" s="62">
        <v>5.6000000000000043E-2</v>
      </c>
      <c r="J349">
        <v>0</v>
      </c>
      <c r="L349" s="25">
        <f t="shared" si="8"/>
        <v>5.300000000000004E-2</v>
      </c>
      <c r="M349" s="1">
        <f t="shared" si="11"/>
        <v>2.075813160341387</v>
      </c>
    </row>
    <row r="350" spans="1:13" ht="15">
      <c r="A350" s="61">
        <v>204.42</v>
      </c>
      <c r="B350" s="61">
        <v>206.28</v>
      </c>
      <c r="C350" s="61">
        <v>190.5</v>
      </c>
      <c r="D350" s="61">
        <v>199.2</v>
      </c>
      <c r="E350" s="61">
        <v>2680291</v>
      </c>
      <c r="F350" s="61" t="s">
        <v>292</v>
      </c>
      <c r="G350" s="25">
        <f t="shared" si="10"/>
        <v>2.6204819277108493E-2</v>
      </c>
      <c r="I350" s="62">
        <v>5.7000000000000044E-2</v>
      </c>
      <c r="J350">
        <v>0</v>
      </c>
      <c r="L350" s="25">
        <f t="shared" si="8"/>
        <v>5.4000000000000041E-2</v>
      </c>
      <c r="M350" s="1">
        <f t="shared" si="11"/>
        <v>1.9195256871822419</v>
      </c>
    </row>
    <row r="351" spans="1:13" ht="15">
      <c r="A351" s="61">
        <v>192.16</v>
      </c>
      <c r="B351" s="61">
        <v>217.2</v>
      </c>
      <c r="C351" s="61">
        <v>187</v>
      </c>
      <c r="D351" s="61">
        <v>217</v>
      </c>
      <c r="E351" s="61">
        <v>4655004</v>
      </c>
      <c r="F351" s="61" t="s">
        <v>293</v>
      </c>
      <c r="G351" s="25">
        <f t="shared" si="10"/>
        <v>-0.11447004608294931</v>
      </c>
      <c r="I351" s="62">
        <v>5.8000000000000045E-2</v>
      </c>
      <c r="J351">
        <v>1</v>
      </c>
      <c r="L351" s="25">
        <f t="shared" si="8"/>
        <v>5.5000000000000042E-2</v>
      </c>
      <c r="M351" s="1">
        <f t="shared" si="11"/>
        <v>1.7723486752466167</v>
      </c>
    </row>
    <row r="352" spans="1:13" ht="15">
      <c r="A352" s="61">
        <v>245.06</v>
      </c>
      <c r="B352" s="61">
        <v>250.82</v>
      </c>
      <c r="C352" s="61">
        <v>241.71</v>
      </c>
      <c r="D352" s="61">
        <v>247.73</v>
      </c>
      <c r="E352" s="61">
        <v>891201</v>
      </c>
      <c r="F352" s="61" t="s">
        <v>294</v>
      </c>
      <c r="G352" s="25">
        <f t="shared" si="10"/>
        <v>-1.0777862996003695E-2</v>
      </c>
      <c r="I352" s="62">
        <v>5.9000000000000045E-2</v>
      </c>
      <c r="J352">
        <v>1</v>
      </c>
      <c r="L352" s="25">
        <f t="shared" si="8"/>
        <v>5.6000000000000043E-2</v>
      </c>
      <c r="M352" s="1">
        <f t="shared" si="11"/>
        <v>1.6340072200966533</v>
      </c>
    </row>
    <row r="353" spans="1:13" ht="15">
      <c r="A353" s="61">
        <v>247.12</v>
      </c>
      <c r="B353" s="61">
        <v>258.02999999999997</v>
      </c>
      <c r="C353" s="61">
        <v>246.315</v>
      </c>
      <c r="D353" s="61">
        <v>249.8</v>
      </c>
      <c r="E353" s="61">
        <v>1172337</v>
      </c>
      <c r="F353" s="61" t="s">
        <v>295</v>
      </c>
      <c r="G353" s="25">
        <f t="shared" si="10"/>
        <v>-1.0728582866293079E-2</v>
      </c>
      <c r="I353" s="62">
        <v>6.0000000000000046E-2</v>
      </c>
      <c r="J353">
        <v>0</v>
      </c>
      <c r="L353" s="25">
        <f t="shared" si="8"/>
        <v>5.7000000000000044E-2</v>
      </c>
      <c r="M353" s="1">
        <f t="shared" si="11"/>
        <v>1.5042095682490919</v>
      </c>
    </row>
    <row r="354" spans="1:13" ht="15">
      <c r="A354" s="61">
        <v>249.99</v>
      </c>
      <c r="B354" s="61">
        <v>253.90629999999999</v>
      </c>
      <c r="C354" s="61">
        <v>247.5</v>
      </c>
      <c r="D354" s="61">
        <v>249.72</v>
      </c>
      <c r="E354" s="61">
        <v>1170077</v>
      </c>
      <c r="F354" s="61" t="s">
        <v>296</v>
      </c>
      <c r="G354" s="25">
        <f t="shared" si="10"/>
        <v>1.0812109562710059E-3</v>
      </c>
      <c r="I354" s="62">
        <v>6.1000000000000047E-2</v>
      </c>
      <c r="J354">
        <v>2</v>
      </c>
      <c r="L354" s="25">
        <f t="shared" si="8"/>
        <v>5.8000000000000045E-2</v>
      </c>
      <c r="M354" s="1">
        <f t="shared" si="11"/>
        <v>1.3826501085216234</v>
      </c>
    </row>
    <row r="355" spans="1:13" ht="15">
      <c r="A355" s="61">
        <v>243.64</v>
      </c>
      <c r="B355" s="61">
        <v>249.4854</v>
      </c>
      <c r="C355" s="61">
        <v>239</v>
      </c>
      <c r="D355" s="61">
        <v>240.26</v>
      </c>
      <c r="E355" s="61">
        <v>1421973</v>
      </c>
      <c r="F355" s="61" t="s">
        <v>297</v>
      </c>
      <c r="G355" s="25">
        <f t="shared" si="10"/>
        <v>1.4068092899359064E-2</v>
      </c>
      <c r="I355" s="62">
        <v>6.2000000000000048E-2</v>
      </c>
      <c r="J355">
        <v>0</v>
      </c>
      <c r="L355" s="25">
        <f t="shared" si="8"/>
        <v>5.9000000000000045E-2</v>
      </c>
      <c r="M355" s="1">
        <f t="shared" si="11"/>
        <v>1.2690122274606657</v>
      </c>
    </row>
    <row r="356" spans="1:13" ht="15">
      <c r="A356" s="61">
        <v>234.95</v>
      </c>
      <c r="B356" s="61">
        <v>236.86</v>
      </c>
      <c r="C356" s="61">
        <v>230.595</v>
      </c>
      <c r="D356" s="61">
        <v>234.56</v>
      </c>
      <c r="E356" s="61">
        <v>1014671</v>
      </c>
      <c r="F356" s="61" t="s">
        <v>298</v>
      </c>
      <c r="G356" s="25">
        <f t="shared" si="10"/>
        <v>1.6626875852658873E-3</v>
      </c>
      <c r="I356" s="62">
        <v>6.3000000000000042E-2</v>
      </c>
      <c r="J356">
        <v>1</v>
      </c>
      <c r="L356" s="25">
        <f t="shared" si="8"/>
        <v>6.0000000000000046E-2</v>
      </c>
      <c r="M356" s="1">
        <f t="shared" si="11"/>
        <v>1.1629710150528938</v>
      </c>
    </row>
    <row r="357" spans="1:13" ht="15">
      <c r="A357" s="61">
        <v>234.16</v>
      </c>
      <c r="B357" s="61">
        <v>235.62430000000001</v>
      </c>
      <c r="C357" s="61">
        <v>228</v>
      </c>
      <c r="D357" s="61">
        <v>230.47</v>
      </c>
      <c r="E357" s="61">
        <v>1667066</v>
      </c>
      <c r="F357" s="61" t="s">
        <v>299</v>
      </c>
      <c r="G357" s="25">
        <f t="shared" si="10"/>
        <v>1.6010760619603381E-2</v>
      </c>
      <c r="I357" s="62">
        <v>6.4000000000000043E-2</v>
      </c>
      <c r="J357">
        <v>0</v>
      </c>
      <c r="L357" s="25">
        <f t="shared" si="8"/>
        <v>6.1000000000000047E-2</v>
      </c>
      <c r="M357" s="1">
        <f t="shared" si="11"/>
        <v>1.0641958095305013</v>
      </c>
    </row>
    <row r="358" spans="1:13" ht="15">
      <c r="A358" s="61">
        <v>226.39</v>
      </c>
      <c r="B358" s="61">
        <v>231.39</v>
      </c>
      <c r="C358" s="61">
        <v>221.2</v>
      </c>
      <c r="D358" s="61">
        <v>226.7</v>
      </c>
      <c r="E358" s="61">
        <v>1289589</v>
      </c>
      <c r="F358" s="61" t="s">
        <v>300</v>
      </c>
      <c r="G358" s="25">
        <f t="shared" si="10"/>
        <v>-1.3674459638288727E-3</v>
      </c>
      <c r="I358" s="62">
        <v>6.5000000000000044E-2</v>
      </c>
      <c r="J358">
        <v>0</v>
      </c>
      <c r="L358" s="25">
        <f t="shared" si="8"/>
        <v>6.2000000000000048E-2</v>
      </c>
      <c r="M358" s="1">
        <f t="shared" si="11"/>
        <v>0.972352572605646</v>
      </c>
    </row>
    <row r="359" spans="1:13" ht="15">
      <c r="A359" s="61">
        <v>220.25</v>
      </c>
      <c r="B359" s="61">
        <v>224.11</v>
      </c>
      <c r="C359" s="61">
        <v>216.03229999999999</v>
      </c>
      <c r="D359" s="61">
        <v>217</v>
      </c>
      <c r="E359" s="61">
        <v>699370</v>
      </c>
      <c r="F359" s="61" t="s">
        <v>301</v>
      </c>
      <c r="G359" s="25">
        <f t="shared" si="10"/>
        <v>1.4976958525345641E-2</v>
      </c>
      <c r="I359" s="62">
        <v>6.6000000000000045E-2</v>
      </c>
      <c r="J359">
        <v>0</v>
      </c>
      <c r="L359" s="25">
        <f t="shared" si="8"/>
        <v>6.3000000000000042E-2</v>
      </c>
      <c r="M359" s="1">
        <f t="shared" si="11"/>
        <v>0.88710608888686926</v>
      </c>
    </row>
    <row r="360" spans="1:13" ht="15">
      <c r="A360" s="61">
        <v>212.49</v>
      </c>
      <c r="B360" s="61">
        <v>220.12</v>
      </c>
      <c r="C360" s="61">
        <v>210</v>
      </c>
      <c r="D360" s="61">
        <v>219</v>
      </c>
      <c r="E360" s="61">
        <v>557558</v>
      </c>
      <c r="F360" s="61" t="s">
        <v>302</v>
      </c>
      <c r="G360" s="25">
        <f t="shared" si="10"/>
        <v>-2.9726027397260268E-2</v>
      </c>
      <c r="I360" s="62">
        <v>6.7000000000000046E-2</v>
      </c>
      <c r="J360">
        <v>2</v>
      </c>
      <c r="L360" s="25">
        <f t="shared" si="8"/>
        <v>6.4000000000000043E-2</v>
      </c>
      <c r="M360" s="1">
        <f t="shared" si="11"/>
        <v>0.80812198551737746</v>
      </c>
    </row>
    <row r="361" spans="1:13" ht="15">
      <c r="A361" s="61">
        <v>221.8</v>
      </c>
      <c r="B361" s="61">
        <v>227.48</v>
      </c>
      <c r="C361" s="61">
        <v>214</v>
      </c>
      <c r="D361" s="61">
        <v>220.72</v>
      </c>
      <c r="E361" s="61">
        <v>1800277</v>
      </c>
      <c r="F361" s="61" t="s">
        <v>303</v>
      </c>
      <c r="G361" s="25">
        <f t="shared" si="10"/>
        <v>4.8930772018846991E-3</v>
      </c>
      <c r="I361" s="62">
        <v>6.8000000000000047E-2</v>
      </c>
      <c r="J361">
        <v>0</v>
      </c>
      <c r="L361" s="25">
        <f t="shared" si="8"/>
        <v>6.5000000000000044E-2</v>
      </c>
      <c r="M361" s="1">
        <f t="shared" si="11"/>
        <v>0.73506857021339511</v>
      </c>
    </row>
    <row r="362" spans="1:13" ht="15">
      <c r="A362" s="61">
        <v>215.59</v>
      </c>
      <c r="B362" s="61">
        <v>218.625</v>
      </c>
      <c r="C362" s="61">
        <v>203</v>
      </c>
      <c r="D362" s="61">
        <v>211.28</v>
      </c>
      <c r="E362" s="61">
        <v>1001492</v>
      </c>
      <c r="F362" s="61" t="s">
        <v>304</v>
      </c>
      <c r="G362" s="25">
        <f t="shared" si="10"/>
        <v>2.0399469897766087E-2</v>
      </c>
      <c r="I362" s="62">
        <v>6.9000000000000047E-2</v>
      </c>
      <c r="J362">
        <v>1</v>
      </c>
      <c r="L362" s="25">
        <f t="shared" si="8"/>
        <v>6.6000000000000045E-2</v>
      </c>
      <c r="M362" s="1">
        <f t="shared" si="11"/>
        <v>0.66761848785559397</v>
      </c>
    </row>
    <row r="363" spans="1:13" ht="15">
      <c r="A363" s="61">
        <v>212.715</v>
      </c>
      <c r="B363" s="61">
        <v>221.55</v>
      </c>
      <c r="C363" s="61">
        <v>206.16</v>
      </c>
      <c r="D363" s="61">
        <v>220.54</v>
      </c>
      <c r="E363" s="61">
        <v>669204</v>
      </c>
      <c r="F363" s="61" t="s">
        <v>305</v>
      </c>
      <c r="G363" s="25">
        <f t="shared" si="10"/>
        <v>-3.5481091865421144E-2</v>
      </c>
      <c r="I363" s="62">
        <v>7.0000000000000048E-2</v>
      </c>
      <c r="J363">
        <v>0</v>
      </c>
      <c r="L363" s="25">
        <f t="shared" si="8"/>
        <v>6.7000000000000046E-2</v>
      </c>
      <c r="M363" s="1">
        <f t="shared" si="11"/>
        <v>0.60545019758666774</v>
      </c>
    </row>
    <row r="364" spans="1:13" ht="15">
      <c r="A364" s="61">
        <v>218.2</v>
      </c>
      <c r="B364" s="61">
        <v>225</v>
      </c>
      <c r="C364" s="61">
        <v>212</v>
      </c>
      <c r="D364" s="61">
        <v>221.39</v>
      </c>
      <c r="E364" s="61">
        <v>802660</v>
      </c>
      <c r="F364" s="61" t="s">
        <v>306</v>
      </c>
      <c r="G364" s="25">
        <f t="shared" si="10"/>
        <v>-1.4408961561046096E-2</v>
      </c>
      <c r="I364" s="62">
        <v>7.1000000000000049E-2</v>
      </c>
      <c r="J364">
        <v>0</v>
      </c>
      <c r="L364" s="25">
        <f t="shared" ref="L364:L381" si="12">L363+0.001</f>
        <v>6.8000000000000047E-2</v>
      </c>
      <c r="M364" s="1">
        <f t="shared" si="11"/>
        <v>0.54824927398579448</v>
      </c>
    </row>
    <row r="365" spans="1:13" ht="15">
      <c r="A365" s="61">
        <v>215.59</v>
      </c>
      <c r="B365" s="61">
        <v>220.49</v>
      </c>
      <c r="C365" s="61">
        <v>212.5</v>
      </c>
      <c r="D365" s="61">
        <v>215</v>
      </c>
      <c r="E365" s="61">
        <v>840532</v>
      </c>
      <c r="F365" s="61" t="s">
        <v>307</v>
      </c>
      <c r="G365" s="25">
        <f t="shared" si="10"/>
        <v>2.7441860465116097E-3</v>
      </c>
      <c r="I365" s="62">
        <v>7.200000000000005E-2</v>
      </c>
      <c r="J365">
        <v>0</v>
      </c>
      <c r="L365" s="25">
        <f t="shared" si="12"/>
        <v>6.9000000000000047E-2</v>
      </c>
      <c r="M365" s="1">
        <f t="shared" si="11"/>
        <v>0.4957095373215486</v>
      </c>
    </row>
    <row r="366" spans="1:13" ht="15">
      <c r="A366" s="61">
        <v>212.23</v>
      </c>
      <c r="B366" s="61">
        <v>213.2</v>
      </c>
      <c r="C366" s="61">
        <v>201.6105</v>
      </c>
      <c r="D366" s="61">
        <v>206</v>
      </c>
      <c r="E366" s="61">
        <v>736255</v>
      </c>
      <c r="F366" s="61" t="s">
        <v>308</v>
      </c>
      <c r="G366" s="25">
        <f t="shared" si="10"/>
        <v>3.0242718446601868E-2</v>
      </c>
      <c r="I366" s="62">
        <v>7.3000000000000051E-2</v>
      </c>
      <c r="J366">
        <v>0</v>
      </c>
      <c r="L366" s="25">
        <f t="shared" si="12"/>
        <v>7.0000000000000048E-2</v>
      </c>
      <c r="M366" s="1">
        <f t="shared" si="11"/>
        <v>0.44753401912747776</v>
      </c>
    </row>
    <row r="367" spans="1:13" ht="15">
      <c r="A367" s="61">
        <v>201.47</v>
      </c>
      <c r="B367" s="61">
        <v>203.14</v>
      </c>
      <c r="C367" s="61">
        <v>198.89</v>
      </c>
      <c r="D367" s="61">
        <v>202.66</v>
      </c>
      <c r="E367" s="61">
        <v>394571</v>
      </c>
      <c r="F367" s="61" t="s">
        <v>309</v>
      </c>
      <c r="G367" s="25">
        <f t="shared" si="10"/>
        <v>-5.8719036810421787E-3</v>
      </c>
      <c r="I367" s="62">
        <v>7.4000000000000052E-2</v>
      </c>
      <c r="J367">
        <v>1</v>
      </c>
      <c r="L367" s="25">
        <f t="shared" si="12"/>
        <v>7.1000000000000049E-2</v>
      </c>
      <c r="M367" s="1">
        <f t="shared" si="11"/>
        <v>0.40343577040047995</v>
      </c>
    </row>
    <row r="368" spans="1:13" ht="15">
      <c r="A368" s="61">
        <v>201.66</v>
      </c>
      <c r="B368" s="61">
        <v>202.54</v>
      </c>
      <c r="C368" s="61">
        <v>195.91</v>
      </c>
      <c r="D368" s="61">
        <v>196.96</v>
      </c>
      <c r="E368" s="61">
        <v>436298</v>
      </c>
      <c r="F368" s="61" t="s">
        <v>310</v>
      </c>
      <c r="G368" s="25">
        <f t="shared" si="10"/>
        <v>2.3862713241267208E-2</v>
      </c>
      <c r="I368" s="62">
        <v>7.5000000000000053E-2</v>
      </c>
      <c r="J368">
        <v>0</v>
      </c>
      <c r="L368" s="25">
        <f t="shared" si="12"/>
        <v>7.200000000000005E-2</v>
      </c>
      <c r="M368" s="1">
        <f t="shared" si="11"/>
        <v>0.3631385205952703</v>
      </c>
    </row>
    <row r="369" spans="1:13" ht="15">
      <c r="A369" s="61">
        <v>200.12</v>
      </c>
      <c r="B369" s="61">
        <v>205.99</v>
      </c>
      <c r="C369" s="61">
        <v>196.03</v>
      </c>
      <c r="D369" s="61">
        <v>204.02</v>
      </c>
      <c r="E369" s="61">
        <v>415373</v>
      </c>
      <c r="F369" s="61" t="s">
        <v>311</v>
      </c>
      <c r="G369" s="25">
        <f t="shared" si="10"/>
        <v>-1.9115772963435029E-2</v>
      </c>
      <c r="I369" s="62">
        <v>7.6000000000000054E-2</v>
      </c>
      <c r="J369">
        <v>0</v>
      </c>
      <c r="L369" s="25">
        <f t="shared" si="12"/>
        <v>7.3000000000000051E-2</v>
      </c>
      <c r="M369" s="1">
        <f t="shared" si="11"/>
        <v>0.32637719628482542</v>
      </c>
    </row>
    <row r="370" spans="1:13" ht="15">
      <c r="A370" s="61">
        <v>206.39</v>
      </c>
      <c r="B370" s="61">
        <v>208.05</v>
      </c>
      <c r="C370" s="61">
        <v>202.78</v>
      </c>
      <c r="D370" s="61">
        <v>205.36</v>
      </c>
      <c r="E370" s="61">
        <v>328085</v>
      </c>
      <c r="F370" s="61" t="s">
        <v>312</v>
      </c>
      <c r="G370" s="25">
        <f t="shared" si="10"/>
        <v>5.0155823918969222E-3</v>
      </c>
      <c r="I370" s="62">
        <v>7.7000000000000055E-2</v>
      </c>
      <c r="J370">
        <v>1</v>
      </c>
      <c r="L370" s="25">
        <f t="shared" si="12"/>
        <v>7.4000000000000052E-2</v>
      </c>
      <c r="M370" s="1">
        <f t="shared" si="11"/>
        <v>0.29289830888485091</v>
      </c>
    </row>
    <row r="371" spans="1:13" ht="15">
      <c r="A371" s="61">
        <v>206.85</v>
      </c>
      <c r="B371" s="61">
        <v>209.5</v>
      </c>
      <c r="C371" s="61">
        <v>201.2</v>
      </c>
      <c r="D371" s="61">
        <v>203.33</v>
      </c>
      <c r="E371" s="61">
        <v>260930</v>
      </c>
      <c r="F371" s="61" t="s">
        <v>313</v>
      </c>
      <c r="G371" s="25">
        <f t="shared" si="10"/>
        <v>1.7311759209167166E-2</v>
      </c>
      <c r="I371" s="62">
        <v>7.8000000000000055E-2</v>
      </c>
      <c r="J371">
        <v>0</v>
      </c>
      <c r="L371" s="25">
        <f t="shared" si="12"/>
        <v>7.5000000000000053E-2</v>
      </c>
      <c r="M371" s="1">
        <f t="shared" ref="M371:M381" si="13">_xlfn.NORM.DIST(L371,$K$202,$K$204,FALSE)</f>
        <v>0.26246022120972629</v>
      </c>
    </row>
    <row r="372" spans="1:13" ht="15">
      <c r="A372" s="61">
        <v>198.75</v>
      </c>
      <c r="B372" s="61">
        <v>201.03989999999999</v>
      </c>
      <c r="C372" s="61">
        <v>192.69829999999999</v>
      </c>
      <c r="D372" s="61">
        <v>196.76</v>
      </c>
      <c r="E372" s="61">
        <v>520779</v>
      </c>
      <c r="F372" s="61" t="s">
        <v>314</v>
      </c>
      <c r="G372" s="25">
        <f t="shared" si="10"/>
        <v>1.0113844277292117E-2</v>
      </c>
      <c r="I372" s="62">
        <v>7.9000000000000056E-2</v>
      </c>
      <c r="J372">
        <v>0</v>
      </c>
      <c r="L372" s="25">
        <f t="shared" si="12"/>
        <v>7.6000000000000054E-2</v>
      </c>
      <c r="M372" s="1">
        <f t="shared" si="13"/>
        <v>0.23483330284910503</v>
      </c>
    </row>
    <row r="373" spans="1:13" ht="15">
      <c r="A373" s="61">
        <v>197.11</v>
      </c>
      <c r="B373" s="61">
        <v>199.49</v>
      </c>
      <c r="C373" s="61">
        <v>188.91</v>
      </c>
      <c r="D373" s="61">
        <v>190.66</v>
      </c>
      <c r="E373" s="61">
        <v>1213941</v>
      </c>
      <c r="F373" s="61" t="s">
        <v>315</v>
      </c>
      <c r="G373" s="25">
        <f t="shared" si="10"/>
        <v>3.3829854190706055E-2</v>
      </c>
      <c r="I373" s="62">
        <v>8.0000000000000057E-2</v>
      </c>
      <c r="J373">
        <v>0</v>
      </c>
      <c r="L373" s="25">
        <f t="shared" si="12"/>
        <v>7.7000000000000055E-2</v>
      </c>
      <c r="M373" s="1">
        <f t="shared" si="13"/>
        <v>0.20979998444033149</v>
      </c>
    </row>
    <row r="374" spans="1:13" ht="15">
      <c r="A374" s="61">
        <v>195.9</v>
      </c>
      <c r="B374" s="61">
        <v>202.85</v>
      </c>
      <c r="C374" s="61">
        <v>195.61</v>
      </c>
      <c r="D374" s="61">
        <v>197.95</v>
      </c>
      <c r="E374" s="61">
        <v>853046</v>
      </c>
      <c r="F374" s="61" t="s">
        <v>316</v>
      </c>
      <c r="G374" s="25">
        <f t="shared" si="10"/>
        <v>-1.0356150543066378E-2</v>
      </c>
      <c r="I374" s="62">
        <v>8.1000000000000058E-2</v>
      </c>
      <c r="J374">
        <v>1</v>
      </c>
      <c r="L374" s="25">
        <f t="shared" si="12"/>
        <v>7.8000000000000055E-2</v>
      </c>
      <c r="M374" s="1">
        <f t="shared" si="13"/>
        <v>0.18715472087485574</v>
      </c>
    </row>
    <row r="375" spans="1:13" ht="15">
      <c r="A375" s="61">
        <v>195.52</v>
      </c>
      <c r="B375" s="61">
        <v>208.3707</v>
      </c>
      <c r="C375" s="61">
        <v>194.72</v>
      </c>
      <c r="D375" s="61">
        <v>207.48</v>
      </c>
      <c r="E375" s="61">
        <v>598664</v>
      </c>
      <c r="F375" s="61" t="s">
        <v>317</v>
      </c>
      <c r="G375" s="25">
        <f t="shared" si="10"/>
        <v>-5.7644110275689164E-2</v>
      </c>
      <c r="I375" s="62">
        <v>8.2000000000000059E-2</v>
      </c>
      <c r="J375">
        <v>0</v>
      </c>
      <c r="L375" s="25">
        <f t="shared" si="12"/>
        <v>7.9000000000000056E-2</v>
      </c>
      <c r="M375" s="1">
        <f t="shared" si="13"/>
        <v>0.16670387333000405</v>
      </c>
    </row>
    <row r="376" spans="1:13" ht="15.75" thickBot="1">
      <c r="A376" s="61">
        <v>205.85</v>
      </c>
      <c r="B376" s="61">
        <v>207.91</v>
      </c>
      <c r="C376" s="61">
        <v>200.3235</v>
      </c>
      <c r="D376" s="61">
        <v>206</v>
      </c>
      <c r="E376" s="61">
        <v>659796</v>
      </c>
      <c r="F376" s="61" t="s">
        <v>318</v>
      </c>
      <c r="G376" s="25">
        <f t="shared" si="10"/>
        <v>-7.2815533980585823E-4</v>
      </c>
      <c r="I376" s="63" t="s">
        <v>705</v>
      </c>
      <c r="J376" s="63">
        <v>4</v>
      </c>
      <c r="L376" s="25">
        <f t="shared" si="12"/>
        <v>8.0000000000000057E-2</v>
      </c>
      <c r="M376" s="1">
        <f t="shared" si="13"/>
        <v>0.14826551977415625</v>
      </c>
    </row>
    <row r="377" spans="1:13">
      <c r="A377" s="61">
        <v>209.22</v>
      </c>
      <c r="B377" s="61">
        <v>214.74</v>
      </c>
      <c r="C377" s="61">
        <v>205.8365</v>
      </c>
      <c r="D377" s="61">
        <v>206.89</v>
      </c>
      <c r="E377" s="61">
        <v>363451</v>
      </c>
      <c r="F377" s="61" t="s">
        <v>319</v>
      </c>
      <c r="G377" s="25">
        <f t="shared" si="10"/>
        <v>1.1262023297404555E-2</v>
      </c>
      <c r="L377" s="25">
        <f t="shared" si="12"/>
        <v>8.1000000000000058E-2</v>
      </c>
      <c r="M377" s="1">
        <f t="shared" si="13"/>
        <v>0.13166920326688386</v>
      </c>
    </row>
    <row r="378" spans="1:13">
      <c r="A378" s="61">
        <v>207.46</v>
      </c>
      <c r="B378" s="61">
        <v>214.94</v>
      </c>
      <c r="C378" s="61">
        <v>207.08</v>
      </c>
      <c r="D378" s="61">
        <v>213.31</v>
      </c>
      <c r="E378" s="61">
        <v>371938</v>
      </c>
      <c r="F378" s="61" t="s">
        <v>320</v>
      </c>
      <c r="G378" s="25">
        <f t="shared" si="10"/>
        <v>-2.7424874595658899E-2</v>
      </c>
      <c r="L378" s="25">
        <f t="shared" si="12"/>
        <v>8.2000000000000059E-2</v>
      </c>
      <c r="M378" s="1">
        <f t="shared" si="13"/>
        <v>0.11675562697900561</v>
      </c>
    </row>
    <row r="379" spans="1:13">
      <c r="A379" s="61">
        <v>209.42</v>
      </c>
      <c r="B379" s="61">
        <v>216.1</v>
      </c>
      <c r="C379" s="61">
        <v>209</v>
      </c>
      <c r="D379" s="61">
        <v>209.75</v>
      </c>
      <c r="E379" s="61">
        <v>503833</v>
      </c>
      <c r="F379" s="61" t="s">
        <v>321</v>
      </c>
      <c r="G379" s="25">
        <f t="shared" ref="G379:G442" si="14">A379/D379-1</f>
        <v>-1.5733015494636682E-3</v>
      </c>
      <c r="L379" s="25">
        <f t="shared" si="12"/>
        <v>8.300000000000006E-2</v>
      </c>
      <c r="M379" s="1">
        <f t="shared" si="13"/>
        <v>0.10337630440342455</v>
      </c>
    </row>
    <row r="380" spans="1:13">
      <c r="A380" s="61">
        <v>210.73</v>
      </c>
      <c r="B380" s="61">
        <v>214.26</v>
      </c>
      <c r="C380" s="61">
        <v>204.5001</v>
      </c>
      <c r="D380" s="61">
        <v>208.9</v>
      </c>
      <c r="E380" s="61">
        <v>584452</v>
      </c>
      <c r="F380" s="61" t="s">
        <v>322</v>
      </c>
      <c r="G380" s="25">
        <f t="shared" si="14"/>
        <v>8.7601723312589197E-3</v>
      </c>
      <c r="L380" s="25">
        <f t="shared" si="12"/>
        <v>8.4000000000000061E-2</v>
      </c>
      <c r="M380" s="1">
        <f t="shared" si="13"/>
        <v>9.1393172728141514E-2</v>
      </c>
    </row>
    <row r="381" spans="1:13">
      <c r="A381" s="61">
        <v>203.66</v>
      </c>
      <c r="B381" s="61">
        <v>210.32</v>
      </c>
      <c r="C381" s="61">
        <v>198.82</v>
      </c>
      <c r="D381" s="61">
        <v>209.7</v>
      </c>
      <c r="E381" s="61">
        <v>1051413</v>
      </c>
      <c r="F381" s="61" t="s">
        <v>323</v>
      </c>
      <c r="G381" s="25">
        <f t="shared" si="14"/>
        <v>-2.8803051979017558E-2</v>
      </c>
      <c r="L381" s="25">
        <f t="shared" si="12"/>
        <v>8.5000000000000062E-2</v>
      </c>
      <c r="M381" s="1">
        <f t="shared" si="13"/>
        <v>8.0678176809344762E-2</v>
      </c>
    </row>
    <row r="382" spans="1:13">
      <c r="A382" s="61">
        <v>208.68</v>
      </c>
      <c r="B382" s="61">
        <v>222</v>
      </c>
      <c r="C382" s="61">
        <v>203.98</v>
      </c>
      <c r="D382" s="61">
        <v>218.32</v>
      </c>
      <c r="E382" s="61">
        <v>1222231</v>
      </c>
      <c r="F382" s="61" t="s">
        <v>324</v>
      </c>
      <c r="G382" s="25">
        <f t="shared" si="14"/>
        <v>-4.4155368266764361E-2</v>
      </c>
    </row>
    <row r="383" spans="1:13">
      <c r="A383" s="61">
        <v>221.41</v>
      </c>
      <c r="B383" s="61">
        <v>230.89</v>
      </c>
      <c r="C383" s="61">
        <v>219.42</v>
      </c>
      <c r="D383" s="61">
        <v>224.01</v>
      </c>
      <c r="E383" s="61">
        <v>568600</v>
      </c>
      <c r="F383" s="61" t="s">
        <v>325</v>
      </c>
      <c r="G383" s="25">
        <f t="shared" si="14"/>
        <v>-1.160662470425422E-2</v>
      </c>
    </row>
    <row r="384" spans="1:13">
      <c r="A384" s="61">
        <v>223.54</v>
      </c>
      <c r="B384" s="61">
        <v>228.99</v>
      </c>
      <c r="C384" s="61">
        <v>221.0232</v>
      </c>
      <c r="D384" s="61">
        <v>228.99</v>
      </c>
      <c r="E384" s="61">
        <v>618192</v>
      </c>
      <c r="F384" s="61" t="s">
        <v>326</v>
      </c>
      <c r="G384" s="25">
        <f t="shared" si="14"/>
        <v>-2.3800165946111229E-2</v>
      </c>
    </row>
    <row r="385" spans="1:7">
      <c r="A385" s="61">
        <v>221.71</v>
      </c>
      <c r="B385" s="61">
        <v>224.78</v>
      </c>
      <c r="C385" s="61">
        <v>216</v>
      </c>
      <c r="D385" s="61">
        <v>217.59</v>
      </c>
      <c r="E385" s="61">
        <v>920218</v>
      </c>
      <c r="F385" s="61" t="s">
        <v>327</v>
      </c>
      <c r="G385" s="25">
        <f t="shared" si="14"/>
        <v>1.8934693689967474E-2</v>
      </c>
    </row>
    <row r="386" spans="1:7">
      <c r="A386" s="61">
        <v>212.63</v>
      </c>
      <c r="B386" s="61">
        <v>216.69</v>
      </c>
      <c r="C386" s="61">
        <v>210.15</v>
      </c>
      <c r="D386" s="61">
        <v>210.45</v>
      </c>
      <c r="E386" s="61">
        <v>716916</v>
      </c>
      <c r="F386" s="61" t="s">
        <v>328</v>
      </c>
      <c r="G386" s="25">
        <f t="shared" si="14"/>
        <v>1.0358755048705204E-2</v>
      </c>
    </row>
    <row r="387" spans="1:7">
      <c r="A387" s="61">
        <v>209.81</v>
      </c>
      <c r="B387" s="61">
        <v>216.495</v>
      </c>
      <c r="C387" s="61">
        <v>207.58</v>
      </c>
      <c r="D387" s="61">
        <v>216</v>
      </c>
      <c r="E387" s="61">
        <v>600714</v>
      </c>
      <c r="F387" s="61" t="s">
        <v>329</v>
      </c>
      <c r="G387" s="25">
        <f t="shared" si="14"/>
        <v>-2.8657407407407409E-2</v>
      </c>
    </row>
    <row r="388" spans="1:7">
      <c r="A388" s="61">
        <v>214.41</v>
      </c>
      <c r="B388" s="61">
        <v>220.1</v>
      </c>
      <c r="C388" s="61">
        <v>214</v>
      </c>
      <c r="D388" s="61">
        <v>216.99</v>
      </c>
      <c r="E388" s="61">
        <v>215543</v>
      </c>
      <c r="F388" s="61" t="s">
        <v>330</v>
      </c>
      <c r="G388" s="25">
        <f t="shared" si="14"/>
        <v>-1.1889948845568932E-2</v>
      </c>
    </row>
    <row r="389" spans="1:7">
      <c r="A389" s="61">
        <v>214.05</v>
      </c>
      <c r="B389" s="61">
        <v>219.29</v>
      </c>
      <c r="C389" s="61">
        <v>208.86840000000001</v>
      </c>
      <c r="D389" s="61">
        <v>218.32</v>
      </c>
      <c r="E389" s="61">
        <v>359202</v>
      </c>
      <c r="F389" s="61" t="s">
        <v>331</v>
      </c>
      <c r="G389" s="25">
        <f t="shared" si="14"/>
        <v>-1.9558446317332279E-2</v>
      </c>
    </row>
    <row r="390" spans="1:7">
      <c r="A390" s="61">
        <v>216.39</v>
      </c>
      <c r="B390" s="61">
        <v>220.05</v>
      </c>
      <c r="C390" s="61">
        <v>208.91</v>
      </c>
      <c r="D390" s="61">
        <v>208.91</v>
      </c>
      <c r="E390" s="61">
        <v>812569</v>
      </c>
      <c r="F390" s="61" t="s">
        <v>332</v>
      </c>
      <c r="G390" s="25">
        <f t="shared" si="14"/>
        <v>3.5804892058781235E-2</v>
      </c>
    </row>
    <row r="391" spans="1:7">
      <c r="A391" s="61">
        <v>209.34</v>
      </c>
      <c r="B391" s="61">
        <v>219.49</v>
      </c>
      <c r="C391" s="61">
        <v>203.63</v>
      </c>
      <c r="D391" s="61">
        <v>217.92</v>
      </c>
      <c r="E391" s="61">
        <v>1719782</v>
      </c>
      <c r="F391" s="61" t="s">
        <v>333</v>
      </c>
      <c r="G391" s="25">
        <f t="shared" si="14"/>
        <v>-3.9372246696035118E-2</v>
      </c>
    </row>
    <row r="392" spans="1:7">
      <c r="A392" s="61">
        <v>214.2</v>
      </c>
      <c r="B392" s="61">
        <v>222.49</v>
      </c>
      <c r="C392" s="61">
        <v>210.26</v>
      </c>
      <c r="D392" s="61">
        <v>220</v>
      </c>
      <c r="E392" s="61">
        <v>942997</v>
      </c>
      <c r="F392" s="61" t="s">
        <v>334</v>
      </c>
      <c r="G392" s="25">
        <f t="shared" si="14"/>
        <v>-2.6363636363636367E-2</v>
      </c>
    </row>
    <row r="393" spans="1:7">
      <c r="A393" s="61">
        <v>219.89</v>
      </c>
      <c r="B393" s="61">
        <v>222.05</v>
      </c>
      <c r="C393" s="61">
        <v>207</v>
      </c>
      <c r="D393" s="61">
        <v>211</v>
      </c>
      <c r="E393" s="61">
        <v>1096650</v>
      </c>
      <c r="F393" s="61" t="s">
        <v>335</v>
      </c>
      <c r="G393" s="25">
        <f t="shared" si="14"/>
        <v>4.2132701421800922E-2</v>
      </c>
    </row>
    <row r="394" spans="1:7">
      <c r="A394" s="61">
        <v>206.09</v>
      </c>
      <c r="B394" s="61">
        <v>221.14</v>
      </c>
      <c r="C394" s="61">
        <v>204.4</v>
      </c>
      <c r="D394" s="61">
        <v>218.78</v>
      </c>
      <c r="E394" s="61">
        <v>1003852</v>
      </c>
      <c r="F394" s="61" t="s">
        <v>336</v>
      </c>
      <c r="G394" s="25">
        <f t="shared" si="14"/>
        <v>-5.800347380930615E-2</v>
      </c>
    </row>
    <row r="395" spans="1:7">
      <c r="A395" s="61">
        <v>214.7</v>
      </c>
      <c r="B395" s="61">
        <v>217</v>
      </c>
      <c r="C395" s="61">
        <v>200.0001</v>
      </c>
      <c r="D395" s="61">
        <v>201.3</v>
      </c>
      <c r="E395" s="61">
        <v>696790</v>
      </c>
      <c r="F395" s="61" t="s">
        <v>337</v>
      </c>
      <c r="G395" s="25">
        <f t="shared" si="14"/>
        <v>6.6567312468951645E-2</v>
      </c>
    </row>
    <row r="396" spans="1:7">
      <c r="A396" s="61">
        <v>207.49</v>
      </c>
      <c r="B396" s="61">
        <v>211.39</v>
      </c>
      <c r="C396" s="61">
        <v>201.1831</v>
      </c>
      <c r="D396" s="61">
        <v>201.31</v>
      </c>
      <c r="E396" s="61">
        <v>566092</v>
      </c>
      <c r="F396" s="61" t="s">
        <v>338</v>
      </c>
      <c r="G396" s="25">
        <f t="shared" si="14"/>
        <v>3.0698922060503842E-2</v>
      </c>
    </row>
    <row r="397" spans="1:7">
      <c r="A397" s="61">
        <v>200.43</v>
      </c>
      <c r="B397" s="61">
        <v>204.34989999999999</v>
      </c>
      <c r="C397" s="61">
        <v>197.16</v>
      </c>
      <c r="D397" s="61">
        <v>199</v>
      </c>
      <c r="E397" s="61">
        <v>1019397</v>
      </c>
      <c r="F397" s="61" t="s">
        <v>339</v>
      </c>
      <c r="G397" s="25">
        <f t="shared" si="14"/>
        <v>7.1859296482412738E-3</v>
      </c>
    </row>
    <row r="398" spans="1:7">
      <c r="A398" s="61">
        <v>203.24</v>
      </c>
      <c r="B398" s="61">
        <v>217.79</v>
      </c>
      <c r="C398" s="61">
        <v>199.68</v>
      </c>
      <c r="D398" s="61">
        <v>207</v>
      </c>
      <c r="E398" s="61">
        <v>1780792</v>
      </c>
      <c r="F398" s="61" t="s">
        <v>340</v>
      </c>
      <c r="G398" s="25">
        <f t="shared" si="14"/>
        <v>-1.8164251207729465E-2</v>
      </c>
    </row>
    <row r="399" spans="1:7">
      <c r="A399" s="61">
        <v>206.52</v>
      </c>
      <c r="B399" s="61">
        <v>217.7</v>
      </c>
      <c r="C399" s="61">
        <v>204.2</v>
      </c>
      <c r="D399" s="61">
        <v>212</v>
      </c>
      <c r="E399" s="61">
        <v>1178944</v>
      </c>
      <c r="F399" s="61" t="s">
        <v>341</v>
      </c>
      <c r="G399" s="25">
        <f t="shared" si="14"/>
        <v>-2.5849056603773568E-2</v>
      </c>
    </row>
    <row r="400" spans="1:7">
      <c r="A400" s="61">
        <v>208.79</v>
      </c>
      <c r="B400" s="61">
        <v>211.59989999999999</v>
      </c>
      <c r="C400" s="61">
        <v>200.5</v>
      </c>
      <c r="D400" s="61">
        <v>210</v>
      </c>
      <c r="E400" s="61">
        <v>875366</v>
      </c>
      <c r="F400" s="61" t="s">
        <v>342</v>
      </c>
      <c r="G400" s="25">
        <f t="shared" si="14"/>
        <v>-5.7619047619047459E-3</v>
      </c>
    </row>
    <row r="401" spans="1:7">
      <c r="A401" s="61">
        <v>209.22</v>
      </c>
      <c r="B401" s="61">
        <v>211.78989999999999</v>
      </c>
      <c r="C401" s="61">
        <v>202.22</v>
      </c>
      <c r="D401" s="61">
        <v>208.5</v>
      </c>
      <c r="E401" s="61">
        <v>755320</v>
      </c>
      <c r="F401" s="61" t="s">
        <v>343</v>
      </c>
      <c r="G401" s="25">
        <f t="shared" si="14"/>
        <v>3.4532374100719743E-3</v>
      </c>
    </row>
    <row r="402" spans="1:7">
      <c r="A402" s="61">
        <v>206.5</v>
      </c>
      <c r="B402" s="61">
        <v>214</v>
      </c>
      <c r="C402" s="61">
        <v>201</v>
      </c>
      <c r="D402" s="61">
        <v>206.72</v>
      </c>
      <c r="E402" s="61">
        <v>1325601</v>
      </c>
      <c r="F402" s="61" t="s">
        <v>344</v>
      </c>
      <c r="G402" s="25">
        <f t="shared" si="14"/>
        <v>-1.064241486068096E-3</v>
      </c>
    </row>
    <row r="403" spans="1:7">
      <c r="A403" s="61">
        <v>205.58</v>
      </c>
      <c r="B403" s="61">
        <v>208.09</v>
      </c>
      <c r="C403" s="61">
        <v>192.51</v>
      </c>
      <c r="D403" s="61">
        <v>195.36</v>
      </c>
      <c r="E403" s="61">
        <v>1736052</v>
      </c>
      <c r="F403" s="61" t="s">
        <v>345</v>
      </c>
      <c r="G403" s="25">
        <f t="shared" si="14"/>
        <v>5.2313677313677198E-2</v>
      </c>
    </row>
    <row r="404" spans="1:7">
      <c r="A404" s="61">
        <v>192.13</v>
      </c>
      <c r="B404" s="61">
        <v>198</v>
      </c>
      <c r="C404" s="61">
        <v>187.26499999999999</v>
      </c>
      <c r="D404" s="61">
        <v>198</v>
      </c>
      <c r="E404" s="61">
        <v>1700607</v>
      </c>
      <c r="F404" s="61" t="s">
        <v>346</v>
      </c>
      <c r="G404" s="25">
        <f t="shared" si="14"/>
        <v>-2.9646464646464699E-2</v>
      </c>
    </row>
    <row r="405" spans="1:7">
      <c r="A405" s="61">
        <v>189.73</v>
      </c>
      <c r="B405" s="61">
        <v>190.1</v>
      </c>
      <c r="C405" s="61">
        <v>170.79</v>
      </c>
      <c r="D405" s="61">
        <v>172.43</v>
      </c>
      <c r="E405" s="61">
        <v>2341008</v>
      </c>
      <c r="F405" s="61" t="s">
        <v>347</v>
      </c>
      <c r="G405" s="25">
        <f t="shared" si="14"/>
        <v>0.10033056892652081</v>
      </c>
    </row>
    <row r="406" spans="1:7">
      <c r="A406" s="61">
        <v>170</v>
      </c>
      <c r="B406" s="61">
        <v>173.36</v>
      </c>
      <c r="C406" s="61">
        <v>159</v>
      </c>
      <c r="D406" s="61">
        <v>160</v>
      </c>
      <c r="E406" s="61">
        <v>3745276</v>
      </c>
      <c r="F406" s="61" t="s">
        <v>348</v>
      </c>
      <c r="G406" s="25">
        <f t="shared" si="14"/>
        <v>6.25E-2</v>
      </c>
    </row>
    <row r="407" spans="1:7">
      <c r="A407" s="61">
        <v>173.88</v>
      </c>
      <c r="B407" s="61">
        <v>183.79</v>
      </c>
      <c r="C407" s="61">
        <v>172.05</v>
      </c>
      <c r="D407" s="61">
        <v>181.5</v>
      </c>
      <c r="E407" s="61">
        <v>1051658</v>
      </c>
      <c r="F407" s="61" t="s">
        <v>349</v>
      </c>
      <c r="G407" s="25">
        <f t="shared" si="14"/>
        <v>-4.1983471074380163E-2</v>
      </c>
    </row>
    <row r="408" spans="1:7">
      <c r="A408" s="61">
        <v>181.36</v>
      </c>
      <c r="B408" s="61">
        <v>181.95</v>
      </c>
      <c r="C408" s="61">
        <v>171.65</v>
      </c>
      <c r="D408" s="61">
        <v>173.42</v>
      </c>
      <c r="E408" s="61">
        <v>875188</v>
      </c>
      <c r="F408" s="61" t="s">
        <v>350</v>
      </c>
      <c r="G408" s="25">
        <f t="shared" si="14"/>
        <v>4.5784799907738538E-2</v>
      </c>
    </row>
    <row r="409" spans="1:7">
      <c r="A409" s="61">
        <v>174.23</v>
      </c>
      <c r="B409" s="61">
        <v>180.95</v>
      </c>
      <c r="C409" s="61">
        <v>174.11</v>
      </c>
      <c r="D409" s="61">
        <v>180.76</v>
      </c>
      <c r="E409" s="61">
        <v>496343</v>
      </c>
      <c r="F409" s="61" t="s">
        <v>351</v>
      </c>
      <c r="G409" s="25">
        <f t="shared" si="14"/>
        <v>-3.6125248948882471E-2</v>
      </c>
    </row>
    <row r="410" spans="1:7">
      <c r="A410" s="61">
        <v>181.31</v>
      </c>
      <c r="B410" s="61">
        <v>186.13499999999999</v>
      </c>
      <c r="C410" s="61">
        <v>178.5</v>
      </c>
      <c r="D410" s="61">
        <v>185.3</v>
      </c>
      <c r="E410" s="61">
        <v>720578</v>
      </c>
      <c r="F410" s="61" t="s">
        <v>352</v>
      </c>
      <c r="G410" s="25">
        <f t="shared" si="14"/>
        <v>-2.1532649757150635E-2</v>
      </c>
    </row>
    <row r="411" spans="1:7">
      <c r="A411" s="61">
        <v>186.41</v>
      </c>
      <c r="B411" s="61">
        <v>187.54</v>
      </c>
      <c r="C411" s="61">
        <v>182.41</v>
      </c>
      <c r="D411" s="61">
        <v>182.41</v>
      </c>
      <c r="E411" s="61">
        <v>638382</v>
      </c>
      <c r="F411" s="61" t="s">
        <v>353</v>
      </c>
      <c r="G411" s="25">
        <f t="shared" si="14"/>
        <v>2.1928622334301817E-2</v>
      </c>
    </row>
    <row r="412" spans="1:7">
      <c r="A412" s="61">
        <v>181.25</v>
      </c>
      <c r="B412" s="61">
        <v>183.22</v>
      </c>
      <c r="C412" s="61">
        <v>177.88</v>
      </c>
      <c r="D412" s="61">
        <v>181.31</v>
      </c>
      <c r="E412" s="61">
        <v>484886</v>
      </c>
      <c r="F412" s="61" t="s">
        <v>354</v>
      </c>
      <c r="G412" s="25">
        <f t="shared" si="14"/>
        <v>-3.3092493519393251E-4</v>
      </c>
    </row>
    <row r="413" spans="1:7">
      <c r="A413" s="61">
        <v>177.98</v>
      </c>
      <c r="B413" s="61">
        <v>182.8</v>
      </c>
      <c r="C413" s="61">
        <v>175.75360000000001</v>
      </c>
      <c r="D413" s="61">
        <v>182.02</v>
      </c>
      <c r="E413" s="61">
        <v>995744</v>
      </c>
      <c r="F413" s="61" t="s">
        <v>355</v>
      </c>
      <c r="G413" s="25">
        <f t="shared" si="14"/>
        <v>-2.2195363146907066E-2</v>
      </c>
    </row>
    <row r="414" spans="1:7">
      <c r="A414" s="61">
        <v>183.07</v>
      </c>
      <c r="B414" s="61">
        <v>185.47</v>
      </c>
      <c r="C414" s="61">
        <v>179</v>
      </c>
      <c r="D414" s="61">
        <v>179</v>
      </c>
      <c r="E414" s="61">
        <v>983393</v>
      </c>
      <c r="F414" s="61" t="s">
        <v>356</v>
      </c>
      <c r="G414" s="25">
        <f t="shared" si="14"/>
        <v>2.2737430167597772E-2</v>
      </c>
    </row>
    <row r="415" spans="1:7">
      <c r="A415" s="61">
        <v>181</v>
      </c>
      <c r="B415" s="61">
        <v>184</v>
      </c>
      <c r="C415" s="61">
        <v>176.5</v>
      </c>
      <c r="D415" s="61">
        <v>178</v>
      </c>
      <c r="E415" s="61">
        <v>1110896</v>
      </c>
      <c r="F415" s="61" t="s">
        <v>357</v>
      </c>
      <c r="G415" s="25">
        <f t="shared" si="14"/>
        <v>1.6853932584269593E-2</v>
      </c>
    </row>
    <row r="416" spans="1:7">
      <c r="A416" s="61">
        <v>179.18</v>
      </c>
      <c r="B416" s="61">
        <v>179.66990000000001</v>
      </c>
      <c r="C416" s="61">
        <v>174.1515</v>
      </c>
      <c r="D416" s="61">
        <v>174.45</v>
      </c>
      <c r="E416" s="61">
        <v>908213</v>
      </c>
      <c r="F416" s="61" t="s">
        <v>358</v>
      </c>
      <c r="G416" s="25">
        <f t="shared" si="14"/>
        <v>2.7113786185153366E-2</v>
      </c>
    </row>
    <row r="417" spans="1:7">
      <c r="A417" s="61">
        <v>173.97</v>
      </c>
      <c r="B417" s="61">
        <v>175.88</v>
      </c>
      <c r="C417" s="61">
        <v>168.66</v>
      </c>
      <c r="D417" s="61">
        <v>171.56</v>
      </c>
      <c r="E417" s="61">
        <v>659194</v>
      </c>
      <c r="F417" s="61" t="s">
        <v>359</v>
      </c>
      <c r="G417" s="25">
        <f t="shared" si="14"/>
        <v>1.4047563534623331E-2</v>
      </c>
    </row>
    <row r="418" spans="1:7">
      <c r="A418" s="61">
        <v>171.68</v>
      </c>
      <c r="B418" s="61">
        <v>181.99</v>
      </c>
      <c r="C418" s="61">
        <v>171.66</v>
      </c>
      <c r="D418" s="61">
        <v>181.99</v>
      </c>
      <c r="E418" s="61">
        <v>1376560</v>
      </c>
      <c r="F418" s="61" t="s">
        <v>360</v>
      </c>
      <c r="G418" s="25">
        <f t="shared" si="14"/>
        <v>-5.6651464366173965E-2</v>
      </c>
    </row>
    <row r="419" spans="1:7">
      <c r="A419" s="61">
        <v>171.05</v>
      </c>
      <c r="B419" s="61">
        <v>173</v>
      </c>
      <c r="C419" s="61">
        <v>163.25</v>
      </c>
      <c r="D419" s="61">
        <v>166.1</v>
      </c>
      <c r="E419" s="61">
        <v>1054651</v>
      </c>
      <c r="F419" s="61" t="s">
        <v>361</v>
      </c>
      <c r="G419" s="25">
        <f t="shared" si="14"/>
        <v>2.9801324503311299E-2</v>
      </c>
    </row>
    <row r="420" spans="1:7">
      <c r="A420" s="61">
        <v>162.08000000000001</v>
      </c>
      <c r="B420" s="61">
        <v>168.655</v>
      </c>
      <c r="C420" s="61">
        <v>160</v>
      </c>
      <c r="D420" s="61">
        <v>168.14</v>
      </c>
      <c r="E420" s="61">
        <v>695346</v>
      </c>
      <c r="F420" s="61" t="s">
        <v>362</v>
      </c>
      <c r="G420" s="25">
        <f t="shared" si="14"/>
        <v>-3.6041394076364752E-2</v>
      </c>
    </row>
    <row r="421" spans="1:7">
      <c r="A421" s="61">
        <v>166.61</v>
      </c>
      <c r="B421" s="61">
        <v>167.26900000000001</v>
      </c>
      <c r="C421" s="61">
        <v>158.5</v>
      </c>
      <c r="D421" s="61">
        <v>159.75</v>
      </c>
      <c r="E421" s="61">
        <v>986468</v>
      </c>
      <c r="F421" s="61" t="s">
        <v>363</v>
      </c>
      <c r="G421" s="25">
        <f t="shared" si="14"/>
        <v>4.294209702660412E-2</v>
      </c>
    </row>
    <row r="422" spans="1:7">
      <c r="A422" s="61">
        <v>159.19</v>
      </c>
      <c r="B422" s="61">
        <v>162.99</v>
      </c>
      <c r="C422" s="61">
        <v>148.02000000000001</v>
      </c>
      <c r="D422" s="61">
        <v>155.76</v>
      </c>
      <c r="E422" s="61">
        <v>2200879</v>
      </c>
      <c r="F422" s="61" t="s">
        <v>364</v>
      </c>
      <c r="G422" s="25">
        <f t="shared" si="14"/>
        <v>2.2021058038007135E-2</v>
      </c>
    </row>
    <row r="423" spans="1:7">
      <c r="A423" s="61">
        <v>167.89</v>
      </c>
      <c r="B423" s="61">
        <v>168.74</v>
      </c>
      <c r="C423" s="61">
        <v>164.4</v>
      </c>
      <c r="D423" s="61">
        <v>167.01</v>
      </c>
      <c r="E423" s="61">
        <v>1072965</v>
      </c>
      <c r="F423" s="61" t="s">
        <v>365</v>
      </c>
      <c r="G423" s="25">
        <f t="shared" si="14"/>
        <v>5.2691455601461268E-3</v>
      </c>
    </row>
    <row r="424" spans="1:7">
      <c r="A424" s="61">
        <v>170.66</v>
      </c>
      <c r="B424" s="61">
        <v>178.55</v>
      </c>
      <c r="C424" s="61">
        <v>167.31</v>
      </c>
      <c r="D424" s="61">
        <v>175.91</v>
      </c>
      <c r="E424" s="61">
        <v>1102073</v>
      </c>
      <c r="F424" s="61" t="s">
        <v>366</v>
      </c>
      <c r="G424" s="25">
        <f t="shared" si="14"/>
        <v>-2.9844807003581386E-2</v>
      </c>
    </row>
    <row r="425" spans="1:7">
      <c r="A425" s="61">
        <v>177.83</v>
      </c>
      <c r="B425" s="61">
        <v>182.05</v>
      </c>
      <c r="C425" s="61">
        <v>177.41499999999999</v>
      </c>
      <c r="D425" s="61">
        <v>180.26</v>
      </c>
      <c r="E425" s="61">
        <v>484767</v>
      </c>
      <c r="F425" s="61" t="s">
        <v>367</v>
      </c>
      <c r="G425" s="25">
        <f t="shared" si="14"/>
        <v>-1.3480528126040059E-2</v>
      </c>
    </row>
    <row r="426" spans="1:7">
      <c r="A426" s="61">
        <v>178.62</v>
      </c>
      <c r="B426" s="61">
        <v>192.56</v>
      </c>
      <c r="C426" s="61">
        <v>174.61</v>
      </c>
      <c r="D426" s="61">
        <v>190.86</v>
      </c>
      <c r="E426" s="61">
        <v>1411510</v>
      </c>
      <c r="F426" s="61" t="s">
        <v>368</v>
      </c>
      <c r="G426" s="25">
        <f t="shared" si="14"/>
        <v>-6.4130776485382013E-2</v>
      </c>
    </row>
    <row r="427" spans="1:7">
      <c r="A427" s="61">
        <v>190.35</v>
      </c>
      <c r="B427" s="61">
        <v>190.66059999999999</v>
      </c>
      <c r="C427" s="61">
        <v>182.29</v>
      </c>
      <c r="D427" s="61">
        <v>185.46</v>
      </c>
      <c r="E427" s="61">
        <v>866976</v>
      </c>
      <c r="F427" s="61" t="s">
        <v>369</v>
      </c>
      <c r="G427" s="25">
        <f t="shared" si="14"/>
        <v>2.6366871562601091E-2</v>
      </c>
    </row>
    <row r="428" spans="1:7">
      <c r="A428" s="61">
        <v>182.2</v>
      </c>
      <c r="B428" s="61">
        <v>183.36</v>
      </c>
      <c r="C428" s="61">
        <v>177.57</v>
      </c>
      <c r="D428" s="61">
        <v>178.19</v>
      </c>
      <c r="E428" s="61">
        <v>657320</v>
      </c>
      <c r="F428" s="61" t="s">
        <v>370</v>
      </c>
      <c r="G428" s="25">
        <f t="shared" si="14"/>
        <v>2.2504068690723411E-2</v>
      </c>
    </row>
    <row r="429" spans="1:7">
      <c r="A429" s="61">
        <v>175.93</v>
      </c>
      <c r="B429" s="61">
        <v>182.85</v>
      </c>
      <c r="C429" s="61">
        <v>174.44</v>
      </c>
      <c r="D429" s="61">
        <v>177.28</v>
      </c>
      <c r="E429" s="61">
        <v>1045827</v>
      </c>
      <c r="F429" s="61" t="s">
        <v>371</v>
      </c>
      <c r="G429" s="25">
        <f t="shared" si="14"/>
        <v>-7.6150722021660622E-3</v>
      </c>
    </row>
    <row r="430" spans="1:7">
      <c r="A430" s="61">
        <v>179.01</v>
      </c>
      <c r="B430" s="61">
        <v>180.16</v>
      </c>
      <c r="C430" s="61">
        <v>173.64009999999999</v>
      </c>
      <c r="D430" s="61">
        <v>177.88</v>
      </c>
      <c r="E430" s="61">
        <v>780386</v>
      </c>
      <c r="F430" s="61" t="s">
        <v>372</v>
      </c>
      <c r="G430" s="25">
        <f t="shared" si="14"/>
        <v>6.3525972565774413E-3</v>
      </c>
    </row>
    <row r="431" spans="1:7">
      <c r="A431" s="61">
        <v>178.24</v>
      </c>
      <c r="B431" s="61">
        <v>182.68</v>
      </c>
      <c r="C431" s="61">
        <v>176</v>
      </c>
      <c r="D431" s="61">
        <v>181.87</v>
      </c>
      <c r="E431" s="61">
        <v>932214</v>
      </c>
      <c r="F431" s="61" t="s">
        <v>373</v>
      </c>
      <c r="G431" s="25">
        <f t="shared" si="14"/>
        <v>-1.9959311596195017E-2</v>
      </c>
    </row>
    <row r="432" spans="1:7">
      <c r="A432" s="61">
        <v>182.22</v>
      </c>
      <c r="B432" s="61">
        <v>184.18</v>
      </c>
      <c r="C432" s="61">
        <v>175.76</v>
      </c>
      <c r="D432" s="61">
        <v>179.81</v>
      </c>
      <c r="E432" s="61">
        <v>1043015</v>
      </c>
      <c r="F432" s="61" t="s">
        <v>374</v>
      </c>
      <c r="G432" s="25">
        <f t="shared" si="14"/>
        <v>1.3403036538568447E-2</v>
      </c>
    </row>
    <row r="433" spans="1:7">
      <c r="A433" s="61">
        <v>178.23</v>
      </c>
      <c r="B433" s="61">
        <v>197.61</v>
      </c>
      <c r="C433" s="61">
        <v>177.36</v>
      </c>
      <c r="D433" s="61">
        <v>197.2</v>
      </c>
      <c r="E433" s="61">
        <v>1520014</v>
      </c>
      <c r="F433" s="61" t="s">
        <v>375</v>
      </c>
      <c r="G433" s="25">
        <f t="shared" si="14"/>
        <v>-9.6196754563894538E-2</v>
      </c>
    </row>
    <row r="434" spans="1:7">
      <c r="A434" s="61">
        <v>190.02</v>
      </c>
      <c r="B434" s="61">
        <v>190.69380000000001</v>
      </c>
      <c r="C434" s="61">
        <v>181.55</v>
      </c>
      <c r="D434" s="61">
        <v>186.03</v>
      </c>
      <c r="E434" s="61">
        <v>1332668</v>
      </c>
      <c r="F434" s="61" t="s">
        <v>376</v>
      </c>
      <c r="G434" s="25">
        <f t="shared" si="14"/>
        <v>2.144815352362528E-2</v>
      </c>
    </row>
    <row r="435" spans="1:7">
      <c r="A435" s="61">
        <v>185.32</v>
      </c>
      <c r="B435" s="61">
        <v>187.27</v>
      </c>
      <c r="C435" s="61">
        <v>181.19</v>
      </c>
      <c r="D435" s="61">
        <v>181.19</v>
      </c>
      <c r="E435" s="61">
        <v>1957483</v>
      </c>
      <c r="F435" s="61" t="s">
        <v>377</v>
      </c>
      <c r="G435" s="25">
        <f t="shared" si="14"/>
        <v>2.2793752414592472E-2</v>
      </c>
    </row>
    <row r="436" spans="1:7">
      <c r="A436" s="61">
        <v>181.36</v>
      </c>
      <c r="B436" s="61">
        <v>189.61</v>
      </c>
      <c r="C436" s="61">
        <v>175.29</v>
      </c>
      <c r="D436" s="61">
        <v>187.1</v>
      </c>
      <c r="E436" s="61">
        <v>2540065</v>
      </c>
      <c r="F436" s="61" t="s">
        <v>378</v>
      </c>
      <c r="G436" s="25">
        <f t="shared" si="14"/>
        <v>-3.0678781400320543E-2</v>
      </c>
    </row>
    <row r="437" spans="1:7">
      <c r="A437" s="61">
        <v>184.09</v>
      </c>
      <c r="B437" s="61">
        <v>186.608</v>
      </c>
      <c r="C437" s="61">
        <v>178</v>
      </c>
      <c r="D437" s="61">
        <v>181.22</v>
      </c>
      <c r="E437" s="61">
        <v>6423488</v>
      </c>
      <c r="F437" s="61" t="s">
        <v>379</v>
      </c>
      <c r="G437" s="25">
        <f t="shared" si="14"/>
        <v>1.5837104072398134E-2</v>
      </c>
    </row>
    <row r="438" spans="1:7">
      <c r="A438" s="61">
        <v>175.36</v>
      </c>
      <c r="B438" s="61">
        <v>176.20500000000001</v>
      </c>
      <c r="C438" s="61">
        <v>171.35</v>
      </c>
      <c r="D438" s="61">
        <v>174.43</v>
      </c>
      <c r="E438" s="61">
        <v>2023604</v>
      </c>
      <c r="F438" s="61" t="s">
        <v>380</v>
      </c>
      <c r="G438" s="25">
        <f t="shared" si="14"/>
        <v>5.3316516654244861E-3</v>
      </c>
    </row>
    <row r="439" spans="1:7">
      <c r="A439" s="61">
        <v>171.02</v>
      </c>
      <c r="B439" s="61">
        <v>174.06989999999999</v>
      </c>
      <c r="C439" s="61">
        <v>166.74</v>
      </c>
      <c r="D439" s="61">
        <v>168.94</v>
      </c>
      <c r="E439" s="61">
        <v>2104820</v>
      </c>
      <c r="F439" s="61" t="s">
        <v>381</v>
      </c>
      <c r="G439" s="25">
        <f t="shared" si="14"/>
        <v>1.2312063454480882E-2</v>
      </c>
    </row>
    <row r="440" spans="1:7">
      <c r="A440" s="61">
        <v>165.87</v>
      </c>
      <c r="B440" s="61">
        <v>173.23</v>
      </c>
      <c r="C440" s="61">
        <v>163.845</v>
      </c>
      <c r="D440" s="61">
        <v>169.47</v>
      </c>
      <c r="E440" s="61">
        <v>1189031</v>
      </c>
      <c r="F440" s="61" t="s">
        <v>382</v>
      </c>
      <c r="G440" s="25">
        <f t="shared" si="14"/>
        <v>-2.1242697822623446E-2</v>
      </c>
    </row>
    <row r="441" spans="1:7">
      <c r="A441" s="61">
        <v>167.59</v>
      </c>
      <c r="B441" s="61">
        <v>171.75</v>
      </c>
      <c r="C441" s="61">
        <v>165.41</v>
      </c>
      <c r="D441" s="61">
        <v>170</v>
      </c>
      <c r="E441" s="61">
        <v>829171</v>
      </c>
      <c r="F441" s="61" t="s">
        <v>383</v>
      </c>
      <c r="G441" s="25">
        <f t="shared" si="14"/>
        <v>-1.4176470588235235E-2</v>
      </c>
    </row>
    <row r="442" spans="1:7">
      <c r="A442" s="61">
        <v>166.75</v>
      </c>
      <c r="B442" s="61">
        <v>169.3</v>
      </c>
      <c r="C442" s="61">
        <v>160.85</v>
      </c>
      <c r="D442" s="61">
        <v>164.72</v>
      </c>
      <c r="E442" s="61">
        <v>1278382</v>
      </c>
      <c r="F442" s="61" t="s">
        <v>384</v>
      </c>
      <c r="G442" s="25">
        <f t="shared" si="14"/>
        <v>1.2323943661971759E-2</v>
      </c>
    </row>
    <row r="443" spans="1:7">
      <c r="A443" s="61">
        <v>155.99</v>
      </c>
      <c r="B443" s="61">
        <v>158.68</v>
      </c>
      <c r="C443" s="61">
        <v>149.52000000000001</v>
      </c>
      <c r="D443" s="61">
        <v>149.52000000000001</v>
      </c>
      <c r="E443" s="61">
        <v>684605</v>
      </c>
      <c r="F443" s="61" t="s">
        <v>385</v>
      </c>
      <c r="G443" s="25">
        <f t="shared" ref="G443:G506" si="15">A443/D443-1</f>
        <v>4.3271803103263728E-2</v>
      </c>
    </row>
    <row r="444" spans="1:7">
      <c r="A444" s="61">
        <v>152.1</v>
      </c>
      <c r="B444" s="61">
        <v>154.31</v>
      </c>
      <c r="C444" s="61">
        <v>148.84</v>
      </c>
      <c r="D444" s="61">
        <v>149.97</v>
      </c>
      <c r="E444" s="61">
        <v>888707</v>
      </c>
      <c r="F444" s="61" t="s">
        <v>386</v>
      </c>
      <c r="G444" s="25">
        <f t="shared" si="15"/>
        <v>1.4202840568113606E-2</v>
      </c>
    </row>
    <row r="445" spans="1:7">
      <c r="A445" s="61">
        <v>147.68</v>
      </c>
      <c r="B445" s="61">
        <v>149.35</v>
      </c>
      <c r="C445" s="61">
        <v>145.05009999999999</v>
      </c>
      <c r="D445" s="61">
        <v>147.24</v>
      </c>
      <c r="E445" s="61">
        <v>578307</v>
      </c>
      <c r="F445" s="61" t="s">
        <v>387</v>
      </c>
      <c r="G445" s="25">
        <f t="shared" si="15"/>
        <v>2.9883183917414069E-3</v>
      </c>
    </row>
    <row r="446" spans="1:7">
      <c r="A446" s="61">
        <v>146.12</v>
      </c>
      <c r="B446" s="61">
        <v>147.66</v>
      </c>
      <c r="C446" s="61">
        <v>141.03</v>
      </c>
      <c r="D446" s="61">
        <v>145.63</v>
      </c>
      <c r="E446" s="61">
        <v>766657</v>
      </c>
      <c r="F446" s="61" t="s">
        <v>388</v>
      </c>
      <c r="G446" s="25">
        <f t="shared" si="15"/>
        <v>3.3646913410698698E-3</v>
      </c>
    </row>
    <row r="447" spans="1:7">
      <c r="A447" s="61">
        <v>143.065</v>
      </c>
      <c r="B447" s="61">
        <v>149.01</v>
      </c>
      <c r="C447" s="61">
        <v>137.55000000000001</v>
      </c>
      <c r="D447" s="61">
        <v>145.01</v>
      </c>
      <c r="E447" s="61">
        <v>1095757</v>
      </c>
      <c r="F447" s="61" t="s">
        <v>389</v>
      </c>
      <c r="G447" s="25">
        <f t="shared" si="15"/>
        <v>-1.3412868078063522E-2</v>
      </c>
    </row>
    <row r="448" spans="1:7">
      <c r="A448" s="61">
        <v>145.01</v>
      </c>
      <c r="B448" s="61">
        <v>152.06</v>
      </c>
      <c r="C448" s="61">
        <v>140.1001</v>
      </c>
      <c r="D448" s="61">
        <v>152.06</v>
      </c>
      <c r="E448" s="61">
        <v>775182</v>
      </c>
      <c r="F448" s="61" t="s">
        <v>390</v>
      </c>
      <c r="G448" s="25">
        <f t="shared" si="15"/>
        <v>-4.6363277653557855E-2</v>
      </c>
    </row>
    <row r="449" spans="1:7">
      <c r="A449" s="61">
        <v>142.85</v>
      </c>
      <c r="B449" s="61">
        <v>145.96</v>
      </c>
      <c r="C449" s="61">
        <v>138.57</v>
      </c>
      <c r="D449" s="61">
        <v>138.72999999999999</v>
      </c>
      <c r="E449" s="61">
        <v>830279</v>
      </c>
      <c r="F449" s="61" t="s">
        <v>391</v>
      </c>
      <c r="G449" s="25">
        <f t="shared" si="15"/>
        <v>2.9697974482808309E-2</v>
      </c>
    </row>
    <row r="450" spans="1:7">
      <c r="A450" s="61">
        <v>138.27500000000001</v>
      </c>
      <c r="B450" s="61">
        <v>149.64500000000001</v>
      </c>
      <c r="C450" s="61">
        <v>137.5</v>
      </c>
      <c r="D450" s="61">
        <v>147.53</v>
      </c>
      <c r="E450" s="61">
        <v>849627</v>
      </c>
      <c r="F450" s="61" t="s">
        <v>392</v>
      </c>
      <c r="G450" s="25">
        <f t="shared" si="15"/>
        <v>-6.2733003456924008E-2</v>
      </c>
    </row>
    <row r="451" spans="1:7">
      <c r="A451" s="61">
        <v>149.61000000000001</v>
      </c>
      <c r="B451" s="61">
        <v>150.54499999999999</v>
      </c>
      <c r="C451" s="61">
        <v>145.86000000000001</v>
      </c>
      <c r="D451" s="61">
        <v>145.86000000000001</v>
      </c>
      <c r="E451" s="61">
        <v>590043</v>
      </c>
      <c r="F451" s="61" t="s">
        <v>393</v>
      </c>
      <c r="G451" s="25">
        <f t="shared" si="15"/>
        <v>2.5709584533113894E-2</v>
      </c>
    </row>
    <row r="452" spans="1:7">
      <c r="A452" s="61">
        <v>146.36000000000001</v>
      </c>
      <c r="B452" s="61">
        <v>151.73500000000001</v>
      </c>
      <c r="C452" s="61">
        <v>144.12</v>
      </c>
      <c r="D452" s="61">
        <v>148.97999999999999</v>
      </c>
      <c r="E452" s="61">
        <v>484795</v>
      </c>
      <c r="F452" s="61" t="s">
        <v>394</v>
      </c>
      <c r="G452" s="25">
        <f t="shared" si="15"/>
        <v>-1.7586253188347278E-2</v>
      </c>
    </row>
    <row r="453" spans="1:7">
      <c r="A453" s="61">
        <v>148.15</v>
      </c>
      <c r="B453" s="61">
        <v>155</v>
      </c>
      <c r="C453" s="61">
        <v>145.72</v>
      </c>
      <c r="D453" s="61">
        <v>150.30000000000001</v>
      </c>
      <c r="E453" s="61">
        <v>738031</v>
      </c>
      <c r="F453" s="61" t="s">
        <v>395</v>
      </c>
      <c r="G453" s="25">
        <f t="shared" si="15"/>
        <v>-1.4304723885562254E-2</v>
      </c>
    </row>
    <row r="454" spans="1:7">
      <c r="A454" s="61">
        <v>151.86000000000001</v>
      </c>
      <c r="B454" s="61">
        <v>153.85</v>
      </c>
      <c r="C454" s="61">
        <v>143.16</v>
      </c>
      <c r="D454" s="61">
        <v>143.16</v>
      </c>
      <c r="E454" s="61">
        <v>747327</v>
      </c>
      <c r="F454" s="61" t="s">
        <v>396</v>
      </c>
      <c r="G454" s="25">
        <f t="shared" si="15"/>
        <v>6.0771165129924754E-2</v>
      </c>
    </row>
    <row r="455" spans="1:7">
      <c r="A455" s="61">
        <v>145.02000000000001</v>
      </c>
      <c r="B455" s="61">
        <v>152.18</v>
      </c>
      <c r="C455" s="61">
        <v>141.07</v>
      </c>
      <c r="D455" s="61">
        <v>152.18</v>
      </c>
      <c r="E455" s="61">
        <v>823787</v>
      </c>
      <c r="F455" s="61" t="s">
        <v>397</v>
      </c>
      <c r="G455" s="25">
        <f t="shared" si="15"/>
        <v>-4.704954658956495E-2</v>
      </c>
    </row>
    <row r="456" spans="1:7">
      <c r="A456" s="61">
        <v>148.80000000000001</v>
      </c>
      <c r="B456" s="61">
        <v>148.88</v>
      </c>
      <c r="C456" s="61">
        <v>143.47</v>
      </c>
      <c r="D456" s="61">
        <v>144</v>
      </c>
      <c r="E456" s="61">
        <v>768503</v>
      </c>
      <c r="F456" s="61" t="s">
        <v>398</v>
      </c>
      <c r="G456" s="25">
        <f t="shared" si="15"/>
        <v>3.3333333333333437E-2</v>
      </c>
    </row>
    <row r="457" spans="1:7">
      <c r="A457" s="61">
        <v>143</v>
      </c>
      <c r="B457" s="61">
        <v>143.83000000000001</v>
      </c>
      <c r="C457" s="61">
        <v>137.91999999999999</v>
      </c>
      <c r="D457" s="61">
        <v>140.05000000000001</v>
      </c>
      <c r="E457" s="61">
        <v>557007</v>
      </c>
      <c r="F457" s="61" t="s">
        <v>399</v>
      </c>
      <c r="G457" s="25">
        <f t="shared" si="15"/>
        <v>2.1063905747947143E-2</v>
      </c>
    </row>
    <row r="458" spans="1:7">
      <c r="A458" s="61">
        <v>139.01</v>
      </c>
      <c r="B458" s="61">
        <v>142.19</v>
      </c>
      <c r="C458" s="61">
        <v>136.56</v>
      </c>
      <c r="D458" s="61">
        <v>136.66999999999999</v>
      </c>
      <c r="E458" s="61">
        <v>771770</v>
      </c>
      <c r="F458" s="61" t="s">
        <v>400</v>
      </c>
      <c r="G458" s="25">
        <f t="shared" si="15"/>
        <v>1.7121533621131224E-2</v>
      </c>
    </row>
    <row r="459" spans="1:7">
      <c r="A459" s="61">
        <v>134.25</v>
      </c>
      <c r="B459" s="61">
        <v>139.51</v>
      </c>
      <c r="C459" s="61">
        <v>133.02000000000001</v>
      </c>
      <c r="D459" s="61">
        <v>139.51</v>
      </c>
      <c r="E459" s="61">
        <v>229584</v>
      </c>
      <c r="F459" s="61" t="s">
        <v>401</v>
      </c>
      <c r="G459" s="25">
        <f t="shared" si="15"/>
        <v>-3.7703390437961337E-2</v>
      </c>
    </row>
    <row r="460" spans="1:7">
      <c r="A460" s="61">
        <v>137.65</v>
      </c>
      <c r="B460" s="61">
        <v>138.15</v>
      </c>
      <c r="C460" s="61">
        <v>131.31</v>
      </c>
      <c r="D460" s="61">
        <v>132.96</v>
      </c>
      <c r="E460" s="61">
        <v>362796</v>
      </c>
      <c r="F460" s="61" t="s">
        <v>402</v>
      </c>
      <c r="G460" s="25">
        <f t="shared" si="15"/>
        <v>3.5273766546329632E-2</v>
      </c>
    </row>
    <row r="461" spans="1:7">
      <c r="A461" s="61">
        <v>132.96</v>
      </c>
      <c r="B461" s="61">
        <v>139</v>
      </c>
      <c r="C461" s="61">
        <v>131.96</v>
      </c>
      <c r="D461" s="61">
        <v>136.58000000000001</v>
      </c>
      <c r="E461" s="61">
        <v>372242</v>
      </c>
      <c r="F461" s="61" t="s">
        <v>403</v>
      </c>
      <c r="G461" s="25">
        <f t="shared" si="15"/>
        <v>-2.6504612681212514E-2</v>
      </c>
    </row>
    <row r="462" spans="1:7">
      <c r="A462" s="61">
        <v>135.63999999999999</v>
      </c>
      <c r="B462" s="61">
        <v>139.99</v>
      </c>
      <c r="C462" s="61">
        <v>130.91</v>
      </c>
      <c r="D462" s="61">
        <v>131</v>
      </c>
      <c r="E462" s="61">
        <v>976281</v>
      </c>
      <c r="F462" s="61" t="s">
        <v>404</v>
      </c>
      <c r="G462" s="25">
        <f t="shared" si="15"/>
        <v>3.5419847328244103E-2</v>
      </c>
    </row>
    <row r="463" spans="1:7">
      <c r="A463" s="61">
        <v>129.81</v>
      </c>
      <c r="B463" s="61">
        <v>134.09</v>
      </c>
      <c r="C463" s="61">
        <v>126</v>
      </c>
      <c r="D463" s="61">
        <v>128</v>
      </c>
      <c r="E463" s="61">
        <v>1571059</v>
      </c>
      <c r="F463" s="61" t="s">
        <v>405</v>
      </c>
      <c r="G463" s="25">
        <f t="shared" si="15"/>
        <v>1.4140625000000018E-2</v>
      </c>
    </row>
    <row r="464" spans="1:7">
      <c r="A464" s="61">
        <v>126.89</v>
      </c>
      <c r="B464" s="61">
        <v>135</v>
      </c>
      <c r="C464" s="61">
        <v>120.4667</v>
      </c>
      <c r="D464" s="61">
        <v>135</v>
      </c>
      <c r="E464" s="61">
        <v>1085249</v>
      </c>
      <c r="F464" s="61" t="s">
        <v>406</v>
      </c>
      <c r="G464" s="25">
        <f t="shared" si="15"/>
        <v>-6.0074074074074058E-2</v>
      </c>
    </row>
    <row r="465" spans="1:7">
      <c r="A465" s="61">
        <v>119.76</v>
      </c>
      <c r="B465" s="61">
        <v>125.325</v>
      </c>
      <c r="C465" s="61">
        <v>113.41</v>
      </c>
      <c r="D465" s="61">
        <v>123.75</v>
      </c>
      <c r="E465" s="61">
        <v>688088</v>
      </c>
      <c r="F465" s="61" t="s">
        <v>407</v>
      </c>
      <c r="G465" s="25">
        <f t="shared" si="15"/>
        <v>-3.2242424242424184E-2</v>
      </c>
    </row>
    <row r="466" spans="1:7">
      <c r="A466" s="61">
        <v>123.56</v>
      </c>
      <c r="B466" s="61">
        <v>125</v>
      </c>
      <c r="C466" s="61">
        <v>118.25</v>
      </c>
      <c r="D466" s="61">
        <v>119.48</v>
      </c>
      <c r="E466" s="61">
        <v>430839</v>
      </c>
      <c r="F466" s="61" t="s">
        <v>408</v>
      </c>
      <c r="G466" s="25">
        <f t="shared" si="15"/>
        <v>3.4147974556411054E-2</v>
      </c>
    </row>
    <row r="467" spans="1:7">
      <c r="A467" s="61">
        <v>119.48</v>
      </c>
      <c r="B467" s="61">
        <v>121.46</v>
      </c>
      <c r="C467" s="61">
        <v>117</v>
      </c>
      <c r="D467" s="61">
        <v>117.02</v>
      </c>
      <c r="E467" s="61">
        <v>487592</v>
      </c>
      <c r="F467" s="61" t="s">
        <v>409</v>
      </c>
      <c r="G467" s="25">
        <f t="shared" si="15"/>
        <v>2.1022047513245656E-2</v>
      </c>
    </row>
    <row r="468" spans="1:7">
      <c r="A468" s="61">
        <v>116.44</v>
      </c>
      <c r="B468" s="61">
        <v>122.565</v>
      </c>
      <c r="C468" s="61">
        <v>114</v>
      </c>
      <c r="D468" s="61">
        <v>119</v>
      </c>
      <c r="E468" s="61">
        <v>489627</v>
      </c>
      <c r="F468" s="61" t="s">
        <v>410</v>
      </c>
      <c r="G468" s="25">
        <f t="shared" si="15"/>
        <v>-2.1512605042016797E-2</v>
      </c>
    </row>
    <row r="469" spans="1:7">
      <c r="A469" s="61">
        <v>117.24</v>
      </c>
      <c r="B469" s="61">
        <v>120.33</v>
      </c>
      <c r="C469" s="61">
        <v>114.28</v>
      </c>
      <c r="D469" s="61">
        <v>114.77</v>
      </c>
      <c r="E469" s="61">
        <v>635226</v>
      </c>
      <c r="F469" s="61" t="s">
        <v>411</v>
      </c>
      <c r="G469" s="25">
        <f t="shared" si="15"/>
        <v>2.1521303476518261E-2</v>
      </c>
    </row>
    <row r="470" spans="1:7">
      <c r="A470" s="61">
        <v>114.22</v>
      </c>
      <c r="B470" s="61">
        <v>116.92</v>
      </c>
      <c r="C470" s="61">
        <v>102.71</v>
      </c>
      <c r="D470" s="61">
        <v>104.47</v>
      </c>
      <c r="E470" s="61">
        <v>1142092</v>
      </c>
      <c r="F470" s="61" t="s">
        <v>412</v>
      </c>
      <c r="G470" s="25">
        <f t="shared" si="15"/>
        <v>9.3328228199483165E-2</v>
      </c>
    </row>
    <row r="471" spans="1:7">
      <c r="A471" s="61">
        <v>114.63</v>
      </c>
      <c r="B471" s="61">
        <v>122.87</v>
      </c>
      <c r="C471" s="61">
        <v>98.5</v>
      </c>
      <c r="D471" s="61">
        <v>119.47</v>
      </c>
      <c r="E471" s="61">
        <v>1917160</v>
      </c>
      <c r="F471" s="61" t="s">
        <v>413</v>
      </c>
      <c r="G471" s="25">
        <f t="shared" si="15"/>
        <v>-4.0512262492676032E-2</v>
      </c>
    </row>
    <row r="472" spans="1:7">
      <c r="A472" s="61">
        <v>121.1</v>
      </c>
      <c r="B472" s="61">
        <v>125.57</v>
      </c>
      <c r="C472" s="61">
        <v>117.23</v>
      </c>
      <c r="D472" s="61">
        <v>124.65</v>
      </c>
      <c r="E472" s="61">
        <v>1112255</v>
      </c>
      <c r="F472" s="61" t="s">
        <v>414</v>
      </c>
      <c r="G472" s="25">
        <f t="shared" si="15"/>
        <v>-2.8479743281187408E-2</v>
      </c>
    </row>
    <row r="473" spans="1:7">
      <c r="A473" s="61">
        <v>124.65</v>
      </c>
      <c r="B473" s="61">
        <v>130.94999999999999</v>
      </c>
      <c r="C473" s="61">
        <v>122.16</v>
      </c>
      <c r="D473" s="61">
        <v>130</v>
      </c>
      <c r="E473" s="61">
        <v>3517719</v>
      </c>
      <c r="F473" s="61" t="s">
        <v>415</v>
      </c>
      <c r="G473" s="25">
        <f t="shared" si="15"/>
        <v>-4.1153846153846096E-2</v>
      </c>
    </row>
    <row r="474" spans="1:7">
      <c r="A474" s="61">
        <v>110.86</v>
      </c>
      <c r="B474" s="61">
        <v>116.35</v>
      </c>
      <c r="C474" s="61">
        <v>108.27</v>
      </c>
      <c r="D474" s="61">
        <v>111.97</v>
      </c>
      <c r="E474" s="61">
        <v>1057096</v>
      </c>
      <c r="F474" s="61" t="s">
        <v>416</v>
      </c>
      <c r="G474" s="25">
        <f t="shared" si="15"/>
        <v>-9.9133696525854909E-3</v>
      </c>
    </row>
    <row r="475" spans="1:7">
      <c r="A475" s="61">
        <v>110.3</v>
      </c>
      <c r="B475" s="61">
        <v>117.92</v>
      </c>
      <c r="C475" s="61">
        <v>106.67</v>
      </c>
      <c r="D475" s="61">
        <v>114</v>
      </c>
      <c r="E475" s="61">
        <v>852488</v>
      </c>
      <c r="F475" s="61" t="s">
        <v>417</v>
      </c>
      <c r="G475" s="25">
        <f t="shared" si="15"/>
        <v>-3.2456140350877183E-2</v>
      </c>
    </row>
    <row r="476" spans="1:7">
      <c r="A476" s="61">
        <v>113.675</v>
      </c>
      <c r="B476" s="61">
        <v>113.84</v>
      </c>
      <c r="C476" s="61">
        <v>105.545</v>
      </c>
      <c r="D476" s="61">
        <v>109.64</v>
      </c>
      <c r="E476" s="61">
        <v>1021296</v>
      </c>
      <c r="F476" s="61" t="s">
        <v>418</v>
      </c>
      <c r="G476" s="25">
        <f t="shared" si="15"/>
        <v>3.6802261948194026E-2</v>
      </c>
    </row>
    <row r="477" spans="1:7">
      <c r="A477" s="61">
        <v>109.08</v>
      </c>
      <c r="B477" s="61">
        <v>120.87</v>
      </c>
      <c r="C477" s="61">
        <v>105.25</v>
      </c>
      <c r="D477" s="61">
        <v>118.92</v>
      </c>
      <c r="E477" s="61">
        <v>2627872</v>
      </c>
      <c r="F477" s="61" t="s">
        <v>419</v>
      </c>
      <c r="G477" s="25">
        <f t="shared" si="15"/>
        <v>-8.2744702320888042E-2</v>
      </c>
    </row>
    <row r="478" spans="1:7">
      <c r="A478" s="61">
        <v>120.09</v>
      </c>
      <c r="B478" s="61">
        <v>127.41</v>
      </c>
      <c r="C478" s="61">
        <v>118.69</v>
      </c>
      <c r="D478" s="61">
        <v>127.41</v>
      </c>
      <c r="E478" s="61">
        <v>1442484</v>
      </c>
      <c r="F478" s="61" t="s">
        <v>420</v>
      </c>
      <c r="G478" s="25">
        <f t="shared" si="15"/>
        <v>-5.7452319284200581E-2</v>
      </c>
    </row>
    <row r="479" spans="1:7">
      <c r="A479" s="61">
        <v>126.56</v>
      </c>
      <c r="B479" s="61">
        <v>128.44999999999999</v>
      </c>
      <c r="C479" s="61">
        <v>125.7422</v>
      </c>
      <c r="D479" s="61">
        <v>126.79</v>
      </c>
      <c r="E479" s="61">
        <v>581313</v>
      </c>
      <c r="F479" s="61" t="s">
        <v>421</v>
      </c>
      <c r="G479" s="25">
        <f t="shared" si="15"/>
        <v>-1.8140231879486546E-3</v>
      </c>
    </row>
    <row r="480" spans="1:7">
      <c r="A480" s="61">
        <v>125.68</v>
      </c>
      <c r="B480" s="61">
        <v>127.85</v>
      </c>
      <c r="C480" s="61">
        <v>122</v>
      </c>
      <c r="D480" s="61">
        <v>124.35</v>
      </c>
      <c r="E480" s="61">
        <v>467612</v>
      </c>
      <c r="F480" s="61" t="s">
        <v>422</v>
      </c>
      <c r="G480" s="25">
        <f t="shared" si="15"/>
        <v>1.0695617209489416E-2</v>
      </c>
    </row>
    <row r="481" spans="1:7">
      <c r="A481" s="61">
        <v>123.85</v>
      </c>
      <c r="B481" s="61">
        <v>125.99</v>
      </c>
      <c r="C481" s="61">
        <v>119.58</v>
      </c>
      <c r="D481" s="61">
        <v>120.53</v>
      </c>
      <c r="E481" s="61">
        <v>300437</v>
      </c>
      <c r="F481" s="61" t="s">
        <v>423</v>
      </c>
      <c r="G481" s="25">
        <f t="shared" si="15"/>
        <v>2.75450095411931E-2</v>
      </c>
    </row>
    <row r="482" spans="1:7">
      <c r="A482" s="61">
        <v>120.53</v>
      </c>
      <c r="B482" s="61">
        <v>127.39</v>
      </c>
      <c r="C482" s="61">
        <v>118.06</v>
      </c>
      <c r="D482" s="61">
        <v>123.5</v>
      </c>
      <c r="E482" s="61">
        <v>703562</v>
      </c>
      <c r="F482" s="61" t="s">
        <v>424</v>
      </c>
      <c r="G482" s="25">
        <f t="shared" si="15"/>
        <v>-2.4048582995951362E-2</v>
      </c>
    </row>
    <row r="483" spans="1:7">
      <c r="A483" s="61">
        <v>119.5</v>
      </c>
      <c r="B483" s="61">
        <v>134</v>
      </c>
      <c r="C483" s="61">
        <v>118.57</v>
      </c>
      <c r="D483" s="61">
        <v>134</v>
      </c>
      <c r="E483" s="61">
        <v>1210798</v>
      </c>
      <c r="F483" s="61" t="s">
        <v>425</v>
      </c>
      <c r="G483" s="25">
        <f t="shared" si="15"/>
        <v>-0.10820895522388063</v>
      </c>
    </row>
    <row r="484" spans="1:7">
      <c r="A484" s="61">
        <v>134.16</v>
      </c>
      <c r="B484" s="61">
        <v>135.55000000000001</v>
      </c>
      <c r="C484" s="61">
        <v>129.11000000000001</v>
      </c>
      <c r="D484" s="61">
        <v>130.13</v>
      </c>
      <c r="E484" s="61">
        <v>979430</v>
      </c>
      <c r="F484" s="61" t="s">
        <v>426</v>
      </c>
      <c r="G484" s="25">
        <f t="shared" si="15"/>
        <v>3.096903096903092E-2</v>
      </c>
    </row>
    <row r="485" spans="1:7">
      <c r="A485" s="61">
        <v>130.31</v>
      </c>
      <c r="B485" s="61">
        <v>133.82</v>
      </c>
      <c r="C485" s="61">
        <v>129.65</v>
      </c>
      <c r="D485" s="61">
        <v>133.82</v>
      </c>
      <c r="E485" s="61">
        <v>650816</v>
      </c>
      <c r="F485" s="61" t="s">
        <v>427</v>
      </c>
      <c r="G485" s="25">
        <f t="shared" si="15"/>
        <v>-2.6229263189358809E-2</v>
      </c>
    </row>
    <row r="486" spans="1:7">
      <c r="A486" s="61">
        <v>131.43</v>
      </c>
      <c r="B486" s="61">
        <v>133.3099</v>
      </c>
      <c r="C486" s="61">
        <v>130.65</v>
      </c>
      <c r="D486" s="61">
        <v>131.62</v>
      </c>
      <c r="E486" s="61">
        <v>722353</v>
      </c>
      <c r="F486" s="61" t="s">
        <v>428</v>
      </c>
      <c r="G486" s="25">
        <f t="shared" si="15"/>
        <v>-1.4435496125209113E-3</v>
      </c>
    </row>
    <row r="487" spans="1:7">
      <c r="A487" s="61">
        <v>130.88999999999999</v>
      </c>
      <c r="B487" s="61">
        <v>132.09</v>
      </c>
      <c r="C487" s="61">
        <v>128</v>
      </c>
      <c r="D487" s="61">
        <v>128.04</v>
      </c>
      <c r="E487" s="61">
        <v>1418570</v>
      </c>
      <c r="F487" s="61" t="s">
        <v>429</v>
      </c>
      <c r="G487" s="25">
        <f t="shared" si="15"/>
        <v>2.2258669165885703E-2</v>
      </c>
    </row>
    <row r="488" spans="1:7">
      <c r="A488" s="61">
        <v>127.5</v>
      </c>
      <c r="B488" s="61">
        <v>133.5</v>
      </c>
      <c r="C488" s="61">
        <v>121</v>
      </c>
      <c r="D488" s="61">
        <v>121</v>
      </c>
      <c r="E488" s="61">
        <v>819119</v>
      </c>
      <c r="F488" s="61" t="s">
        <v>430</v>
      </c>
      <c r="G488" s="25">
        <f t="shared" si="15"/>
        <v>5.3719008264462742E-2</v>
      </c>
    </row>
    <row r="489" spans="1:7">
      <c r="A489" s="61">
        <v>125.01</v>
      </c>
      <c r="B489" s="61">
        <v>128.85</v>
      </c>
      <c r="C489" s="61">
        <v>121.75</v>
      </c>
      <c r="D489" s="61">
        <v>121.75</v>
      </c>
      <c r="E489" s="61">
        <v>1670024</v>
      </c>
      <c r="F489" s="61" t="s">
        <v>431</v>
      </c>
      <c r="G489" s="25">
        <f t="shared" si="15"/>
        <v>2.6776180698151908E-2</v>
      </c>
    </row>
    <row r="490" spans="1:7">
      <c r="A490" s="61">
        <v>118.99</v>
      </c>
      <c r="B490" s="61">
        <v>119.06</v>
      </c>
      <c r="C490" s="61">
        <v>117.68</v>
      </c>
      <c r="D490" s="61">
        <v>118.95</v>
      </c>
      <c r="E490" s="61">
        <v>170809</v>
      </c>
      <c r="F490" s="61" t="s">
        <v>432</v>
      </c>
      <c r="G490" s="25">
        <f t="shared" si="15"/>
        <v>3.3627574611183597E-4</v>
      </c>
    </row>
    <row r="491" spans="1:7">
      <c r="A491" s="61">
        <v>118.99</v>
      </c>
      <c r="B491" s="61">
        <v>119</v>
      </c>
      <c r="C491" s="61">
        <v>116.27</v>
      </c>
      <c r="D491" s="61">
        <v>119</v>
      </c>
      <c r="E491" s="61">
        <v>97388</v>
      </c>
      <c r="F491" s="61" t="s">
        <v>433</v>
      </c>
      <c r="G491" s="25">
        <f t="shared" si="15"/>
        <v>-8.4033613445444466E-5</v>
      </c>
    </row>
    <row r="492" spans="1:7">
      <c r="A492" s="61">
        <v>118.94</v>
      </c>
      <c r="B492" s="61">
        <v>118.94</v>
      </c>
      <c r="C492" s="61">
        <v>118.1</v>
      </c>
      <c r="D492" s="61">
        <v>118.1</v>
      </c>
      <c r="E492" s="61">
        <v>128273</v>
      </c>
      <c r="F492" s="61" t="s">
        <v>434</v>
      </c>
      <c r="G492" s="25">
        <f t="shared" si="15"/>
        <v>7.1126164267569791E-3</v>
      </c>
    </row>
    <row r="493" spans="1:7">
      <c r="A493" s="61">
        <v>118</v>
      </c>
      <c r="B493" s="61">
        <v>119.9</v>
      </c>
      <c r="C493" s="61">
        <v>115.05</v>
      </c>
      <c r="D493" s="61">
        <v>116.45</v>
      </c>
      <c r="E493" s="61">
        <v>1089205</v>
      </c>
      <c r="F493" s="61" t="s">
        <v>435</v>
      </c>
      <c r="G493" s="25">
        <f t="shared" si="15"/>
        <v>1.3310433662516052E-2</v>
      </c>
    </row>
    <row r="494" spans="1:7">
      <c r="A494" s="61">
        <v>116</v>
      </c>
      <c r="B494" s="61">
        <v>116.47</v>
      </c>
      <c r="C494" s="61">
        <v>111.21</v>
      </c>
      <c r="D494" s="61">
        <v>113.98</v>
      </c>
      <c r="E494" s="61">
        <v>867003</v>
      </c>
      <c r="F494" s="61" t="s">
        <v>436</v>
      </c>
      <c r="G494" s="25">
        <f t="shared" si="15"/>
        <v>1.7722407439901611E-2</v>
      </c>
    </row>
    <row r="495" spans="1:7">
      <c r="A495" s="61">
        <v>111.02</v>
      </c>
      <c r="B495" s="61">
        <v>113.34</v>
      </c>
      <c r="C495" s="61">
        <v>106.22</v>
      </c>
      <c r="D495" s="61">
        <v>109.5</v>
      </c>
      <c r="E495" s="61">
        <v>375724</v>
      </c>
      <c r="F495" s="61" t="s">
        <v>437</v>
      </c>
      <c r="G495" s="25">
        <f t="shared" si="15"/>
        <v>1.3881278538812714E-2</v>
      </c>
    </row>
    <row r="496" spans="1:7">
      <c r="A496" s="61">
        <v>110.45</v>
      </c>
      <c r="B496" s="61">
        <v>114.49</v>
      </c>
      <c r="C496" s="61">
        <v>106.88</v>
      </c>
      <c r="D496" s="61">
        <v>113.03</v>
      </c>
      <c r="E496" s="61">
        <v>1540980</v>
      </c>
      <c r="F496" s="61" t="s">
        <v>438</v>
      </c>
      <c r="G496" s="25">
        <f t="shared" si="15"/>
        <v>-2.2825798460585633E-2</v>
      </c>
    </row>
    <row r="497" spans="1:7">
      <c r="A497" s="61">
        <v>114.47</v>
      </c>
      <c r="B497" s="61">
        <v>120.7</v>
      </c>
      <c r="C497" s="61">
        <v>112.63</v>
      </c>
      <c r="D497" s="61">
        <v>120.15</v>
      </c>
      <c r="E497" s="61">
        <v>406697</v>
      </c>
      <c r="F497" s="61" t="s">
        <v>439</v>
      </c>
      <c r="G497" s="25">
        <f t="shared" si="15"/>
        <v>-4.72742405326676E-2</v>
      </c>
    </row>
    <row r="498" spans="1:7">
      <c r="A498" s="61">
        <v>119.85</v>
      </c>
      <c r="B498" s="61">
        <v>121</v>
      </c>
      <c r="C498" s="61">
        <v>119.02</v>
      </c>
      <c r="D498" s="61">
        <v>119.78</v>
      </c>
      <c r="E498" s="61">
        <v>262407</v>
      </c>
      <c r="F498" s="61" t="s">
        <v>440</v>
      </c>
      <c r="G498" s="25">
        <f t="shared" si="15"/>
        <v>5.8440474202692272E-4</v>
      </c>
    </row>
    <row r="499" spans="1:7">
      <c r="A499" s="61">
        <v>120</v>
      </c>
      <c r="B499" s="61">
        <v>120.9</v>
      </c>
      <c r="C499" s="61">
        <v>119</v>
      </c>
      <c r="D499" s="61">
        <v>120.9</v>
      </c>
      <c r="E499" s="61">
        <v>302815</v>
      </c>
      <c r="F499" s="61" t="s">
        <v>441</v>
      </c>
      <c r="G499" s="25">
        <f t="shared" si="15"/>
        <v>-7.4441687344913854E-3</v>
      </c>
    </row>
    <row r="500" spans="1:7">
      <c r="A500" s="61">
        <v>119.11</v>
      </c>
      <c r="B500" s="61">
        <v>119.94</v>
      </c>
      <c r="C500" s="61">
        <v>116.6</v>
      </c>
      <c r="D500" s="61">
        <v>116.6</v>
      </c>
      <c r="E500" s="61">
        <v>619576</v>
      </c>
      <c r="F500" s="61" t="s">
        <v>442</v>
      </c>
      <c r="G500" s="25">
        <f t="shared" si="15"/>
        <v>2.1526586620926214E-2</v>
      </c>
    </row>
    <row r="501" spans="1:7">
      <c r="A501" s="61">
        <v>117.2</v>
      </c>
      <c r="B501" s="61">
        <v>117.5</v>
      </c>
      <c r="C501" s="61">
        <v>116.73</v>
      </c>
      <c r="D501" s="61">
        <v>116.99</v>
      </c>
      <c r="E501" s="61">
        <v>554682</v>
      </c>
      <c r="F501" s="61" t="s">
        <v>443</v>
      </c>
      <c r="G501" s="25">
        <f t="shared" si="15"/>
        <v>1.7950252158305258E-3</v>
      </c>
    </row>
    <row r="502" spans="1:7">
      <c r="A502" s="61">
        <v>116.7</v>
      </c>
      <c r="B502" s="61">
        <v>116.9</v>
      </c>
      <c r="C502" s="61">
        <v>116.11</v>
      </c>
      <c r="D502" s="61">
        <v>116.9</v>
      </c>
      <c r="E502" s="61">
        <v>225684</v>
      </c>
      <c r="F502" s="61" t="s">
        <v>444</v>
      </c>
      <c r="G502" s="25">
        <f t="shared" si="15"/>
        <v>-1.7108639863131492E-3</v>
      </c>
    </row>
    <row r="503" spans="1:7">
      <c r="A503" s="61">
        <v>116.5</v>
      </c>
      <c r="B503" s="61">
        <v>117</v>
      </c>
      <c r="C503" s="61">
        <v>115.02</v>
      </c>
      <c r="D503" s="61">
        <v>115.42</v>
      </c>
      <c r="E503" s="61">
        <v>657864</v>
      </c>
      <c r="F503" s="61" t="s">
        <v>445</v>
      </c>
      <c r="G503" s="25">
        <f t="shared" si="15"/>
        <v>9.3571304799862087E-3</v>
      </c>
    </row>
    <row r="504" spans="1:7">
      <c r="A504" s="61">
        <v>116.9</v>
      </c>
      <c r="B504" s="61">
        <v>117.25</v>
      </c>
      <c r="C504" s="61">
        <v>115.41</v>
      </c>
      <c r="D504" s="61">
        <v>115.7</v>
      </c>
      <c r="E504" s="61">
        <v>510569</v>
      </c>
      <c r="F504" s="61" t="s">
        <v>446</v>
      </c>
      <c r="G504" s="25">
        <f t="shared" si="15"/>
        <v>1.0371650821089151E-2</v>
      </c>
    </row>
    <row r="505" spans="1:7">
      <c r="A505" s="61">
        <v>115.7</v>
      </c>
      <c r="B505" s="61">
        <v>116.75</v>
      </c>
      <c r="C505" s="61">
        <v>115.01</v>
      </c>
      <c r="D505" s="61">
        <v>115.55</v>
      </c>
      <c r="E505" s="61">
        <v>489012</v>
      </c>
      <c r="F505" s="61" t="s">
        <v>447</v>
      </c>
      <c r="G505" s="25">
        <f t="shared" si="15"/>
        <v>1.2981393336217728E-3</v>
      </c>
    </row>
    <row r="506" spans="1:7">
      <c r="A506" s="61">
        <v>116.17</v>
      </c>
      <c r="B506" s="61">
        <v>117.61499999999999</v>
      </c>
      <c r="C506" s="61">
        <v>114.02</v>
      </c>
      <c r="D506" s="61">
        <v>115.36</v>
      </c>
      <c r="E506" s="61">
        <v>583117</v>
      </c>
      <c r="F506" s="61" t="s">
        <v>448</v>
      </c>
      <c r="G506" s="25">
        <f t="shared" si="15"/>
        <v>7.0214979195561966E-3</v>
      </c>
    </row>
    <row r="507" spans="1:7">
      <c r="A507" s="61">
        <v>115.37</v>
      </c>
      <c r="B507" s="61">
        <v>115.8</v>
      </c>
      <c r="C507" s="61">
        <v>114.06</v>
      </c>
      <c r="D507" s="61">
        <v>114.06</v>
      </c>
      <c r="E507" s="61">
        <v>1131911</v>
      </c>
      <c r="F507" s="61" t="s">
        <v>449</v>
      </c>
      <c r="G507" s="25">
        <f t="shared" ref="G507:G570" si="16">A507/D507-1</f>
        <v>1.148518323689296E-2</v>
      </c>
    </row>
    <row r="508" spans="1:7">
      <c r="A508" s="61">
        <v>114.5</v>
      </c>
      <c r="B508" s="61">
        <v>115</v>
      </c>
      <c r="C508" s="61">
        <v>112.4</v>
      </c>
      <c r="D508" s="61">
        <v>112.4</v>
      </c>
      <c r="E508" s="61">
        <v>308273</v>
      </c>
      <c r="F508" s="61" t="s">
        <v>450</v>
      </c>
      <c r="G508" s="25">
        <f t="shared" si="16"/>
        <v>1.8683274021352281E-2</v>
      </c>
    </row>
    <row r="509" spans="1:7">
      <c r="A509" s="61">
        <v>111.7</v>
      </c>
      <c r="B509" s="61">
        <v>113.44</v>
      </c>
      <c r="C509" s="61">
        <v>110.56</v>
      </c>
      <c r="D509" s="61">
        <v>111</v>
      </c>
      <c r="E509" s="61">
        <v>679914</v>
      </c>
      <c r="F509" s="61" t="s">
        <v>451</v>
      </c>
      <c r="G509" s="25">
        <f t="shared" si="16"/>
        <v>6.3063063063062419E-3</v>
      </c>
    </row>
    <row r="510" spans="1:7">
      <c r="A510" s="61">
        <v>110.37</v>
      </c>
      <c r="B510" s="61">
        <v>114</v>
      </c>
      <c r="C510" s="61">
        <v>110.12</v>
      </c>
      <c r="D510" s="61">
        <v>112.95</v>
      </c>
      <c r="E510" s="61">
        <v>820349</v>
      </c>
      <c r="F510" s="61" t="s">
        <v>452</v>
      </c>
      <c r="G510" s="25">
        <f t="shared" si="16"/>
        <v>-2.2841965471447567E-2</v>
      </c>
    </row>
    <row r="511" spans="1:7">
      <c r="A511" s="61">
        <v>112.91</v>
      </c>
      <c r="B511" s="61">
        <v>113.29</v>
      </c>
      <c r="C511" s="61">
        <v>108.82</v>
      </c>
      <c r="D511" s="61">
        <v>109</v>
      </c>
      <c r="E511" s="61">
        <v>790940</v>
      </c>
      <c r="F511" s="61" t="s">
        <v>453</v>
      </c>
      <c r="G511" s="25">
        <f t="shared" si="16"/>
        <v>3.5871559633027461E-2</v>
      </c>
    </row>
    <row r="512" spans="1:7">
      <c r="A512" s="61">
        <v>108.76</v>
      </c>
      <c r="B512" s="61">
        <v>113.9</v>
      </c>
      <c r="C512" s="61">
        <v>106.11</v>
      </c>
      <c r="D512" s="61">
        <v>113.7</v>
      </c>
      <c r="E512" s="61">
        <v>795502</v>
      </c>
      <c r="F512" s="61" t="s">
        <v>454</v>
      </c>
      <c r="G512" s="25">
        <f t="shared" si="16"/>
        <v>-4.3447669305189063E-2</v>
      </c>
    </row>
    <row r="513" spans="1:7">
      <c r="A513" s="61">
        <v>113.24</v>
      </c>
      <c r="B513" s="61">
        <v>115.7</v>
      </c>
      <c r="C513" s="61">
        <v>112.1</v>
      </c>
      <c r="D513" s="61">
        <v>115.7</v>
      </c>
      <c r="E513" s="61">
        <v>552266</v>
      </c>
      <c r="F513" s="61" t="s">
        <v>455</v>
      </c>
      <c r="G513" s="25">
        <f t="shared" si="16"/>
        <v>-2.1261884183232604E-2</v>
      </c>
    </row>
    <row r="514" spans="1:7">
      <c r="A514" s="61">
        <v>115.15</v>
      </c>
      <c r="B514" s="61">
        <v>115.8</v>
      </c>
      <c r="C514" s="61">
        <v>114.13</v>
      </c>
      <c r="D514" s="61">
        <v>115.3</v>
      </c>
      <c r="E514" s="61">
        <v>506107</v>
      </c>
      <c r="F514" s="61" t="s">
        <v>456</v>
      </c>
      <c r="G514" s="25">
        <f t="shared" si="16"/>
        <v>-1.3009540329573799E-3</v>
      </c>
    </row>
    <row r="515" spans="1:7">
      <c r="A515" s="61">
        <v>115.49</v>
      </c>
      <c r="B515" s="61">
        <v>115.9</v>
      </c>
      <c r="C515" s="61">
        <v>113.6</v>
      </c>
      <c r="D515" s="61">
        <v>114.41</v>
      </c>
      <c r="E515" s="61">
        <v>793883</v>
      </c>
      <c r="F515" s="61" t="s">
        <v>457</v>
      </c>
      <c r="G515" s="25">
        <f t="shared" si="16"/>
        <v>9.4397342889607216E-3</v>
      </c>
    </row>
    <row r="516" spans="1:7">
      <c r="A516" s="61">
        <v>114.41</v>
      </c>
      <c r="B516" s="61">
        <v>118.99</v>
      </c>
      <c r="C516" s="61">
        <v>113.51</v>
      </c>
      <c r="D516" s="61">
        <v>118.99</v>
      </c>
      <c r="E516" s="61">
        <v>1410754</v>
      </c>
      <c r="F516" s="61" t="s">
        <v>458</v>
      </c>
      <c r="G516" s="25">
        <f t="shared" si="16"/>
        <v>-3.8490629464660864E-2</v>
      </c>
    </row>
    <row r="517" spans="1:7">
      <c r="A517" s="61">
        <v>113.6</v>
      </c>
      <c r="B517" s="61">
        <v>120.74</v>
      </c>
      <c r="C517" s="61">
        <v>112.63</v>
      </c>
      <c r="D517" s="61">
        <v>120.74</v>
      </c>
      <c r="E517" s="61">
        <v>887144</v>
      </c>
      <c r="F517" s="61" t="s">
        <v>459</v>
      </c>
      <c r="G517" s="25">
        <f t="shared" si="16"/>
        <v>-5.9135332118602002E-2</v>
      </c>
    </row>
    <row r="518" spans="1:7">
      <c r="A518" s="61">
        <v>115.3</v>
      </c>
      <c r="B518" s="61">
        <v>115.5</v>
      </c>
      <c r="C518" s="61">
        <v>111</v>
      </c>
      <c r="D518" s="61">
        <v>112.5</v>
      </c>
      <c r="E518" s="61">
        <v>1270624</v>
      </c>
      <c r="F518" s="61" t="s">
        <v>460</v>
      </c>
      <c r="G518" s="25">
        <f t="shared" si="16"/>
        <v>2.488888888888896E-2</v>
      </c>
    </row>
    <row r="519" spans="1:7">
      <c r="A519" s="61">
        <v>112.35</v>
      </c>
      <c r="B519" s="61">
        <v>125.79</v>
      </c>
      <c r="C519" s="61">
        <v>108.75</v>
      </c>
      <c r="D519" s="61">
        <v>108.75</v>
      </c>
      <c r="E519" s="61">
        <v>1585201</v>
      </c>
      <c r="F519" s="61" t="s">
        <v>461</v>
      </c>
      <c r="G519" s="25">
        <f t="shared" si="16"/>
        <v>3.3103448275862091E-2</v>
      </c>
    </row>
    <row r="520" spans="1:7">
      <c r="A520" s="61">
        <v>108.49</v>
      </c>
      <c r="B520" s="61">
        <v>108.5</v>
      </c>
      <c r="C520" s="61">
        <v>107.75</v>
      </c>
      <c r="D520" s="61">
        <v>108.15</v>
      </c>
      <c r="E520" s="61">
        <v>865121</v>
      </c>
      <c r="F520" s="61" t="s">
        <v>462</v>
      </c>
      <c r="G520" s="25">
        <f t="shared" si="16"/>
        <v>3.1437817845583194E-3</v>
      </c>
    </row>
    <row r="521" spans="1:7">
      <c r="A521" s="61">
        <v>107.75</v>
      </c>
      <c r="B521" s="61">
        <v>108.2</v>
      </c>
      <c r="C521" s="61">
        <v>107.36</v>
      </c>
      <c r="D521" s="61">
        <v>107.6</v>
      </c>
      <c r="E521" s="61">
        <v>368318</v>
      </c>
      <c r="F521" s="61" t="s">
        <v>463</v>
      </c>
      <c r="G521" s="25">
        <f t="shared" si="16"/>
        <v>1.3940520446096283E-3</v>
      </c>
    </row>
    <row r="522" spans="1:7">
      <c r="A522" s="61">
        <v>107.6</v>
      </c>
      <c r="B522" s="61">
        <v>108.48</v>
      </c>
      <c r="C522" s="61">
        <v>107</v>
      </c>
      <c r="D522" s="61">
        <v>108.12</v>
      </c>
      <c r="E522" s="61">
        <v>842352</v>
      </c>
      <c r="F522" s="61" t="s">
        <v>464</v>
      </c>
      <c r="G522" s="25">
        <f t="shared" si="16"/>
        <v>-4.8094709581947281E-3</v>
      </c>
    </row>
    <row r="523" spans="1:7">
      <c r="A523" s="61">
        <v>107.96</v>
      </c>
      <c r="B523" s="61">
        <v>109.89</v>
      </c>
      <c r="C523" s="61">
        <v>106.55</v>
      </c>
      <c r="D523" s="61">
        <v>108</v>
      </c>
      <c r="E523" s="61">
        <v>455891</v>
      </c>
      <c r="F523" s="61" t="s">
        <v>465</v>
      </c>
      <c r="G523" s="25">
        <f t="shared" si="16"/>
        <v>-3.7037037037046527E-4</v>
      </c>
    </row>
    <row r="524" spans="1:7">
      <c r="A524" s="61">
        <v>108</v>
      </c>
      <c r="B524" s="61">
        <v>109.94</v>
      </c>
      <c r="C524" s="61">
        <v>106.51</v>
      </c>
      <c r="D524" s="61">
        <v>109.94</v>
      </c>
      <c r="E524" s="61">
        <v>395581</v>
      </c>
      <c r="F524" s="61" t="s">
        <v>466</v>
      </c>
      <c r="G524" s="25">
        <f t="shared" si="16"/>
        <v>-1.7645988721120553E-2</v>
      </c>
    </row>
    <row r="525" spans="1:7">
      <c r="A525" s="61">
        <v>109.01</v>
      </c>
      <c r="B525" s="61">
        <v>109.74</v>
      </c>
      <c r="C525" s="61">
        <v>102</v>
      </c>
      <c r="D525" s="61">
        <v>102.01</v>
      </c>
      <c r="E525" s="61">
        <v>505760</v>
      </c>
      <c r="F525" s="61" t="s">
        <v>467</v>
      </c>
      <c r="G525" s="25">
        <f t="shared" si="16"/>
        <v>6.8620723458484356E-2</v>
      </c>
    </row>
    <row r="526" spans="1:7">
      <c r="A526" s="61">
        <v>104.75</v>
      </c>
      <c r="B526" s="61">
        <v>107.5</v>
      </c>
      <c r="C526" s="61">
        <v>100.96</v>
      </c>
      <c r="D526" s="61">
        <v>106.1</v>
      </c>
      <c r="E526" s="61">
        <v>472510</v>
      </c>
      <c r="F526" s="61" t="s">
        <v>468</v>
      </c>
      <c r="G526" s="25">
        <f t="shared" si="16"/>
        <v>-1.2723845428840641E-2</v>
      </c>
    </row>
    <row r="527" spans="1:7">
      <c r="A527" s="61">
        <v>104.85</v>
      </c>
      <c r="B527" s="61">
        <v>108.25</v>
      </c>
      <c r="C527" s="61">
        <v>104.85</v>
      </c>
      <c r="D527" s="61">
        <v>108.25</v>
      </c>
      <c r="E527" s="61">
        <v>218805</v>
      </c>
      <c r="F527" s="61" t="s">
        <v>469</v>
      </c>
      <c r="G527" s="25">
        <f t="shared" si="16"/>
        <v>-3.1408775981524251E-2</v>
      </c>
    </row>
    <row r="528" spans="1:7">
      <c r="A528" s="61">
        <v>106.75</v>
      </c>
      <c r="B528" s="61">
        <v>108.5</v>
      </c>
      <c r="C528" s="61">
        <v>106.01</v>
      </c>
      <c r="D528" s="61">
        <v>107.22</v>
      </c>
      <c r="E528" s="61">
        <v>253178</v>
      </c>
      <c r="F528" s="61" t="s">
        <v>470</v>
      </c>
      <c r="G528" s="25">
        <f t="shared" si="16"/>
        <v>-4.3835105390784834E-3</v>
      </c>
    </row>
    <row r="529" spans="1:7">
      <c r="A529" s="61">
        <v>107</v>
      </c>
      <c r="B529" s="61">
        <v>109.47</v>
      </c>
      <c r="C529" s="61">
        <v>104.52</v>
      </c>
      <c r="D529" s="61">
        <v>106.25</v>
      </c>
      <c r="E529" s="61">
        <v>399979</v>
      </c>
      <c r="F529" s="61" t="s">
        <v>471</v>
      </c>
      <c r="G529" s="25">
        <f t="shared" si="16"/>
        <v>7.058823529411784E-3</v>
      </c>
    </row>
    <row r="530" spans="1:7">
      <c r="A530" s="61">
        <v>106.4</v>
      </c>
      <c r="B530" s="61">
        <v>106.5</v>
      </c>
      <c r="C530" s="61">
        <v>105</v>
      </c>
      <c r="D530" s="61">
        <v>105</v>
      </c>
      <c r="E530" s="61">
        <v>303099</v>
      </c>
      <c r="F530" s="61" t="s">
        <v>472</v>
      </c>
      <c r="G530" s="25">
        <f t="shared" si="16"/>
        <v>1.3333333333333419E-2</v>
      </c>
    </row>
    <row r="531" spans="1:7">
      <c r="A531" s="61">
        <v>103.75</v>
      </c>
      <c r="B531" s="61">
        <v>108.9</v>
      </c>
      <c r="C531" s="61">
        <v>103.75</v>
      </c>
      <c r="D531" s="61">
        <v>103.76</v>
      </c>
      <c r="E531" s="61">
        <v>428437</v>
      </c>
      <c r="F531" s="61" t="s">
        <v>473</v>
      </c>
      <c r="G531" s="25">
        <f t="shared" si="16"/>
        <v>-9.6376252891383629E-5</v>
      </c>
    </row>
    <row r="532" spans="1:7">
      <c r="A532" s="61">
        <v>104.1</v>
      </c>
      <c r="B532" s="61">
        <v>105</v>
      </c>
      <c r="C532" s="61">
        <v>101</v>
      </c>
      <c r="D532" s="61">
        <v>101.25</v>
      </c>
      <c r="E532" s="61">
        <v>655020</v>
      </c>
      <c r="F532" s="61" t="s">
        <v>474</v>
      </c>
      <c r="G532" s="25">
        <f t="shared" si="16"/>
        <v>2.8148148148148033E-2</v>
      </c>
    </row>
    <row r="533" spans="1:7">
      <c r="A533" s="61">
        <v>101.25</v>
      </c>
      <c r="B533" s="61">
        <v>102</v>
      </c>
      <c r="C533" s="61">
        <v>101</v>
      </c>
      <c r="D533" s="61">
        <v>101</v>
      </c>
      <c r="E533" s="61">
        <v>78107</v>
      </c>
      <c r="F533" s="61" t="s">
        <v>475</v>
      </c>
      <c r="G533" s="25">
        <f t="shared" si="16"/>
        <v>2.4752475247524774E-3</v>
      </c>
    </row>
    <row r="534" spans="1:7">
      <c r="A534" s="61">
        <v>100.9</v>
      </c>
      <c r="B534" s="61">
        <v>101</v>
      </c>
      <c r="C534" s="61">
        <v>99.835999999999999</v>
      </c>
      <c r="D534" s="61">
        <v>100.28</v>
      </c>
      <c r="E534" s="61">
        <v>266844</v>
      </c>
      <c r="F534" s="61" t="s">
        <v>476</v>
      </c>
      <c r="G534" s="25">
        <f t="shared" si="16"/>
        <v>6.1826884722777642E-3</v>
      </c>
    </row>
    <row r="535" spans="1:7">
      <c r="A535" s="61">
        <v>100.45</v>
      </c>
      <c r="B535" s="61">
        <v>103</v>
      </c>
      <c r="C535" s="61">
        <v>99.51</v>
      </c>
      <c r="D535" s="61">
        <v>99.75</v>
      </c>
      <c r="E535" s="61">
        <v>388717</v>
      </c>
      <c r="F535" s="61" t="s">
        <v>477</v>
      </c>
      <c r="G535" s="25">
        <f t="shared" si="16"/>
        <v>7.0175438596491446E-3</v>
      </c>
    </row>
    <row r="536" spans="1:7">
      <c r="A536" s="61">
        <v>100</v>
      </c>
      <c r="B536" s="61">
        <v>100.1</v>
      </c>
      <c r="C536" s="61">
        <v>99.02</v>
      </c>
      <c r="D536" s="61">
        <v>99.04</v>
      </c>
      <c r="E536" s="61">
        <v>306031</v>
      </c>
      <c r="F536" s="61" t="s">
        <v>478</v>
      </c>
      <c r="G536" s="25">
        <f t="shared" si="16"/>
        <v>9.6930533117931539E-3</v>
      </c>
    </row>
    <row r="537" spans="1:7">
      <c r="A537" s="61">
        <v>100</v>
      </c>
      <c r="B537" s="61">
        <v>100.4</v>
      </c>
      <c r="C537" s="61">
        <v>99</v>
      </c>
      <c r="D537" s="61">
        <v>100.4</v>
      </c>
      <c r="E537" s="61">
        <v>348837</v>
      </c>
      <c r="F537" s="61" t="s">
        <v>479</v>
      </c>
      <c r="G537" s="25">
        <f t="shared" si="16"/>
        <v>-3.9840637450200278E-3</v>
      </c>
    </row>
    <row r="538" spans="1:7">
      <c r="A538" s="61">
        <v>100.4</v>
      </c>
      <c r="B538" s="61">
        <v>101.19</v>
      </c>
      <c r="C538" s="61">
        <v>97.25</v>
      </c>
      <c r="D538" s="61">
        <v>97.25</v>
      </c>
      <c r="E538" s="61">
        <v>90434</v>
      </c>
      <c r="F538" s="61" t="s">
        <v>480</v>
      </c>
      <c r="G538" s="25">
        <f t="shared" si="16"/>
        <v>3.2390745501285512E-2</v>
      </c>
    </row>
    <row r="539" spans="1:7">
      <c r="A539" s="61">
        <v>97.9</v>
      </c>
      <c r="B539" s="61">
        <v>98</v>
      </c>
      <c r="C539" s="61">
        <v>96.8</v>
      </c>
      <c r="D539" s="61">
        <v>97</v>
      </c>
      <c r="E539" s="61">
        <v>134489</v>
      </c>
      <c r="F539" s="61" t="s">
        <v>481</v>
      </c>
      <c r="G539" s="25">
        <f t="shared" si="16"/>
        <v>9.2783505154638846E-3</v>
      </c>
    </row>
    <row r="540" spans="1:7">
      <c r="A540" s="61">
        <v>96.59</v>
      </c>
      <c r="B540" s="61">
        <v>96.99</v>
      </c>
      <c r="C540" s="61">
        <v>94.75</v>
      </c>
      <c r="D540" s="61">
        <v>94.75</v>
      </c>
      <c r="E540" s="61">
        <v>275048</v>
      </c>
      <c r="F540" s="61" t="s">
        <v>482</v>
      </c>
      <c r="G540" s="25">
        <f t="shared" si="16"/>
        <v>1.9419525065963006E-2</v>
      </c>
    </row>
    <row r="541" spans="1:7">
      <c r="A541" s="61">
        <v>95</v>
      </c>
      <c r="B541" s="61">
        <v>95</v>
      </c>
      <c r="C541" s="61">
        <v>93.71</v>
      </c>
      <c r="D541" s="61">
        <v>93.987200000000001</v>
      </c>
      <c r="E541" s="61">
        <v>109691</v>
      </c>
      <c r="F541" s="61" t="s">
        <v>483</v>
      </c>
      <c r="G541" s="25">
        <f t="shared" si="16"/>
        <v>1.0775935446528884E-2</v>
      </c>
    </row>
    <row r="542" spans="1:7">
      <c r="A542" s="61">
        <v>93.99</v>
      </c>
      <c r="B542" s="61">
        <v>95.99</v>
      </c>
      <c r="C542" s="61">
        <v>93.04</v>
      </c>
      <c r="D542" s="61">
        <v>93.094099999999997</v>
      </c>
      <c r="E542" s="61">
        <v>120467</v>
      </c>
      <c r="F542" s="61" t="s">
        <v>484</v>
      </c>
      <c r="G542" s="25">
        <f t="shared" si="16"/>
        <v>9.623595909944882E-3</v>
      </c>
    </row>
    <row r="543" spans="1:7">
      <c r="A543" s="61">
        <v>92.594999999999999</v>
      </c>
      <c r="B543" s="61">
        <v>93.59</v>
      </c>
      <c r="C543" s="61">
        <v>92.1</v>
      </c>
      <c r="D543" s="61">
        <v>92.99</v>
      </c>
      <c r="E543" s="61">
        <v>276981</v>
      </c>
      <c r="F543" s="61" t="s">
        <v>485</v>
      </c>
      <c r="G543" s="25">
        <f t="shared" si="16"/>
        <v>-4.2477685772662754E-3</v>
      </c>
    </row>
    <row r="544" spans="1:7">
      <c r="A544" s="61">
        <v>93</v>
      </c>
      <c r="B544" s="61">
        <v>93</v>
      </c>
      <c r="C544" s="61">
        <v>92.5</v>
      </c>
      <c r="D544" s="61">
        <v>92.9</v>
      </c>
      <c r="E544" s="61">
        <v>60382</v>
      </c>
      <c r="F544" s="61" t="s">
        <v>486</v>
      </c>
      <c r="G544" s="25">
        <f t="shared" si="16"/>
        <v>1.0764262648008671E-3</v>
      </c>
    </row>
    <row r="545" spans="1:7">
      <c r="A545" s="61">
        <v>93.01</v>
      </c>
      <c r="B545" s="61">
        <v>93.25</v>
      </c>
      <c r="C545" s="61">
        <v>92.8</v>
      </c>
      <c r="D545" s="61">
        <v>93.25</v>
      </c>
      <c r="E545" s="61">
        <v>112236</v>
      </c>
      <c r="F545" s="61" t="s">
        <v>487</v>
      </c>
      <c r="G545" s="25">
        <f t="shared" si="16"/>
        <v>-2.5737265415548549E-3</v>
      </c>
    </row>
    <row r="546" spans="1:7">
      <c r="A546" s="61">
        <v>93</v>
      </c>
      <c r="B546" s="61">
        <v>93.74</v>
      </c>
      <c r="C546" s="61">
        <v>92.53</v>
      </c>
      <c r="D546" s="61">
        <v>93.74</v>
      </c>
      <c r="E546" s="61">
        <v>44574</v>
      </c>
      <c r="F546" s="61" t="s">
        <v>488</v>
      </c>
      <c r="G546" s="25">
        <f t="shared" si="16"/>
        <v>-7.894175378706958E-3</v>
      </c>
    </row>
    <row r="547" spans="1:7">
      <c r="A547" s="61">
        <v>93.73</v>
      </c>
      <c r="B547" s="61">
        <v>93.8</v>
      </c>
      <c r="C547" s="61">
        <v>90.89</v>
      </c>
      <c r="D547" s="61">
        <v>93.5</v>
      </c>
      <c r="E547" s="61">
        <v>212052</v>
      </c>
      <c r="F547" s="61" t="s">
        <v>489</v>
      </c>
      <c r="G547" s="25">
        <f t="shared" si="16"/>
        <v>2.4598930481283254E-3</v>
      </c>
    </row>
    <row r="548" spans="1:7">
      <c r="A548" s="61">
        <v>93.5</v>
      </c>
      <c r="B548" s="61">
        <v>93.625</v>
      </c>
      <c r="C548" s="61">
        <v>92.8</v>
      </c>
      <c r="D548" s="61">
        <v>93.084000000000003</v>
      </c>
      <c r="E548" s="61">
        <v>94446</v>
      </c>
      <c r="F548" s="61" t="s">
        <v>490</v>
      </c>
      <c r="G548" s="25">
        <f t="shared" si="16"/>
        <v>4.469081689656651E-3</v>
      </c>
    </row>
    <row r="549" spans="1:7">
      <c r="A549" s="61">
        <v>94</v>
      </c>
      <c r="B549" s="61">
        <v>94</v>
      </c>
      <c r="C549" s="61">
        <v>93.6</v>
      </c>
      <c r="D549" s="61">
        <v>94</v>
      </c>
      <c r="E549" s="61">
        <v>28595</v>
      </c>
      <c r="F549" s="61" t="s">
        <v>491</v>
      </c>
      <c r="G549" s="25">
        <f t="shared" si="16"/>
        <v>0</v>
      </c>
    </row>
    <row r="550" spans="1:7">
      <c r="A550" s="61">
        <v>94</v>
      </c>
      <c r="B550" s="61">
        <v>94</v>
      </c>
      <c r="C550" s="61">
        <v>92.99</v>
      </c>
      <c r="D550" s="61">
        <v>94</v>
      </c>
      <c r="E550" s="61">
        <v>42669</v>
      </c>
      <c r="F550" s="61" t="s">
        <v>492</v>
      </c>
      <c r="G550" s="25">
        <f t="shared" si="16"/>
        <v>0</v>
      </c>
    </row>
    <row r="551" spans="1:7">
      <c r="A551" s="61">
        <v>94</v>
      </c>
      <c r="B551" s="61">
        <v>95.28</v>
      </c>
      <c r="C551" s="61">
        <v>93.3</v>
      </c>
      <c r="D551" s="61">
        <v>95.28</v>
      </c>
      <c r="E551" s="61">
        <v>193760</v>
      </c>
      <c r="F551" s="61" t="s">
        <v>493</v>
      </c>
      <c r="G551" s="25">
        <f t="shared" si="16"/>
        <v>-1.3434089000839644E-2</v>
      </c>
    </row>
    <row r="552" spans="1:7">
      <c r="A552" s="61">
        <v>95</v>
      </c>
      <c r="B552" s="61">
        <v>95.1</v>
      </c>
      <c r="C552" s="61">
        <v>93.5</v>
      </c>
      <c r="D552" s="61">
        <v>94.4</v>
      </c>
      <c r="E552" s="61">
        <v>138275</v>
      </c>
      <c r="F552" s="61" t="s">
        <v>494</v>
      </c>
      <c r="G552" s="25">
        <f t="shared" si="16"/>
        <v>6.3559322033897026E-3</v>
      </c>
    </row>
    <row r="553" spans="1:7">
      <c r="A553" s="61">
        <v>94.19</v>
      </c>
      <c r="B553" s="61">
        <v>94.4</v>
      </c>
      <c r="C553" s="61">
        <v>92.75</v>
      </c>
      <c r="D553" s="61">
        <v>93.8</v>
      </c>
      <c r="E553" s="61">
        <v>59969</v>
      </c>
      <c r="F553" s="61" t="s">
        <v>495</v>
      </c>
      <c r="G553" s="25">
        <f t="shared" si="16"/>
        <v>4.157782515991526E-3</v>
      </c>
    </row>
    <row r="554" spans="1:7">
      <c r="A554" s="61">
        <v>93.5</v>
      </c>
      <c r="B554" s="61">
        <v>95</v>
      </c>
      <c r="C554" s="61">
        <v>93</v>
      </c>
      <c r="D554" s="61">
        <v>93.85</v>
      </c>
      <c r="E554" s="61">
        <v>191200</v>
      </c>
      <c r="F554" s="61" t="s">
        <v>496</v>
      </c>
      <c r="G554" s="25">
        <f t="shared" si="16"/>
        <v>-3.7293553542886437E-3</v>
      </c>
    </row>
    <row r="555" spans="1:7">
      <c r="A555" s="61">
        <v>93.9</v>
      </c>
      <c r="B555" s="61">
        <v>94.5</v>
      </c>
      <c r="C555" s="61">
        <v>93.56</v>
      </c>
      <c r="D555" s="61">
        <v>94.05</v>
      </c>
      <c r="E555" s="61">
        <v>323031</v>
      </c>
      <c r="F555" s="61" t="s">
        <v>497</v>
      </c>
      <c r="G555" s="25">
        <f t="shared" si="16"/>
        <v>-1.5948963317383713E-3</v>
      </c>
    </row>
    <row r="556" spans="1:7">
      <c r="A556" s="61">
        <v>94.12</v>
      </c>
      <c r="B556" s="61">
        <v>95</v>
      </c>
      <c r="C556" s="61">
        <v>93.27</v>
      </c>
      <c r="D556" s="61">
        <v>95</v>
      </c>
      <c r="E556" s="61">
        <v>166935</v>
      </c>
      <c r="F556" s="61" t="s">
        <v>498</v>
      </c>
      <c r="G556" s="25">
        <f t="shared" si="16"/>
        <v>-9.263157894736751E-3</v>
      </c>
    </row>
    <row r="557" spans="1:7">
      <c r="A557" s="61">
        <v>94.8</v>
      </c>
      <c r="B557" s="61">
        <v>98.99</v>
      </c>
      <c r="C557" s="61">
        <v>93.25</v>
      </c>
      <c r="D557" s="61">
        <v>96</v>
      </c>
      <c r="E557" s="61">
        <v>436364</v>
      </c>
      <c r="F557" s="61" t="s">
        <v>499</v>
      </c>
      <c r="G557" s="25">
        <f t="shared" si="16"/>
        <v>-1.2500000000000067E-2</v>
      </c>
    </row>
    <row r="558" spans="1:7">
      <c r="A558" s="61">
        <v>94.35</v>
      </c>
      <c r="B558" s="61">
        <v>96.08</v>
      </c>
      <c r="C558" s="61">
        <v>91.8</v>
      </c>
      <c r="D558" s="61">
        <v>91.8</v>
      </c>
      <c r="E558" s="61">
        <v>651110</v>
      </c>
      <c r="F558" s="61" t="s">
        <v>500</v>
      </c>
      <c r="G558" s="25">
        <f t="shared" si="16"/>
        <v>2.7777777777777679E-2</v>
      </c>
    </row>
    <row r="559" spans="1:7">
      <c r="A559" s="61">
        <v>91.4</v>
      </c>
      <c r="B559" s="61">
        <v>93</v>
      </c>
      <c r="C559" s="61">
        <v>90.34</v>
      </c>
      <c r="D559" s="61">
        <v>93</v>
      </c>
      <c r="E559" s="61">
        <v>432897</v>
      </c>
      <c r="F559" s="61" t="s">
        <v>501</v>
      </c>
      <c r="G559" s="25">
        <f t="shared" si="16"/>
        <v>-1.7204301075268713E-2</v>
      </c>
    </row>
    <row r="560" spans="1:7">
      <c r="A560" s="61">
        <v>90.9</v>
      </c>
      <c r="B560" s="61">
        <v>93</v>
      </c>
      <c r="C560" s="61">
        <v>90.25</v>
      </c>
      <c r="D560" s="61">
        <v>90.49</v>
      </c>
      <c r="E560" s="61">
        <v>469156</v>
      </c>
      <c r="F560" s="61" t="s">
        <v>502</v>
      </c>
      <c r="G560" s="25">
        <f t="shared" si="16"/>
        <v>4.5308873908720404E-3</v>
      </c>
    </row>
    <row r="561" spans="1:7">
      <c r="A561" s="61">
        <v>90.01</v>
      </c>
      <c r="B561" s="61">
        <v>90.99</v>
      </c>
      <c r="C561" s="61">
        <v>87</v>
      </c>
      <c r="D561" s="61">
        <v>88.77</v>
      </c>
      <c r="E561" s="61">
        <v>594954</v>
      </c>
      <c r="F561" s="61" t="s">
        <v>503</v>
      </c>
      <c r="G561" s="25">
        <f t="shared" si="16"/>
        <v>1.3968683113664726E-2</v>
      </c>
    </row>
    <row r="562" spans="1:7">
      <c r="A562" s="61">
        <v>87.5</v>
      </c>
      <c r="B562" s="61">
        <v>87.5</v>
      </c>
      <c r="C562" s="61">
        <v>86.75</v>
      </c>
      <c r="D562" s="61">
        <v>87</v>
      </c>
      <c r="E562" s="61">
        <v>251382</v>
      </c>
      <c r="F562" s="61" t="s">
        <v>504</v>
      </c>
      <c r="G562" s="25">
        <f t="shared" si="16"/>
        <v>5.7471264367816577E-3</v>
      </c>
    </row>
    <row r="563" spans="1:7">
      <c r="A563" s="61">
        <v>87</v>
      </c>
      <c r="B563" s="61">
        <v>87.8</v>
      </c>
      <c r="C563" s="61">
        <v>86.85</v>
      </c>
      <c r="D563" s="61">
        <v>86.85</v>
      </c>
      <c r="E563" s="61">
        <v>50816</v>
      </c>
      <c r="F563" s="61" t="s">
        <v>505</v>
      </c>
      <c r="G563" s="25">
        <f t="shared" si="16"/>
        <v>1.7271157167531026E-3</v>
      </c>
    </row>
    <row r="564" spans="1:7">
      <c r="A564" s="61">
        <v>86.85</v>
      </c>
      <c r="B564" s="61">
        <v>87.99</v>
      </c>
      <c r="C564" s="61">
        <v>86.68</v>
      </c>
      <c r="D564" s="61">
        <v>87</v>
      </c>
      <c r="E564" s="61">
        <v>464755</v>
      </c>
      <c r="F564" s="61" t="s">
        <v>506</v>
      </c>
      <c r="G564" s="25">
        <f t="shared" si="16"/>
        <v>-1.7241379310345417E-3</v>
      </c>
    </row>
    <row r="565" spans="1:7">
      <c r="A565" s="61">
        <v>87</v>
      </c>
      <c r="B565" s="61">
        <v>87.35</v>
      </c>
      <c r="C565" s="61">
        <v>86.587999999999994</v>
      </c>
      <c r="D565" s="61">
        <v>86.587999999999994</v>
      </c>
      <c r="E565" s="61">
        <v>70799</v>
      </c>
      <c r="F565" s="61" t="s">
        <v>507</v>
      </c>
      <c r="G565" s="25">
        <f t="shared" si="16"/>
        <v>4.7581651037096329E-3</v>
      </c>
    </row>
    <row r="566" spans="1:7">
      <c r="A566" s="61">
        <v>86.99</v>
      </c>
      <c r="B566" s="61">
        <v>87.94</v>
      </c>
      <c r="C566" s="61">
        <v>85.48</v>
      </c>
      <c r="D566" s="61">
        <v>85.5</v>
      </c>
      <c r="E566" s="61">
        <v>70206</v>
      </c>
      <c r="F566" s="61" t="s">
        <v>508</v>
      </c>
      <c r="G566" s="25">
        <f t="shared" si="16"/>
        <v>1.7426900584795346E-2</v>
      </c>
    </row>
    <row r="567" spans="1:7">
      <c r="A567" s="61">
        <v>84.57</v>
      </c>
      <c r="B567" s="61">
        <v>86</v>
      </c>
      <c r="C567" s="61">
        <v>84.57</v>
      </c>
      <c r="D567" s="61">
        <v>85.9</v>
      </c>
      <c r="E567" s="61">
        <v>51013</v>
      </c>
      <c r="F567" s="61" t="s">
        <v>509</v>
      </c>
      <c r="G567" s="25">
        <f t="shared" si="16"/>
        <v>-1.548311990686857E-2</v>
      </c>
    </row>
    <row r="568" spans="1:7">
      <c r="A568" s="61">
        <v>85.3</v>
      </c>
      <c r="B568" s="61">
        <v>87.5</v>
      </c>
      <c r="C568" s="61">
        <v>84.05</v>
      </c>
      <c r="D568" s="61">
        <v>84.5</v>
      </c>
      <c r="E568" s="61">
        <v>612009</v>
      </c>
      <c r="F568" s="61" t="s">
        <v>510</v>
      </c>
      <c r="G568" s="25">
        <f t="shared" si="16"/>
        <v>9.4674556213016903E-3</v>
      </c>
    </row>
    <row r="569" spans="1:7">
      <c r="A569" s="61">
        <v>84.3</v>
      </c>
      <c r="B569" s="61">
        <v>86</v>
      </c>
      <c r="C569" s="61">
        <v>83.57</v>
      </c>
      <c r="D569" s="61">
        <v>85.99</v>
      </c>
      <c r="E569" s="61">
        <v>635222</v>
      </c>
      <c r="F569" s="61" t="s">
        <v>511</v>
      </c>
      <c r="G569" s="25">
        <f t="shared" si="16"/>
        <v>-1.9653448075357627E-2</v>
      </c>
    </row>
    <row r="570" spans="1:7">
      <c r="A570" s="61">
        <v>84.58</v>
      </c>
      <c r="B570" s="61">
        <v>85</v>
      </c>
      <c r="C570" s="61">
        <v>83.71</v>
      </c>
      <c r="D570" s="61">
        <v>84.6</v>
      </c>
      <c r="E570" s="61">
        <v>57191</v>
      </c>
      <c r="F570" s="61" t="s">
        <v>512</v>
      </c>
      <c r="G570" s="25">
        <f t="shared" si="16"/>
        <v>-2.3640661938528762E-4</v>
      </c>
    </row>
    <row r="571" spans="1:7">
      <c r="A571" s="61">
        <v>84.2</v>
      </c>
      <c r="B571" s="61">
        <v>85.5</v>
      </c>
      <c r="C571" s="61">
        <v>83.143799999999999</v>
      </c>
      <c r="D571" s="61">
        <v>85.5</v>
      </c>
      <c r="E571" s="61">
        <v>36522</v>
      </c>
      <c r="F571" s="61" t="s">
        <v>513</v>
      </c>
      <c r="G571" s="25">
        <f t="shared" ref="G571:G634" si="17">A571/D571-1</f>
        <v>-1.520467836257311E-2</v>
      </c>
    </row>
    <row r="572" spans="1:7">
      <c r="A572" s="61">
        <v>85</v>
      </c>
      <c r="B572" s="61">
        <v>86.8</v>
      </c>
      <c r="C572" s="61">
        <v>84</v>
      </c>
      <c r="D572" s="61">
        <v>86.56</v>
      </c>
      <c r="E572" s="61">
        <v>155987</v>
      </c>
      <c r="F572" s="61" t="s">
        <v>514</v>
      </c>
      <c r="G572" s="25">
        <f t="shared" si="17"/>
        <v>-1.802218114602594E-2</v>
      </c>
    </row>
    <row r="573" spans="1:7">
      <c r="A573" s="61">
        <v>86.6</v>
      </c>
      <c r="B573" s="61">
        <v>87.96</v>
      </c>
      <c r="C573" s="61">
        <v>83.92</v>
      </c>
      <c r="D573" s="61">
        <v>87.96</v>
      </c>
      <c r="E573" s="61">
        <v>403024</v>
      </c>
      <c r="F573" s="61" t="s">
        <v>515</v>
      </c>
      <c r="G573" s="25">
        <f t="shared" si="17"/>
        <v>-1.5461573442473897E-2</v>
      </c>
    </row>
    <row r="574" spans="1:7">
      <c r="A574" s="61">
        <v>87.2</v>
      </c>
      <c r="B574" s="61">
        <v>87.47</v>
      </c>
      <c r="C574" s="61">
        <v>85.5</v>
      </c>
      <c r="D574" s="61">
        <v>85.7</v>
      </c>
      <c r="E574" s="61">
        <v>376009</v>
      </c>
      <c r="F574" s="61" t="s">
        <v>516</v>
      </c>
      <c r="G574" s="25">
        <f t="shared" si="17"/>
        <v>1.7502917152858899E-2</v>
      </c>
    </row>
    <row r="575" spans="1:7">
      <c r="A575" s="61">
        <v>86</v>
      </c>
      <c r="B575" s="61">
        <v>88.5</v>
      </c>
      <c r="C575" s="61">
        <v>83</v>
      </c>
      <c r="D575" s="61">
        <v>88</v>
      </c>
      <c r="E575" s="61">
        <v>947450</v>
      </c>
      <c r="F575" s="61" t="s">
        <v>517</v>
      </c>
      <c r="G575" s="25">
        <f t="shared" si="17"/>
        <v>-2.2727272727272707E-2</v>
      </c>
    </row>
    <row r="576" spans="1:7">
      <c r="A576" s="61">
        <v>85.2</v>
      </c>
      <c r="B576" s="61">
        <v>87.3</v>
      </c>
      <c r="C576" s="61">
        <v>79</v>
      </c>
      <c r="D576" s="61">
        <v>79.36</v>
      </c>
      <c r="E576" s="61">
        <v>865539</v>
      </c>
      <c r="F576" s="61" t="s">
        <v>518</v>
      </c>
      <c r="G576" s="25">
        <f t="shared" si="17"/>
        <v>7.3588709677419484E-2</v>
      </c>
    </row>
    <row r="577" spans="1:7">
      <c r="A577" s="61">
        <v>75.599999999999994</v>
      </c>
      <c r="B577" s="61">
        <v>79.95</v>
      </c>
      <c r="C577" s="61">
        <v>74.650000000000006</v>
      </c>
      <c r="D577" s="61">
        <v>74.650000000000006</v>
      </c>
      <c r="E577" s="61">
        <v>71602</v>
      </c>
      <c r="F577" s="61" t="s">
        <v>519</v>
      </c>
      <c r="G577" s="25">
        <f t="shared" si="17"/>
        <v>1.272605492297374E-2</v>
      </c>
    </row>
    <row r="578" spans="1:7">
      <c r="A578" s="61">
        <v>74.8</v>
      </c>
      <c r="B578" s="61">
        <v>75.099999999999994</v>
      </c>
      <c r="C578" s="61">
        <v>74.5</v>
      </c>
      <c r="D578" s="61">
        <v>74.5</v>
      </c>
      <c r="E578" s="61">
        <v>11492</v>
      </c>
      <c r="F578" s="61" t="s">
        <v>520</v>
      </c>
      <c r="G578" s="25">
        <f t="shared" si="17"/>
        <v>4.0268456375838202E-3</v>
      </c>
    </row>
    <row r="579" spans="1:7">
      <c r="A579" s="61">
        <v>74.5</v>
      </c>
      <c r="B579" s="61">
        <v>75.5</v>
      </c>
      <c r="C579" s="61">
        <v>72.5</v>
      </c>
      <c r="D579" s="61">
        <v>72.8</v>
      </c>
      <c r="E579" s="61">
        <v>233248</v>
      </c>
      <c r="F579" s="61" t="s">
        <v>521</v>
      </c>
      <c r="G579" s="25">
        <f t="shared" si="17"/>
        <v>2.3351648351648491E-2</v>
      </c>
    </row>
    <row r="580" spans="1:7">
      <c r="A580" s="61">
        <v>72.900000000000006</v>
      </c>
      <c r="B580" s="61">
        <v>74</v>
      </c>
      <c r="C580" s="61">
        <v>70</v>
      </c>
      <c r="D580" s="61">
        <v>70</v>
      </c>
      <c r="E580" s="61">
        <v>155929</v>
      </c>
      <c r="F580" s="61" t="s">
        <v>522</v>
      </c>
      <c r="G580" s="25">
        <f t="shared" si="17"/>
        <v>4.1428571428571592E-2</v>
      </c>
    </row>
    <row r="581" spans="1:7">
      <c r="A581" s="61">
        <v>70</v>
      </c>
      <c r="B581" s="61">
        <v>70.22</v>
      </c>
      <c r="C581" s="61">
        <v>69.064499999999995</v>
      </c>
      <c r="D581" s="61">
        <v>69.900000000000006</v>
      </c>
      <c r="E581" s="61">
        <v>85474</v>
      </c>
      <c r="F581" s="61" t="s">
        <v>523</v>
      </c>
      <c r="G581" s="25">
        <f t="shared" si="17"/>
        <v>1.4306151645206988E-3</v>
      </c>
    </row>
    <row r="582" spans="1:7">
      <c r="A582" s="61">
        <v>69.900000000000006</v>
      </c>
      <c r="B582" s="61">
        <v>70</v>
      </c>
      <c r="C582" s="61">
        <v>68.8</v>
      </c>
      <c r="D582" s="61">
        <v>69.349999999999994</v>
      </c>
      <c r="E582" s="61">
        <v>108348</v>
      </c>
      <c r="F582" s="61" t="s">
        <v>524</v>
      </c>
      <c r="G582" s="25">
        <f t="shared" si="17"/>
        <v>7.930785868781598E-3</v>
      </c>
    </row>
    <row r="583" spans="1:7">
      <c r="A583" s="61">
        <v>69.349999999999994</v>
      </c>
      <c r="B583" s="61">
        <v>69.545000000000002</v>
      </c>
      <c r="C583" s="61">
        <v>67.55</v>
      </c>
      <c r="D583" s="61">
        <v>67.97</v>
      </c>
      <c r="E583" s="61">
        <v>214640</v>
      </c>
      <c r="F583" s="61" t="s">
        <v>525</v>
      </c>
      <c r="G583" s="25">
        <f t="shared" si="17"/>
        <v>2.0303074885978933E-2</v>
      </c>
    </row>
    <row r="584" spans="1:7">
      <c r="A584" s="61">
        <v>68.040000000000006</v>
      </c>
      <c r="B584" s="61">
        <v>68.2</v>
      </c>
      <c r="C584" s="61">
        <v>67.010000000000005</v>
      </c>
      <c r="D584" s="61">
        <v>67.010000000000005</v>
      </c>
      <c r="E584" s="61">
        <v>70783</v>
      </c>
      <c r="F584" s="61" t="s">
        <v>526</v>
      </c>
      <c r="G584" s="25">
        <f t="shared" si="17"/>
        <v>1.5370840173108524E-2</v>
      </c>
    </row>
    <row r="585" spans="1:7">
      <c r="A585" s="61">
        <v>68</v>
      </c>
      <c r="B585" s="61">
        <v>68.7</v>
      </c>
      <c r="C585" s="61">
        <v>67.02</v>
      </c>
      <c r="D585" s="61">
        <v>68.7</v>
      </c>
      <c r="E585" s="61">
        <v>43676</v>
      </c>
      <c r="F585" s="61" t="s">
        <v>527</v>
      </c>
      <c r="G585" s="25">
        <f t="shared" si="17"/>
        <v>-1.0189228529839944E-2</v>
      </c>
    </row>
    <row r="586" spans="1:7">
      <c r="A586" s="61">
        <v>68.7</v>
      </c>
      <c r="B586" s="61">
        <v>72</v>
      </c>
      <c r="C586" s="61">
        <v>67.2</v>
      </c>
      <c r="D586" s="61">
        <v>67.2</v>
      </c>
      <c r="E586" s="61">
        <v>268268</v>
      </c>
      <c r="F586" s="61" t="s">
        <v>528</v>
      </c>
      <c r="G586" s="25">
        <f t="shared" si="17"/>
        <v>2.2321428571428603E-2</v>
      </c>
    </row>
    <row r="587" spans="1:7">
      <c r="A587" s="61">
        <v>66.97</v>
      </c>
      <c r="B587" s="61">
        <v>67.19</v>
      </c>
      <c r="C587" s="61">
        <v>66.55</v>
      </c>
      <c r="D587" s="61">
        <v>67.099999999999994</v>
      </c>
      <c r="E587" s="61">
        <v>32746</v>
      </c>
      <c r="F587" s="61" t="s">
        <v>529</v>
      </c>
      <c r="G587" s="25">
        <f t="shared" si="17"/>
        <v>-1.9374068554395274E-3</v>
      </c>
    </row>
    <row r="588" spans="1:7">
      <c r="A588" s="61">
        <v>67.09</v>
      </c>
      <c r="B588" s="61">
        <v>67.22</v>
      </c>
      <c r="C588" s="61">
        <v>66.540000000000006</v>
      </c>
      <c r="D588" s="61">
        <v>67</v>
      </c>
      <c r="E588" s="61">
        <v>6870</v>
      </c>
      <c r="F588" s="61" t="s">
        <v>530</v>
      </c>
      <c r="G588" s="25">
        <f t="shared" si="17"/>
        <v>1.3432835820896827E-3</v>
      </c>
    </row>
    <row r="589" spans="1:7">
      <c r="A589" s="61">
        <v>67</v>
      </c>
      <c r="B589" s="61">
        <v>67.400000000000006</v>
      </c>
      <c r="C589" s="61">
        <v>66.45</v>
      </c>
      <c r="D589" s="61">
        <v>67</v>
      </c>
      <c r="E589" s="61">
        <v>17391</v>
      </c>
      <c r="F589" s="61" t="s">
        <v>531</v>
      </c>
      <c r="G589" s="25">
        <f t="shared" si="17"/>
        <v>0</v>
      </c>
    </row>
    <row r="590" spans="1:7">
      <c r="A590" s="61">
        <v>67</v>
      </c>
      <c r="B590" s="61">
        <v>67.6875</v>
      </c>
      <c r="C590" s="61">
        <v>66.400000000000006</v>
      </c>
      <c r="D590" s="61">
        <v>67</v>
      </c>
      <c r="E590" s="61">
        <v>70913</v>
      </c>
      <c r="F590" s="61" t="s">
        <v>532</v>
      </c>
      <c r="G590" s="25">
        <f t="shared" si="17"/>
        <v>0</v>
      </c>
    </row>
    <row r="591" spans="1:7">
      <c r="A591" s="61">
        <v>65.900000000000006</v>
      </c>
      <c r="B591" s="61">
        <v>66</v>
      </c>
      <c r="C591" s="61">
        <v>64.510000000000005</v>
      </c>
      <c r="D591" s="61">
        <v>66</v>
      </c>
      <c r="E591" s="61">
        <v>46494</v>
      </c>
      <c r="F591" s="61" t="s">
        <v>533</v>
      </c>
      <c r="G591" s="25">
        <f t="shared" si="17"/>
        <v>-1.5151515151514694E-3</v>
      </c>
    </row>
    <row r="592" spans="1:7">
      <c r="A592" s="61">
        <v>66</v>
      </c>
      <c r="B592" s="61">
        <v>68.25</v>
      </c>
      <c r="C592" s="61">
        <v>64.989999999999995</v>
      </c>
      <c r="D592" s="61">
        <v>67.745000000000005</v>
      </c>
      <c r="E592" s="61">
        <v>86824</v>
      </c>
      <c r="F592" s="61" t="s">
        <v>534</v>
      </c>
      <c r="G592" s="25">
        <f t="shared" si="17"/>
        <v>-2.5758358550446614E-2</v>
      </c>
    </row>
    <row r="593" spans="1:7">
      <c r="A593" s="61">
        <v>69</v>
      </c>
      <c r="B593" s="61">
        <v>71.989999999999995</v>
      </c>
      <c r="C593" s="61">
        <v>67</v>
      </c>
      <c r="D593" s="61">
        <v>67.174999999999997</v>
      </c>
      <c r="E593" s="61">
        <v>50237</v>
      </c>
      <c r="F593" s="61" t="s">
        <v>535</v>
      </c>
      <c r="G593" s="25">
        <f t="shared" si="17"/>
        <v>2.716784518049864E-2</v>
      </c>
    </row>
    <row r="594" spans="1:7">
      <c r="A594" s="61">
        <v>67.25</v>
      </c>
      <c r="B594" s="61">
        <v>67.3</v>
      </c>
      <c r="C594" s="61">
        <v>67</v>
      </c>
      <c r="D594" s="61">
        <v>67</v>
      </c>
      <c r="E594" s="61">
        <v>12557</v>
      </c>
      <c r="F594" s="61" t="s">
        <v>536</v>
      </c>
      <c r="G594" s="25">
        <f t="shared" si="17"/>
        <v>3.7313432835821558E-3</v>
      </c>
    </row>
    <row r="595" spans="1:7">
      <c r="A595" s="61">
        <v>67.25</v>
      </c>
      <c r="B595" s="61">
        <v>67.75</v>
      </c>
      <c r="C595" s="61">
        <v>67</v>
      </c>
      <c r="D595" s="61">
        <v>67</v>
      </c>
      <c r="E595" s="61">
        <v>37091</v>
      </c>
      <c r="F595" s="61" t="s">
        <v>537</v>
      </c>
      <c r="G595" s="25">
        <f t="shared" si="17"/>
        <v>3.7313432835821558E-3</v>
      </c>
    </row>
    <row r="596" spans="1:7">
      <c r="A596" s="61">
        <v>67.25</v>
      </c>
      <c r="B596" s="61">
        <v>67.5</v>
      </c>
      <c r="C596" s="61">
        <v>66.5</v>
      </c>
      <c r="D596" s="61">
        <v>66.849999999999994</v>
      </c>
      <c r="E596" s="61">
        <v>16637</v>
      </c>
      <c r="F596" s="61" t="s">
        <v>538</v>
      </c>
      <c r="G596" s="25">
        <f t="shared" si="17"/>
        <v>5.9835452505609954E-3</v>
      </c>
    </row>
    <row r="597" spans="1:7">
      <c r="A597" s="61">
        <v>67</v>
      </c>
      <c r="B597" s="61">
        <v>67</v>
      </c>
      <c r="C597" s="61">
        <v>66</v>
      </c>
      <c r="D597" s="61">
        <v>66.319999999999993</v>
      </c>
      <c r="E597" s="61">
        <v>28669</v>
      </c>
      <c r="F597" s="61" t="s">
        <v>539</v>
      </c>
      <c r="G597" s="25">
        <f t="shared" si="17"/>
        <v>1.0253317249698579E-2</v>
      </c>
    </row>
    <row r="598" spans="1:7">
      <c r="A598" s="61">
        <v>66.349999999999994</v>
      </c>
      <c r="B598" s="61">
        <v>66.75</v>
      </c>
      <c r="C598" s="61">
        <v>66.25</v>
      </c>
      <c r="D598" s="61">
        <v>66.55</v>
      </c>
      <c r="E598" s="61">
        <v>66217</v>
      </c>
      <c r="F598" s="61" t="s">
        <v>540</v>
      </c>
      <c r="G598" s="25">
        <f t="shared" si="17"/>
        <v>-3.0052592036063919E-3</v>
      </c>
    </row>
    <row r="599" spans="1:7">
      <c r="A599" s="61">
        <v>66.650000000000006</v>
      </c>
      <c r="B599" s="61">
        <v>67</v>
      </c>
      <c r="C599" s="61">
        <v>66.650000000000006</v>
      </c>
      <c r="D599" s="61">
        <v>66.75</v>
      </c>
      <c r="E599" s="61">
        <v>29903</v>
      </c>
      <c r="F599" s="61" t="s">
        <v>541</v>
      </c>
      <c r="G599" s="25">
        <f t="shared" si="17"/>
        <v>-1.4981273408238849E-3</v>
      </c>
    </row>
    <row r="600" spans="1:7">
      <c r="A600" s="61">
        <v>66.7</v>
      </c>
      <c r="B600" s="61">
        <v>67</v>
      </c>
      <c r="C600" s="61">
        <v>66.599999999999994</v>
      </c>
      <c r="D600" s="61">
        <v>67</v>
      </c>
      <c r="E600" s="61">
        <v>27675</v>
      </c>
      <c r="F600" s="61" t="s">
        <v>542</v>
      </c>
      <c r="G600" s="25">
        <f t="shared" si="17"/>
        <v>-4.4776119402984982E-3</v>
      </c>
    </row>
    <row r="601" spans="1:7">
      <c r="A601" s="61">
        <v>66.25</v>
      </c>
      <c r="B601" s="61">
        <v>67.11</v>
      </c>
      <c r="C601" s="61">
        <v>65.010000000000005</v>
      </c>
      <c r="D601" s="61">
        <v>65.8</v>
      </c>
      <c r="E601" s="61">
        <v>52496</v>
      </c>
      <c r="F601" s="61" t="s">
        <v>543</v>
      </c>
      <c r="G601" s="25">
        <f t="shared" si="17"/>
        <v>6.8389057750759541E-3</v>
      </c>
    </row>
    <row r="602" spans="1:7">
      <c r="A602" s="61">
        <v>65.790000000000006</v>
      </c>
      <c r="B602" s="61">
        <v>66</v>
      </c>
      <c r="C602" s="61">
        <v>65.25</v>
      </c>
      <c r="D602" s="61">
        <v>65.25</v>
      </c>
      <c r="E602" s="61">
        <v>84112</v>
      </c>
      <c r="F602" s="61" t="s">
        <v>544</v>
      </c>
      <c r="G602" s="25">
        <f t="shared" si="17"/>
        <v>8.2758620689655782E-3</v>
      </c>
    </row>
    <row r="603" spans="1:7">
      <c r="A603" s="61">
        <v>65.25</v>
      </c>
      <c r="B603" s="61">
        <v>65.25</v>
      </c>
      <c r="C603" s="61">
        <v>65</v>
      </c>
      <c r="D603" s="61">
        <v>65.03</v>
      </c>
      <c r="E603" s="61">
        <v>52036</v>
      </c>
      <c r="F603" s="61" t="s">
        <v>545</v>
      </c>
      <c r="G603" s="25">
        <f t="shared" si="17"/>
        <v>3.3830539750883126E-3</v>
      </c>
    </row>
    <row r="604" spans="1:7">
      <c r="A604" s="61">
        <v>65.09</v>
      </c>
      <c r="B604" s="61">
        <v>65.150000000000006</v>
      </c>
      <c r="C604" s="61">
        <v>65</v>
      </c>
      <c r="D604" s="61">
        <v>65</v>
      </c>
      <c r="E604" s="61">
        <v>42683</v>
      </c>
      <c r="F604" s="61" t="s">
        <v>546</v>
      </c>
      <c r="G604" s="25">
        <f t="shared" si="17"/>
        <v>1.3846153846155396E-3</v>
      </c>
    </row>
    <row r="605" spans="1:7">
      <c r="A605" s="61">
        <v>65.010000000000005</v>
      </c>
      <c r="B605" s="61">
        <v>65.099999999999994</v>
      </c>
      <c r="C605" s="61">
        <v>64.900000000000006</v>
      </c>
      <c r="D605" s="61">
        <v>65.099999999999994</v>
      </c>
      <c r="E605" s="61">
        <v>70688</v>
      </c>
      <c r="F605" s="61" t="s">
        <v>547</v>
      </c>
      <c r="G605" s="25">
        <f t="shared" si="17"/>
        <v>-1.3824884792624781E-3</v>
      </c>
    </row>
    <row r="606" spans="1:7">
      <c r="A606" s="61">
        <v>65.099999999999994</v>
      </c>
      <c r="B606" s="61">
        <v>65.150000000000006</v>
      </c>
      <c r="C606" s="61">
        <v>64.930000000000007</v>
      </c>
      <c r="D606" s="61">
        <v>65.08</v>
      </c>
      <c r="E606" s="61">
        <v>21009</v>
      </c>
      <c r="F606" s="61" t="s">
        <v>548</v>
      </c>
      <c r="G606" s="25">
        <f t="shared" si="17"/>
        <v>3.0731407498452157E-4</v>
      </c>
    </row>
    <row r="607" spans="1:7">
      <c r="A607" s="61">
        <v>65.09</v>
      </c>
      <c r="B607" s="61">
        <v>65.09</v>
      </c>
      <c r="C607" s="61">
        <v>64.680000000000007</v>
      </c>
      <c r="D607" s="61">
        <v>64.822000000000003</v>
      </c>
      <c r="E607" s="61">
        <v>25533</v>
      </c>
      <c r="F607" s="61" t="s">
        <v>549</v>
      </c>
      <c r="G607" s="25">
        <f t="shared" si="17"/>
        <v>4.1343988152171551E-3</v>
      </c>
    </row>
    <row r="608" spans="1:7">
      <c r="A608" s="61">
        <v>64.510000000000005</v>
      </c>
      <c r="B608" s="61">
        <v>65</v>
      </c>
      <c r="C608" s="61">
        <v>64.510000000000005</v>
      </c>
      <c r="D608" s="61">
        <v>64.98</v>
      </c>
      <c r="E608" s="61">
        <v>15631</v>
      </c>
      <c r="F608" s="61" t="s">
        <v>550</v>
      </c>
      <c r="G608" s="25">
        <f t="shared" si="17"/>
        <v>-7.2329947676207373E-3</v>
      </c>
    </row>
    <row r="609" spans="1:7">
      <c r="A609" s="61">
        <v>65.05</v>
      </c>
      <c r="B609" s="61">
        <v>65.05</v>
      </c>
      <c r="C609" s="61">
        <v>64.5</v>
      </c>
      <c r="D609" s="61">
        <v>64.5</v>
      </c>
      <c r="E609" s="61">
        <v>22846</v>
      </c>
      <c r="F609" s="61" t="s">
        <v>551</v>
      </c>
      <c r="G609" s="25">
        <f t="shared" si="17"/>
        <v>8.5271317829456184E-3</v>
      </c>
    </row>
    <row r="610" spans="1:7">
      <c r="A610" s="61">
        <v>64.5</v>
      </c>
      <c r="B610" s="61">
        <v>65.239999999999995</v>
      </c>
      <c r="C610" s="61">
        <v>64.319999999999993</v>
      </c>
      <c r="D610" s="61">
        <v>64.62</v>
      </c>
      <c r="E610" s="61">
        <v>30785</v>
      </c>
      <c r="F610" s="61" t="s">
        <v>552</v>
      </c>
      <c r="G610" s="25">
        <f t="shared" si="17"/>
        <v>-1.8570102135562205E-3</v>
      </c>
    </row>
    <row r="611" spans="1:7">
      <c r="A611" s="61">
        <v>64.900000000000006</v>
      </c>
      <c r="B611" s="61">
        <v>65</v>
      </c>
      <c r="C611" s="61">
        <v>64.599999999999994</v>
      </c>
      <c r="D611" s="61">
        <v>64.599999999999994</v>
      </c>
      <c r="E611" s="61">
        <v>20227</v>
      </c>
      <c r="F611" s="61" t="s">
        <v>553</v>
      </c>
      <c r="G611" s="25">
        <f t="shared" si="17"/>
        <v>4.6439628482974893E-3</v>
      </c>
    </row>
    <row r="612" spans="1:7">
      <c r="A612" s="61">
        <v>64.5</v>
      </c>
      <c r="B612" s="61">
        <v>64.900000000000006</v>
      </c>
      <c r="C612" s="61">
        <v>64</v>
      </c>
      <c r="D612" s="61">
        <v>64.599999999999994</v>
      </c>
      <c r="E612" s="61">
        <v>16063</v>
      </c>
      <c r="F612" s="61" t="s">
        <v>554</v>
      </c>
      <c r="G612" s="25">
        <f t="shared" si="17"/>
        <v>-1.5479876160989781E-3</v>
      </c>
    </row>
    <row r="613" spans="1:7">
      <c r="A613" s="61">
        <v>63.5</v>
      </c>
      <c r="B613" s="61">
        <v>67.98</v>
      </c>
      <c r="C613" s="61">
        <v>62.86</v>
      </c>
      <c r="D613" s="61">
        <v>62.88</v>
      </c>
      <c r="E613" s="61">
        <v>95515</v>
      </c>
      <c r="F613" s="61" t="s">
        <v>555</v>
      </c>
      <c r="G613" s="25">
        <f t="shared" si="17"/>
        <v>9.8600508905852813E-3</v>
      </c>
    </row>
    <row r="614" spans="1:7">
      <c r="A614" s="61">
        <v>65</v>
      </c>
      <c r="B614" s="61">
        <v>65.75</v>
      </c>
      <c r="C614" s="61">
        <v>63.4</v>
      </c>
      <c r="D614" s="61">
        <v>63.4</v>
      </c>
      <c r="E614" s="61">
        <v>376668</v>
      </c>
      <c r="F614" s="61" t="s">
        <v>556</v>
      </c>
      <c r="G614" s="25">
        <f t="shared" si="17"/>
        <v>2.5236593059936974E-2</v>
      </c>
    </row>
    <row r="615" spans="1:7">
      <c r="A615" s="61">
        <v>63.1</v>
      </c>
      <c r="B615" s="61">
        <v>63.3</v>
      </c>
      <c r="C615" s="61">
        <v>62.26</v>
      </c>
      <c r="D615" s="61">
        <v>62.26</v>
      </c>
      <c r="E615" s="61">
        <v>18213</v>
      </c>
      <c r="F615" s="61" t="s">
        <v>557</v>
      </c>
      <c r="G615" s="25">
        <f t="shared" si="17"/>
        <v>1.3491808544812134E-2</v>
      </c>
    </row>
    <row r="616" spans="1:7">
      <c r="A616" s="61">
        <v>62.26</v>
      </c>
      <c r="B616" s="61">
        <v>64</v>
      </c>
      <c r="C616" s="61">
        <v>60.51</v>
      </c>
      <c r="D616" s="61">
        <v>63.51</v>
      </c>
      <c r="E616" s="61">
        <v>26723</v>
      </c>
      <c r="F616" s="61" t="s">
        <v>558</v>
      </c>
      <c r="G616" s="25">
        <f t="shared" si="17"/>
        <v>-1.9681939851991848E-2</v>
      </c>
    </row>
    <row r="617" spans="1:7">
      <c r="A617" s="61">
        <v>64.010000000000005</v>
      </c>
      <c r="B617" s="61">
        <v>65.25</v>
      </c>
      <c r="C617" s="61">
        <v>63.52</v>
      </c>
      <c r="D617" s="61">
        <v>65.25</v>
      </c>
      <c r="E617" s="61">
        <v>60875</v>
      </c>
      <c r="F617" s="61" t="s">
        <v>559</v>
      </c>
      <c r="G617" s="25">
        <f t="shared" si="17"/>
        <v>-1.9003831417624406E-2</v>
      </c>
    </row>
    <row r="618" spans="1:7">
      <c r="A618" s="61">
        <v>65.2</v>
      </c>
      <c r="B618" s="61">
        <v>69.900000000000006</v>
      </c>
      <c r="C618" s="61">
        <v>63.5</v>
      </c>
      <c r="D618" s="61">
        <v>64</v>
      </c>
      <c r="E618" s="61">
        <v>179237</v>
      </c>
      <c r="F618" s="61" t="s">
        <v>560</v>
      </c>
      <c r="G618" s="25">
        <f t="shared" si="17"/>
        <v>1.8750000000000044E-2</v>
      </c>
    </row>
    <row r="619" spans="1:7">
      <c r="A619" s="61">
        <v>64</v>
      </c>
      <c r="B619" s="61">
        <v>69.989999999999995</v>
      </c>
      <c r="C619" s="61">
        <v>62.75</v>
      </c>
      <c r="D619" s="61">
        <v>63.25</v>
      </c>
      <c r="E619" s="61">
        <v>17704</v>
      </c>
      <c r="F619" s="61" t="s">
        <v>561</v>
      </c>
      <c r="G619" s="25">
        <f t="shared" si="17"/>
        <v>1.1857707509881354E-2</v>
      </c>
    </row>
    <row r="620" spans="1:7">
      <c r="A620" s="61">
        <v>63.25</v>
      </c>
      <c r="B620" s="61">
        <v>63.45</v>
      </c>
      <c r="C620" s="61">
        <v>62.1</v>
      </c>
      <c r="D620" s="61">
        <v>63.45</v>
      </c>
      <c r="E620" s="61">
        <v>19002</v>
      </c>
      <c r="F620" s="61" t="s">
        <v>562</v>
      </c>
      <c r="G620" s="25">
        <f t="shared" si="17"/>
        <v>-3.1520882584712417E-3</v>
      </c>
    </row>
    <row r="621" spans="1:7">
      <c r="A621" s="61">
        <v>63.2</v>
      </c>
      <c r="B621" s="61">
        <v>63.45</v>
      </c>
      <c r="C621" s="61">
        <v>60.26</v>
      </c>
      <c r="D621" s="61">
        <v>62.95</v>
      </c>
      <c r="E621" s="61">
        <v>107854</v>
      </c>
      <c r="F621" s="61" t="s">
        <v>563</v>
      </c>
      <c r="G621" s="25">
        <f t="shared" si="17"/>
        <v>3.9714058776807448E-3</v>
      </c>
    </row>
    <row r="622" spans="1:7">
      <c r="A622" s="61">
        <v>63</v>
      </c>
      <c r="B622" s="61">
        <v>63.09</v>
      </c>
      <c r="C622" s="61">
        <v>62.5</v>
      </c>
      <c r="D622" s="61">
        <v>63.09</v>
      </c>
      <c r="E622" s="61">
        <v>30792</v>
      </c>
      <c r="F622" s="61" t="s">
        <v>564</v>
      </c>
      <c r="G622" s="25">
        <f t="shared" si="17"/>
        <v>-1.4265335235378318E-3</v>
      </c>
    </row>
    <row r="623" spans="1:7">
      <c r="A623" s="61">
        <v>63.25</v>
      </c>
      <c r="B623" s="61">
        <v>64</v>
      </c>
      <c r="C623" s="61">
        <v>60</v>
      </c>
      <c r="D623" s="61">
        <v>62.51</v>
      </c>
      <c r="E623" s="61">
        <v>296789</v>
      </c>
      <c r="F623" s="61" t="s">
        <v>565</v>
      </c>
      <c r="G623" s="25">
        <f t="shared" si="17"/>
        <v>1.1838105903055451E-2</v>
      </c>
    </row>
    <row r="624" spans="1:7">
      <c r="A624" s="61">
        <v>62.51</v>
      </c>
      <c r="B624" s="61">
        <v>64.989999999999995</v>
      </c>
      <c r="C624" s="61">
        <v>61.3</v>
      </c>
      <c r="D624" s="61">
        <v>61.5</v>
      </c>
      <c r="E624" s="61">
        <v>123210</v>
      </c>
      <c r="F624" s="61" t="s">
        <v>566</v>
      </c>
      <c r="G624" s="25">
        <f t="shared" si="17"/>
        <v>1.6422764227642217E-2</v>
      </c>
    </row>
    <row r="625" spans="1:7">
      <c r="A625" s="61">
        <v>61</v>
      </c>
      <c r="B625" s="61">
        <v>63</v>
      </c>
      <c r="C625" s="61">
        <v>60.02</v>
      </c>
      <c r="D625" s="61">
        <v>60.02</v>
      </c>
      <c r="E625" s="61">
        <v>62771</v>
      </c>
      <c r="F625" s="61" t="s">
        <v>567</v>
      </c>
      <c r="G625" s="25">
        <f t="shared" si="17"/>
        <v>1.6327890703098813E-2</v>
      </c>
    </row>
    <row r="626" spans="1:7">
      <c r="A626" s="61">
        <v>62</v>
      </c>
      <c r="B626" s="61">
        <v>62.5</v>
      </c>
      <c r="C626" s="61">
        <v>61.24</v>
      </c>
      <c r="D626" s="61">
        <v>61.99</v>
      </c>
      <c r="E626" s="61">
        <v>153958</v>
      </c>
      <c r="F626" s="61" t="s">
        <v>568</v>
      </c>
      <c r="G626" s="25">
        <f t="shared" si="17"/>
        <v>1.6131634134541883E-4</v>
      </c>
    </row>
    <row r="627" spans="1:7">
      <c r="A627" s="61">
        <v>60.35</v>
      </c>
      <c r="B627" s="61">
        <v>61.99</v>
      </c>
      <c r="C627" s="61">
        <v>58.28</v>
      </c>
      <c r="D627" s="61">
        <v>58.96</v>
      </c>
      <c r="E627" s="61">
        <v>145999</v>
      </c>
      <c r="F627" s="61" t="s">
        <v>569</v>
      </c>
      <c r="G627" s="25">
        <f t="shared" si="17"/>
        <v>2.3575305291723136E-2</v>
      </c>
    </row>
    <row r="628" spans="1:7">
      <c r="A628" s="61">
        <v>59.25</v>
      </c>
      <c r="B628" s="61">
        <v>59.75</v>
      </c>
      <c r="C628" s="61">
        <v>58.95</v>
      </c>
      <c r="D628" s="61">
        <v>59.35</v>
      </c>
      <c r="E628" s="61">
        <v>47634</v>
      </c>
      <c r="F628" s="61" t="s">
        <v>570</v>
      </c>
      <c r="G628" s="25">
        <f t="shared" si="17"/>
        <v>-1.6849199663016012E-3</v>
      </c>
    </row>
    <row r="629" spans="1:7">
      <c r="A629" s="61">
        <v>59.3</v>
      </c>
      <c r="B629" s="61">
        <v>60.1</v>
      </c>
      <c r="C629" s="61">
        <v>58.5</v>
      </c>
      <c r="D629" s="61">
        <v>59.39</v>
      </c>
      <c r="E629" s="61">
        <v>158924</v>
      </c>
      <c r="F629" s="61" t="s">
        <v>571</v>
      </c>
      <c r="G629" s="25">
        <f t="shared" si="17"/>
        <v>-1.5154066341135364E-3</v>
      </c>
    </row>
    <row r="630" spans="1:7">
      <c r="A630" s="61">
        <v>58.05</v>
      </c>
      <c r="B630" s="61">
        <v>58.75</v>
      </c>
      <c r="C630" s="61">
        <v>58</v>
      </c>
      <c r="D630" s="61">
        <v>58</v>
      </c>
      <c r="E630" s="61">
        <v>68645</v>
      </c>
      <c r="F630" s="61" t="s">
        <v>572</v>
      </c>
      <c r="G630" s="25">
        <f t="shared" si="17"/>
        <v>8.6206896551721535E-4</v>
      </c>
    </row>
    <row r="631" spans="1:7">
      <c r="A631" s="61">
        <v>58.55</v>
      </c>
      <c r="B631" s="61">
        <v>58.75</v>
      </c>
      <c r="C631" s="61">
        <v>58.25</v>
      </c>
      <c r="D631" s="61">
        <v>58.51</v>
      </c>
      <c r="E631" s="61">
        <v>47198</v>
      </c>
      <c r="F631" s="61" t="s">
        <v>573</v>
      </c>
      <c r="G631" s="25">
        <f t="shared" si="17"/>
        <v>6.8364382156893555E-4</v>
      </c>
    </row>
    <row r="632" spans="1:7">
      <c r="A632" s="61">
        <v>58.75</v>
      </c>
      <c r="B632" s="61">
        <v>59.39</v>
      </c>
      <c r="C632" s="61">
        <v>58.26</v>
      </c>
      <c r="D632" s="61">
        <v>59.39</v>
      </c>
      <c r="E632" s="61">
        <v>12906</v>
      </c>
      <c r="F632" s="61" t="s">
        <v>574</v>
      </c>
      <c r="G632" s="25">
        <f t="shared" si="17"/>
        <v>-1.0776224953695901E-2</v>
      </c>
    </row>
    <row r="633" spans="1:7">
      <c r="A633" s="61">
        <v>58.76</v>
      </c>
      <c r="B633" s="61">
        <v>59.39</v>
      </c>
      <c r="C633" s="61">
        <v>58.01</v>
      </c>
      <c r="D633" s="61">
        <v>58.402000000000001</v>
      </c>
      <c r="E633" s="61">
        <v>19126</v>
      </c>
      <c r="F633" s="61" t="s">
        <v>575</v>
      </c>
      <c r="G633" s="25">
        <f t="shared" si="17"/>
        <v>6.1299270572925391E-3</v>
      </c>
    </row>
    <row r="634" spans="1:7">
      <c r="A634" s="61">
        <v>58.32</v>
      </c>
      <c r="B634" s="61">
        <v>59.24</v>
      </c>
      <c r="C634" s="61">
        <v>57.01</v>
      </c>
      <c r="D634" s="61">
        <v>57.5</v>
      </c>
      <c r="E634" s="61">
        <v>63828</v>
      </c>
      <c r="F634" s="61" t="s">
        <v>576</v>
      </c>
      <c r="G634" s="25">
        <f t="shared" si="17"/>
        <v>1.4260869565217327E-2</v>
      </c>
    </row>
    <row r="635" spans="1:7">
      <c r="A635" s="61">
        <v>58.6</v>
      </c>
      <c r="B635" s="61">
        <v>59.99</v>
      </c>
      <c r="C635" s="61">
        <v>58.51</v>
      </c>
      <c r="D635" s="61">
        <v>59.25</v>
      </c>
      <c r="E635" s="61">
        <v>204161</v>
      </c>
      <c r="F635" s="61" t="s">
        <v>577</v>
      </c>
      <c r="G635" s="25">
        <f t="shared" ref="G635:G698" si="18">A635/D635-1</f>
        <v>-1.0970464135021119E-2</v>
      </c>
    </row>
    <row r="636" spans="1:7">
      <c r="A636" s="61">
        <v>59</v>
      </c>
      <c r="B636" s="61">
        <v>59.31</v>
      </c>
      <c r="C636" s="61">
        <v>56.16</v>
      </c>
      <c r="D636" s="61">
        <v>59.15</v>
      </c>
      <c r="E636" s="61">
        <v>123742</v>
      </c>
      <c r="F636" s="61" t="s">
        <v>578</v>
      </c>
      <c r="G636" s="25">
        <f t="shared" si="18"/>
        <v>-2.5359256128486551E-3</v>
      </c>
    </row>
    <row r="637" spans="1:7">
      <c r="A637" s="61">
        <v>59.1</v>
      </c>
      <c r="B637" s="61">
        <v>60.09</v>
      </c>
      <c r="C637" s="61">
        <v>58.5</v>
      </c>
      <c r="D637" s="61">
        <v>60.09</v>
      </c>
      <c r="E637" s="61">
        <v>307991</v>
      </c>
      <c r="F637" s="61" t="s">
        <v>579</v>
      </c>
      <c r="G637" s="25">
        <f t="shared" si="18"/>
        <v>-1.6475287069395939E-2</v>
      </c>
    </row>
    <row r="638" spans="1:7">
      <c r="A638" s="61">
        <v>59.55</v>
      </c>
      <c r="B638" s="61">
        <v>60.276800000000001</v>
      </c>
      <c r="C638" s="61">
        <v>57</v>
      </c>
      <c r="D638" s="61">
        <v>57.16</v>
      </c>
      <c r="E638" s="61">
        <v>271089</v>
      </c>
      <c r="F638" s="61" t="s">
        <v>580</v>
      </c>
      <c r="G638" s="25">
        <f t="shared" si="18"/>
        <v>4.1812456263121023E-2</v>
      </c>
    </row>
    <row r="639" spans="1:7">
      <c r="A639" s="61">
        <v>57.35</v>
      </c>
      <c r="B639" s="61">
        <v>60</v>
      </c>
      <c r="C639" s="61">
        <v>55.82</v>
      </c>
      <c r="D639" s="61">
        <v>60</v>
      </c>
      <c r="E639" s="61">
        <v>222115</v>
      </c>
      <c r="F639" s="61" t="s">
        <v>581</v>
      </c>
      <c r="G639" s="25">
        <f t="shared" si="18"/>
        <v>-4.4166666666666687E-2</v>
      </c>
    </row>
    <row r="640" spans="1:7">
      <c r="A640" s="61">
        <v>56</v>
      </c>
      <c r="B640" s="61">
        <v>56.16</v>
      </c>
      <c r="C640" s="61">
        <v>55.25</v>
      </c>
      <c r="D640" s="61">
        <v>55.25</v>
      </c>
      <c r="E640" s="61">
        <v>108383</v>
      </c>
      <c r="F640" s="61" t="s">
        <v>582</v>
      </c>
      <c r="G640" s="25">
        <f t="shared" si="18"/>
        <v>1.3574660633484115E-2</v>
      </c>
    </row>
    <row r="641" spans="1:7">
      <c r="A641" s="61">
        <v>55.2</v>
      </c>
      <c r="B641" s="61">
        <v>57.037999999999997</v>
      </c>
      <c r="C641" s="61">
        <v>53.95</v>
      </c>
      <c r="D641" s="61">
        <v>53.95</v>
      </c>
      <c r="E641" s="61">
        <v>160549</v>
      </c>
      <c r="F641" s="61" t="s">
        <v>583</v>
      </c>
      <c r="G641" s="25">
        <f t="shared" si="18"/>
        <v>2.3169601482854407E-2</v>
      </c>
    </row>
    <row r="642" spans="1:7">
      <c r="A642" s="61">
        <v>54.92</v>
      </c>
      <c r="B642" s="61">
        <v>55.5</v>
      </c>
      <c r="C642" s="61">
        <v>54.92</v>
      </c>
      <c r="D642" s="61">
        <v>55.5</v>
      </c>
      <c r="E642" s="61">
        <v>30328</v>
      </c>
      <c r="F642" s="61" t="s">
        <v>584</v>
      </c>
      <c r="G642" s="25">
        <f t="shared" si="18"/>
        <v>-1.0450450450450455E-2</v>
      </c>
    </row>
    <row r="643" spans="1:7">
      <c r="A643" s="61">
        <v>55.4</v>
      </c>
      <c r="B643" s="61">
        <v>55.5</v>
      </c>
      <c r="C643" s="61">
        <v>55.08</v>
      </c>
      <c r="D643" s="61">
        <v>55.08</v>
      </c>
      <c r="E643" s="61">
        <v>13128</v>
      </c>
      <c r="F643" s="61" t="s">
        <v>585</v>
      </c>
      <c r="G643" s="25">
        <f t="shared" si="18"/>
        <v>5.8097312999274564E-3</v>
      </c>
    </row>
    <row r="644" spans="1:7">
      <c r="A644" s="61">
        <v>55.15</v>
      </c>
      <c r="B644" s="61">
        <v>55.18</v>
      </c>
      <c r="C644" s="61">
        <v>54.3</v>
      </c>
      <c r="D644" s="61">
        <v>54.3</v>
      </c>
      <c r="E644" s="61">
        <v>95450</v>
      </c>
      <c r="F644" s="61" t="s">
        <v>586</v>
      </c>
      <c r="G644" s="25">
        <f t="shared" si="18"/>
        <v>1.5653775322283625E-2</v>
      </c>
    </row>
    <row r="645" spans="1:7">
      <c r="A645" s="61">
        <v>54.3</v>
      </c>
      <c r="B645" s="61">
        <v>54.33</v>
      </c>
      <c r="C645" s="61">
        <v>54</v>
      </c>
      <c r="D645" s="61">
        <v>54</v>
      </c>
      <c r="E645" s="61">
        <v>165604</v>
      </c>
      <c r="F645" s="61" t="s">
        <v>587</v>
      </c>
      <c r="G645" s="25">
        <f t="shared" si="18"/>
        <v>5.5555555555555358E-3</v>
      </c>
    </row>
    <row r="646" spans="1:7">
      <c r="A646" s="61">
        <v>54.39</v>
      </c>
      <c r="B646" s="61">
        <v>55.14</v>
      </c>
      <c r="C646" s="61">
        <v>53.36</v>
      </c>
      <c r="D646" s="61">
        <v>55.14</v>
      </c>
      <c r="E646" s="61">
        <v>21561</v>
      </c>
      <c r="F646" s="61" t="s">
        <v>588</v>
      </c>
      <c r="G646" s="25">
        <f t="shared" si="18"/>
        <v>-1.3601741022850944E-2</v>
      </c>
    </row>
    <row r="647" spans="1:7">
      <c r="A647" s="61">
        <v>54.5</v>
      </c>
      <c r="B647" s="61">
        <v>54.75</v>
      </c>
      <c r="C647" s="61">
        <v>53.99</v>
      </c>
      <c r="D647" s="61">
        <v>53.99</v>
      </c>
      <c r="E647" s="61">
        <v>34682</v>
      </c>
      <c r="F647" s="61" t="s">
        <v>589</v>
      </c>
      <c r="G647" s="25">
        <f t="shared" si="18"/>
        <v>9.4461937395813322E-3</v>
      </c>
    </row>
    <row r="648" spans="1:7">
      <c r="A648" s="61">
        <v>53.5</v>
      </c>
      <c r="B648" s="61">
        <v>54.44</v>
      </c>
      <c r="C648" s="61">
        <v>53.03</v>
      </c>
      <c r="D648" s="61">
        <v>54</v>
      </c>
      <c r="E648" s="61">
        <v>24028</v>
      </c>
      <c r="F648" s="61" t="s">
        <v>590</v>
      </c>
      <c r="G648" s="25">
        <f t="shared" si="18"/>
        <v>-9.2592592592593004E-3</v>
      </c>
    </row>
    <row r="649" spans="1:7">
      <c r="A649" s="61">
        <v>53.75</v>
      </c>
      <c r="B649" s="61">
        <v>55.5</v>
      </c>
      <c r="C649" s="61">
        <v>53.75</v>
      </c>
      <c r="D649" s="61">
        <v>54.49</v>
      </c>
      <c r="E649" s="61">
        <v>138769</v>
      </c>
      <c r="F649" s="61" t="s">
        <v>591</v>
      </c>
      <c r="G649" s="25">
        <f t="shared" si="18"/>
        <v>-1.3580473481372812E-2</v>
      </c>
    </row>
    <row r="650" spans="1:7">
      <c r="A650" s="61">
        <v>54.45</v>
      </c>
      <c r="B650" s="61">
        <v>56.59</v>
      </c>
      <c r="C650" s="61">
        <v>52.01</v>
      </c>
      <c r="D650" s="61">
        <v>56.59</v>
      </c>
      <c r="E650" s="61">
        <v>209137</v>
      </c>
      <c r="F650" s="61" t="s">
        <v>592</v>
      </c>
      <c r="G650" s="25">
        <f t="shared" si="18"/>
        <v>-3.7815868528008445E-2</v>
      </c>
    </row>
    <row r="651" spans="1:7">
      <c r="A651" s="61">
        <v>55.42</v>
      </c>
      <c r="B651" s="61">
        <v>55.5</v>
      </c>
      <c r="C651" s="61">
        <v>55</v>
      </c>
      <c r="D651" s="61">
        <v>55.25</v>
      </c>
      <c r="E651" s="61">
        <v>150062</v>
      </c>
      <c r="F651" s="61" t="s">
        <v>593</v>
      </c>
      <c r="G651" s="25">
        <f t="shared" si="18"/>
        <v>3.0769230769231992E-3</v>
      </c>
    </row>
    <row r="652" spans="1:7">
      <c r="A652" s="61">
        <v>54.75</v>
      </c>
      <c r="B652" s="61">
        <v>56.89</v>
      </c>
      <c r="C652" s="61">
        <v>54.06</v>
      </c>
      <c r="D652" s="61">
        <v>54.15</v>
      </c>
      <c r="E652" s="61">
        <v>66271</v>
      </c>
      <c r="F652" s="61" t="s">
        <v>594</v>
      </c>
      <c r="G652" s="25">
        <f t="shared" si="18"/>
        <v>1.1080332409972415E-2</v>
      </c>
    </row>
    <row r="653" spans="1:7">
      <c r="A653" s="61">
        <v>53.77</v>
      </c>
      <c r="B653" s="61">
        <v>54.75</v>
      </c>
      <c r="C653" s="61">
        <v>53.52</v>
      </c>
      <c r="D653" s="61">
        <v>54.75</v>
      </c>
      <c r="E653" s="61">
        <v>196413</v>
      </c>
      <c r="F653" s="61" t="s">
        <v>595</v>
      </c>
      <c r="G653" s="25">
        <f t="shared" si="18"/>
        <v>-1.7899543378995353E-2</v>
      </c>
    </row>
    <row r="654" spans="1:7">
      <c r="A654" s="61">
        <v>54.22</v>
      </c>
      <c r="B654" s="61">
        <v>54.573999999999998</v>
      </c>
      <c r="C654" s="61">
        <v>54.125</v>
      </c>
      <c r="D654" s="61">
        <v>54.25</v>
      </c>
      <c r="E654" s="61">
        <v>258795</v>
      </c>
      <c r="F654" s="61" t="s">
        <v>596</v>
      </c>
      <c r="G654" s="25">
        <f t="shared" si="18"/>
        <v>-5.5299539170505785E-4</v>
      </c>
    </row>
    <row r="655" spans="1:7">
      <c r="A655" s="61">
        <v>54.25</v>
      </c>
      <c r="B655" s="61">
        <v>54.5</v>
      </c>
      <c r="C655" s="61">
        <v>53.634999999999998</v>
      </c>
      <c r="D655" s="61">
        <v>54</v>
      </c>
      <c r="E655" s="61">
        <v>130305</v>
      </c>
      <c r="F655" s="61" t="s">
        <v>597</v>
      </c>
      <c r="G655" s="25">
        <f t="shared" si="18"/>
        <v>4.6296296296295392E-3</v>
      </c>
    </row>
    <row r="656" spans="1:7">
      <c r="A656" s="61">
        <v>53.9</v>
      </c>
      <c r="B656" s="61">
        <v>54</v>
      </c>
      <c r="C656" s="61">
        <v>53</v>
      </c>
      <c r="D656" s="61">
        <v>53</v>
      </c>
      <c r="E656" s="61">
        <v>233765</v>
      </c>
      <c r="F656" s="61" t="s">
        <v>598</v>
      </c>
      <c r="G656" s="25">
        <f t="shared" si="18"/>
        <v>1.6981132075471583E-2</v>
      </c>
    </row>
    <row r="657" spans="1:7">
      <c r="A657" s="61">
        <v>52.92</v>
      </c>
      <c r="B657" s="61">
        <v>53.35</v>
      </c>
      <c r="C657" s="61">
        <v>52.9</v>
      </c>
      <c r="D657" s="61">
        <v>53</v>
      </c>
      <c r="E657" s="61">
        <v>73832</v>
      </c>
      <c r="F657" s="61" t="s">
        <v>599</v>
      </c>
      <c r="G657" s="25">
        <f t="shared" si="18"/>
        <v>-1.5094339622641062E-3</v>
      </c>
    </row>
    <row r="658" spans="1:7">
      <c r="A658" s="61">
        <v>52.9</v>
      </c>
      <c r="B658" s="61">
        <v>52.993499999999997</v>
      </c>
      <c r="C658" s="61">
        <v>52.75</v>
      </c>
      <c r="D658" s="61">
        <v>52.98</v>
      </c>
      <c r="E658" s="61">
        <v>42335</v>
      </c>
      <c r="F658" s="61" t="s">
        <v>600</v>
      </c>
      <c r="G658" s="25">
        <f t="shared" si="18"/>
        <v>-1.5100037750094275E-3</v>
      </c>
    </row>
    <row r="659" spans="1:7">
      <c r="A659" s="61">
        <v>52.85</v>
      </c>
      <c r="B659" s="61">
        <v>53</v>
      </c>
      <c r="C659" s="61">
        <v>52.51</v>
      </c>
      <c r="D659" s="61">
        <v>52.98</v>
      </c>
      <c r="E659" s="61">
        <v>76921</v>
      </c>
      <c r="F659" s="61" t="s">
        <v>601</v>
      </c>
      <c r="G659" s="25">
        <f t="shared" si="18"/>
        <v>-2.4537561343902503E-3</v>
      </c>
    </row>
    <row r="660" spans="1:7">
      <c r="A660" s="61">
        <v>52.98</v>
      </c>
      <c r="B660" s="61">
        <v>53</v>
      </c>
      <c r="C660" s="61">
        <v>52.375</v>
      </c>
      <c r="D660" s="61">
        <v>53</v>
      </c>
      <c r="E660" s="61">
        <v>50319</v>
      </c>
      <c r="F660" s="61" t="s">
        <v>602</v>
      </c>
      <c r="G660" s="25">
        <f t="shared" si="18"/>
        <v>-3.7735849056608206E-4</v>
      </c>
    </row>
    <row r="661" spans="1:7">
      <c r="A661" s="61">
        <v>53</v>
      </c>
      <c r="B661" s="61">
        <v>53</v>
      </c>
      <c r="C661" s="61">
        <v>52.52</v>
      </c>
      <c r="D661" s="61">
        <v>53</v>
      </c>
      <c r="E661" s="61">
        <v>286399</v>
      </c>
      <c r="F661" s="61" t="s">
        <v>603</v>
      </c>
      <c r="G661" s="25">
        <f t="shared" si="18"/>
        <v>0</v>
      </c>
    </row>
    <row r="662" spans="1:7">
      <c r="A662" s="61">
        <v>52.997999999999998</v>
      </c>
      <c r="B662" s="61">
        <v>53.59</v>
      </c>
      <c r="C662" s="61">
        <v>52.75</v>
      </c>
      <c r="D662" s="61">
        <v>53.3</v>
      </c>
      <c r="E662" s="61">
        <v>102198</v>
      </c>
      <c r="F662" s="61" t="s">
        <v>604</v>
      </c>
      <c r="G662" s="25">
        <f t="shared" si="18"/>
        <v>-5.6660412757973955E-3</v>
      </c>
    </row>
    <row r="663" spans="1:7">
      <c r="A663" s="61">
        <v>52.9</v>
      </c>
      <c r="B663" s="61">
        <v>53.49</v>
      </c>
      <c r="C663" s="61">
        <v>52.67</v>
      </c>
      <c r="D663" s="61">
        <v>53.468499999999999</v>
      </c>
      <c r="E663" s="61">
        <v>189620</v>
      </c>
      <c r="F663" s="61" t="s">
        <v>605</v>
      </c>
      <c r="G663" s="25">
        <f t="shared" si="18"/>
        <v>-1.0632428439174446E-2</v>
      </c>
    </row>
    <row r="664" spans="1:7">
      <c r="A664" s="61">
        <v>52.96</v>
      </c>
      <c r="B664" s="61">
        <v>54.43</v>
      </c>
      <c r="C664" s="61">
        <v>52.96</v>
      </c>
      <c r="D664" s="61">
        <v>54.43</v>
      </c>
      <c r="E664" s="61">
        <v>101388</v>
      </c>
      <c r="F664" s="61" t="s">
        <v>606</v>
      </c>
      <c r="G664" s="25">
        <f t="shared" si="18"/>
        <v>-2.7007165166268554E-2</v>
      </c>
    </row>
    <row r="665" spans="1:7">
      <c r="A665" s="61">
        <v>53.19</v>
      </c>
      <c r="B665" s="61">
        <v>53.75</v>
      </c>
      <c r="C665" s="61">
        <v>53</v>
      </c>
      <c r="D665" s="61">
        <v>53.695999999999998</v>
      </c>
      <c r="E665" s="61">
        <v>81518</v>
      </c>
      <c r="F665" s="61" t="s">
        <v>607</v>
      </c>
      <c r="G665" s="25">
        <f t="shared" si="18"/>
        <v>-9.4234207389749525E-3</v>
      </c>
    </row>
    <row r="666" spans="1:7">
      <c r="A666" s="61">
        <v>52.33</v>
      </c>
      <c r="B666" s="61">
        <v>52.5</v>
      </c>
      <c r="C666" s="61">
        <v>51.81</v>
      </c>
      <c r="D666" s="61">
        <v>51.81</v>
      </c>
      <c r="E666" s="61">
        <v>259268</v>
      </c>
      <c r="F666" s="61" t="s">
        <v>608</v>
      </c>
      <c r="G666" s="25">
        <f t="shared" si="18"/>
        <v>1.0036672457054641E-2</v>
      </c>
    </row>
    <row r="667" spans="1:7">
      <c r="A667" s="61">
        <v>52</v>
      </c>
      <c r="B667" s="61">
        <v>52.4</v>
      </c>
      <c r="C667" s="61">
        <v>52</v>
      </c>
      <c r="D667" s="61">
        <v>52.2</v>
      </c>
      <c r="E667" s="61">
        <v>16638</v>
      </c>
      <c r="F667" s="61" t="s">
        <v>609</v>
      </c>
      <c r="G667" s="25">
        <f t="shared" si="18"/>
        <v>-3.8314176245211051E-3</v>
      </c>
    </row>
    <row r="668" spans="1:7">
      <c r="A668" s="61">
        <v>52.2</v>
      </c>
      <c r="B668" s="61">
        <v>52.64</v>
      </c>
      <c r="C668" s="61">
        <v>52.11</v>
      </c>
      <c r="D668" s="61">
        <v>52.11</v>
      </c>
      <c r="E668" s="61">
        <v>229445</v>
      </c>
      <c r="F668" s="61" t="s">
        <v>610</v>
      </c>
      <c r="G668" s="25">
        <f t="shared" si="18"/>
        <v>1.7271157167531026E-3</v>
      </c>
    </row>
    <row r="669" spans="1:7">
      <c r="A669" s="61">
        <v>52.11</v>
      </c>
      <c r="B669" s="61">
        <v>52.49</v>
      </c>
      <c r="C669" s="61">
        <v>52</v>
      </c>
      <c r="D669" s="61">
        <v>52.1</v>
      </c>
      <c r="E669" s="61">
        <v>38592</v>
      </c>
      <c r="F669" s="61" t="s">
        <v>611</v>
      </c>
      <c r="G669" s="25">
        <f t="shared" si="18"/>
        <v>1.9193857965449368E-4</v>
      </c>
    </row>
    <row r="670" spans="1:7">
      <c r="A670" s="61">
        <v>52.09</v>
      </c>
      <c r="B670" s="61">
        <v>52.79</v>
      </c>
      <c r="C670" s="61">
        <v>51.99</v>
      </c>
      <c r="D670" s="61">
        <v>52.1</v>
      </c>
      <c r="E670" s="61">
        <v>21495</v>
      </c>
      <c r="F670" s="61" t="s">
        <v>612</v>
      </c>
      <c r="G670" s="25">
        <f t="shared" si="18"/>
        <v>-1.9193857965449368E-4</v>
      </c>
    </row>
    <row r="671" spans="1:7">
      <c r="A671" s="61">
        <v>51.75</v>
      </c>
      <c r="B671" s="61">
        <v>52.5</v>
      </c>
      <c r="C671" s="61">
        <v>51.75</v>
      </c>
      <c r="D671" s="61">
        <v>52.460999999999999</v>
      </c>
      <c r="E671" s="61">
        <v>10247</v>
      </c>
      <c r="F671" s="61" t="s">
        <v>613</v>
      </c>
      <c r="G671" s="25">
        <f t="shared" si="18"/>
        <v>-1.3552925030022256E-2</v>
      </c>
    </row>
    <row r="672" spans="1:7">
      <c r="A672" s="61">
        <v>52.5</v>
      </c>
      <c r="B672" s="61">
        <v>54.99</v>
      </c>
      <c r="C672" s="61">
        <v>51.7408</v>
      </c>
      <c r="D672" s="61">
        <v>52.7</v>
      </c>
      <c r="E672" s="61">
        <v>42062</v>
      </c>
      <c r="F672" s="61" t="s">
        <v>614</v>
      </c>
      <c r="G672" s="25">
        <f t="shared" si="18"/>
        <v>-3.7950664136623402E-3</v>
      </c>
    </row>
    <row r="673" spans="1:7">
      <c r="A673" s="61">
        <v>52.68</v>
      </c>
      <c r="B673" s="61">
        <v>52.7</v>
      </c>
      <c r="C673" s="61">
        <v>51.5</v>
      </c>
      <c r="D673" s="61">
        <v>52.48</v>
      </c>
      <c r="E673" s="61">
        <v>309693</v>
      </c>
      <c r="F673" s="61" t="s">
        <v>615</v>
      </c>
      <c r="G673" s="25">
        <f t="shared" si="18"/>
        <v>3.8109756097561842E-3</v>
      </c>
    </row>
    <row r="674" spans="1:7">
      <c r="A674" s="61">
        <v>52.5</v>
      </c>
      <c r="B674" s="61">
        <v>52.5</v>
      </c>
      <c r="C674" s="61">
        <v>51.55</v>
      </c>
      <c r="D674" s="61">
        <v>52</v>
      </c>
      <c r="E674" s="61">
        <v>54741</v>
      </c>
      <c r="F674" s="61" t="s">
        <v>616</v>
      </c>
      <c r="G674" s="25">
        <f t="shared" si="18"/>
        <v>9.6153846153845812E-3</v>
      </c>
    </row>
    <row r="675" spans="1:7">
      <c r="A675" s="61">
        <v>51.85</v>
      </c>
      <c r="B675" s="61">
        <v>52.195</v>
      </c>
      <c r="C675" s="61">
        <v>51.7</v>
      </c>
      <c r="D675" s="61">
        <v>52.195</v>
      </c>
      <c r="E675" s="61">
        <v>9459</v>
      </c>
      <c r="F675" s="61" t="s">
        <v>617</v>
      </c>
      <c r="G675" s="25">
        <f t="shared" si="18"/>
        <v>-6.6098285276366964E-3</v>
      </c>
    </row>
    <row r="676" spans="1:7">
      <c r="A676" s="61">
        <v>52.15</v>
      </c>
      <c r="B676" s="61">
        <v>52.4</v>
      </c>
      <c r="C676" s="61">
        <v>52.01</v>
      </c>
      <c r="D676" s="61">
        <v>52.25</v>
      </c>
      <c r="E676" s="61">
        <v>8455</v>
      </c>
      <c r="F676" s="61" t="s">
        <v>618</v>
      </c>
      <c r="G676" s="25">
        <f t="shared" si="18"/>
        <v>-1.913875598086201E-3</v>
      </c>
    </row>
    <row r="677" spans="1:7">
      <c r="A677" s="61">
        <v>52.5</v>
      </c>
      <c r="B677" s="61">
        <v>52.78</v>
      </c>
      <c r="C677" s="61">
        <v>52.15</v>
      </c>
      <c r="D677" s="61">
        <v>52.78</v>
      </c>
      <c r="E677" s="61">
        <v>109575</v>
      </c>
      <c r="F677" s="61" t="s">
        <v>619</v>
      </c>
      <c r="G677" s="25">
        <f t="shared" si="18"/>
        <v>-5.3050397877983935E-3</v>
      </c>
    </row>
    <row r="678" spans="1:7">
      <c r="A678" s="61">
        <v>52.78</v>
      </c>
      <c r="B678" s="61">
        <v>52.78</v>
      </c>
      <c r="C678" s="61">
        <v>51.7</v>
      </c>
      <c r="D678" s="61">
        <v>51.7</v>
      </c>
      <c r="E678" s="61">
        <v>31773</v>
      </c>
      <c r="F678" s="61" t="s">
        <v>620</v>
      </c>
      <c r="G678" s="25">
        <f t="shared" si="18"/>
        <v>2.0889748549322906E-2</v>
      </c>
    </row>
    <row r="679" spans="1:7">
      <c r="A679" s="61">
        <v>51.75</v>
      </c>
      <c r="B679" s="61">
        <v>52</v>
      </c>
      <c r="C679" s="61">
        <v>51.5</v>
      </c>
      <c r="D679" s="61">
        <v>51.76</v>
      </c>
      <c r="E679" s="61">
        <v>9595</v>
      </c>
      <c r="F679" s="61" t="s">
        <v>621</v>
      </c>
      <c r="G679" s="25">
        <f t="shared" si="18"/>
        <v>-1.9319938176198814E-4</v>
      </c>
    </row>
    <row r="680" spans="1:7">
      <c r="A680" s="61">
        <v>52.3</v>
      </c>
      <c r="B680" s="61">
        <v>53.75</v>
      </c>
      <c r="C680" s="61">
        <v>50.75</v>
      </c>
      <c r="D680" s="61">
        <v>53.75</v>
      </c>
      <c r="E680" s="61">
        <v>11608</v>
      </c>
      <c r="F680" s="61" t="s">
        <v>622</v>
      </c>
      <c r="G680" s="25">
        <f t="shared" si="18"/>
        <v>-2.6976744186046564E-2</v>
      </c>
    </row>
    <row r="681" spans="1:7">
      <c r="A681" s="61">
        <v>53.22</v>
      </c>
      <c r="B681" s="61">
        <v>53.5</v>
      </c>
      <c r="C681" s="61">
        <v>52.92</v>
      </c>
      <c r="D681" s="61">
        <v>52.92</v>
      </c>
      <c r="E681" s="61">
        <v>26756</v>
      </c>
      <c r="F681" s="61" t="s">
        <v>623</v>
      </c>
      <c r="G681" s="25">
        <f t="shared" si="18"/>
        <v>5.6689342403628551E-3</v>
      </c>
    </row>
    <row r="682" spans="1:7">
      <c r="A682" s="61">
        <v>52.9</v>
      </c>
      <c r="B682" s="61">
        <v>53.75</v>
      </c>
      <c r="C682" s="61">
        <v>52.83</v>
      </c>
      <c r="D682" s="61">
        <v>53.1</v>
      </c>
      <c r="E682" s="61">
        <v>14913</v>
      </c>
      <c r="F682" s="61" t="s">
        <v>624</v>
      </c>
      <c r="G682" s="25">
        <f t="shared" si="18"/>
        <v>-3.7664783427495685E-3</v>
      </c>
    </row>
    <row r="683" spans="1:7">
      <c r="A683" s="61">
        <v>53.2</v>
      </c>
      <c r="B683" s="61">
        <v>53.74</v>
      </c>
      <c r="C683" s="61">
        <v>52.8</v>
      </c>
      <c r="D683" s="61">
        <v>53.5</v>
      </c>
      <c r="E683" s="61">
        <v>12206</v>
      </c>
      <c r="F683" s="61" t="s">
        <v>625</v>
      </c>
      <c r="G683" s="25">
        <f t="shared" si="18"/>
        <v>-5.6074766355139749E-3</v>
      </c>
    </row>
    <row r="684" spans="1:7">
      <c r="A684" s="61">
        <v>53.25</v>
      </c>
      <c r="B684" s="61">
        <v>54.9</v>
      </c>
      <c r="C684" s="61">
        <v>50.5</v>
      </c>
      <c r="D684" s="61">
        <v>53.5</v>
      </c>
      <c r="E684" s="61">
        <v>227877</v>
      </c>
      <c r="F684" s="61" t="s">
        <v>626</v>
      </c>
      <c r="G684" s="25">
        <f t="shared" si="18"/>
        <v>-4.6728971962616273E-3</v>
      </c>
    </row>
    <row r="685" spans="1:7">
      <c r="A685" s="61">
        <v>53.89</v>
      </c>
      <c r="B685" s="61">
        <v>54.35</v>
      </c>
      <c r="C685" s="61">
        <v>53.5</v>
      </c>
      <c r="D685" s="61">
        <v>54.35</v>
      </c>
      <c r="E685" s="61">
        <v>26911</v>
      </c>
      <c r="F685" s="61" t="s">
        <v>627</v>
      </c>
      <c r="G685" s="25">
        <f t="shared" si="18"/>
        <v>-8.4636614535418264E-3</v>
      </c>
    </row>
    <row r="686" spans="1:7">
      <c r="A686" s="61">
        <v>54.4</v>
      </c>
      <c r="B686" s="61">
        <v>54.75</v>
      </c>
      <c r="C686" s="61">
        <v>54</v>
      </c>
      <c r="D686" s="61">
        <v>54.75</v>
      </c>
      <c r="E686" s="61">
        <v>157869</v>
      </c>
      <c r="F686" s="61" t="s">
        <v>628</v>
      </c>
      <c r="G686" s="25">
        <f t="shared" si="18"/>
        <v>-6.3926940639269514E-3</v>
      </c>
    </row>
    <row r="687" spans="1:7">
      <c r="A687" s="61">
        <v>54.5</v>
      </c>
      <c r="B687" s="61">
        <v>54.75</v>
      </c>
      <c r="C687" s="61">
        <v>54.25</v>
      </c>
      <c r="D687" s="61">
        <v>54.74</v>
      </c>
      <c r="E687" s="61">
        <v>44431</v>
      </c>
      <c r="F687" s="61" t="s">
        <v>629</v>
      </c>
      <c r="G687" s="25">
        <f t="shared" si="18"/>
        <v>-4.3843624406284532E-3</v>
      </c>
    </row>
    <row r="688" spans="1:7">
      <c r="A688" s="61">
        <v>54.5</v>
      </c>
      <c r="B688" s="61">
        <v>55</v>
      </c>
      <c r="C688" s="61">
        <v>52.05</v>
      </c>
      <c r="D688" s="61">
        <v>54.7</v>
      </c>
      <c r="E688" s="61">
        <v>88617</v>
      </c>
      <c r="F688" s="61" t="s">
        <v>630</v>
      </c>
      <c r="G688" s="25">
        <f t="shared" si="18"/>
        <v>-3.6563071297989191E-3</v>
      </c>
    </row>
    <row r="689" spans="1:7">
      <c r="A689" s="61">
        <v>54.64</v>
      </c>
      <c r="B689" s="61">
        <v>54.75</v>
      </c>
      <c r="C689" s="61">
        <v>54.55</v>
      </c>
      <c r="D689" s="61">
        <v>54.6</v>
      </c>
      <c r="E689" s="61">
        <v>42088</v>
      </c>
      <c r="F689" s="61" t="s">
        <v>631</v>
      </c>
      <c r="G689" s="25">
        <f t="shared" si="18"/>
        <v>7.3260073260073E-4</v>
      </c>
    </row>
    <row r="690" spans="1:7">
      <c r="A690" s="61">
        <v>54.9</v>
      </c>
      <c r="B690" s="61">
        <v>54.9</v>
      </c>
      <c r="C690" s="61">
        <v>54.2</v>
      </c>
      <c r="D690" s="61">
        <v>54.9</v>
      </c>
      <c r="E690" s="61">
        <v>6550</v>
      </c>
      <c r="F690" s="61" t="s">
        <v>632</v>
      </c>
      <c r="G690" s="25">
        <f t="shared" si="18"/>
        <v>0</v>
      </c>
    </row>
    <row r="691" spans="1:7">
      <c r="A691" s="61">
        <v>54.9</v>
      </c>
      <c r="B691" s="61">
        <v>55</v>
      </c>
      <c r="C691" s="61">
        <v>54.9</v>
      </c>
      <c r="D691" s="61">
        <v>55</v>
      </c>
      <c r="E691" s="61">
        <v>20849</v>
      </c>
      <c r="F691" s="61" t="s">
        <v>633</v>
      </c>
      <c r="G691" s="25">
        <f t="shared" si="18"/>
        <v>-1.8181818181818299E-3</v>
      </c>
    </row>
    <row r="692" spans="1:7">
      <c r="A692" s="61">
        <v>54.9</v>
      </c>
      <c r="B692" s="61">
        <v>55</v>
      </c>
      <c r="C692" s="61">
        <v>54.5</v>
      </c>
      <c r="D692" s="61">
        <v>54.9</v>
      </c>
      <c r="E692" s="61">
        <v>30788</v>
      </c>
      <c r="F692" s="61" t="s">
        <v>634</v>
      </c>
      <c r="G692" s="25">
        <f t="shared" si="18"/>
        <v>0</v>
      </c>
    </row>
    <row r="693" spans="1:7">
      <c r="A693" s="61">
        <v>54.9</v>
      </c>
      <c r="B693" s="61">
        <v>55</v>
      </c>
      <c r="C693" s="61">
        <v>53.26</v>
      </c>
      <c r="D693" s="61">
        <v>54.6</v>
      </c>
      <c r="E693" s="61">
        <v>3061</v>
      </c>
      <c r="F693" s="61" t="s">
        <v>635</v>
      </c>
      <c r="G693" s="25">
        <f t="shared" si="18"/>
        <v>5.494505494505475E-3</v>
      </c>
    </row>
    <row r="694" spans="1:7">
      <c r="A694" s="61">
        <v>54.9</v>
      </c>
      <c r="B694" s="61">
        <v>54.9</v>
      </c>
      <c r="C694" s="61">
        <v>54.81</v>
      </c>
      <c r="D694" s="61">
        <v>54.85</v>
      </c>
      <c r="E694" s="61">
        <v>8174</v>
      </c>
      <c r="F694" s="61" t="s">
        <v>636</v>
      </c>
      <c r="G694" s="25">
        <f t="shared" si="18"/>
        <v>9.1157702825883646E-4</v>
      </c>
    </row>
    <row r="695" spans="1:7">
      <c r="A695" s="61">
        <v>54.85</v>
      </c>
      <c r="B695" s="61">
        <v>55</v>
      </c>
      <c r="C695" s="61">
        <v>54.5</v>
      </c>
      <c r="D695" s="61">
        <v>54.75</v>
      </c>
      <c r="E695" s="61">
        <v>35314</v>
      </c>
      <c r="F695" s="61" t="s">
        <v>637</v>
      </c>
      <c r="G695" s="25">
        <f t="shared" si="18"/>
        <v>1.8264840182649067E-3</v>
      </c>
    </row>
    <row r="696" spans="1:7">
      <c r="A696" s="61">
        <v>54.75</v>
      </c>
      <c r="B696" s="61">
        <v>55</v>
      </c>
      <c r="C696" s="61">
        <v>54.25</v>
      </c>
      <c r="D696" s="61">
        <v>54.8</v>
      </c>
      <c r="E696" s="61">
        <v>44127</v>
      </c>
      <c r="F696" s="61" t="s">
        <v>638</v>
      </c>
      <c r="G696" s="25">
        <f t="shared" si="18"/>
        <v>-9.1240875912401709E-4</v>
      </c>
    </row>
    <row r="697" spans="1:7">
      <c r="A697" s="61">
        <v>55</v>
      </c>
      <c r="B697" s="61">
        <v>55</v>
      </c>
      <c r="C697" s="61">
        <v>54.826000000000001</v>
      </c>
      <c r="D697" s="61">
        <v>55</v>
      </c>
      <c r="E697" s="61">
        <v>11075</v>
      </c>
      <c r="F697" s="61" t="s">
        <v>639</v>
      </c>
      <c r="G697" s="25">
        <f t="shared" si="18"/>
        <v>0</v>
      </c>
    </row>
    <row r="698" spans="1:7">
      <c r="A698" s="61">
        <v>55</v>
      </c>
      <c r="B698" s="61">
        <v>55</v>
      </c>
      <c r="C698" s="61">
        <v>54</v>
      </c>
      <c r="D698" s="61">
        <v>54.75</v>
      </c>
      <c r="E698" s="61">
        <v>8118</v>
      </c>
      <c r="F698" s="61" t="s">
        <v>640</v>
      </c>
      <c r="G698" s="25">
        <f t="shared" si="18"/>
        <v>4.5662100456620447E-3</v>
      </c>
    </row>
    <row r="699" spans="1:7">
      <c r="A699" s="61">
        <v>54.75</v>
      </c>
      <c r="B699" s="61">
        <v>56</v>
      </c>
      <c r="C699" s="61">
        <v>54.75</v>
      </c>
      <c r="D699" s="61">
        <v>55</v>
      </c>
      <c r="E699" s="61">
        <v>62004</v>
      </c>
      <c r="F699" s="61" t="s">
        <v>641</v>
      </c>
      <c r="G699" s="25">
        <f t="shared" ref="G699:G760" si="19">A699/D699-1</f>
        <v>-4.5454545454545192E-3</v>
      </c>
    </row>
    <row r="700" spans="1:7">
      <c r="A700" s="61">
        <v>55.25</v>
      </c>
      <c r="B700" s="61">
        <v>56.83</v>
      </c>
      <c r="C700" s="61">
        <v>55.25</v>
      </c>
      <c r="D700" s="61">
        <v>55.48</v>
      </c>
      <c r="E700" s="61">
        <v>14289</v>
      </c>
      <c r="F700" s="61" t="s">
        <v>642</v>
      </c>
      <c r="G700" s="25">
        <f t="shared" si="19"/>
        <v>-4.1456380677721283E-3</v>
      </c>
    </row>
    <row r="701" spans="1:7">
      <c r="A701" s="61">
        <v>55.25</v>
      </c>
      <c r="B701" s="61">
        <v>55.3</v>
      </c>
      <c r="C701" s="61">
        <v>55</v>
      </c>
      <c r="D701" s="61">
        <v>55</v>
      </c>
      <c r="E701" s="61">
        <v>259763</v>
      </c>
      <c r="F701" s="61" t="s">
        <v>643</v>
      </c>
      <c r="G701" s="25">
        <f t="shared" si="19"/>
        <v>4.5454545454546302E-3</v>
      </c>
    </row>
    <row r="702" spans="1:7">
      <c r="A702" s="61">
        <v>55</v>
      </c>
      <c r="B702" s="61">
        <v>55</v>
      </c>
      <c r="C702" s="61">
        <v>52.75</v>
      </c>
      <c r="D702" s="61">
        <v>55</v>
      </c>
      <c r="E702" s="61">
        <v>2765</v>
      </c>
      <c r="F702" s="61" t="s">
        <v>644</v>
      </c>
      <c r="G702" s="25">
        <f t="shared" si="19"/>
        <v>0</v>
      </c>
    </row>
    <row r="703" spans="1:7">
      <c r="A703" s="61">
        <v>54.75</v>
      </c>
      <c r="B703" s="61">
        <v>55</v>
      </c>
      <c r="C703" s="61">
        <v>54.3</v>
      </c>
      <c r="D703" s="61">
        <v>55</v>
      </c>
      <c r="E703" s="61">
        <v>23549</v>
      </c>
      <c r="F703" s="61" t="s">
        <v>645</v>
      </c>
      <c r="G703" s="25">
        <f t="shared" si="19"/>
        <v>-4.5454545454545192E-3</v>
      </c>
    </row>
    <row r="704" spans="1:7">
      <c r="A704" s="61">
        <v>55</v>
      </c>
      <c r="B704" s="61">
        <v>55</v>
      </c>
      <c r="C704" s="61">
        <v>53.75</v>
      </c>
      <c r="D704" s="61">
        <v>53.792499999999997</v>
      </c>
      <c r="E704" s="61">
        <v>5381</v>
      </c>
      <c r="F704" s="61" t="s">
        <v>646</v>
      </c>
      <c r="G704" s="25">
        <f t="shared" si="19"/>
        <v>2.2447367198029422E-2</v>
      </c>
    </row>
    <row r="705" spans="1:7">
      <c r="A705" s="61">
        <v>53.5</v>
      </c>
      <c r="B705" s="61">
        <v>53.5</v>
      </c>
      <c r="C705" s="61">
        <v>53.25</v>
      </c>
      <c r="D705" s="61">
        <v>53.292499999999997</v>
      </c>
      <c r="E705" s="61">
        <v>5913</v>
      </c>
      <c r="F705" s="61" t="s">
        <v>647</v>
      </c>
      <c r="G705" s="25">
        <f t="shared" si="19"/>
        <v>3.8936060421259633E-3</v>
      </c>
    </row>
    <row r="706" spans="1:7">
      <c r="A706" s="61">
        <v>53.65</v>
      </c>
      <c r="B706" s="61">
        <v>54</v>
      </c>
      <c r="C706" s="61">
        <v>53.25</v>
      </c>
      <c r="D706" s="61">
        <v>53.5</v>
      </c>
      <c r="E706" s="61">
        <v>65998</v>
      </c>
      <c r="F706" s="61" t="s">
        <v>648</v>
      </c>
      <c r="G706" s="25">
        <f t="shared" si="19"/>
        <v>2.803738317757043E-3</v>
      </c>
    </row>
    <row r="707" spans="1:7">
      <c r="A707" s="61">
        <v>54</v>
      </c>
      <c r="B707" s="61">
        <v>54</v>
      </c>
      <c r="C707" s="61">
        <v>53.75</v>
      </c>
      <c r="D707" s="61">
        <v>54</v>
      </c>
      <c r="E707" s="61">
        <v>24445</v>
      </c>
      <c r="F707" s="61" t="s">
        <v>649</v>
      </c>
      <c r="G707" s="25">
        <f t="shared" si="19"/>
        <v>0</v>
      </c>
    </row>
    <row r="708" spans="1:7">
      <c r="A708" s="61">
        <v>53.5</v>
      </c>
      <c r="B708" s="61">
        <v>57.3</v>
      </c>
      <c r="C708" s="61">
        <v>52.75</v>
      </c>
      <c r="D708" s="61">
        <v>52.75</v>
      </c>
      <c r="E708" s="61">
        <v>105811</v>
      </c>
      <c r="F708" s="61" t="s">
        <v>650</v>
      </c>
      <c r="G708" s="25">
        <f t="shared" si="19"/>
        <v>1.4218009478673022E-2</v>
      </c>
    </row>
    <row r="709" spans="1:7">
      <c r="A709" s="61">
        <v>53</v>
      </c>
      <c r="B709" s="61">
        <v>53.125</v>
      </c>
      <c r="C709" s="61">
        <v>52.9375</v>
      </c>
      <c r="D709" s="61">
        <v>53.125</v>
      </c>
      <c r="E709" s="61">
        <v>6973</v>
      </c>
      <c r="F709" s="61" t="s">
        <v>651</v>
      </c>
      <c r="G709" s="25">
        <f t="shared" si="19"/>
        <v>-2.3529411764705577E-3</v>
      </c>
    </row>
    <row r="710" spans="1:7">
      <c r="A710" s="61">
        <v>53.5</v>
      </c>
      <c r="B710" s="61">
        <v>54</v>
      </c>
      <c r="C710" s="61">
        <v>52.05</v>
      </c>
      <c r="D710" s="61">
        <v>52.05</v>
      </c>
      <c r="E710" s="61">
        <v>7810</v>
      </c>
      <c r="F710" s="61" t="s">
        <v>652</v>
      </c>
      <c r="G710" s="25">
        <f t="shared" si="19"/>
        <v>2.7857829010566881E-2</v>
      </c>
    </row>
    <row r="711" spans="1:7">
      <c r="A711" s="61">
        <v>54</v>
      </c>
      <c r="B711" s="61">
        <v>54.39</v>
      </c>
      <c r="C711" s="61">
        <v>53.4</v>
      </c>
      <c r="D711" s="61">
        <v>54.39</v>
      </c>
      <c r="E711" s="61">
        <v>2763</v>
      </c>
      <c r="F711" s="61" t="s">
        <v>653</v>
      </c>
      <c r="G711" s="25">
        <f t="shared" si="19"/>
        <v>-7.1704357418643783E-3</v>
      </c>
    </row>
    <row r="712" spans="1:7">
      <c r="A712" s="61">
        <v>55</v>
      </c>
      <c r="B712" s="61">
        <v>55.5</v>
      </c>
      <c r="C712" s="61">
        <v>54</v>
      </c>
      <c r="D712" s="61">
        <v>54.48</v>
      </c>
      <c r="E712" s="61">
        <v>193176</v>
      </c>
      <c r="F712" s="61" t="s">
        <v>654</v>
      </c>
      <c r="G712" s="25">
        <f t="shared" si="19"/>
        <v>9.5447870778266886E-3</v>
      </c>
    </row>
    <row r="713" spans="1:7">
      <c r="A713" s="61">
        <v>54.35</v>
      </c>
      <c r="B713" s="61">
        <v>55</v>
      </c>
      <c r="C713" s="61">
        <v>54.25</v>
      </c>
      <c r="D713" s="61">
        <v>55</v>
      </c>
      <c r="E713" s="61">
        <v>22664</v>
      </c>
      <c r="F713" s="61" t="s">
        <v>655</v>
      </c>
      <c r="G713" s="25">
        <f t="shared" si="19"/>
        <v>-1.1818181818181839E-2</v>
      </c>
    </row>
    <row r="714" spans="1:7">
      <c r="A714" s="61">
        <v>55</v>
      </c>
      <c r="B714" s="61">
        <v>55.5</v>
      </c>
      <c r="C714" s="61">
        <v>54.6</v>
      </c>
      <c r="D714" s="61">
        <v>55</v>
      </c>
      <c r="E714" s="61">
        <v>28760</v>
      </c>
      <c r="F714" s="61" t="s">
        <v>656</v>
      </c>
      <c r="G714" s="25">
        <f t="shared" si="19"/>
        <v>0</v>
      </c>
    </row>
    <row r="715" spans="1:7">
      <c r="A715" s="61">
        <v>54.25</v>
      </c>
      <c r="B715" s="61">
        <v>54.5</v>
      </c>
      <c r="C715" s="61">
        <v>54.25</v>
      </c>
      <c r="D715" s="61">
        <v>54.5</v>
      </c>
      <c r="E715" s="61">
        <v>5370</v>
      </c>
      <c r="F715" s="61" t="s">
        <v>657</v>
      </c>
      <c r="G715" s="25">
        <f t="shared" si="19"/>
        <v>-4.5871559633027248E-3</v>
      </c>
    </row>
    <row r="716" spans="1:7">
      <c r="A716" s="61">
        <v>54.5</v>
      </c>
      <c r="B716" s="61">
        <v>55</v>
      </c>
      <c r="C716" s="61">
        <v>54.35</v>
      </c>
      <c r="D716" s="61">
        <v>55</v>
      </c>
      <c r="E716" s="61">
        <v>41809</v>
      </c>
      <c r="F716" s="61" t="s">
        <v>658</v>
      </c>
      <c r="G716" s="25">
        <f t="shared" si="19"/>
        <v>-9.0909090909090384E-3</v>
      </c>
    </row>
    <row r="717" spans="1:7">
      <c r="A717" s="61">
        <v>54.5</v>
      </c>
      <c r="B717" s="61">
        <v>55.5</v>
      </c>
      <c r="C717" s="61">
        <v>54.5</v>
      </c>
      <c r="D717" s="61">
        <v>55.5</v>
      </c>
      <c r="E717" s="61">
        <v>55466</v>
      </c>
      <c r="F717" s="61" t="s">
        <v>659</v>
      </c>
      <c r="G717" s="25">
        <f t="shared" si="19"/>
        <v>-1.8018018018018056E-2</v>
      </c>
    </row>
    <row r="718" spans="1:7">
      <c r="A718" s="61">
        <v>55</v>
      </c>
      <c r="B718" s="61">
        <v>55</v>
      </c>
      <c r="C718" s="61">
        <v>54.6</v>
      </c>
      <c r="D718" s="61">
        <v>54.86</v>
      </c>
      <c r="E718" s="61">
        <v>1846</v>
      </c>
      <c r="F718" s="61" t="s">
        <v>660</v>
      </c>
      <c r="G718" s="25">
        <f t="shared" si="19"/>
        <v>2.5519504192490494E-3</v>
      </c>
    </row>
    <row r="719" spans="1:7">
      <c r="A719" s="61">
        <v>54</v>
      </c>
      <c r="B719" s="61">
        <v>54</v>
      </c>
      <c r="C719" s="61">
        <v>54</v>
      </c>
      <c r="D719" s="61">
        <v>54</v>
      </c>
      <c r="E719" s="61">
        <v>201</v>
      </c>
      <c r="F719" s="61" t="s">
        <v>661</v>
      </c>
      <c r="G719" s="25">
        <f t="shared" si="19"/>
        <v>0</v>
      </c>
    </row>
    <row r="720" spans="1:7">
      <c r="A720" s="61">
        <v>53.625</v>
      </c>
      <c r="B720" s="61">
        <v>56.3</v>
      </c>
      <c r="C720" s="61">
        <v>53.375</v>
      </c>
      <c r="D720" s="61">
        <v>54.25</v>
      </c>
      <c r="E720" s="61">
        <v>358592</v>
      </c>
      <c r="F720" s="61" t="s">
        <v>662</v>
      </c>
      <c r="G720" s="25">
        <f t="shared" si="19"/>
        <v>-1.1520737327188946E-2</v>
      </c>
    </row>
    <row r="721" spans="1:7">
      <c r="A721" s="61">
        <v>53.75</v>
      </c>
      <c r="B721" s="61">
        <v>55</v>
      </c>
      <c r="C721" s="61">
        <v>53.5</v>
      </c>
      <c r="D721" s="61">
        <v>54</v>
      </c>
      <c r="E721" s="61">
        <v>50569</v>
      </c>
      <c r="F721" s="61" t="s">
        <v>663</v>
      </c>
      <c r="G721" s="25">
        <f t="shared" si="19"/>
        <v>-4.6296296296296502E-3</v>
      </c>
    </row>
    <row r="722" spans="1:7">
      <c r="A722" s="61">
        <v>53.375</v>
      </c>
      <c r="B722" s="61">
        <v>54.25</v>
      </c>
      <c r="C722" s="61">
        <v>52.75</v>
      </c>
      <c r="D722" s="61">
        <v>54</v>
      </c>
      <c r="E722" s="61">
        <v>4618</v>
      </c>
      <c r="F722" s="61" t="s">
        <v>664</v>
      </c>
      <c r="G722" s="25">
        <f t="shared" si="19"/>
        <v>-1.157407407407407E-2</v>
      </c>
    </row>
    <row r="723" spans="1:7">
      <c r="A723" s="61">
        <v>54.1</v>
      </c>
      <c r="B723" s="61">
        <v>54.1</v>
      </c>
      <c r="C723" s="61">
        <v>53</v>
      </c>
      <c r="D723" s="61">
        <v>53.674999999999997</v>
      </c>
      <c r="E723" s="61">
        <v>211539</v>
      </c>
      <c r="F723" s="61" t="s">
        <v>665</v>
      </c>
      <c r="G723" s="25">
        <f t="shared" si="19"/>
        <v>7.9180251513741862E-3</v>
      </c>
    </row>
    <row r="724" spans="1:7">
      <c r="A724" s="61">
        <v>54.25</v>
      </c>
      <c r="B724" s="61">
        <v>54.75</v>
      </c>
      <c r="C724" s="61">
        <v>52.5</v>
      </c>
      <c r="D724" s="61">
        <v>54.75</v>
      </c>
      <c r="E724" s="61">
        <v>134575</v>
      </c>
      <c r="F724" s="61" t="s">
        <v>666</v>
      </c>
      <c r="G724" s="25">
        <f t="shared" si="19"/>
        <v>-9.1324200913242004E-3</v>
      </c>
    </row>
    <row r="725" spans="1:7">
      <c r="A725" s="61">
        <v>54.25</v>
      </c>
      <c r="B725" s="61">
        <v>54.25</v>
      </c>
      <c r="C725" s="61">
        <v>53</v>
      </c>
      <c r="D725" s="61">
        <v>53.25</v>
      </c>
      <c r="E725" s="61">
        <v>5135</v>
      </c>
      <c r="F725" s="61" t="s">
        <v>667</v>
      </c>
      <c r="G725" s="25">
        <f t="shared" si="19"/>
        <v>1.8779342723004744E-2</v>
      </c>
    </row>
    <row r="726" spans="1:7">
      <c r="A726" s="61">
        <v>52.5</v>
      </c>
      <c r="B726" s="61">
        <v>54.412500000000001</v>
      </c>
      <c r="C726" s="61">
        <v>51.5</v>
      </c>
      <c r="D726" s="61">
        <v>53</v>
      </c>
      <c r="E726" s="61">
        <v>129901</v>
      </c>
      <c r="F726" s="61" t="s">
        <v>668</v>
      </c>
      <c r="G726" s="25">
        <f t="shared" si="19"/>
        <v>-9.4339622641509413E-3</v>
      </c>
    </row>
    <row r="727" spans="1:7">
      <c r="A727" s="61">
        <v>52.692</v>
      </c>
      <c r="B727" s="61">
        <v>52.75</v>
      </c>
      <c r="C727" s="61">
        <v>51</v>
      </c>
      <c r="D727" s="61">
        <v>51</v>
      </c>
      <c r="E727" s="61">
        <v>327193</v>
      </c>
      <c r="F727" s="61" t="s">
        <v>669</v>
      </c>
      <c r="G727" s="25">
        <f t="shared" si="19"/>
        <v>3.3176470588235363E-2</v>
      </c>
    </row>
    <row r="728" spans="1:7">
      <c r="A728" s="61">
        <v>52.5</v>
      </c>
      <c r="B728" s="61">
        <v>52.5</v>
      </c>
      <c r="C728" s="61">
        <v>51</v>
      </c>
      <c r="D728" s="61">
        <v>51.25</v>
      </c>
      <c r="E728" s="61">
        <v>390265</v>
      </c>
      <c r="F728" s="61" t="s">
        <v>670</v>
      </c>
      <c r="G728" s="25">
        <f t="shared" si="19"/>
        <v>2.4390243902439046E-2</v>
      </c>
    </row>
    <row r="729" spans="1:7">
      <c r="A729" s="61">
        <v>51.5</v>
      </c>
      <c r="B729" s="61">
        <v>51.75</v>
      </c>
      <c r="C729" s="61">
        <v>51.375</v>
      </c>
      <c r="D729" s="61">
        <v>51.75</v>
      </c>
      <c r="E729" s="61">
        <v>9876</v>
      </c>
      <c r="F729" s="61" t="s">
        <v>671</v>
      </c>
      <c r="G729" s="25">
        <f t="shared" si="19"/>
        <v>-4.8309178743961567E-3</v>
      </c>
    </row>
    <row r="730" spans="1:7">
      <c r="A730" s="61">
        <v>52</v>
      </c>
      <c r="B730" s="61">
        <v>52</v>
      </c>
      <c r="C730" s="61">
        <v>51.75</v>
      </c>
      <c r="D730" s="61">
        <v>51.75</v>
      </c>
      <c r="E730" s="61">
        <v>12833</v>
      </c>
      <c r="F730" s="61" t="s">
        <v>672</v>
      </c>
      <c r="G730" s="25">
        <f t="shared" si="19"/>
        <v>4.8309178743961567E-3</v>
      </c>
    </row>
    <row r="731" spans="1:7">
      <c r="A731" s="61">
        <v>51.875</v>
      </c>
      <c r="B731" s="61">
        <v>51.9</v>
      </c>
      <c r="C731" s="61">
        <v>51.75</v>
      </c>
      <c r="D731" s="61">
        <v>51.9</v>
      </c>
      <c r="E731" s="61">
        <v>151475</v>
      </c>
      <c r="F731" s="61" t="s">
        <v>673</v>
      </c>
      <c r="G731" s="25">
        <f t="shared" si="19"/>
        <v>-4.8169556840071959E-4</v>
      </c>
    </row>
    <row r="732" spans="1:7">
      <c r="A732" s="61">
        <v>51.95</v>
      </c>
      <c r="B732" s="61">
        <v>51.95</v>
      </c>
      <c r="C732" s="61">
        <v>51.75</v>
      </c>
      <c r="D732" s="61">
        <v>51.75</v>
      </c>
      <c r="E732" s="61">
        <v>5910</v>
      </c>
      <c r="F732" s="61" t="s">
        <v>674</v>
      </c>
      <c r="G732" s="25">
        <f t="shared" si="19"/>
        <v>3.8647342995170586E-3</v>
      </c>
    </row>
    <row r="733" spans="1:7">
      <c r="A733" s="61">
        <v>51.75</v>
      </c>
      <c r="B733" s="61">
        <v>51.75</v>
      </c>
      <c r="C733" s="61">
        <v>51.62</v>
      </c>
      <c r="D733" s="61">
        <v>51.62</v>
      </c>
      <c r="E733" s="61">
        <v>574</v>
      </c>
      <c r="F733" s="61" t="s">
        <v>675</v>
      </c>
      <c r="G733" s="25">
        <f t="shared" si="19"/>
        <v>2.5184037194885267E-3</v>
      </c>
    </row>
    <row r="734" spans="1:7">
      <c r="A734" s="61">
        <v>51.9</v>
      </c>
      <c r="B734" s="61">
        <v>52.15</v>
      </c>
      <c r="C734" s="61">
        <v>51.578000000000003</v>
      </c>
      <c r="D734" s="61">
        <v>51.902500000000003</v>
      </c>
      <c r="E734" s="61">
        <v>12143</v>
      </c>
      <c r="F734" s="61" t="s">
        <v>676</v>
      </c>
      <c r="G734" s="25">
        <f t="shared" si="19"/>
        <v>-4.8167236645690892E-5</v>
      </c>
    </row>
    <row r="735" spans="1:7">
      <c r="A735" s="61">
        <v>52</v>
      </c>
      <c r="B735" s="61">
        <v>52.1</v>
      </c>
      <c r="C735" s="61">
        <v>51.75</v>
      </c>
      <c r="D735" s="61">
        <v>52.1</v>
      </c>
      <c r="E735" s="61">
        <v>157903</v>
      </c>
      <c r="F735" s="61" t="s">
        <v>677</v>
      </c>
      <c r="G735" s="25">
        <f t="shared" si="19"/>
        <v>-1.9193857965451588E-3</v>
      </c>
    </row>
    <row r="736" spans="1:7">
      <c r="A736" s="61">
        <v>51.75</v>
      </c>
      <c r="B736" s="61">
        <v>52.15</v>
      </c>
      <c r="C736" s="61">
        <v>51.75</v>
      </c>
      <c r="D736" s="61">
        <v>52.037500000000001</v>
      </c>
      <c r="E736" s="61">
        <v>68314</v>
      </c>
      <c r="F736" s="61" t="s">
        <v>678</v>
      </c>
      <c r="G736" s="25">
        <f t="shared" si="19"/>
        <v>-5.5248618784530246E-3</v>
      </c>
    </row>
    <row r="737" spans="1:7">
      <c r="A737" s="61">
        <v>52.15</v>
      </c>
      <c r="B737" s="61">
        <v>52.5</v>
      </c>
      <c r="C737" s="61">
        <v>51.7</v>
      </c>
      <c r="D737" s="61">
        <v>51.9</v>
      </c>
      <c r="E737" s="61">
        <v>160142</v>
      </c>
      <c r="F737" s="61" t="s">
        <v>679</v>
      </c>
      <c r="G737" s="25">
        <f t="shared" si="19"/>
        <v>4.81695568400764E-3</v>
      </c>
    </row>
    <row r="738" spans="1:7">
      <c r="A738" s="61">
        <v>52</v>
      </c>
      <c r="B738" s="61">
        <v>52.162500000000001</v>
      </c>
      <c r="C738" s="61">
        <v>52</v>
      </c>
      <c r="D738" s="61">
        <v>52.15</v>
      </c>
      <c r="E738" s="61">
        <v>245722</v>
      </c>
      <c r="F738" s="61" t="s">
        <v>680</v>
      </c>
      <c r="G738" s="25">
        <f t="shared" si="19"/>
        <v>-2.8763183125598557E-3</v>
      </c>
    </row>
    <row r="739" spans="1:7">
      <c r="A739" s="61">
        <v>52.25</v>
      </c>
      <c r="B739" s="61">
        <v>52.25</v>
      </c>
      <c r="C739" s="61">
        <v>51</v>
      </c>
      <c r="D739" s="61">
        <v>51.75</v>
      </c>
      <c r="E739" s="61">
        <v>229275</v>
      </c>
      <c r="F739" s="61" t="s">
        <v>681</v>
      </c>
      <c r="G739" s="25">
        <f t="shared" si="19"/>
        <v>9.6618357487923134E-3</v>
      </c>
    </row>
    <row r="740" spans="1:7">
      <c r="A740" s="61">
        <v>51.51</v>
      </c>
      <c r="B740" s="61">
        <v>52.5</v>
      </c>
      <c r="C740" s="61">
        <v>51</v>
      </c>
      <c r="D740" s="61">
        <v>51</v>
      </c>
      <c r="E740" s="61">
        <v>61089</v>
      </c>
      <c r="F740" s="61" t="s">
        <v>682</v>
      </c>
      <c r="G740" s="25">
        <f t="shared" si="19"/>
        <v>1.0000000000000009E-2</v>
      </c>
    </row>
    <row r="741" spans="1:7">
      <c r="A741" s="61">
        <v>50.15</v>
      </c>
      <c r="B741" s="61">
        <v>50.25</v>
      </c>
      <c r="C741" s="61">
        <v>49.5</v>
      </c>
      <c r="D741" s="61">
        <v>50.25</v>
      </c>
      <c r="E741" s="61">
        <v>126643</v>
      </c>
      <c r="F741" s="61" t="s">
        <v>683</v>
      </c>
      <c r="G741" s="25">
        <f t="shared" si="19"/>
        <v>-1.9900497512438386E-3</v>
      </c>
    </row>
    <row r="742" spans="1:7">
      <c r="A742" s="61">
        <v>50</v>
      </c>
      <c r="B742" s="61">
        <v>50.35</v>
      </c>
      <c r="C742" s="61">
        <v>49.524999999999999</v>
      </c>
      <c r="D742" s="61">
        <v>50.35</v>
      </c>
      <c r="E742" s="61">
        <v>19325</v>
      </c>
      <c r="F742" s="61" t="s">
        <v>684</v>
      </c>
      <c r="G742" s="25">
        <f t="shared" si="19"/>
        <v>-6.9513406156902491E-3</v>
      </c>
    </row>
    <row r="743" spans="1:7">
      <c r="A743" s="61">
        <v>50.36</v>
      </c>
      <c r="B743" s="61">
        <v>50.994999999999997</v>
      </c>
      <c r="C743" s="61">
        <v>50.36</v>
      </c>
      <c r="D743" s="61">
        <v>50.994999999999997</v>
      </c>
      <c r="E743" s="61">
        <v>821</v>
      </c>
      <c r="F743" s="61" t="s">
        <v>685</v>
      </c>
      <c r="G743" s="25">
        <f t="shared" si="19"/>
        <v>-1.2452201196195722E-2</v>
      </c>
    </row>
    <row r="744" spans="1:7">
      <c r="A744" s="61">
        <v>50.15</v>
      </c>
      <c r="B744" s="61">
        <v>50.45</v>
      </c>
      <c r="C744" s="61">
        <v>49</v>
      </c>
      <c r="D744" s="61">
        <v>49.5</v>
      </c>
      <c r="E744" s="61">
        <v>187465</v>
      </c>
      <c r="F744" s="61" t="s">
        <v>686</v>
      </c>
      <c r="G744" s="25">
        <f t="shared" si="19"/>
        <v>1.3131313131313105E-2</v>
      </c>
    </row>
    <row r="745" spans="1:7">
      <c r="A745" s="61">
        <v>49.49</v>
      </c>
      <c r="B745" s="61">
        <v>49.88</v>
      </c>
      <c r="C745" s="61">
        <v>49.375</v>
      </c>
      <c r="D745" s="61">
        <v>49.88</v>
      </c>
      <c r="E745" s="61">
        <v>59685</v>
      </c>
      <c r="F745" s="61" t="s">
        <v>687</v>
      </c>
      <c r="G745" s="25">
        <f t="shared" si="19"/>
        <v>-7.8187650360865835E-3</v>
      </c>
    </row>
    <row r="746" spans="1:7">
      <c r="A746" s="61">
        <v>50</v>
      </c>
      <c r="B746" s="61">
        <v>52.5</v>
      </c>
      <c r="C746" s="61">
        <v>48</v>
      </c>
      <c r="D746" s="61">
        <v>48</v>
      </c>
      <c r="E746" s="61">
        <v>34574</v>
      </c>
      <c r="F746" s="61" t="s">
        <v>688</v>
      </c>
      <c r="G746" s="25">
        <f t="shared" si="19"/>
        <v>4.1666666666666741E-2</v>
      </c>
    </row>
    <row r="747" spans="1:7">
      <c r="A747" s="61">
        <v>47.5</v>
      </c>
      <c r="B747" s="61">
        <v>47.5</v>
      </c>
      <c r="C747" s="61">
        <v>47.05</v>
      </c>
      <c r="D747" s="61">
        <v>47.05</v>
      </c>
      <c r="E747" s="61">
        <v>108315</v>
      </c>
      <c r="F747" s="61" t="s">
        <v>689</v>
      </c>
      <c r="G747" s="25">
        <f t="shared" si="19"/>
        <v>9.5642933049946421E-3</v>
      </c>
    </row>
    <row r="748" spans="1:7">
      <c r="A748" s="61">
        <v>47.125</v>
      </c>
      <c r="B748" s="61">
        <v>48.5</v>
      </c>
      <c r="C748" s="61">
        <v>46.4</v>
      </c>
      <c r="D748" s="61">
        <v>47.1</v>
      </c>
      <c r="E748" s="61">
        <v>30809</v>
      </c>
      <c r="F748" s="61" t="s">
        <v>690</v>
      </c>
      <c r="G748" s="25">
        <f t="shared" si="19"/>
        <v>5.3078556263264076E-4</v>
      </c>
    </row>
    <row r="749" spans="1:7">
      <c r="A749" s="61">
        <v>46.45</v>
      </c>
      <c r="B749" s="61">
        <v>46.5</v>
      </c>
      <c r="C749" s="61">
        <v>46.4</v>
      </c>
      <c r="D749" s="61">
        <v>46.5</v>
      </c>
      <c r="E749" s="61">
        <v>624</v>
      </c>
      <c r="F749" s="61" t="s">
        <v>691</v>
      </c>
      <c r="G749" s="25">
        <f t="shared" si="19"/>
        <v>-1.0752688172042113E-3</v>
      </c>
    </row>
    <row r="750" spans="1:7">
      <c r="A750" s="61">
        <v>46.5</v>
      </c>
      <c r="B750" s="61">
        <v>46.5</v>
      </c>
      <c r="C750" s="61">
        <v>46.5</v>
      </c>
      <c r="D750" s="61">
        <v>46.5</v>
      </c>
      <c r="E750" s="61">
        <v>612</v>
      </c>
      <c r="F750" s="61" t="s">
        <v>692</v>
      </c>
      <c r="G750" s="25">
        <f t="shared" si="19"/>
        <v>0</v>
      </c>
    </row>
    <row r="751" spans="1:7">
      <c r="A751" s="61">
        <v>46.5</v>
      </c>
      <c r="B751" s="61">
        <v>46.5</v>
      </c>
      <c r="C751" s="61">
        <v>46.5</v>
      </c>
      <c r="D751" s="61">
        <v>46.5</v>
      </c>
      <c r="E751" s="61">
        <v>5039</v>
      </c>
      <c r="F751" s="61" t="s">
        <v>693</v>
      </c>
      <c r="G751" s="25">
        <f t="shared" si="19"/>
        <v>0</v>
      </c>
    </row>
    <row r="752" spans="1:7">
      <c r="A752" s="61">
        <v>46.15</v>
      </c>
      <c r="B752" s="61">
        <v>46.5</v>
      </c>
      <c r="C752" s="61">
        <v>46.15</v>
      </c>
      <c r="D752" s="61">
        <v>46.5</v>
      </c>
      <c r="E752" s="61">
        <v>112028</v>
      </c>
      <c r="F752" s="61" t="s">
        <v>694</v>
      </c>
      <c r="G752" s="25">
        <f t="shared" si="19"/>
        <v>-7.5268817204301453E-3</v>
      </c>
    </row>
    <row r="753" spans="1:7">
      <c r="A753" s="61">
        <v>46.5</v>
      </c>
      <c r="B753" s="61">
        <v>46.5</v>
      </c>
      <c r="C753" s="61">
        <v>46.42</v>
      </c>
      <c r="D753" s="61">
        <v>46.5</v>
      </c>
      <c r="E753" s="61">
        <v>112198</v>
      </c>
      <c r="F753" s="61" t="s">
        <v>695</v>
      </c>
      <c r="G753" s="25">
        <f t="shared" si="19"/>
        <v>0</v>
      </c>
    </row>
    <row r="754" spans="1:7">
      <c r="A754" s="61">
        <v>46.43</v>
      </c>
      <c r="B754" s="61">
        <v>46.5</v>
      </c>
      <c r="C754" s="61">
        <v>46.4</v>
      </c>
      <c r="D754" s="61">
        <v>46.5</v>
      </c>
      <c r="E754" s="61">
        <v>8378</v>
      </c>
      <c r="F754" s="61" t="s">
        <v>696</v>
      </c>
      <c r="G754" s="25">
        <f t="shared" si="19"/>
        <v>-1.5053763440859846E-3</v>
      </c>
    </row>
    <row r="755" spans="1:7">
      <c r="A755" s="61">
        <v>46.5</v>
      </c>
      <c r="B755" s="61">
        <v>46.5</v>
      </c>
      <c r="C755" s="61">
        <v>45</v>
      </c>
      <c r="D755" s="61">
        <v>45</v>
      </c>
      <c r="E755" s="61">
        <v>852</v>
      </c>
      <c r="F755" s="61" t="s">
        <v>697</v>
      </c>
      <c r="G755" s="25">
        <f t="shared" si="19"/>
        <v>3.3333333333333437E-2</v>
      </c>
    </row>
    <row r="756" spans="1:7">
      <c r="A756" s="61">
        <v>46</v>
      </c>
      <c r="B756" s="61">
        <v>46.5</v>
      </c>
      <c r="C756" s="61">
        <v>46</v>
      </c>
      <c r="D756" s="61">
        <v>46.49</v>
      </c>
      <c r="E756" s="61">
        <v>27158</v>
      </c>
      <c r="F756" s="61" t="s">
        <v>698</v>
      </c>
      <c r="G756" s="25">
        <f t="shared" si="19"/>
        <v>-1.0539901053990164E-2</v>
      </c>
    </row>
    <row r="757" spans="1:7">
      <c r="A757" s="61">
        <v>46.5</v>
      </c>
      <c r="B757" s="61">
        <v>46.5</v>
      </c>
      <c r="C757" s="61">
        <v>46.25</v>
      </c>
      <c r="D757" s="61">
        <v>46.25</v>
      </c>
      <c r="E757" s="61">
        <v>1576</v>
      </c>
      <c r="F757" s="61" t="s">
        <v>699</v>
      </c>
      <c r="G757" s="25">
        <f t="shared" si="19"/>
        <v>5.4054054054053502E-3</v>
      </c>
    </row>
    <row r="758" spans="1:7">
      <c r="A758" s="61">
        <v>46.25</v>
      </c>
      <c r="B758" s="61">
        <v>46.25</v>
      </c>
      <c r="C758" s="61">
        <v>46</v>
      </c>
      <c r="D758" s="61">
        <v>46</v>
      </c>
      <c r="E758" s="61">
        <v>90248</v>
      </c>
      <c r="F758" s="61" t="s">
        <v>700</v>
      </c>
      <c r="G758" s="25">
        <f t="shared" si="19"/>
        <v>5.4347826086955653E-3</v>
      </c>
    </row>
    <row r="759" spans="1:7">
      <c r="A759" s="61">
        <v>46</v>
      </c>
      <c r="B759" s="61">
        <v>46</v>
      </c>
      <c r="C759" s="61">
        <v>44.5</v>
      </c>
      <c r="D759" s="61">
        <v>44.5</v>
      </c>
      <c r="E759" s="61">
        <v>825</v>
      </c>
      <c r="F759" s="61" t="s">
        <v>701</v>
      </c>
      <c r="G759" s="25">
        <f t="shared" si="19"/>
        <v>3.3707865168539408E-2</v>
      </c>
    </row>
    <row r="760" spans="1:7">
      <c r="A760" s="61">
        <v>46.5</v>
      </c>
      <c r="B760" s="61">
        <v>46.5</v>
      </c>
      <c r="C760" s="61">
        <v>45</v>
      </c>
      <c r="D760" s="61">
        <v>45</v>
      </c>
      <c r="E760" s="61">
        <v>880</v>
      </c>
      <c r="F760" s="61" t="s">
        <v>702</v>
      </c>
      <c r="G760" s="25">
        <f t="shared" si="19"/>
        <v>3.3333333333333437E-2</v>
      </c>
    </row>
    <row r="761" spans="1:7">
      <c r="A761" s="61">
        <v>46.5</v>
      </c>
      <c r="B761" s="61">
        <v>46.5</v>
      </c>
      <c r="C761" s="61">
        <v>46.25</v>
      </c>
      <c r="D761" s="61">
        <v>46.375</v>
      </c>
      <c r="E761" s="61">
        <v>75029</v>
      </c>
      <c r="F761" s="61" t="s">
        <v>703</v>
      </c>
      <c r="G761" s="25">
        <f>A761/D761-1</f>
        <v>2.6954177897573484E-3</v>
      </c>
    </row>
    <row r="762" spans="1:7">
      <c r="G762" s="25"/>
    </row>
    <row r="763" spans="1:7">
      <c r="G763" s="25"/>
    </row>
    <row r="764" spans="1:7">
      <c r="G764" s="25"/>
    </row>
    <row r="765" spans="1:7">
      <c r="G765" s="25"/>
    </row>
    <row r="766" spans="1:7">
      <c r="G766" s="25"/>
    </row>
    <row r="767" spans="1:7">
      <c r="G767" s="25"/>
    </row>
    <row r="768" spans="1:7">
      <c r="G768" s="25"/>
    </row>
    <row r="769" spans="7:7">
      <c r="G769" s="25"/>
    </row>
    <row r="770" spans="7:7">
      <c r="G770" s="25"/>
    </row>
    <row r="771" spans="7:7">
      <c r="G771" s="25"/>
    </row>
    <row r="772" spans="7:7">
      <c r="G772" s="25"/>
    </row>
    <row r="773" spans="7:7">
      <c r="G773" s="25"/>
    </row>
    <row r="774" spans="7:7">
      <c r="G774" s="25"/>
    </row>
    <row r="775" spans="7:7">
      <c r="G775" s="25"/>
    </row>
    <row r="776" spans="7:7">
      <c r="G776" s="25"/>
    </row>
    <row r="777" spans="7:7">
      <c r="G777" s="25"/>
    </row>
    <row r="778" spans="7:7">
      <c r="G778" s="25"/>
    </row>
    <row r="779" spans="7:7">
      <c r="G779" s="25"/>
    </row>
    <row r="780" spans="7:7">
      <c r="G780" s="25"/>
    </row>
    <row r="781" spans="7:7">
      <c r="G781" s="25"/>
    </row>
    <row r="782" spans="7:7">
      <c r="G782" s="25"/>
    </row>
    <row r="783" spans="7:7">
      <c r="G783" s="25"/>
    </row>
    <row r="784" spans="7:7">
      <c r="G784" s="25"/>
    </row>
    <row r="785" spans="7:7">
      <c r="G785" s="25"/>
    </row>
    <row r="786" spans="7:7">
      <c r="G786" s="25"/>
    </row>
    <row r="787" spans="7:7">
      <c r="G787" s="25"/>
    </row>
    <row r="788" spans="7:7">
      <c r="G788" s="25"/>
    </row>
    <row r="789" spans="7:7">
      <c r="G789" s="25"/>
    </row>
    <row r="790" spans="7:7">
      <c r="G790" s="25"/>
    </row>
    <row r="791" spans="7:7">
      <c r="G791" s="25"/>
    </row>
    <row r="792" spans="7:7">
      <c r="G792" s="25"/>
    </row>
    <row r="793" spans="7:7">
      <c r="G793" s="25"/>
    </row>
    <row r="794" spans="7:7">
      <c r="G794" s="25"/>
    </row>
    <row r="795" spans="7:7">
      <c r="G795" s="25"/>
    </row>
    <row r="796" spans="7:7">
      <c r="G796" s="25"/>
    </row>
    <row r="797" spans="7:7">
      <c r="G797" s="25"/>
    </row>
    <row r="798" spans="7:7">
      <c r="G798" s="25"/>
    </row>
    <row r="799" spans="7:7">
      <c r="G799" s="25"/>
    </row>
    <row r="800" spans="7:7">
      <c r="G800" s="25"/>
    </row>
    <row r="801" spans="7:7">
      <c r="G801" s="25"/>
    </row>
    <row r="802" spans="7:7">
      <c r="G802" s="25"/>
    </row>
    <row r="803" spans="7:7">
      <c r="G803" s="25"/>
    </row>
    <row r="804" spans="7:7">
      <c r="G804" s="25"/>
    </row>
    <row r="805" spans="7:7">
      <c r="G805" s="25"/>
    </row>
    <row r="806" spans="7:7">
      <c r="G806" s="25"/>
    </row>
    <row r="807" spans="7:7">
      <c r="G807" s="25"/>
    </row>
    <row r="808" spans="7:7">
      <c r="G808" s="25"/>
    </row>
    <row r="809" spans="7:7">
      <c r="G809" s="25"/>
    </row>
    <row r="810" spans="7:7">
      <c r="G810" s="25"/>
    </row>
    <row r="811" spans="7:7">
      <c r="G811" s="25"/>
    </row>
    <row r="812" spans="7:7">
      <c r="G812" s="25"/>
    </row>
    <row r="813" spans="7:7">
      <c r="G813" s="25"/>
    </row>
    <row r="814" spans="7:7">
      <c r="G814" s="25"/>
    </row>
    <row r="815" spans="7:7">
      <c r="G815" s="25"/>
    </row>
    <row r="816" spans="7:7">
      <c r="G816" s="25"/>
    </row>
    <row r="817" spans="7:7">
      <c r="G817" s="25"/>
    </row>
    <row r="818" spans="7:7">
      <c r="G818" s="25"/>
    </row>
    <row r="819" spans="7:7">
      <c r="G819" s="25"/>
    </row>
    <row r="820" spans="7:7">
      <c r="G820" s="25"/>
    </row>
    <row r="821" spans="7:7">
      <c r="G821" s="25"/>
    </row>
    <row r="822" spans="7:7">
      <c r="G822" s="25"/>
    </row>
    <row r="823" spans="7:7">
      <c r="G823" s="25"/>
    </row>
    <row r="824" spans="7:7">
      <c r="G824" s="25"/>
    </row>
    <row r="825" spans="7:7">
      <c r="G825" s="25"/>
    </row>
    <row r="826" spans="7:7">
      <c r="G826" s="25"/>
    </row>
    <row r="827" spans="7:7">
      <c r="G827" s="25"/>
    </row>
    <row r="828" spans="7:7">
      <c r="G828" s="25"/>
    </row>
    <row r="829" spans="7:7">
      <c r="G829" s="25"/>
    </row>
    <row r="830" spans="7:7">
      <c r="G830" s="25"/>
    </row>
    <row r="831" spans="7:7">
      <c r="G831" s="25"/>
    </row>
    <row r="832" spans="7:7">
      <c r="G832" s="25"/>
    </row>
    <row r="833" spans="7:7">
      <c r="G833" s="25"/>
    </row>
    <row r="834" spans="7:7">
      <c r="G834" s="25"/>
    </row>
    <row r="835" spans="7:7">
      <c r="G835" s="25"/>
    </row>
    <row r="836" spans="7:7">
      <c r="G836" s="25"/>
    </row>
    <row r="837" spans="7:7">
      <c r="G837" s="25"/>
    </row>
    <row r="838" spans="7:7">
      <c r="G838" s="25"/>
    </row>
    <row r="839" spans="7:7">
      <c r="G839" s="25"/>
    </row>
    <row r="840" spans="7:7">
      <c r="G840" s="25"/>
    </row>
    <row r="841" spans="7:7">
      <c r="G841" s="25"/>
    </row>
    <row r="842" spans="7:7">
      <c r="G842" s="25"/>
    </row>
    <row r="843" spans="7:7">
      <c r="G843" s="25"/>
    </row>
    <row r="844" spans="7:7">
      <c r="G844" s="25"/>
    </row>
    <row r="845" spans="7:7">
      <c r="G845" s="25"/>
    </row>
    <row r="846" spans="7:7">
      <c r="G846" s="25"/>
    </row>
    <row r="847" spans="7:7">
      <c r="G847" s="25"/>
    </row>
    <row r="848" spans="7:7">
      <c r="G848" s="25"/>
    </row>
    <row r="849" spans="7:7">
      <c r="G849" s="25"/>
    </row>
    <row r="850" spans="7:7">
      <c r="G850" s="25"/>
    </row>
    <row r="851" spans="7:7">
      <c r="G851" s="25"/>
    </row>
    <row r="852" spans="7:7">
      <c r="G852" s="25"/>
    </row>
    <row r="853" spans="7:7">
      <c r="G853" s="25"/>
    </row>
    <row r="854" spans="7:7">
      <c r="G854" s="25"/>
    </row>
    <row r="855" spans="7:7">
      <c r="G855" s="25"/>
    </row>
    <row r="856" spans="7:7">
      <c r="G856" s="25"/>
    </row>
    <row r="857" spans="7:7">
      <c r="G857" s="25"/>
    </row>
    <row r="858" spans="7:7">
      <c r="G858" s="25"/>
    </row>
    <row r="859" spans="7:7">
      <c r="G859" s="25"/>
    </row>
    <row r="860" spans="7:7">
      <c r="G860" s="25"/>
    </row>
    <row r="861" spans="7:7">
      <c r="G861" s="25"/>
    </row>
    <row r="862" spans="7:7">
      <c r="G862" s="25"/>
    </row>
    <row r="863" spans="7:7">
      <c r="G863" s="25"/>
    </row>
    <row r="864" spans="7:7">
      <c r="G864" s="25"/>
    </row>
    <row r="865" spans="7:7">
      <c r="G865" s="25"/>
    </row>
    <row r="866" spans="7:7">
      <c r="G866" s="25"/>
    </row>
    <row r="867" spans="7:7">
      <c r="G867" s="25"/>
    </row>
    <row r="868" spans="7:7">
      <c r="G868" s="25"/>
    </row>
    <row r="869" spans="7:7">
      <c r="G869" s="25"/>
    </row>
    <row r="870" spans="7:7">
      <c r="G870" s="25"/>
    </row>
    <row r="871" spans="7:7">
      <c r="G871" s="25"/>
    </row>
    <row r="872" spans="7:7">
      <c r="G872" s="25"/>
    </row>
    <row r="873" spans="7:7">
      <c r="G873" s="25"/>
    </row>
    <row r="874" spans="7:7">
      <c r="G874" s="25"/>
    </row>
    <row r="875" spans="7:7">
      <c r="G875" s="25"/>
    </row>
    <row r="876" spans="7:7">
      <c r="G876" s="25"/>
    </row>
    <row r="877" spans="7:7">
      <c r="G877" s="25"/>
    </row>
    <row r="878" spans="7:7">
      <c r="G878" s="25"/>
    </row>
    <row r="879" spans="7:7">
      <c r="G879" s="25"/>
    </row>
    <row r="880" spans="7:7">
      <c r="G880" s="25"/>
    </row>
    <row r="881" spans="7:7">
      <c r="G881" s="25"/>
    </row>
    <row r="882" spans="7:7">
      <c r="G882" s="25"/>
    </row>
    <row r="883" spans="7:7">
      <c r="G883" s="25"/>
    </row>
    <row r="884" spans="7:7">
      <c r="G884" s="25"/>
    </row>
    <row r="885" spans="7:7">
      <c r="G885" s="25"/>
    </row>
    <row r="886" spans="7:7">
      <c r="G886" s="25"/>
    </row>
    <row r="887" spans="7:7">
      <c r="G887" s="25"/>
    </row>
    <row r="888" spans="7:7">
      <c r="G888" s="25"/>
    </row>
    <row r="889" spans="7:7">
      <c r="G889" s="25"/>
    </row>
    <row r="890" spans="7:7">
      <c r="G890" s="25"/>
    </row>
    <row r="891" spans="7:7">
      <c r="G891" s="25"/>
    </row>
    <row r="892" spans="7:7">
      <c r="G892" s="25"/>
    </row>
    <row r="893" spans="7:7">
      <c r="G893" s="25"/>
    </row>
    <row r="894" spans="7:7">
      <c r="G894" s="25"/>
    </row>
    <row r="895" spans="7:7">
      <c r="G895" s="25"/>
    </row>
    <row r="896" spans="7:7">
      <c r="G896" s="25"/>
    </row>
    <row r="897" spans="7:7">
      <c r="G897" s="25"/>
    </row>
    <row r="898" spans="7:7">
      <c r="G898" s="25"/>
    </row>
    <row r="899" spans="7:7">
      <c r="G899" s="25"/>
    </row>
    <row r="900" spans="7:7">
      <c r="G900" s="25"/>
    </row>
    <row r="901" spans="7:7">
      <c r="G901" s="25"/>
    </row>
    <row r="902" spans="7:7">
      <c r="G902" s="25"/>
    </row>
    <row r="903" spans="7:7">
      <c r="G903" s="25"/>
    </row>
    <row r="904" spans="7:7">
      <c r="G904" s="25"/>
    </row>
    <row r="905" spans="7:7">
      <c r="G905" s="25"/>
    </row>
    <row r="906" spans="7:7">
      <c r="G906" s="25"/>
    </row>
    <row r="907" spans="7:7">
      <c r="G907" s="25"/>
    </row>
    <row r="908" spans="7:7">
      <c r="G908" s="25"/>
    </row>
    <row r="909" spans="7:7">
      <c r="G909" s="25"/>
    </row>
    <row r="910" spans="7:7">
      <c r="G910" s="25"/>
    </row>
    <row r="911" spans="7:7">
      <c r="G911" s="25"/>
    </row>
    <row r="912" spans="7:7">
      <c r="G912" s="25"/>
    </row>
    <row r="913" spans="7:7">
      <c r="G913" s="25"/>
    </row>
    <row r="914" spans="7:7">
      <c r="G914" s="25"/>
    </row>
    <row r="915" spans="7:7">
      <c r="G915" s="25"/>
    </row>
    <row r="916" spans="7:7">
      <c r="G916" s="25"/>
    </row>
    <row r="917" spans="7:7">
      <c r="G917" s="25"/>
    </row>
    <row r="918" spans="7:7">
      <c r="G918" s="25"/>
    </row>
    <row r="919" spans="7:7">
      <c r="G919" s="25"/>
    </row>
    <row r="920" spans="7:7">
      <c r="G920" s="25"/>
    </row>
    <row r="921" spans="7:7">
      <c r="G921" s="25"/>
    </row>
    <row r="922" spans="7:7">
      <c r="G922" s="25"/>
    </row>
    <row r="923" spans="7:7">
      <c r="G923" s="25"/>
    </row>
    <row r="924" spans="7:7">
      <c r="G924" s="25"/>
    </row>
    <row r="925" spans="7:7">
      <c r="G925" s="25"/>
    </row>
    <row r="926" spans="7:7">
      <c r="G926" s="25"/>
    </row>
    <row r="927" spans="7:7">
      <c r="G927" s="25"/>
    </row>
    <row r="928" spans="7:7">
      <c r="G928" s="25"/>
    </row>
    <row r="929" spans="7:7">
      <c r="G929" s="25"/>
    </row>
    <row r="930" spans="7:7">
      <c r="G930" s="25"/>
    </row>
    <row r="931" spans="7:7">
      <c r="G931" s="25"/>
    </row>
    <row r="932" spans="7:7">
      <c r="G932" s="25"/>
    </row>
    <row r="933" spans="7:7">
      <c r="G933" s="25"/>
    </row>
    <row r="934" spans="7:7">
      <c r="G934" s="25"/>
    </row>
    <row r="935" spans="7:7">
      <c r="G935" s="25"/>
    </row>
    <row r="936" spans="7:7">
      <c r="G936" s="25"/>
    </row>
    <row r="937" spans="7:7">
      <c r="G937" s="25"/>
    </row>
    <row r="938" spans="7:7">
      <c r="G938" s="25"/>
    </row>
    <row r="939" spans="7:7">
      <c r="G939" s="25"/>
    </row>
    <row r="940" spans="7:7">
      <c r="G940" s="25"/>
    </row>
    <row r="941" spans="7:7">
      <c r="G941" s="25"/>
    </row>
    <row r="942" spans="7:7">
      <c r="G942" s="25"/>
    </row>
    <row r="943" spans="7:7">
      <c r="G943" s="25"/>
    </row>
    <row r="944" spans="7:7">
      <c r="G944" s="25"/>
    </row>
    <row r="945" spans="7:7">
      <c r="G945" s="25"/>
    </row>
    <row r="946" spans="7:7">
      <c r="G946" s="25"/>
    </row>
    <row r="947" spans="7:7">
      <c r="G947" s="25"/>
    </row>
    <row r="948" spans="7:7">
      <c r="G948" s="25"/>
    </row>
    <row r="949" spans="7:7">
      <c r="G949" s="25"/>
    </row>
    <row r="950" spans="7:7">
      <c r="G950" s="25"/>
    </row>
    <row r="951" spans="7:7">
      <c r="G951" s="25"/>
    </row>
    <row r="952" spans="7:7">
      <c r="G952" s="25"/>
    </row>
    <row r="953" spans="7:7">
      <c r="G953" s="25"/>
    </row>
    <row r="954" spans="7:7">
      <c r="G954" s="25"/>
    </row>
    <row r="955" spans="7:7">
      <c r="G955" s="25"/>
    </row>
    <row r="956" spans="7:7">
      <c r="G956" s="25"/>
    </row>
    <row r="957" spans="7:7">
      <c r="G957" s="25"/>
    </row>
    <row r="958" spans="7:7">
      <c r="G958" s="25"/>
    </row>
    <row r="959" spans="7:7">
      <c r="G959" s="25"/>
    </row>
    <row r="960" spans="7:7">
      <c r="G960" s="25"/>
    </row>
    <row r="961" spans="7:7">
      <c r="G961" s="25"/>
    </row>
    <row r="962" spans="7:7">
      <c r="G962" s="25"/>
    </row>
    <row r="963" spans="7:7">
      <c r="G963" s="25"/>
    </row>
    <row r="964" spans="7:7">
      <c r="G964" s="25"/>
    </row>
    <row r="965" spans="7:7">
      <c r="G965" s="25"/>
    </row>
    <row r="966" spans="7:7">
      <c r="G966" s="25"/>
    </row>
    <row r="967" spans="7:7">
      <c r="G967" s="25"/>
    </row>
    <row r="968" spans="7:7">
      <c r="G968" s="25"/>
    </row>
    <row r="969" spans="7:7">
      <c r="G969" s="25"/>
    </row>
    <row r="970" spans="7:7">
      <c r="G970" s="25"/>
    </row>
    <row r="971" spans="7:7">
      <c r="G971" s="25"/>
    </row>
    <row r="972" spans="7:7">
      <c r="G972" s="25"/>
    </row>
    <row r="973" spans="7:7">
      <c r="G973" s="25"/>
    </row>
    <row r="974" spans="7:7">
      <c r="G974" s="25"/>
    </row>
    <row r="975" spans="7:7">
      <c r="G975" s="25"/>
    </row>
    <row r="976" spans="7:7">
      <c r="G976" s="25"/>
    </row>
    <row r="977" spans="7:7">
      <c r="G977" s="25"/>
    </row>
    <row r="978" spans="7:7">
      <c r="G978" s="25"/>
    </row>
    <row r="979" spans="7:7">
      <c r="G979" s="25"/>
    </row>
    <row r="980" spans="7:7">
      <c r="G980" s="25"/>
    </row>
    <row r="981" spans="7:7">
      <c r="G981" s="25"/>
    </row>
    <row r="982" spans="7:7">
      <c r="G982" s="25"/>
    </row>
    <row r="983" spans="7:7">
      <c r="G983" s="25"/>
    </row>
    <row r="984" spans="7:7">
      <c r="G984" s="25"/>
    </row>
    <row r="985" spans="7:7">
      <c r="G985" s="25"/>
    </row>
    <row r="986" spans="7:7">
      <c r="G986" s="25"/>
    </row>
    <row r="987" spans="7:7">
      <c r="G987" s="25"/>
    </row>
    <row r="988" spans="7:7">
      <c r="G988" s="25"/>
    </row>
    <row r="989" spans="7:7">
      <c r="G989" s="25"/>
    </row>
    <row r="990" spans="7:7">
      <c r="G990" s="25"/>
    </row>
    <row r="991" spans="7:7">
      <c r="G991" s="25"/>
    </row>
    <row r="992" spans="7:7">
      <c r="G992" s="25"/>
    </row>
    <row r="993" spans="7:7">
      <c r="G993" s="25"/>
    </row>
    <row r="994" spans="7:7">
      <c r="G994" s="25"/>
    </row>
    <row r="995" spans="7:7">
      <c r="G995" s="25"/>
    </row>
    <row r="996" spans="7:7">
      <c r="G996" s="25"/>
    </row>
    <row r="997" spans="7:7">
      <c r="G997" s="25"/>
    </row>
    <row r="998" spans="7:7">
      <c r="G998" s="25"/>
    </row>
    <row r="999" spans="7:7">
      <c r="G999" s="25"/>
    </row>
    <row r="1000" spans="7:7">
      <c r="G1000" s="25"/>
    </row>
    <row r="1001" spans="7:7">
      <c r="G1001" s="25"/>
    </row>
    <row r="1002" spans="7:7">
      <c r="G1002" s="25"/>
    </row>
    <row r="1003" spans="7:7">
      <c r="G1003" s="25"/>
    </row>
    <row r="1004" spans="7:7">
      <c r="G1004" s="25"/>
    </row>
    <row r="1005" spans="7:7">
      <c r="G1005" s="25"/>
    </row>
    <row r="1006" spans="7:7">
      <c r="G1006" s="25"/>
    </row>
    <row r="1007" spans="7:7">
      <c r="G1007" s="25"/>
    </row>
    <row r="1008" spans="7:7">
      <c r="G1008" s="25"/>
    </row>
    <row r="1009" spans="7:7">
      <c r="G1009" s="25"/>
    </row>
    <row r="1010" spans="7:7">
      <c r="G1010" s="25"/>
    </row>
    <row r="1011" spans="7:7">
      <c r="G1011" s="25"/>
    </row>
    <row r="1012" spans="7:7">
      <c r="G1012" s="25"/>
    </row>
    <row r="1013" spans="7:7">
      <c r="G1013" s="25"/>
    </row>
    <row r="1014" spans="7:7">
      <c r="G1014" s="25"/>
    </row>
    <row r="1015" spans="7:7">
      <c r="G1015" s="25"/>
    </row>
    <row r="1016" spans="7:7">
      <c r="G1016" s="25"/>
    </row>
    <row r="1017" spans="7:7">
      <c r="G1017" s="25"/>
    </row>
    <row r="1018" spans="7:7">
      <c r="G1018" s="25"/>
    </row>
    <row r="1019" spans="7:7">
      <c r="G1019" s="25"/>
    </row>
    <row r="1020" spans="7:7">
      <c r="G1020" s="25"/>
    </row>
    <row r="1021" spans="7:7">
      <c r="G1021" s="25"/>
    </row>
    <row r="1022" spans="7:7">
      <c r="G1022" s="25"/>
    </row>
    <row r="1023" spans="7:7">
      <c r="G1023" s="25"/>
    </row>
    <row r="1024" spans="7:7">
      <c r="G1024" s="25"/>
    </row>
    <row r="1025" spans="7:7">
      <c r="G1025" s="25"/>
    </row>
    <row r="1026" spans="7:7">
      <c r="G1026" s="25"/>
    </row>
    <row r="1027" spans="7:7">
      <c r="G1027" s="25"/>
    </row>
    <row r="1028" spans="7:7">
      <c r="G1028" s="25"/>
    </row>
    <row r="1029" spans="7:7">
      <c r="G1029" s="25"/>
    </row>
    <row r="1030" spans="7:7">
      <c r="G1030" s="25"/>
    </row>
    <row r="1031" spans="7:7">
      <c r="G1031" s="25"/>
    </row>
    <row r="1032" spans="7:7">
      <c r="G1032" s="25"/>
    </row>
    <row r="1033" spans="7:7">
      <c r="G1033" s="25"/>
    </row>
    <row r="1034" spans="7:7">
      <c r="G1034" s="25"/>
    </row>
    <row r="1035" spans="7:7">
      <c r="G1035" s="25"/>
    </row>
    <row r="1036" spans="7:7">
      <c r="G1036" s="25"/>
    </row>
    <row r="1037" spans="7:7">
      <c r="G1037" s="25"/>
    </row>
    <row r="1038" spans="7:7">
      <c r="G1038" s="25"/>
    </row>
    <row r="1039" spans="7:7">
      <c r="G1039" s="25"/>
    </row>
    <row r="1040" spans="7:7">
      <c r="G1040" s="25"/>
    </row>
    <row r="1041" spans="7:7">
      <c r="G1041" s="25"/>
    </row>
    <row r="1042" spans="7:7">
      <c r="G1042" s="25"/>
    </row>
    <row r="1043" spans="7:7">
      <c r="G1043" s="25"/>
    </row>
    <row r="1044" spans="7:7">
      <c r="G1044" s="25"/>
    </row>
    <row r="1045" spans="7:7">
      <c r="G1045" s="25"/>
    </row>
    <row r="1046" spans="7:7">
      <c r="G1046" s="25"/>
    </row>
    <row r="1047" spans="7:7">
      <c r="G1047" s="25"/>
    </row>
    <row r="1048" spans="7:7">
      <c r="G1048" s="25"/>
    </row>
    <row r="1049" spans="7:7">
      <c r="G1049" s="25"/>
    </row>
    <row r="1050" spans="7:7">
      <c r="G1050" s="25"/>
    </row>
    <row r="1051" spans="7:7">
      <c r="G1051" s="25"/>
    </row>
    <row r="1052" spans="7:7">
      <c r="G1052" s="25"/>
    </row>
    <row r="1053" spans="7:7">
      <c r="G1053" s="25"/>
    </row>
    <row r="1054" spans="7:7">
      <c r="G1054" s="25"/>
    </row>
    <row r="1055" spans="7:7">
      <c r="G1055" s="25"/>
    </row>
    <row r="1056" spans="7:7">
      <c r="G1056" s="25"/>
    </row>
    <row r="1057" spans="7:7">
      <c r="G1057" s="25"/>
    </row>
    <row r="1058" spans="7:7">
      <c r="G1058" s="25"/>
    </row>
    <row r="1059" spans="7:7">
      <c r="G1059" s="25"/>
    </row>
    <row r="1060" spans="7:7">
      <c r="G1060" s="25"/>
    </row>
    <row r="1061" spans="7:7">
      <c r="G1061" s="25"/>
    </row>
    <row r="1062" spans="7:7">
      <c r="G1062" s="25"/>
    </row>
    <row r="1063" spans="7:7">
      <c r="G1063" s="25"/>
    </row>
    <row r="1064" spans="7:7">
      <c r="G1064" s="25"/>
    </row>
    <row r="1065" spans="7:7">
      <c r="G1065" s="25"/>
    </row>
    <row r="1066" spans="7:7">
      <c r="G1066" s="25"/>
    </row>
    <row r="1067" spans="7:7">
      <c r="G1067" s="25"/>
    </row>
    <row r="1068" spans="7:7">
      <c r="G1068" s="25"/>
    </row>
    <row r="1069" spans="7:7">
      <c r="G1069" s="25"/>
    </row>
    <row r="1070" spans="7:7">
      <c r="G1070" s="25"/>
    </row>
    <row r="1071" spans="7:7">
      <c r="G1071" s="25"/>
    </row>
    <row r="1072" spans="7:7">
      <c r="G1072" s="25"/>
    </row>
    <row r="1073" spans="7:7">
      <c r="G1073" s="25"/>
    </row>
    <row r="1074" spans="7:7">
      <c r="G1074" s="25"/>
    </row>
    <row r="1075" spans="7:7">
      <c r="G1075" s="25"/>
    </row>
    <row r="1076" spans="7:7">
      <c r="G1076" s="25"/>
    </row>
    <row r="1077" spans="7:7">
      <c r="G1077" s="25"/>
    </row>
    <row r="1078" spans="7:7">
      <c r="G1078" s="25"/>
    </row>
    <row r="1079" spans="7:7">
      <c r="G1079" s="25"/>
    </row>
    <row r="1080" spans="7:7">
      <c r="G1080" s="25"/>
    </row>
    <row r="1081" spans="7:7">
      <c r="G1081" s="25"/>
    </row>
    <row r="1082" spans="7:7">
      <c r="G1082" s="25"/>
    </row>
    <row r="1083" spans="7:7">
      <c r="G1083" s="25"/>
    </row>
    <row r="1084" spans="7:7">
      <c r="G1084" s="25"/>
    </row>
    <row r="1085" spans="7:7">
      <c r="G1085" s="25"/>
    </row>
    <row r="1086" spans="7:7">
      <c r="G1086" s="25"/>
    </row>
    <row r="1087" spans="7:7">
      <c r="G1087" s="25"/>
    </row>
    <row r="1088" spans="7:7">
      <c r="G1088" s="25"/>
    </row>
    <row r="1089" spans="7:7">
      <c r="G1089" s="25"/>
    </row>
    <row r="1090" spans="7:7">
      <c r="G1090" s="25"/>
    </row>
    <row r="1091" spans="7:7">
      <c r="G1091" s="25"/>
    </row>
    <row r="1092" spans="7:7">
      <c r="G1092" s="25"/>
    </row>
    <row r="1093" spans="7:7">
      <c r="G1093" s="25"/>
    </row>
    <row r="1094" spans="7:7">
      <c r="G1094" s="25"/>
    </row>
    <row r="1095" spans="7:7">
      <c r="G1095" s="25"/>
    </row>
    <row r="1096" spans="7:7">
      <c r="G1096" s="25"/>
    </row>
    <row r="1097" spans="7:7">
      <c r="G1097" s="25"/>
    </row>
    <row r="1098" spans="7:7">
      <c r="G1098" s="25"/>
    </row>
    <row r="1099" spans="7:7">
      <c r="G1099" s="25"/>
    </row>
    <row r="1100" spans="7:7">
      <c r="G1100" s="25"/>
    </row>
    <row r="1101" spans="7:7">
      <c r="G1101" s="25"/>
    </row>
    <row r="1102" spans="7:7">
      <c r="G1102" s="25"/>
    </row>
    <row r="1103" spans="7:7">
      <c r="G1103" s="25"/>
    </row>
    <row r="1104" spans="7:7">
      <c r="G1104" s="25"/>
    </row>
    <row r="1105" spans="7:7">
      <c r="G1105" s="25"/>
    </row>
    <row r="1106" spans="7:7">
      <c r="G1106" s="25"/>
    </row>
    <row r="1107" spans="7:7">
      <c r="G1107" s="25"/>
    </row>
    <row r="1108" spans="7:7">
      <c r="G1108" s="25"/>
    </row>
    <row r="1109" spans="7:7">
      <c r="G1109" s="25"/>
    </row>
    <row r="1110" spans="7:7">
      <c r="G1110" s="25"/>
    </row>
    <row r="1111" spans="7:7">
      <c r="G1111" s="25"/>
    </row>
    <row r="1112" spans="7:7">
      <c r="G1112" s="25"/>
    </row>
    <row r="1113" spans="7:7">
      <c r="G1113" s="25"/>
    </row>
    <row r="1114" spans="7:7">
      <c r="G1114" s="25"/>
    </row>
    <row r="1115" spans="7:7">
      <c r="G1115" s="25"/>
    </row>
    <row r="1116" spans="7:7">
      <c r="G1116" s="25"/>
    </row>
    <row r="1117" spans="7:7">
      <c r="G1117" s="25"/>
    </row>
    <row r="1118" spans="7:7">
      <c r="G1118" s="25"/>
    </row>
    <row r="1119" spans="7:7">
      <c r="G1119" s="25"/>
    </row>
    <row r="1120" spans="7:7">
      <c r="G1120" s="25"/>
    </row>
    <row r="1121" spans="7:7">
      <c r="G1121" s="25"/>
    </row>
    <row r="1122" spans="7:7">
      <c r="G1122" s="25"/>
    </row>
    <row r="1123" spans="7:7">
      <c r="G1123" s="25"/>
    </row>
    <row r="1124" spans="7:7">
      <c r="G1124" s="25"/>
    </row>
    <row r="1125" spans="7:7">
      <c r="G1125" s="25"/>
    </row>
    <row r="1126" spans="7:7">
      <c r="G1126" s="25"/>
    </row>
    <row r="1127" spans="7:7">
      <c r="G1127" s="25"/>
    </row>
    <row r="1128" spans="7:7">
      <c r="G1128" s="25"/>
    </row>
    <row r="1129" spans="7:7">
      <c r="G1129" s="25"/>
    </row>
    <row r="1130" spans="7:7">
      <c r="G1130" s="25"/>
    </row>
    <row r="1131" spans="7:7">
      <c r="G1131" s="25"/>
    </row>
    <row r="1132" spans="7:7">
      <c r="G1132" s="25"/>
    </row>
    <row r="1133" spans="7:7">
      <c r="G1133" s="25"/>
    </row>
    <row r="1134" spans="7:7">
      <c r="G1134" s="25"/>
    </row>
    <row r="1135" spans="7:7">
      <c r="G1135" s="25"/>
    </row>
    <row r="1136" spans="7:7">
      <c r="G1136" s="25"/>
    </row>
    <row r="1137" spans="7:7">
      <c r="G1137" s="25"/>
    </row>
    <row r="1138" spans="7:7">
      <c r="G1138" s="25"/>
    </row>
    <row r="1139" spans="7:7">
      <c r="G1139" s="25"/>
    </row>
    <row r="1140" spans="7:7">
      <c r="G1140" s="25"/>
    </row>
    <row r="1141" spans="7:7">
      <c r="G1141" s="25"/>
    </row>
    <row r="1142" spans="7:7">
      <c r="G1142" s="25"/>
    </row>
    <row r="1143" spans="7:7">
      <c r="G1143" s="25"/>
    </row>
    <row r="1144" spans="7:7">
      <c r="G1144" s="25"/>
    </row>
    <row r="1145" spans="7:7">
      <c r="G1145" s="25"/>
    </row>
    <row r="1146" spans="7:7">
      <c r="G1146" s="25"/>
    </row>
    <row r="1147" spans="7:7">
      <c r="G1147" s="25"/>
    </row>
    <row r="1148" spans="7:7">
      <c r="G1148" s="25"/>
    </row>
    <row r="1149" spans="7:7">
      <c r="G1149" s="25"/>
    </row>
    <row r="1150" spans="7:7">
      <c r="G1150" s="25"/>
    </row>
    <row r="1151" spans="7:7">
      <c r="G1151" s="25"/>
    </row>
    <row r="1152" spans="7:7">
      <c r="G1152" s="25"/>
    </row>
    <row r="1153" spans="7:7">
      <c r="G1153" s="25"/>
    </row>
    <row r="1154" spans="7:7">
      <c r="G1154" s="25"/>
    </row>
    <row r="1155" spans="7:7">
      <c r="G1155" s="25"/>
    </row>
    <row r="1156" spans="7:7">
      <c r="G1156" s="25"/>
    </row>
    <row r="1157" spans="7:7">
      <c r="G1157" s="25"/>
    </row>
    <row r="1158" spans="7:7">
      <c r="G1158" s="25"/>
    </row>
    <row r="1159" spans="7:7">
      <c r="G1159" s="25"/>
    </row>
    <row r="1160" spans="7:7">
      <c r="G1160" s="25"/>
    </row>
    <row r="1161" spans="7:7">
      <c r="G1161" s="25"/>
    </row>
    <row r="1162" spans="7:7">
      <c r="G1162" s="25"/>
    </row>
    <row r="1163" spans="7:7">
      <c r="G1163" s="25"/>
    </row>
    <row r="1164" spans="7:7">
      <c r="G1164" s="25"/>
    </row>
    <row r="1165" spans="7:7">
      <c r="G1165" s="25"/>
    </row>
    <row r="1166" spans="7:7">
      <c r="G1166" s="25"/>
    </row>
    <row r="1167" spans="7:7">
      <c r="G1167" s="25"/>
    </row>
    <row r="1168" spans="7:7">
      <c r="G1168" s="25"/>
    </row>
    <row r="1169" spans="7:7">
      <c r="G1169" s="25"/>
    </row>
    <row r="1170" spans="7:7">
      <c r="G1170" s="25"/>
    </row>
    <row r="1171" spans="7:7">
      <c r="G1171" s="25"/>
    </row>
    <row r="1172" spans="7:7">
      <c r="G1172" s="25"/>
    </row>
    <row r="1173" spans="7:7">
      <c r="G1173" s="25"/>
    </row>
    <row r="1174" spans="7:7">
      <c r="G1174" s="25"/>
    </row>
    <row r="1175" spans="7:7">
      <c r="G1175" s="25"/>
    </row>
    <row r="1176" spans="7:7">
      <c r="G1176" s="25"/>
    </row>
    <row r="1177" spans="7:7">
      <c r="G1177" s="25"/>
    </row>
    <row r="1178" spans="7:7">
      <c r="G1178" s="25"/>
    </row>
    <row r="1179" spans="7:7">
      <c r="G1179" s="25"/>
    </row>
    <row r="1180" spans="7:7">
      <c r="G1180" s="25"/>
    </row>
    <row r="1181" spans="7:7">
      <c r="G1181" s="25"/>
    </row>
    <row r="1182" spans="7:7">
      <c r="G1182" s="25"/>
    </row>
    <row r="1183" spans="7:7">
      <c r="G1183" s="25"/>
    </row>
    <row r="1184" spans="7:7">
      <c r="G1184" s="25"/>
    </row>
    <row r="1185" spans="7:7">
      <c r="G1185" s="25"/>
    </row>
    <row r="1186" spans="7:7">
      <c r="G1186" s="25"/>
    </row>
    <row r="1187" spans="7:7">
      <c r="G1187" s="25"/>
    </row>
    <row r="1188" spans="7:7">
      <c r="G1188" s="25"/>
    </row>
    <row r="1189" spans="7:7">
      <c r="G1189" s="25"/>
    </row>
    <row r="1190" spans="7:7">
      <c r="G1190" s="25"/>
    </row>
    <row r="1191" spans="7:7">
      <c r="G1191" s="25"/>
    </row>
    <row r="1192" spans="7:7">
      <c r="G1192" s="25"/>
    </row>
    <row r="1193" spans="7:7">
      <c r="G1193" s="25"/>
    </row>
    <row r="1194" spans="7:7">
      <c r="G1194" s="25"/>
    </row>
    <row r="1195" spans="7:7">
      <c r="G1195" s="25"/>
    </row>
    <row r="1196" spans="7:7">
      <c r="G1196" s="25"/>
    </row>
    <row r="1197" spans="7:7">
      <c r="G1197" s="25"/>
    </row>
    <row r="1198" spans="7:7">
      <c r="G1198" s="25"/>
    </row>
    <row r="1199" spans="7:7">
      <c r="G1199" s="25"/>
    </row>
    <row r="1200" spans="7:7">
      <c r="G1200" s="25"/>
    </row>
    <row r="1201" spans="7:7">
      <c r="G1201" s="25"/>
    </row>
    <row r="1202" spans="7:7">
      <c r="G1202" s="25"/>
    </row>
    <row r="1203" spans="7:7">
      <c r="G1203" s="25"/>
    </row>
    <row r="1204" spans="7:7">
      <c r="G1204" s="25"/>
    </row>
    <row r="1205" spans="7:7">
      <c r="G1205" s="25"/>
    </row>
    <row r="1206" spans="7:7">
      <c r="G1206" s="25"/>
    </row>
    <row r="1207" spans="7:7">
      <c r="G1207" s="25"/>
    </row>
    <row r="1208" spans="7:7">
      <c r="G1208" s="25"/>
    </row>
    <row r="1209" spans="7:7">
      <c r="G1209" s="25"/>
    </row>
    <row r="1210" spans="7:7">
      <c r="G1210" s="25"/>
    </row>
    <row r="1211" spans="7:7">
      <c r="G1211" s="25"/>
    </row>
    <row r="1212" spans="7:7">
      <c r="G1212" s="25"/>
    </row>
    <row r="1213" spans="7:7">
      <c r="G1213" s="25"/>
    </row>
    <row r="1214" spans="7:7">
      <c r="G1214" s="25"/>
    </row>
    <row r="1215" spans="7:7">
      <c r="G1215" s="25"/>
    </row>
    <row r="1216" spans="7:7">
      <c r="G1216" s="25"/>
    </row>
    <row r="1217" spans="7:7">
      <c r="G1217" s="25"/>
    </row>
    <row r="1218" spans="7:7">
      <c r="G1218" s="25"/>
    </row>
    <row r="1219" spans="7:7">
      <c r="G1219" s="25"/>
    </row>
    <row r="1220" spans="7:7">
      <c r="G1220" s="25"/>
    </row>
    <row r="1221" spans="7:7">
      <c r="G1221" s="25"/>
    </row>
    <row r="1222" spans="7:7">
      <c r="G1222" s="25"/>
    </row>
    <row r="1223" spans="7:7">
      <c r="G1223" s="25"/>
    </row>
    <row r="1224" spans="7:7">
      <c r="G1224" s="25"/>
    </row>
    <row r="1225" spans="7:7">
      <c r="G1225" s="25"/>
    </row>
    <row r="1226" spans="7:7">
      <c r="G1226" s="25"/>
    </row>
    <row r="1227" spans="7:7">
      <c r="G1227" s="25"/>
    </row>
    <row r="1228" spans="7:7">
      <c r="G1228" s="25"/>
    </row>
    <row r="1229" spans="7:7">
      <c r="G1229" s="25"/>
    </row>
    <row r="1230" spans="7:7">
      <c r="G1230" s="25"/>
    </row>
    <row r="1231" spans="7:7">
      <c r="G1231" s="25"/>
    </row>
    <row r="1232" spans="7:7">
      <c r="G1232" s="25"/>
    </row>
    <row r="1233" spans="7:7">
      <c r="G1233" s="25"/>
    </row>
    <row r="1234" spans="7:7">
      <c r="G1234" s="25"/>
    </row>
    <row r="1235" spans="7:7">
      <c r="G1235" s="25"/>
    </row>
    <row r="1236" spans="7:7">
      <c r="G1236" s="25"/>
    </row>
    <row r="1237" spans="7:7">
      <c r="G1237" s="25"/>
    </row>
    <row r="1238" spans="7:7">
      <c r="G1238" s="25"/>
    </row>
    <row r="1239" spans="7:7">
      <c r="G1239" s="25"/>
    </row>
    <row r="1240" spans="7:7">
      <c r="G1240" s="25"/>
    </row>
    <row r="1241" spans="7:7">
      <c r="G1241" s="25"/>
    </row>
    <row r="1242" spans="7:7">
      <c r="G1242" s="25"/>
    </row>
    <row r="1243" spans="7:7">
      <c r="G1243" s="25"/>
    </row>
    <row r="1244" spans="7:7">
      <c r="G1244" s="25"/>
    </row>
    <row r="1245" spans="7:7">
      <c r="G1245" s="25"/>
    </row>
    <row r="1246" spans="7:7">
      <c r="G1246" s="25"/>
    </row>
    <row r="1247" spans="7:7">
      <c r="G1247" s="25"/>
    </row>
    <row r="1248" spans="7:7">
      <c r="G1248" s="25"/>
    </row>
    <row r="1249" spans="7:7">
      <c r="G1249" s="25"/>
    </row>
    <row r="1250" spans="7:7">
      <c r="G1250" s="25"/>
    </row>
    <row r="1251" spans="7:7">
      <c r="G1251" s="25"/>
    </row>
    <row r="1252" spans="7:7">
      <c r="G1252" s="25"/>
    </row>
    <row r="1253" spans="7:7">
      <c r="G1253" s="25"/>
    </row>
    <row r="1254" spans="7:7">
      <c r="G1254" s="25"/>
    </row>
    <row r="1255" spans="7:7">
      <c r="G1255" s="25"/>
    </row>
    <row r="1256" spans="7:7">
      <c r="G1256" s="25"/>
    </row>
    <row r="1257" spans="7:7">
      <c r="G1257" s="25"/>
    </row>
    <row r="1258" spans="7:7">
      <c r="G1258" s="25"/>
    </row>
    <row r="1259" spans="7:7">
      <c r="G1259" s="25"/>
    </row>
    <row r="1260" spans="7:7">
      <c r="G1260" s="25"/>
    </row>
    <row r="1261" spans="7:7">
      <c r="G1261" s="25"/>
    </row>
    <row r="1262" spans="7:7">
      <c r="G1262" s="25"/>
    </row>
    <row r="1263" spans="7:7">
      <c r="G1263" s="25"/>
    </row>
    <row r="1264" spans="7:7">
      <c r="G1264" s="25"/>
    </row>
    <row r="1265" spans="7:7">
      <c r="G1265" s="25"/>
    </row>
    <row r="1266" spans="7:7">
      <c r="G1266" s="25"/>
    </row>
    <row r="1267" spans="7:7">
      <c r="G1267" s="25"/>
    </row>
    <row r="1268" spans="7:7">
      <c r="G1268" s="25"/>
    </row>
    <row r="1269" spans="7:7">
      <c r="G1269" s="25"/>
    </row>
    <row r="1270" spans="7:7">
      <c r="G1270" s="25"/>
    </row>
    <row r="1271" spans="7:7">
      <c r="G1271" s="25"/>
    </row>
    <row r="1272" spans="7:7">
      <c r="G1272" s="25"/>
    </row>
    <row r="1273" spans="7:7">
      <c r="G1273" s="25"/>
    </row>
    <row r="1274" spans="7:7">
      <c r="G1274" s="25"/>
    </row>
    <row r="1275" spans="7:7">
      <c r="G1275" s="25"/>
    </row>
    <row r="1276" spans="7:7">
      <c r="G1276" s="25"/>
    </row>
    <row r="1277" spans="7:7">
      <c r="G1277" s="25"/>
    </row>
    <row r="1278" spans="7:7">
      <c r="G1278" s="25"/>
    </row>
    <row r="1279" spans="7:7">
      <c r="G1279" s="25"/>
    </row>
    <row r="1280" spans="7:7">
      <c r="G1280" s="25"/>
    </row>
    <row r="1281" spans="7:7">
      <c r="G1281" s="25"/>
    </row>
    <row r="1282" spans="7:7">
      <c r="G1282" s="25"/>
    </row>
    <row r="1283" spans="7:7">
      <c r="G1283" s="25"/>
    </row>
    <row r="1284" spans="7:7">
      <c r="G1284" s="25"/>
    </row>
    <row r="1285" spans="7:7">
      <c r="G1285" s="25"/>
    </row>
    <row r="1286" spans="7:7">
      <c r="G1286" s="25"/>
    </row>
    <row r="1287" spans="7:7">
      <c r="G1287" s="25"/>
    </row>
    <row r="1288" spans="7:7">
      <c r="G1288" s="25"/>
    </row>
    <row r="1289" spans="7:7">
      <c r="G1289" s="25"/>
    </row>
    <row r="1290" spans="7:7">
      <c r="G1290" s="25"/>
    </row>
    <row r="1291" spans="7:7">
      <c r="G1291" s="25"/>
    </row>
    <row r="1292" spans="7:7">
      <c r="G1292" s="25"/>
    </row>
    <row r="1293" spans="7:7">
      <c r="G1293" s="25"/>
    </row>
    <row r="1294" spans="7:7">
      <c r="G1294" s="25"/>
    </row>
    <row r="1295" spans="7:7">
      <c r="G1295" s="25"/>
    </row>
    <row r="1296" spans="7:7">
      <c r="G1296" s="25"/>
    </row>
    <row r="1297" spans="7:7">
      <c r="G1297" s="25"/>
    </row>
    <row r="1298" spans="7:7">
      <c r="G1298" s="25"/>
    </row>
    <row r="1299" spans="7:7">
      <c r="G1299" s="25"/>
    </row>
    <row r="1300" spans="7:7">
      <c r="G1300" s="25"/>
    </row>
    <row r="1301" spans="7:7">
      <c r="G1301" s="25"/>
    </row>
    <row r="1302" spans="7:7">
      <c r="G1302" s="25"/>
    </row>
    <row r="1303" spans="7:7">
      <c r="G1303" s="25"/>
    </row>
    <row r="1304" spans="7:7">
      <c r="G1304" s="25"/>
    </row>
    <row r="1305" spans="7:7">
      <c r="G1305" s="25"/>
    </row>
    <row r="1306" spans="7:7">
      <c r="G1306" s="25"/>
    </row>
    <row r="1307" spans="7:7">
      <c r="G1307" s="25"/>
    </row>
    <row r="1308" spans="7:7">
      <c r="G1308" s="25"/>
    </row>
    <row r="1309" spans="7:7">
      <c r="G1309" s="25"/>
    </row>
    <row r="1310" spans="7:7">
      <c r="G1310" s="25"/>
    </row>
    <row r="1311" spans="7:7">
      <c r="G1311" s="25"/>
    </row>
    <row r="1312" spans="7:7">
      <c r="G1312" s="25"/>
    </row>
    <row r="1313" spans="7:7">
      <c r="G1313" s="25"/>
    </row>
    <row r="1314" spans="7:7">
      <c r="G1314" s="25"/>
    </row>
    <row r="1315" spans="7:7">
      <c r="G1315" s="25"/>
    </row>
    <row r="1316" spans="7:7">
      <c r="G1316" s="25"/>
    </row>
    <row r="1317" spans="7:7">
      <c r="G1317" s="25"/>
    </row>
    <row r="1318" spans="7:7">
      <c r="G1318" s="25"/>
    </row>
    <row r="1319" spans="7:7">
      <c r="G1319" s="25"/>
    </row>
    <row r="1320" spans="7:7">
      <c r="G1320" s="25"/>
    </row>
    <row r="1321" spans="7:7">
      <c r="G1321" s="25"/>
    </row>
    <row r="1322" spans="7:7">
      <c r="G1322" s="25"/>
    </row>
    <row r="1323" spans="7:7">
      <c r="G1323" s="25"/>
    </row>
    <row r="1324" spans="7:7">
      <c r="G1324" s="25"/>
    </row>
    <row r="1325" spans="7:7">
      <c r="G1325" s="25"/>
    </row>
    <row r="1326" spans="7:7">
      <c r="G1326" s="25"/>
    </row>
    <row r="1327" spans="7:7">
      <c r="G1327" s="25"/>
    </row>
    <row r="1328" spans="7:7">
      <c r="G1328" s="25"/>
    </row>
    <row r="1329" spans="7:7">
      <c r="G1329" s="25"/>
    </row>
    <row r="1330" spans="7:7">
      <c r="G1330" s="25"/>
    </row>
    <row r="1331" spans="7:7">
      <c r="G1331" s="25"/>
    </row>
    <row r="1332" spans="7:7">
      <c r="G1332" s="25"/>
    </row>
    <row r="1333" spans="7:7">
      <c r="G1333" s="25"/>
    </row>
    <row r="1334" spans="7:7">
      <c r="G1334" s="25"/>
    </row>
    <row r="1335" spans="7:7">
      <c r="G1335" s="25"/>
    </row>
    <row r="1336" spans="7:7">
      <c r="G1336" s="25"/>
    </row>
    <row r="1337" spans="7:7">
      <c r="G1337" s="25"/>
    </row>
    <row r="1338" spans="7:7">
      <c r="G1338" s="25"/>
    </row>
    <row r="1339" spans="7:7">
      <c r="G1339" s="25"/>
    </row>
    <row r="1340" spans="7:7">
      <c r="G1340" s="25"/>
    </row>
    <row r="1341" spans="7:7">
      <c r="G1341" s="25"/>
    </row>
    <row r="1342" spans="7:7">
      <c r="G1342" s="25"/>
    </row>
    <row r="1343" spans="7:7">
      <c r="G1343" s="25"/>
    </row>
    <row r="1344" spans="7:7">
      <c r="G1344" s="25"/>
    </row>
    <row r="1345" spans="7:7">
      <c r="G1345" s="25"/>
    </row>
    <row r="1346" spans="7:7">
      <c r="G1346" s="25"/>
    </row>
    <row r="1347" spans="7:7">
      <c r="G1347" s="25"/>
    </row>
    <row r="1348" spans="7:7">
      <c r="G1348" s="25"/>
    </row>
    <row r="1349" spans="7:7">
      <c r="G1349" s="25"/>
    </row>
    <row r="1350" spans="7:7">
      <c r="G1350" s="25"/>
    </row>
    <row r="1351" spans="7:7">
      <c r="G1351" s="25"/>
    </row>
    <row r="1352" spans="7:7">
      <c r="G1352" s="25"/>
    </row>
    <row r="1353" spans="7:7">
      <c r="G1353" s="25"/>
    </row>
    <row r="1354" spans="7:7">
      <c r="G1354" s="25"/>
    </row>
    <row r="1355" spans="7:7">
      <c r="G1355" s="25"/>
    </row>
    <row r="1356" spans="7:7">
      <c r="G1356" s="25"/>
    </row>
    <row r="1357" spans="7:7">
      <c r="G1357" s="25"/>
    </row>
    <row r="1358" spans="7:7">
      <c r="G1358" s="25"/>
    </row>
    <row r="1359" spans="7:7">
      <c r="G1359" s="25"/>
    </row>
    <row r="1360" spans="7:7">
      <c r="G1360" s="25"/>
    </row>
    <row r="1361" spans="7:7">
      <c r="G1361" s="25"/>
    </row>
    <row r="1362" spans="7:7">
      <c r="G1362" s="25"/>
    </row>
    <row r="1363" spans="7:7">
      <c r="G1363" s="25"/>
    </row>
    <row r="1364" spans="7:7">
      <c r="G1364" s="25"/>
    </row>
    <row r="1365" spans="7:7">
      <c r="G1365" s="25"/>
    </row>
    <row r="1366" spans="7:7">
      <c r="G1366" s="25"/>
    </row>
    <row r="1367" spans="7:7">
      <c r="G1367" s="25"/>
    </row>
    <row r="1368" spans="7:7">
      <c r="G1368" s="25"/>
    </row>
    <row r="1369" spans="7:7">
      <c r="G1369" s="25"/>
    </row>
    <row r="1370" spans="7:7">
      <c r="G1370" s="25"/>
    </row>
    <row r="1371" spans="7:7">
      <c r="G1371" s="25"/>
    </row>
    <row r="1372" spans="7:7">
      <c r="G1372" s="25"/>
    </row>
    <row r="1373" spans="7:7">
      <c r="G1373" s="25"/>
    </row>
    <row r="1374" spans="7:7">
      <c r="G1374" s="25"/>
    </row>
    <row r="1375" spans="7:7">
      <c r="G1375" s="25"/>
    </row>
    <row r="1376" spans="7:7">
      <c r="G1376" s="25"/>
    </row>
    <row r="1377" spans="7:7">
      <c r="G1377" s="25"/>
    </row>
    <row r="1378" spans="7:7">
      <c r="G1378" s="25"/>
    </row>
    <row r="1379" spans="7:7">
      <c r="G1379" s="25"/>
    </row>
    <row r="1380" spans="7:7">
      <c r="G1380" s="25"/>
    </row>
    <row r="1381" spans="7:7">
      <c r="G1381" s="25"/>
    </row>
    <row r="1382" spans="7:7">
      <c r="G1382" s="25"/>
    </row>
    <row r="1383" spans="7:7">
      <c r="G1383" s="25"/>
    </row>
    <row r="1384" spans="7:7">
      <c r="G1384" s="25"/>
    </row>
    <row r="1385" spans="7:7">
      <c r="G1385" s="25"/>
    </row>
    <row r="1386" spans="7:7">
      <c r="G1386" s="25"/>
    </row>
    <row r="1387" spans="7:7">
      <c r="G1387" s="25"/>
    </row>
    <row r="1388" spans="7:7">
      <c r="G1388" s="25"/>
    </row>
    <row r="1389" spans="7:7">
      <c r="G1389" s="25"/>
    </row>
    <row r="1390" spans="7:7">
      <c r="G1390" s="25"/>
    </row>
    <row r="1391" spans="7:7">
      <c r="G1391" s="25"/>
    </row>
    <row r="1392" spans="7:7">
      <c r="G1392" s="25"/>
    </row>
    <row r="1393" spans="7:7">
      <c r="G1393" s="25"/>
    </row>
    <row r="1394" spans="7:7">
      <c r="G1394" s="25"/>
    </row>
    <row r="1395" spans="7:7">
      <c r="G1395" s="25"/>
    </row>
    <row r="1396" spans="7:7">
      <c r="G1396" s="25"/>
    </row>
    <row r="1397" spans="7:7">
      <c r="G1397" s="25"/>
    </row>
    <row r="1398" spans="7:7">
      <c r="G1398" s="25"/>
    </row>
    <row r="1399" spans="7:7">
      <c r="G1399" s="25"/>
    </row>
    <row r="1400" spans="7:7">
      <c r="G1400" s="25"/>
    </row>
    <row r="1401" spans="7:7">
      <c r="G1401" s="25"/>
    </row>
    <row r="1402" spans="7:7">
      <c r="G1402" s="25"/>
    </row>
    <row r="1403" spans="7:7">
      <c r="G1403" s="25"/>
    </row>
    <row r="1404" spans="7:7">
      <c r="G1404" s="25"/>
    </row>
    <row r="1405" spans="7:7">
      <c r="G1405" s="25"/>
    </row>
    <row r="1406" spans="7:7">
      <c r="G1406" s="25"/>
    </row>
    <row r="1407" spans="7:7">
      <c r="G1407" s="25"/>
    </row>
    <row r="1408" spans="7:7">
      <c r="G1408" s="25"/>
    </row>
    <row r="1409" spans="7:7">
      <c r="G1409" s="25"/>
    </row>
    <row r="1410" spans="7:7">
      <c r="G1410" s="25"/>
    </row>
    <row r="1411" spans="7:7">
      <c r="G1411" s="25"/>
    </row>
    <row r="1412" spans="7:7">
      <c r="G1412" s="25"/>
    </row>
    <row r="1413" spans="7:7">
      <c r="G1413" s="25"/>
    </row>
    <row r="1414" spans="7:7">
      <c r="G1414" s="25"/>
    </row>
    <row r="1415" spans="7:7">
      <c r="G1415" s="25"/>
    </row>
    <row r="1416" spans="7:7">
      <c r="G1416" s="25"/>
    </row>
    <row r="1417" spans="7:7">
      <c r="G1417" s="25"/>
    </row>
    <row r="1418" spans="7:7">
      <c r="G1418" s="25"/>
    </row>
    <row r="1419" spans="7:7">
      <c r="G1419" s="25"/>
    </row>
    <row r="1420" spans="7:7">
      <c r="G1420" s="25"/>
    </row>
    <row r="1421" spans="7:7">
      <c r="G1421" s="25"/>
    </row>
    <row r="1422" spans="7:7">
      <c r="G1422" s="25"/>
    </row>
    <row r="1423" spans="7:7">
      <c r="G1423" s="25"/>
    </row>
    <row r="1424" spans="7:7">
      <c r="G1424" s="25"/>
    </row>
    <row r="1425" spans="7:7">
      <c r="G1425" s="25"/>
    </row>
    <row r="1426" spans="7:7">
      <c r="G1426" s="25"/>
    </row>
    <row r="1427" spans="7:7">
      <c r="G1427" s="25"/>
    </row>
    <row r="1428" spans="7:7">
      <c r="G1428" s="25"/>
    </row>
    <row r="1429" spans="7:7">
      <c r="G1429" s="25"/>
    </row>
    <row r="1430" spans="7:7">
      <c r="G1430" s="25"/>
    </row>
    <row r="1431" spans="7:7">
      <c r="G1431" s="25"/>
    </row>
    <row r="1432" spans="7:7">
      <c r="G1432" s="25"/>
    </row>
    <row r="1433" spans="7:7">
      <c r="G1433" s="25"/>
    </row>
    <row r="1434" spans="7:7">
      <c r="G1434" s="25"/>
    </row>
    <row r="1435" spans="7:7">
      <c r="G1435" s="25"/>
    </row>
    <row r="1436" spans="7:7">
      <c r="G1436" s="25"/>
    </row>
    <row r="1437" spans="7:7">
      <c r="G1437" s="25"/>
    </row>
    <row r="1438" spans="7:7">
      <c r="G1438" s="25"/>
    </row>
    <row r="1439" spans="7:7">
      <c r="G1439" s="25"/>
    </row>
    <row r="1440" spans="7:7">
      <c r="G1440" s="25"/>
    </row>
    <row r="1441" spans="7:7">
      <c r="G1441" s="25"/>
    </row>
    <row r="1442" spans="7:7">
      <c r="G1442" s="25"/>
    </row>
    <row r="1443" spans="7:7">
      <c r="G1443" s="25"/>
    </row>
    <row r="1444" spans="7:7">
      <c r="G1444" s="25"/>
    </row>
    <row r="1445" spans="7:7">
      <c r="G1445" s="25"/>
    </row>
    <row r="1446" spans="7:7">
      <c r="G1446" s="25"/>
    </row>
    <row r="1447" spans="7:7">
      <c r="G1447" s="25"/>
    </row>
    <row r="1448" spans="7:7">
      <c r="G1448" s="25"/>
    </row>
    <row r="1449" spans="7:7">
      <c r="G1449" s="25"/>
    </row>
    <row r="1450" spans="7:7">
      <c r="G1450" s="25"/>
    </row>
    <row r="1451" spans="7:7">
      <c r="G1451" s="25"/>
    </row>
    <row r="1452" spans="7:7">
      <c r="G1452" s="25"/>
    </row>
    <row r="1453" spans="7:7">
      <c r="G1453" s="25"/>
    </row>
    <row r="1454" spans="7:7">
      <c r="G1454" s="25"/>
    </row>
    <row r="1455" spans="7:7">
      <c r="G1455" s="25"/>
    </row>
    <row r="1456" spans="7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</sheetData>
  <sortState xmlns:xlrd2="http://schemas.microsoft.com/office/spreadsheetml/2017/richdata2" ref="I211:I375">
    <sortCondition ref="I21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2025-11-14T06:18:13Z</dcterms:modified>
</cp:coreProperties>
</file>