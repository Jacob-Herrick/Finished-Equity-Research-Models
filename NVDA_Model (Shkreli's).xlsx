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2001_{FF2824DD-FA15-4BA2-B57C-46868A8F0D3C}" xr6:coauthVersionLast="47" xr6:coauthVersionMax="47" xr10:uidLastSave="{00000000-0000-0000-0000-000000000000}"/>
  <bookViews>
    <workbookView xWindow="28680" yWindow="-120" windowWidth="29040" windowHeight="15720" activeTab="1" xr2:uid="{00000000-000D-0000-FFFF-FFFF00000000}"/>
  </bookViews>
  <sheets>
    <sheet name="Main" sheetId="1" r:id="rId1"/>
    <sheet name="Model" sheetId="2" r:id="rId2"/>
    <sheet name="Notes | Quant Analysis" sheetId="3" r:id="rId3"/>
    <sheet name="Product Lines" sheetId="5" r:id="rId4"/>
    <sheet name="M&amp;A" sheetId="7" r:id="rId5"/>
    <sheet name="Management" sheetId="6" r:id="rId6"/>
    <sheet name="Table Formatting" sheetId="4" r:id="rId7"/>
  </sheets>
  <externalReferences>
    <externalReference r:id="rId8"/>
  </externalReferences>
  <definedNames>
    <definedName name="solver_eng" localSheetId="2" hidden="1">1</definedName>
    <definedName name="solver_neg" localSheetId="2" hidden="1">1</definedName>
    <definedName name="solver_num" localSheetId="2" hidden="1">0</definedName>
    <definedName name="solver_opt" localSheetId="2" hidden="1">'Notes | Quant Analysis'!$T$212</definedName>
    <definedName name="solver_typ" localSheetId="2" hidden="1">1</definedName>
    <definedName name="solver_val" localSheetId="2" hidden="1">0</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132" i="2" l="1"/>
  <c r="BJ132" i="2"/>
  <c r="BI132" i="2"/>
  <c r="BH132" i="2"/>
  <c r="BP149" i="2"/>
  <c r="BQ149" i="2" s="1"/>
  <c r="BR149" i="2" s="1"/>
  <c r="BP148" i="2"/>
  <c r="BQ148" i="2" s="1"/>
  <c r="BR148" i="2" s="1"/>
  <c r="BQ147" i="2"/>
  <c r="BR147" i="2" s="1"/>
  <c r="BM147" i="2"/>
  <c r="BN147" i="2" s="1"/>
  <c r="BG147" i="2"/>
  <c r="BQ146" i="2"/>
  <c r="BR146" i="2" s="1"/>
  <c r="BK146" i="2"/>
  <c r="BL146" i="2" s="1"/>
  <c r="BR145" i="2"/>
  <c r="BQ145" i="2"/>
  <c r="BQ144" i="2"/>
  <c r="BR144" i="2" s="1"/>
  <c r="BL144" i="2"/>
  <c r="BM144" i="2" s="1"/>
  <c r="BN144" i="2" s="1"/>
  <c r="BH144" i="2"/>
  <c r="BH140" i="2" s="1"/>
  <c r="BR143" i="2"/>
  <c r="BQ143" i="2"/>
  <c r="BM141" i="2"/>
  <c r="BM140" i="2" s="1"/>
  <c r="BM137" i="2" s="1"/>
  <c r="BJ140" i="2"/>
  <c r="BJ137" i="2" s="1"/>
  <c r="BI140" i="2"/>
  <c r="BI137" i="2" s="1"/>
  <c r="BG140" i="2"/>
  <c r="BP139" i="2"/>
  <c r="BP138" i="2"/>
  <c r="BG138" i="2"/>
  <c r="BL133" i="2"/>
  <c r="BM133" i="2" s="1"/>
  <c r="BJ130" i="2"/>
  <c r="BN129" i="2"/>
  <c r="BM129" i="2"/>
  <c r="BL129" i="2"/>
  <c r="BK129" i="2"/>
  <c r="BJ129" i="2"/>
  <c r="BI129" i="2"/>
  <c r="BH129" i="2"/>
  <c r="AL69" i="2"/>
  <c r="V69" i="2"/>
  <c r="N69" i="2"/>
  <c r="F69" i="2"/>
  <c r="AH68" i="2"/>
  <c r="Z68" i="2"/>
  <c r="R68" i="2"/>
  <c r="AL67" i="2"/>
  <c r="V67" i="2"/>
  <c r="N67" i="2"/>
  <c r="F67"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AH64" i="2"/>
  <c r="Z64" i="2"/>
  <c r="R64" i="2"/>
  <c r="J64" i="2"/>
  <c r="BP106" i="2"/>
  <c r="BO106" i="2"/>
  <c r="BN106" i="2"/>
  <c r="BM106" i="2"/>
  <c r="BL106" i="2"/>
  <c r="BK106" i="2"/>
  <c r="BJ106" i="2"/>
  <c r="BI106" i="2"/>
  <c r="BH106" i="2"/>
  <c r="BG106" i="2"/>
  <c r="BF106" i="2"/>
  <c r="BE106" i="2"/>
  <c r="BD106" i="2"/>
  <c r="BC106" i="2"/>
  <c r="BB106" i="2"/>
  <c r="BA106" i="2"/>
  <c r="AZ106"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CH106" i="2" s="1"/>
  <c r="O106" i="2"/>
  <c r="N106" i="2"/>
  <c r="M106" i="2"/>
  <c r="L106" i="2"/>
  <c r="K106" i="2"/>
  <c r="J106" i="2"/>
  <c r="I106" i="2"/>
  <c r="H106" i="2"/>
  <c r="G106" i="2"/>
  <c r="F106" i="2"/>
  <c r="E106" i="2"/>
  <c r="D106" i="2"/>
  <c r="C106" i="2"/>
  <c r="BO105" i="2"/>
  <c r="BN105" i="2"/>
  <c r="BN107" i="2" s="1"/>
  <c r="BM105" i="2"/>
  <c r="BM107" i="2" s="1"/>
  <c r="BL105" i="2"/>
  <c r="BK105" i="2"/>
  <c r="BJ105" i="2"/>
  <c r="BI105" i="2"/>
  <c r="BH105" i="2"/>
  <c r="BG105" i="2"/>
  <c r="BF105" i="2"/>
  <c r="BE105" i="2"/>
  <c r="BE107" i="2" s="1"/>
  <c r="BD105" i="2"/>
  <c r="BC105" i="2"/>
  <c r="BC107" i="2" s="1"/>
  <c r="BB105" i="2"/>
  <c r="BA105" i="2"/>
  <c r="AZ105" i="2"/>
  <c r="AY105" i="2"/>
  <c r="AX105" i="2"/>
  <c r="AX107" i="2" s="1"/>
  <c r="AW105" i="2"/>
  <c r="AW107" i="2" s="1"/>
  <c r="AV105" i="2"/>
  <c r="AU105" i="2"/>
  <c r="AT105" i="2"/>
  <c r="AS105" i="2"/>
  <c r="AR105" i="2"/>
  <c r="AQ105" i="2"/>
  <c r="AP105" i="2"/>
  <c r="AP107" i="2" s="1"/>
  <c r="AO105" i="2"/>
  <c r="AO107" i="2" s="1"/>
  <c r="AN105" i="2"/>
  <c r="AM105" i="2"/>
  <c r="AL105" i="2"/>
  <c r="AK105" i="2"/>
  <c r="AJ105" i="2"/>
  <c r="AI105" i="2"/>
  <c r="AH105" i="2"/>
  <c r="AH107" i="2" s="1"/>
  <c r="AG105" i="2"/>
  <c r="AG107" i="2" s="1"/>
  <c r="AF105" i="2"/>
  <c r="AE105" i="2"/>
  <c r="AD105" i="2"/>
  <c r="AC105" i="2"/>
  <c r="AB105" i="2"/>
  <c r="AA105" i="2"/>
  <c r="Z105" i="2"/>
  <c r="Y105" i="2"/>
  <c r="Y107" i="2" s="1"/>
  <c r="X105" i="2"/>
  <c r="W105" i="2"/>
  <c r="V105" i="2"/>
  <c r="U105" i="2"/>
  <c r="T105" i="2"/>
  <c r="S105" i="2"/>
  <c r="R105" i="2"/>
  <c r="R107" i="2" s="1"/>
  <c r="Q105" i="2"/>
  <c r="Q107" i="2" s="1"/>
  <c r="P105" i="2"/>
  <c r="O105" i="2"/>
  <c r="N105" i="2"/>
  <c r="N107" i="2" s="1"/>
  <c r="M105" i="2"/>
  <c r="L105" i="2"/>
  <c r="K105" i="2"/>
  <c r="J105" i="2"/>
  <c r="J107" i="2" s="1"/>
  <c r="I105" i="2"/>
  <c r="I107" i="2" s="1"/>
  <c r="H105" i="2"/>
  <c r="G105" i="2"/>
  <c r="F105" i="2"/>
  <c r="E105" i="2"/>
  <c r="D105" i="2"/>
  <c r="C105" i="2"/>
  <c r="CT104" i="2"/>
  <c r="CS104" i="2"/>
  <c r="CR104" i="2"/>
  <c r="CQ104" i="2"/>
  <c r="CP104" i="2"/>
  <c r="CO104" i="2"/>
  <c r="CN104" i="2"/>
  <c r="CM104" i="2"/>
  <c r="CL104" i="2"/>
  <c r="CK104" i="2"/>
  <c r="CJ104" i="2"/>
  <c r="CI104" i="2"/>
  <c r="CH104" i="2"/>
  <c r="CG104" i="2"/>
  <c r="CF104" i="2"/>
  <c r="CE104" i="2"/>
  <c r="BP104" i="2"/>
  <c r="CT103" i="2"/>
  <c r="CS103" i="2"/>
  <c r="CR103" i="2"/>
  <c r="CQ103" i="2"/>
  <c r="CP103" i="2"/>
  <c r="CO103" i="2"/>
  <c r="CN103" i="2"/>
  <c r="CM103" i="2"/>
  <c r="CL103" i="2"/>
  <c r="CK103" i="2"/>
  <c r="CJ103" i="2"/>
  <c r="CI103" i="2"/>
  <c r="CH103" i="2"/>
  <c r="CG103" i="2"/>
  <c r="CF103" i="2"/>
  <c r="CE103" i="2"/>
  <c r="BP103" i="2"/>
  <c r="BP98" i="2"/>
  <c r="BO98" i="2"/>
  <c r="BM98" i="2"/>
  <c r="BL98" i="2"/>
  <c r="BK98" i="2"/>
  <c r="BI98" i="2"/>
  <c r="BH98" i="2"/>
  <c r="BG98" i="2"/>
  <c r="BE98" i="2"/>
  <c r="BD98" i="2"/>
  <c r="BC98" i="2"/>
  <c r="BA98" i="2"/>
  <c r="AZ98" i="2"/>
  <c r="AY98" i="2"/>
  <c r="AW98" i="2"/>
  <c r="AV98" i="2"/>
  <c r="AU98" i="2"/>
  <c r="BP96" i="2"/>
  <c r="BO96" i="2"/>
  <c r="BN96" i="2"/>
  <c r="BM96" i="2"/>
  <c r="BL96" i="2"/>
  <c r="BK96" i="2"/>
  <c r="BJ96" i="2"/>
  <c r="BI96" i="2"/>
  <c r="BH96" i="2"/>
  <c r="BG96" i="2"/>
  <c r="BF96" i="2"/>
  <c r="BE96" i="2"/>
  <c r="BD96" i="2"/>
  <c r="BC96" i="2"/>
  <c r="BB96" i="2"/>
  <c r="BA96" i="2"/>
  <c r="AZ96" i="2"/>
  <c r="AY96" i="2"/>
  <c r="AX96" i="2"/>
  <c r="AW96" i="2"/>
  <c r="AV96" i="2"/>
  <c r="AU96" i="2"/>
  <c r="BP95" i="2"/>
  <c r="BO95" i="2"/>
  <c r="BN95" i="2"/>
  <c r="BM95" i="2"/>
  <c r="BL95" i="2"/>
  <c r="BK95" i="2"/>
  <c r="BJ95" i="2"/>
  <c r="BI95" i="2"/>
  <c r="BH95" i="2"/>
  <c r="BG95" i="2"/>
  <c r="BF95" i="2"/>
  <c r="BE95" i="2"/>
  <c r="BD95" i="2"/>
  <c r="BC95" i="2"/>
  <c r="BB95" i="2"/>
  <c r="BA95" i="2"/>
  <c r="AZ95" i="2"/>
  <c r="AY95" i="2"/>
  <c r="AX95" i="2"/>
  <c r="AW95" i="2"/>
  <c r="AV95" i="2"/>
  <c r="AU95" i="2"/>
  <c r="BP94" i="2"/>
  <c r="BO94" i="2"/>
  <c r="BN94" i="2"/>
  <c r="BM94" i="2"/>
  <c r="BL94" i="2"/>
  <c r="BK94" i="2"/>
  <c r="BJ94" i="2"/>
  <c r="BI94" i="2"/>
  <c r="BH94" i="2"/>
  <c r="BG94" i="2"/>
  <c r="BF94" i="2"/>
  <c r="BE94" i="2"/>
  <c r="BD94" i="2"/>
  <c r="BC94" i="2"/>
  <c r="BB94" i="2"/>
  <c r="BA94" i="2"/>
  <c r="AZ94" i="2"/>
  <c r="AY94" i="2"/>
  <c r="AX94" i="2"/>
  <c r="AW94" i="2"/>
  <c r="AV94" i="2"/>
  <c r="AU94" i="2"/>
  <c r="AV92" i="2"/>
  <c r="CT91" i="2"/>
  <c r="CS91" i="2"/>
  <c r="BP90" i="2"/>
  <c r="BP92" i="2" s="1"/>
  <c r="BO90" i="2"/>
  <c r="BO92" i="2" s="1"/>
  <c r="BN90" i="2"/>
  <c r="BM90" i="2"/>
  <c r="BM92" i="2" s="1"/>
  <c r="BL90" i="2"/>
  <c r="BL92" i="2" s="1"/>
  <c r="BK90" i="2"/>
  <c r="BK92" i="2" s="1"/>
  <c r="BJ90" i="2"/>
  <c r="BJ92" i="2" s="1"/>
  <c r="CS92" i="2" s="1"/>
  <c r="BI90" i="2"/>
  <c r="BI92" i="2" s="1"/>
  <c r="BH90" i="2"/>
  <c r="BH92" i="2" s="1"/>
  <c r="BG90" i="2"/>
  <c r="BG92" i="2" s="1"/>
  <c r="BF90" i="2"/>
  <c r="BF92" i="2" s="1"/>
  <c r="BE90" i="2"/>
  <c r="BE92" i="2" s="1"/>
  <c r="BD90" i="2"/>
  <c r="BD92" i="2" s="1"/>
  <c r="BC90" i="2"/>
  <c r="BC92" i="2" s="1"/>
  <c r="BB90" i="2"/>
  <c r="BB92" i="2" s="1"/>
  <c r="BA90" i="2"/>
  <c r="BA92" i="2" s="1"/>
  <c r="AZ90" i="2"/>
  <c r="AZ92" i="2" s="1"/>
  <c r="AY90" i="2"/>
  <c r="AY92" i="2" s="1"/>
  <c r="AX90" i="2"/>
  <c r="AX92" i="2" s="1"/>
  <c r="AW90" i="2"/>
  <c r="AW92" i="2" s="1"/>
  <c r="AV90" i="2"/>
  <c r="AU90" i="2"/>
  <c r="AU92" i="2" s="1"/>
  <c r="CT89" i="2"/>
  <c r="CS89" i="2"/>
  <c r="CT88" i="2"/>
  <c r="CS88" i="2"/>
  <c r="CT87" i="2"/>
  <c r="CS87" i="2"/>
  <c r="CT86" i="2"/>
  <c r="CS86" i="2"/>
  <c r="CT85" i="2"/>
  <c r="CS85" i="2"/>
  <c r="CT84" i="2"/>
  <c r="CS84" i="2"/>
  <c r="DD83" i="2"/>
  <c r="BP82" i="2"/>
  <c r="BO82" i="2"/>
  <c r="BN82" i="2"/>
  <c r="CT82" i="2" s="1"/>
  <c r="BM82" i="2"/>
  <c r="BL82" i="2"/>
  <c r="BK82" i="2"/>
  <c r="BJ82" i="2"/>
  <c r="CS82" i="2" s="1"/>
  <c r="BI82" i="2"/>
  <c r="BH82" i="2"/>
  <c r="BG82" i="2"/>
  <c r="BF82" i="2"/>
  <c r="BE82" i="2"/>
  <c r="BD82" i="2"/>
  <c r="BC82" i="2"/>
  <c r="BB82" i="2"/>
  <c r="BA82" i="2"/>
  <c r="AZ82" i="2"/>
  <c r="AY82" i="2"/>
  <c r="AX82" i="2"/>
  <c r="AW82" i="2"/>
  <c r="AV82" i="2"/>
  <c r="AU82" i="2"/>
  <c r="DD81" i="2"/>
  <c r="CT81" i="2"/>
  <c r="CS81" i="2"/>
  <c r="CT80" i="2"/>
  <c r="CS80" i="2"/>
  <c r="CT79" i="2"/>
  <c r="CS79" i="2"/>
  <c r="CT78" i="2"/>
  <c r="CS78" i="2"/>
  <c r="CT77" i="2"/>
  <c r="CS77" i="2"/>
  <c r="DD76" i="2"/>
  <c r="DD78" i="2" s="1"/>
  <c r="CT76" i="2"/>
  <c r="CS76" i="2"/>
  <c r="CT75" i="2"/>
  <c r="CS75" i="2"/>
  <c r="CT74" i="2"/>
  <c r="CS74" i="2"/>
  <c r="CT73" i="2"/>
  <c r="CS73" i="2"/>
  <c r="CT72" i="2"/>
  <c r="CS72" i="2"/>
  <c r="CT71" i="2"/>
  <c r="CU55" i="2" s="1"/>
  <c r="CS71" i="2"/>
  <c r="CT61" i="2"/>
  <c r="CS61" i="2"/>
  <c r="CR61" i="2"/>
  <c r="CQ61" i="2"/>
  <c r="CP61" i="2"/>
  <c r="CO61" i="2"/>
  <c r="CN61" i="2"/>
  <c r="CM61" i="2"/>
  <c r="CL61" i="2"/>
  <c r="CK61" i="2"/>
  <c r="CJ61" i="2"/>
  <c r="CI61" i="2"/>
  <c r="CH61" i="2"/>
  <c r="CG61" i="2"/>
  <c r="CF61" i="2"/>
  <c r="CE61" i="2"/>
  <c r="CM59" i="2"/>
  <c r="CL59" i="2"/>
  <c r="CK59" i="2"/>
  <c r="CJ59" i="2"/>
  <c r="CI59" i="2"/>
  <c r="CH59" i="2"/>
  <c r="CG59" i="2"/>
  <c r="CF59" i="2"/>
  <c r="CE59" i="2"/>
  <c r="BN59" i="2"/>
  <c r="BJ59" i="2"/>
  <c r="BF59" i="2"/>
  <c r="BB59" i="2"/>
  <c r="AX59" i="2"/>
  <c r="AT59" i="2"/>
  <c r="AP59" i="2"/>
  <c r="CM57" i="2"/>
  <c r="CL57" i="2"/>
  <c r="CK57" i="2"/>
  <c r="CJ57" i="2"/>
  <c r="CI57" i="2"/>
  <c r="CH57" i="2"/>
  <c r="CG57" i="2"/>
  <c r="CF57" i="2"/>
  <c r="CE57" i="2"/>
  <c r="BN57" i="2"/>
  <c r="CT57" i="2" s="1"/>
  <c r="BJ57" i="2"/>
  <c r="CS57" i="2" s="1"/>
  <c r="BF57" i="2"/>
  <c r="CR57" i="2" s="1"/>
  <c r="BB57" i="2"/>
  <c r="CQ57" i="2" s="1"/>
  <c r="AX57" i="2"/>
  <c r="CP57" i="2" s="1"/>
  <c r="AT57" i="2"/>
  <c r="CO57" i="2" s="1"/>
  <c r="AP57" i="2"/>
  <c r="CN57" i="2" s="1"/>
  <c r="CM56" i="2"/>
  <c r="CL56" i="2"/>
  <c r="CK56" i="2"/>
  <c r="CJ56" i="2"/>
  <c r="CI56" i="2"/>
  <c r="CH56" i="2"/>
  <c r="CG56" i="2"/>
  <c r="CF56" i="2"/>
  <c r="CE56" i="2"/>
  <c r="BN56" i="2"/>
  <c r="CT56" i="2" s="1"/>
  <c r="CU56" i="2" s="1"/>
  <c r="CV56" i="2" s="1"/>
  <c r="CW56" i="2" s="1"/>
  <c r="CX56" i="2" s="1"/>
  <c r="CY56" i="2" s="1"/>
  <c r="CZ56" i="2" s="1"/>
  <c r="DA56" i="2" s="1"/>
  <c r="DB56" i="2" s="1"/>
  <c r="DC56" i="2" s="1"/>
  <c r="DD56" i="2" s="1"/>
  <c r="BJ56" i="2"/>
  <c r="CS56" i="2" s="1"/>
  <c r="BF56" i="2"/>
  <c r="CR56" i="2" s="1"/>
  <c r="BB56" i="2"/>
  <c r="CQ56" i="2" s="1"/>
  <c r="AX56" i="2"/>
  <c r="CP56" i="2" s="1"/>
  <c r="AT56" i="2"/>
  <c r="CO56" i="2" s="1"/>
  <c r="AP56" i="2"/>
  <c r="CN56" i="2" s="1"/>
  <c r="CM55" i="2"/>
  <c r="CL55" i="2"/>
  <c r="CK55" i="2"/>
  <c r="CJ55" i="2"/>
  <c r="CI55" i="2"/>
  <c r="CH55" i="2"/>
  <c r="CG55" i="2"/>
  <c r="CF55" i="2"/>
  <c r="CE55" i="2"/>
  <c r="BN55" i="2"/>
  <c r="CT55" i="2" s="1"/>
  <c r="BJ55" i="2"/>
  <c r="CS55" i="2" s="1"/>
  <c r="BF55" i="2"/>
  <c r="CR55" i="2" s="1"/>
  <c r="BB55" i="2"/>
  <c r="CQ55" i="2" s="1"/>
  <c r="AX55" i="2"/>
  <c r="CP55" i="2" s="1"/>
  <c r="AT55" i="2"/>
  <c r="CO55" i="2" s="1"/>
  <c r="AP55" i="2"/>
  <c r="CN55" i="2" s="1"/>
  <c r="CT53" i="2"/>
  <c r="CM53" i="2"/>
  <c r="CL53" i="2"/>
  <c r="CJ53" i="2"/>
  <c r="CI53" i="2"/>
  <c r="CH53" i="2"/>
  <c r="CG53" i="2"/>
  <c r="CE53" i="2"/>
  <c r="BJ53" i="2"/>
  <c r="CS53" i="2" s="1"/>
  <c r="BF53" i="2"/>
  <c r="CR53" i="2" s="1"/>
  <c r="BB53" i="2"/>
  <c r="CQ53" i="2" s="1"/>
  <c r="AX53" i="2"/>
  <c r="CP53" i="2" s="1"/>
  <c r="AT53" i="2"/>
  <c r="CO53" i="2" s="1"/>
  <c r="AP53" i="2"/>
  <c r="CN53" i="2" s="1"/>
  <c r="AD53" i="2"/>
  <c r="AC53" i="2"/>
  <c r="AB53" i="2"/>
  <c r="J53" i="2"/>
  <c r="CF53" i="2" s="1"/>
  <c r="CS52" i="2"/>
  <c r="CM52" i="2"/>
  <c r="CL52" i="2"/>
  <c r="CK52" i="2"/>
  <c r="CJ52" i="2"/>
  <c r="CI52" i="2"/>
  <c r="CH52" i="2"/>
  <c r="CG52" i="2"/>
  <c r="CF52" i="2"/>
  <c r="CE52" i="2"/>
  <c r="BN52" i="2"/>
  <c r="CT52" i="2" s="1"/>
  <c r="BJ52" i="2"/>
  <c r="BF52" i="2"/>
  <c r="CR52" i="2" s="1"/>
  <c r="BB52" i="2"/>
  <c r="CQ52" i="2" s="1"/>
  <c r="AX52" i="2"/>
  <c r="CP52" i="2" s="1"/>
  <c r="AT52" i="2"/>
  <c r="AP52" i="2"/>
  <c r="CM51" i="2"/>
  <c r="CL51" i="2"/>
  <c r="CK51" i="2"/>
  <c r="CJ51" i="2"/>
  <c r="CI51" i="2"/>
  <c r="CH51" i="2"/>
  <c r="CG51" i="2"/>
  <c r="CF51" i="2"/>
  <c r="CE51" i="2"/>
  <c r="BN51" i="2"/>
  <c r="BJ51" i="2"/>
  <c r="BF51" i="2"/>
  <c r="CR51" i="2" s="1"/>
  <c r="BB51" i="2"/>
  <c r="AX51" i="2"/>
  <c r="AT51" i="2"/>
  <c r="AP51" i="2"/>
  <c r="AL50" i="2"/>
  <c r="AL54" i="2" s="1"/>
  <c r="AL58" i="2" s="1"/>
  <c r="AL60" i="2" s="1"/>
  <c r="AL62" i="2" s="1"/>
  <c r="AK50" i="2"/>
  <c r="AK54" i="2" s="1"/>
  <c r="AK58" i="2" s="1"/>
  <c r="AK60" i="2" s="1"/>
  <c r="AK69" i="2" s="1"/>
  <c r="AJ50" i="2"/>
  <c r="AJ54" i="2" s="1"/>
  <c r="AJ58" i="2" s="1"/>
  <c r="AJ60" i="2" s="1"/>
  <c r="AJ69" i="2" s="1"/>
  <c r="AI50" i="2"/>
  <c r="AI54" i="2" s="1"/>
  <c r="AI67" i="2" s="1"/>
  <c r="AH50" i="2"/>
  <c r="AH54" i="2" s="1"/>
  <c r="AH58" i="2" s="1"/>
  <c r="AH60" i="2" s="1"/>
  <c r="AH69" i="2" s="1"/>
  <c r="AG50" i="2"/>
  <c r="AG54" i="2" s="1"/>
  <c r="AG58" i="2" s="1"/>
  <c r="AG60" i="2" s="1"/>
  <c r="AG69" i="2" s="1"/>
  <c r="AF50" i="2"/>
  <c r="AF54" i="2" s="1"/>
  <c r="AF58" i="2" s="1"/>
  <c r="AF60" i="2" s="1"/>
  <c r="AF69" i="2" s="1"/>
  <c r="AE50" i="2"/>
  <c r="AE54" i="2" s="1"/>
  <c r="AE58" i="2" s="1"/>
  <c r="AE68" i="2" s="1"/>
  <c r="AD50" i="2"/>
  <c r="AD64" i="2" s="1"/>
  <c r="AC50" i="2"/>
  <c r="AC64" i="2" s="1"/>
  <c r="AB50" i="2"/>
  <c r="AB64" i="2" s="1"/>
  <c r="AA50" i="2"/>
  <c r="AA54" i="2" s="1"/>
  <c r="AA67" i="2" s="1"/>
  <c r="Z50" i="2"/>
  <c r="Z54" i="2" s="1"/>
  <c r="Z58" i="2" s="1"/>
  <c r="Z60" i="2" s="1"/>
  <c r="Z69" i="2" s="1"/>
  <c r="Y50" i="2"/>
  <c r="Y54" i="2" s="1"/>
  <c r="Y58" i="2" s="1"/>
  <c r="Y60" i="2" s="1"/>
  <c r="Y69" i="2" s="1"/>
  <c r="X50" i="2"/>
  <c r="X54" i="2" s="1"/>
  <c r="X58" i="2" s="1"/>
  <c r="X60" i="2" s="1"/>
  <c r="X69" i="2" s="1"/>
  <c r="W50" i="2"/>
  <c r="W54" i="2" s="1"/>
  <c r="W67" i="2" s="1"/>
  <c r="V50" i="2"/>
  <c r="V54" i="2" s="1"/>
  <c r="V58" i="2" s="1"/>
  <c r="V60" i="2" s="1"/>
  <c r="U50" i="2"/>
  <c r="U54" i="2" s="1"/>
  <c r="U58" i="2" s="1"/>
  <c r="U60" i="2" s="1"/>
  <c r="U69" i="2" s="1"/>
  <c r="T50" i="2"/>
  <c r="T54" i="2" s="1"/>
  <c r="T58" i="2" s="1"/>
  <c r="T60" i="2" s="1"/>
  <c r="T69" i="2" s="1"/>
  <c r="S50" i="2"/>
  <c r="S64" i="2" s="1"/>
  <c r="R50" i="2"/>
  <c r="R54" i="2" s="1"/>
  <c r="R58" i="2" s="1"/>
  <c r="R60" i="2" s="1"/>
  <c r="R69" i="2" s="1"/>
  <c r="Q50" i="2"/>
  <c r="Q54" i="2" s="1"/>
  <c r="Q58" i="2" s="1"/>
  <c r="Q60" i="2" s="1"/>
  <c r="Q69" i="2" s="1"/>
  <c r="P50" i="2"/>
  <c r="P54" i="2" s="1"/>
  <c r="P58" i="2" s="1"/>
  <c r="P60" i="2" s="1"/>
  <c r="P69" i="2" s="1"/>
  <c r="O50" i="2"/>
  <c r="O54" i="2" s="1"/>
  <c r="O67" i="2" s="1"/>
  <c r="N50" i="2"/>
  <c r="N54" i="2" s="1"/>
  <c r="N58" i="2" s="1"/>
  <c r="N60" i="2" s="1"/>
  <c r="M50" i="2"/>
  <c r="M54" i="2" s="1"/>
  <c r="M58" i="2" s="1"/>
  <c r="M60" i="2" s="1"/>
  <c r="M69" i="2" s="1"/>
  <c r="L50" i="2"/>
  <c r="L54" i="2" s="1"/>
  <c r="L58" i="2" s="1"/>
  <c r="L60" i="2" s="1"/>
  <c r="L69" i="2" s="1"/>
  <c r="K50" i="2"/>
  <c r="K54" i="2" s="1"/>
  <c r="K67" i="2" s="1"/>
  <c r="J50" i="2"/>
  <c r="I50" i="2"/>
  <c r="I54" i="2" s="1"/>
  <c r="I58" i="2" s="1"/>
  <c r="I60" i="2" s="1"/>
  <c r="I69" i="2" s="1"/>
  <c r="H50" i="2"/>
  <c r="H54" i="2" s="1"/>
  <c r="H58" i="2" s="1"/>
  <c r="H60" i="2" s="1"/>
  <c r="H69" i="2" s="1"/>
  <c r="G50" i="2"/>
  <c r="G54" i="2" s="1"/>
  <c r="G58" i="2" s="1"/>
  <c r="G68" i="2" s="1"/>
  <c r="F50" i="2"/>
  <c r="F54" i="2" s="1"/>
  <c r="F58" i="2" s="1"/>
  <c r="F60" i="2" s="1"/>
  <c r="E50" i="2"/>
  <c r="E54" i="2" s="1"/>
  <c r="E58" i="2" s="1"/>
  <c r="E60" i="2" s="1"/>
  <c r="E102" i="2" s="1"/>
  <c r="D50" i="2"/>
  <c r="D54" i="2" s="1"/>
  <c r="D58" i="2" s="1"/>
  <c r="D60" i="2" s="1"/>
  <c r="D69" i="2" s="1"/>
  <c r="C50" i="2"/>
  <c r="C54" i="2" s="1"/>
  <c r="C67" i="2" s="1"/>
  <c r="CM49" i="2"/>
  <c r="CL49" i="2"/>
  <c r="CK49" i="2"/>
  <c r="CJ49" i="2"/>
  <c r="CI49" i="2"/>
  <c r="CH49" i="2"/>
  <c r="CG49" i="2"/>
  <c r="CF49" i="2"/>
  <c r="CE49" i="2"/>
  <c r="BN49" i="2"/>
  <c r="BN98" i="2" s="1"/>
  <c r="BJ49" i="2"/>
  <c r="BJ98" i="2" s="1"/>
  <c r="BF49" i="2"/>
  <c r="BF98" i="2" s="1"/>
  <c r="BB49" i="2"/>
  <c r="BB98" i="2" s="1"/>
  <c r="AX49" i="2"/>
  <c r="AX98" i="2" s="1"/>
  <c r="AT49" i="2"/>
  <c r="CO49" i="2" s="1"/>
  <c r="AP49" i="2"/>
  <c r="CN49" i="2" s="1"/>
  <c r="CM48" i="2"/>
  <c r="CL48" i="2"/>
  <c r="CK48" i="2"/>
  <c r="CJ48" i="2"/>
  <c r="CI48" i="2"/>
  <c r="CH48" i="2"/>
  <c r="CG48" i="2"/>
  <c r="CF48" i="2"/>
  <c r="CE48" i="2"/>
  <c r="BP39" i="2"/>
  <c r="BO138" i="2" s="1"/>
  <c r="BO39" i="2"/>
  <c r="BN138" i="2" s="1"/>
  <c r="BM39" i="2"/>
  <c r="BL138" i="2" s="1"/>
  <c r="BL39" i="2"/>
  <c r="BK138" i="2" s="1"/>
  <c r="BK39" i="2"/>
  <c r="BJ138" i="2" s="1"/>
  <c r="BI39" i="2"/>
  <c r="BH138" i="2" s="1"/>
  <c r="BH39" i="2"/>
  <c r="BG39" i="2"/>
  <c r="BE39" i="2"/>
  <c r="BD39" i="2"/>
  <c r="BC39" i="2"/>
  <c r="BP38" i="2"/>
  <c r="BO38" i="2"/>
  <c r="BM38" i="2"/>
  <c r="BL38" i="2"/>
  <c r="BK38" i="2"/>
  <c r="BI38" i="2"/>
  <c r="BH38" i="2"/>
  <c r="BG38" i="2"/>
  <c r="BE38" i="2"/>
  <c r="BD38" i="2"/>
  <c r="BC38" i="2"/>
  <c r="BA38" i="2"/>
  <c r="AZ38" i="2"/>
  <c r="AY38" i="2"/>
  <c r="AW38" i="2"/>
  <c r="AV38" i="2"/>
  <c r="AU38" i="2"/>
  <c r="AS38" i="2"/>
  <c r="AR38" i="2"/>
  <c r="AQ38" i="2"/>
  <c r="BP37" i="2"/>
  <c r="BO139" i="2" s="1"/>
  <c r="BO37" i="2"/>
  <c r="BN139" i="2" s="1"/>
  <c r="BM37" i="2"/>
  <c r="BL139" i="2" s="1"/>
  <c r="BL37" i="2"/>
  <c r="BK139" i="2" s="1"/>
  <c r="BK37" i="2"/>
  <c r="BJ139" i="2" s="1"/>
  <c r="BI37" i="2"/>
  <c r="BH139" i="2" s="1"/>
  <c r="BH37" i="2"/>
  <c r="BG139" i="2" s="1"/>
  <c r="BG37" i="2"/>
  <c r="BE37" i="2"/>
  <c r="BD37" i="2"/>
  <c r="BC37" i="2"/>
  <c r="BA37" i="2"/>
  <c r="AZ37" i="2"/>
  <c r="AY37" i="2"/>
  <c r="AW37" i="2"/>
  <c r="AV37" i="2"/>
  <c r="AU37" i="2"/>
  <c r="AS37" i="2"/>
  <c r="AR37" i="2"/>
  <c r="AQ37" i="2"/>
  <c r="BP36" i="2"/>
  <c r="BO36" i="2"/>
  <c r="BM36" i="2"/>
  <c r="BL36" i="2"/>
  <c r="BK36" i="2"/>
  <c r="BI36" i="2"/>
  <c r="BH36" i="2"/>
  <c r="BG36" i="2"/>
  <c r="BP35" i="2"/>
  <c r="BO35" i="2"/>
  <c r="BM35" i="2"/>
  <c r="BL35" i="2"/>
  <c r="BK35" i="2"/>
  <c r="BI35" i="2"/>
  <c r="BH35" i="2"/>
  <c r="BG35" i="2"/>
  <c r="BE35" i="2"/>
  <c r="BD35" i="2"/>
  <c r="BC35" i="2"/>
  <c r="BA35" i="2"/>
  <c r="AZ35" i="2"/>
  <c r="AY35" i="2"/>
  <c r="AW35" i="2"/>
  <c r="AV35" i="2"/>
  <c r="AU35" i="2"/>
  <c r="AS35" i="2"/>
  <c r="AR35" i="2"/>
  <c r="AQ35" i="2"/>
  <c r="BP33" i="2"/>
  <c r="BP40" i="2" s="1"/>
  <c r="BO33" i="2"/>
  <c r="BM33" i="2"/>
  <c r="BL33" i="2"/>
  <c r="BL42" i="2" s="1"/>
  <c r="BK33" i="2"/>
  <c r="BK42" i="2" s="1"/>
  <c r="BI33" i="2"/>
  <c r="BI43" i="2" s="1"/>
  <c r="BH33" i="2"/>
  <c r="BG33" i="2"/>
  <c r="BG45" i="2" s="1"/>
  <c r="BE33" i="2"/>
  <c r="BD33" i="2"/>
  <c r="BD42" i="2" s="1"/>
  <c r="BC33" i="2"/>
  <c r="BC42" i="2" s="1"/>
  <c r="BA33" i="2"/>
  <c r="AZ33" i="2"/>
  <c r="AY33" i="2"/>
  <c r="CR32" i="2"/>
  <c r="BN32" i="2"/>
  <c r="CT32" i="2" s="1"/>
  <c r="BJ32" i="2"/>
  <c r="CS32" i="2" s="1"/>
  <c r="BF32" i="2"/>
  <c r="BB32" i="2"/>
  <c r="AW32" i="2"/>
  <c r="AV32" i="2"/>
  <c r="AV33" i="2" s="1"/>
  <c r="AU32" i="2"/>
  <c r="AS32" i="2"/>
  <c r="AS39" i="2" s="1"/>
  <c r="AR32" i="2"/>
  <c r="AR33" i="2" s="1"/>
  <c r="AQ32" i="2"/>
  <c r="AQ33" i="2" s="1"/>
  <c r="AO32" i="2"/>
  <c r="AO33" i="2" s="1"/>
  <c r="AN32" i="2"/>
  <c r="AM32" i="2"/>
  <c r="CP31" i="2"/>
  <c r="BN31" i="2"/>
  <c r="BJ31" i="2"/>
  <c r="BF31" i="2"/>
  <c r="BB31" i="2"/>
  <c r="CQ31" i="2" s="1"/>
  <c r="AX31" i="2"/>
  <c r="AT31" i="2"/>
  <c r="CO31" i="2" s="1"/>
  <c r="AP31" i="2"/>
  <c r="CN31" i="2" s="1"/>
  <c r="BN30" i="2"/>
  <c r="CT30" i="2" s="1"/>
  <c r="BJ30" i="2"/>
  <c r="CS30" i="2" s="1"/>
  <c r="BF30" i="2"/>
  <c r="CR30" i="2" s="1"/>
  <c r="BB30" i="2"/>
  <c r="AX30" i="2"/>
  <c r="AT30" i="2"/>
  <c r="CO30" i="2" s="1"/>
  <c r="AP30" i="2"/>
  <c r="CN30" i="2" s="1"/>
  <c r="BN29" i="2"/>
  <c r="CT29" i="2" s="1"/>
  <c r="BJ29" i="2"/>
  <c r="CS29" i="2" s="1"/>
  <c r="BF29" i="2"/>
  <c r="CR29" i="2" s="1"/>
  <c r="BB29" i="2"/>
  <c r="CQ29" i="2" s="1"/>
  <c r="AX29" i="2"/>
  <c r="CP29" i="2" s="1"/>
  <c r="AT29" i="2"/>
  <c r="CO29" i="2" s="1"/>
  <c r="AP29" i="2"/>
  <c r="BN28" i="2"/>
  <c r="CT28" i="2" s="1"/>
  <c r="BJ28" i="2"/>
  <c r="CS28" i="2" s="1"/>
  <c r="BF28" i="2"/>
  <c r="BB28" i="2"/>
  <c r="AX28" i="2"/>
  <c r="AT28" i="2"/>
  <c r="CO28" i="2" s="1"/>
  <c r="AP28" i="2"/>
  <c r="CN28" i="2" s="1"/>
  <c r="AQ22" i="2"/>
  <c r="BJ4" i="2"/>
  <c r="BN4" i="2"/>
  <c r="BJ5" i="2"/>
  <c r="CS5" i="2" s="1"/>
  <c r="BN5" i="2"/>
  <c r="CT5" i="2" s="1"/>
  <c r="CU5" i="2" s="1"/>
  <c r="CV5" i="2" s="1"/>
  <c r="CW5" i="2" s="1"/>
  <c r="CX5" i="2" s="1"/>
  <c r="CY5" i="2" s="1"/>
  <c r="CZ5" i="2" s="1"/>
  <c r="DA5" i="2" s="1"/>
  <c r="DB5" i="2" s="1"/>
  <c r="DC5" i="2" s="1"/>
  <c r="DD5" i="2" s="1"/>
  <c r="AP6" i="2"/>
  <c r="CN6" i="2" s="1"/>
  <c r="AT6" i="2"/>
  <c r="AX6" i="2"/>
  <c r="BB6" i="2"/>
  <c r="CQ6" i="2" s="1"/>
  <c r="BF6" i="2"/>
  <c r="CR6" i="2" s="1"/>
  <c r="BG6" i="2"/>
  <c r="BH6" i="2"/>
  <c r="BH15" i="2" s="1"/>
  <c r="BI6" i="2"/>
  <c r="BI15" i="2" s="1"/>
  <c r="BK6" i="2"/>
  <c r="BK15" i="2" s="1"/>
  <c r="BL6" i="2"/>
  <c r="BM6" i="2"/>
  <c r="BO6" i="2"/>
  <c r="BO11" i="2" s="1"/>
  <c r="BP23" i="2" s="1"/>
  <c r="BP6" i="2"/>
  <c r="AP7" i="2"/>
  <c r="CN7" i="2" s="1"/>
  <c r="AT7" i="2"/>
  <c r="CO7" i="2" s="1"/>
  <c r="CO16" i="2" s="1"/>
  <c r="AX7" i="2"/>
  <c r="BB7" i="2"/>
  <c r="CQ7" i="2" s="1"/>
  <c r="BF7" i="2"/>
  <c r="CR7" i="2" s="1"/>
  <c r="BJ7" i="2"/>
  <c r="CS7" i="2" s="1"/>
  <c r="BN7" i="2"/>
  <c r="BN16" i="2" s="1"/>
  <c r="AP8" i="2"/>
  <c r="CN8" i="2" s="1"/>
  <c r="AT8" i="2"/>
  <c r="CO8" i="2" s="1"/>
  <c r="AX8" i="2"/>
  <c r="AX17" i="2" s="1"/>
  <c r="BB8" i="2"/>
  <c r="BF8" i="2"/>
  <c r="CR8" i="2" s="1"/>
  <c r="BJ8" i="2"/>
  <c r="CS8" i="2" s="1"/>
  <c r="BN8" i="2"/>
  <c r="AP9" i="2"/>
  <c r="CN9" i="2" s="1"/>
  <c r="AT9" i="2"/>
  <c r="CO9" i="2" s="1"/>
  <c r="AX9" i="2"/>
  <c r="AX18" i="2" s="1"/>
  <c r="BB9" i="2"/>
  <c r="CQ9" i="2" s="1"/>
  <c r="BF9" i="2"/>
  <c r="CR9" i="2" s="1"/>
  <c r="BJ9" i="2"/>
  <c r="CS9" i="2" s="1"/>
  <c r="BN9" i="2"/>
  <c r="CT9" i="2" s="1"/>
  <c r="AP10" i="2"/>
  <c r="CN10" i="2" s="1"/>
  <c r="AT10" i="2"/>
  <c r="CO10" i="2" s="1"/>
  <c r="AX10" i="2"/>
  <c r="BB10" i="2"/>
  <c r="BF10" i="2"/>
  <c r="CR10" i="2" s="1"/>
  <c r="BJ10" i="2"/>
  <c r="CS10" i="2" s="1"/>
  <c r="BN10" i="2"/>
  <c r="CT10" i="2" s="1"/>
  <c r="CQ10" i="2"/>
  <c r="AM11" i="2"/>
  <c r="AM24" i="2" s="1"/>
  <c r="AN11" i="2"/>
  <c r="AN48" i="2" s="1"/>
  <c r="AO11" i="2"/>
  <c r="AO48" i="2" s="1"/>
  <c r="AQ11" i="2"/>
  <c r="AQ24" i="2" s="1"/>
  <c r="AR11" i="2"/>
  <c r="AR23" i="2" s="1"/>
  <c r="AS11" i="2"/>
  <c r="AS26" i="2" s="1"/>
  <c r="AU11" i="2"/>
  <c r="AU24" i="2" s="1"/>
  <c r="AV11" i="2"/>
  <c r="AV48" i="2" s="1"/>
  <c r="AW11" i="2"/>
  <c r="AW48" i="2" s="1"/>
  <c r="AY11" i="2"/>
  <c r="AY23" i="2" s="1"/>
  <c r="AZ11" i="2"/>
  <c r="AZ23" i="2" s="1"/>
  <c r="BA11" i="2"/>
  <c r="BA26" i="2" s="1"/>
  <c r="BC11" i="2"/>
  <c r="BC24" i="2" s="1"/>
  <c r="BD11" i="2"/>
  <c r="BD48" i="2" s="1"/>
  <c r="BE11" i="2"/>
  <c r="BE48" i="2" s="1"/>
  <c r="BP11" i="2"/>
  <c r="BP48" i="2" s="1"/>
  <c r="BP50" i="2" s="1"/>
  <c r="BK13" i="2"/>
  <c r="BL13" i="2"/>
  <c r="BM13" i="2"/>
  <c r="BN13" i="2"/>
  <c r="BO13" i="2"/>
  <c r="BK14" i="2"/>
  <c r="BL14" i="2"/>
  <c r="BM14" i="2"/>
  <c r="BO14" i="2"/>
  <c r="AQ15" i="2"/>
  <c r="AR15" i="2"/>
  <c r="AS15" i="2"/>
  <c r="AU15" i="2"/>
  <c r="AV15" i="2"/>
  <c r="AW15" i="2"/>
  <c r="AY15" i="2"/>
  <c r="AZ15" i="2"/>
  <c r="BA15" i="2"/>
  <c r="BC15" i="2"/>
  <c r="BD15" i="2"/>
  <c r="BE15" i="2"/>
  <c r="AQ16" i="2"/>
  <c r="AR16" i="2"/>
  <c r="AS16" i="2"/>
  <c r="AU16" i="2"/>
  <c r="AV16" i="2"/>
  <c r="AW16" i="2"/>
  <c r="AY16" i="2"/>
  <c r="AZ16" i="2"/>
  <c r="BA16" i="2"/>
  <c r="BC16" i="2"/>
  <c r="BD16" i="2"/>
  <c r="BE16" i="2"/>
  <c r="BG16" i="2"/>
  <c r="BH16" i="2"/>
  <c r="BI16" i="2"/>
  <c r="BK16" i="2"/>
  <c r="BL16" i="2"/>
  <c r="BM16" i="2"/>
  <c r="BO16" i="2"/>
  <c r="BP16" i="2"/>
  <c r="AQ17" i="2"/>
  <c r="AR17" i="2"/>
  <c r="AS17" i="2"/>
  <c r="AU17" i="2"/>
  <c r="AV17" i="2"/>
  <c r="AW17" i="2"/>
  <c r="AY17" i="2"/>
  <c r="AZ17" i="2"/>
  <c r="BA17" i="2"/>
  <c r="BC17" i="2"/>
  <c r="BD17" i="2"/>
  <c r="BE17" i="2"/>
  <c r="BG17" i="2"/>
  <c r="BH17" i="2"/>
  <c r="BI17" i="2"/>
  <c r="BK17" i="2"/>
  <c r="BL17" i="2"/>
  <c r="BM17" i="2"/>
  <c r="BO17" i="2"/>
  <c r="BP17" i="2"/>
  <c r="AQ18" i="2"/>
  <c r="AR18" i="2"/>
  <c r="AS18" i="2"/>
  <c r="AU18" i="2"/>
  <c r="AV18" i="2"/>
  <c r="AW18" i="2"/>
  <c r="AY18" i="2"/>
  <c r="AZ18" i="2"/>
  <c r="BA18" i="2"/>
  <c r="BC18" i="2"/>
  <c r="BD18" i="2"/>
  <c r="BE18" i="2"/>
  <c r="BF18" i="2"/>
  <c r="BG18" i="2"/>
  <c r="BH18" i="2"/>
  <c r="BI18" i="2"/>
  <c r="BK18" i="2"/>
  <c r="BL18" i="2"/>
  <c r="BM18" i="2"/>
  <c r="BO18" i="2"/>
  <c r="BP18" i="2"/>
  <c r="AQ19" i="2"/>
  <c r="AR19" i="2"/>
  <c r="AS19" i="2"/>
  <c r="AU19" i="2"/>
  <c r="AV19" i="2"/>
  <c r="AW19" i="2"/>
  <c r="AY19" i="2"/>
  <c r="AZ19" i="2"/>
  <c r="BA19" i="2"/>
  <c r="BC19" i="2"/>
  <c r="BD19" i="2"/>
  <c r="BE19" i="2"/>
  <c r="BG19" i="2"/>
  <c r="BH19" i="2"/>
  <c r="BI19" i="2"/>
  <c r="BK19" i="2"/>
  <c r="BL19" i="2"/>
  <c r="BM19" i="2"/>
  <c r="BO19" i="2"/>
  <c r="BP19" i="2"/>
  <c r="BL140" i="2" l="1"/>
  <c r="BL137" i="2" s="1"/>
  <c r="D107" i="2"/>
  <c r="L107" i="2"/>
  <c r="T107" i="2"/>
  <c r="AB107" i="2"/>
  <c r="AJ107" i="2"/>
  <c r="AR107" i="2"/>
  <c r="AZ107" i="2"/>
  <c r="BH107" i="2"/>
  <c r="I64" i="2"/>
  <c r="Q64" i="2"/>
  <c r="Y64" i="2"/>
  <c r="AG64" i="2"/>
  <c r="E67" i="2"/>
  <c r="M67" i="2"/>
  <c r="U67" i="2"/>
  <c r="AK67" i="2"/>
  <c r="I68" i="2"/>
  <c r="Q68" i="2"/>
  <c r="Y68" i="2"/>
  <c r="AG68" i="2"/>
  <c r="E69" i="2"/>
  <c r="BJ136" i="2"/>
  <c r="BM136" i="2"/>
  <c r="BL136" i="2"/>
  <c r="AQ48" i="2"/>
  <c r="C64" i="2"/>
  <c r="K64" i="2"/>
  <c r="AA64" i="2"/>
  <c r="AI64" i="2"/>
  <c r="G67" i="2"/>
  <c r="AE67" i="2"/>
  <c r="BN6" i="2"/>
  <c r="J54" i="2"/>
  <c r="D64" i="2"/>
  <c r="L64" i="2"/>
  <c r="T64" i="2"/>
  <c r="AJ64" i="2"/>
  <c r="H67" i="2"/>
  <c r="P67" i="2"/>
  <c r="X67" i="2"/>
  <c r="AF67" i="2"/>
  <c r="D68" i="2"/>
  <c r="L68" i="2"/>
  <c r="T68" i="2"/>
  <c r="AJ68" i="2"/>
  <c r="BB33" i="2"/>
  <c r="BB45" i="2" s="1"/>
  <c r="BJ6" i="2"/>
  <c r="E64" i="2"/>
  <c r="M64" i="2"/>
  <c r="U64" i="2"/>
  <c r="AK64" i="2"/>
  <c r="I67" i="2"/>
  <c r="Q67" i="2"/>
  <c r="Y67" i="2"/>
  <c r="AG67" i="2"/>
  <c r="E68" i="2"/>
  <c r="M68" i="2"/>
  <c r="U68" i="2"/>
  <c r="AK68" i="2"/>
  <c r="F64" i="2"/>
  <c r="N64" i="2"/>
  <c r="V64" i="2"/>
  <c r="AL64" i="2"/>
  <c r="R67" i="2"/>
  <c r="Z67" i="2"/>
  <c r="AH67" i="2"/>
  <c r="F68" i="2"/>
  <c r="N68" i="2"/>
  <c r="V68" i="2"/>
  <c r="AL68" i="2"/>
  <c r="BF17" i="2"/>
  <c r="BI11" i="2"/>
  <c r="BI26" i="2" s="1"/>
  <c r="CO38" i="2"/>
  <c r="AC54" i="2"/>
  <c r="G64" i="2"/>
  <c r="O64" i="2"/>
  <c r="W64" i="2"/>
  <c r="AE64" i="2"/>
  <c r="CS17" i="2"/>
  <c r="H64" i="2"/>
  <c r="P64" i="2"/>
  <c r="X64" i="2"/>
  <c r="AF64" i="2"/>
  <c r="D67" i="2"/>
  <c r="L67" i="2"/>
  <c r="T67" i="2"/>
  <c r="AJ67" i="2"/>
  <c r="H68" i="2"/>
  <c r="P68" i="2"/>
  <c r="X68" i="2"/>
  <c r="AF68" i="2"/>
  <c r="BK140" i="2"/>
  <c r="BK137" i="2" s="1"/>
  <c r="BK136" i="2" s="1"/>
  <c r="BN141" i="2"/>
  <c r="CR19" i="2"/>
  <c r="AR22" i="2"/>
  <c r="AS25" i="2"/>
  <c r="AY48" i="2"/>
  <c r="AY50" i="2" s="1"/>
  <c r="CS96" i="2"/>
  <c r="BI22" i="2"/>
  <c r="AY22" i="2"/>
  <c r="AZ25" i="2"/>
  <c r="CP106" i="2"/>
  <c r="AZ22" i="2"/>
  <c r="BA25" i="2"/>
  <c r="AQ23" i="2"/>
  <c r="BI25" i="2"/>
  <c r="C107" i="2"/>
  <c r="K107" i="2"/>
  <c r="S107" i="2"/>
  <c r="AA107" i="2"/>
  <c r="AI107" i="2"/>
  <c r="AQ107" i="2"/>
  <c r="AY107" i="2"/>
  <c r="BG107" i="2"/>
  <c r="BO107" i="2"/>
  <c r="CO18" i="2"/>
  <c r="BC23" i="2"/>
  <c r="AN26" i="2"/>
  <c r="CL54" i="2"/>
  <c r="CL67" i="2" s="1"/>
  <c r="CE106" i="2"/>
  <c r="CG106" i="2"/>
  <c r="CI106" i="2"/>
  <c r="CI107" i="2" s="1"/>
  <c r="CK106" i="2"/>
  <c r="CM106" i="2"/>
  <c r="CO106" i="2"/>
  <c r="CQ106" i="2"/>
  <c r="AW20" i="2"/>
  <c r="AO24" i="2"/>
  <c r="AU26" i="2"/>
  <c r="AR25" i="2"/>
  <c r="BN19" i="2"/>
  <c r="BN17" i="2"/>
  <c r="AN22" i="2"/>
  <c r="AW24" i="2"/>
  <c r="BC26" i="2"/>
  <c r="BL44" i="2"/>
  <c r="F107" i="2"/>
  <c r="V107" i="2"/>
  <c r="AD107" i="2"/>
  <c r="AL107" i="2"/>
  <c r="AT107" i="2"/>
  <c r="BB107" i="2"/>
  <c r="BJ107" i="2"/>
  <c r="AK102" i="2"/>
  <c r="AK62" i="2"/>
  <c r="BM22" i="2"/>
  <c r="BO22" i="2"/>
  <c r="AM23" i="2"/>
  <c r="BM11" i="2"/>
  <c r="AP11" i="2"/>
  <c r="BF19" i="2"/>
  <c r="AT15" i="2"/>
  <c r="BH11" i="2"/>
  <c r="AX19" i="2"/>
  <c r="CS16" i="2"/>
  <c r="BP15" i="2"/>
  <c r="CR15" i="2"/>
  <c r="CS4" i="2"/>
  <c r="AV20" i="2"/>
  <c r="BD20" i="2"/>
  <c r="AS23" i="2"/>
  <c r="BA23" i="2"/>
  <c r="BI23" i="2"/>
  <c r="AN24" i="2"/>
  <c r="AV24" i="2"/>
  <c r="BD24" i="2"/>
  <c r="AQ25" i="2"/>
  <c r="AY25" i="2"/>
  <c r="BO25" i="2"/>
  <c r="AX35" i="2"/>
  <c r="BJ38" i="2"/>
  <c r="CP49" i="2"/>
  <c r="AB54" i="2"/>
  <c r="CF106" i="2"/>
  <c r="CJ106" i="2"/>
  <c r="CL106" i="2"/>
  <c r="CN106" i="2"/>
  <c r="CR106" i="2"/>
  <c r="BP25" i="2"/>
  <c r="BO48" i="2"/>
  <c r="BO50" i="2" s="1"/>
  <c r="BO54" i="2" s="1"/>
  <c r="BP22" i="2"/>
  <c r="BD26" i="2"/>
  <c r="AR48" i="2"/>
  <c r="AR50" i="2" s="1"/>
  <c r="AR64" i="2" s="1"/>
  <c r="AZ48" i="2"/>
  <c r="AZ50" i="2" s="1"/>
  <c r="AD54" i="2"/>
  <c r="CT96" i="2"/>
  <c r="CI105" i="2"/>
  <c r="AU23" i="2"/>
  <c r="AV26" i="2"/>
  <c r="BM15" i="2"/>
  <c r="CT18" i="2"/>
  <c r="AX16" i="2"/>
  <c r="CT6" i="2"/>
  <c r="CT15" i="2" s="1"/>
  <c r="AT11" i="2"/>
  <c r="AT24" i="2" s="1"/>
  <c r="AQ20" i="2"/>
  <c r="AY20" i="2"/>
  <c r="AS22" i="2"/>
  <c r="BA22" i="2"/>
  <c r="AN23" i="2"/>
  <c r="AV23" i="2"/>
  <c r="BD23" i="2"/>
  <c r="AY24" i="2"/>
  <c r="BO24" i="2"/>
  <c r="AO26" i="2"/>
  <c r="AW26" i="2"/>
  <c r="BE26" i="2"/>
  <c r="CP38" i="2"/>
  <c r="BD44" i="2"/>
  <c r="AS48" i="2"/>
  <c r="AS50" i="2" s="1"/>
  <c r="AS64" i="2" s="1"/>
  <c r="BA48" i="2"/>
  <c r="BA50" i="2" s="1"/>
  <c r="BA64" i="2" s="1"/>
  <c r="BI48" i="2"/>
  <c r="BI50" i="2" s="1"/>
  <c r="BI64" i="2" s="1"/>
  <c r="AQ50" i="2"/>
  <c r="AQ54" i="2" s="1"/>
  <c r="CL50" i="2"/>
  <c r="CL64" i="2" s="1"/>
  <c r="CL65" i="2"/>
  <c r="E107" i="2"/>
  <c r="M107" i="2"/>
  <c r="U107" i="2"/>
  <c r="AC107" i="2"/>
  <c r="AK107" i="2"/>
  <c r="AS107" i="2"/>
  <c r="BA107" i="2"/>
  <c r="BI107" i="2"/>
  <c r="CQ105" i="2"/>
  <c r="BE20" i="2"/>
  <c r="AM26" i="2"/>
  <c r="CT8" i="2"/>
  <c r="CU8" i="2" s="1"/>
  <c r="CV8" i="2" s="1"/>
  <c r="CW8" i="2" s="1"/>
  <c r="CX8" i="2" s="1"/>
  <c r="CY8" i="2" s="1"/>
  <c r="CZ8" i="2" s="1"/>
  <c r="DA8" i="2" s="1"/>
  <c r="DB8" i="2" s="1"/>
  <c r="DC8" i="2" s="1"/>
  <c r="DD8" i="2" s="1"/>
  <c r="AR20" i="2"/>
  <c r="AZ20" i="2"/>
  <c r="AO23" i="2"/>
  <c r="AW23" i="2"/>
  <c r="BE23" i="2"/>
  <c r="AR24" i="2"/>
  <c r="AZ24" i="2"/>
  <c r="BP24" i="2"/>
  <c r="AM25" i="2"/>
  <c r="AU25" i="2"/>
  <c r="BC25" i="2"/>
  <c r="AP26" i="2"/>
  <c r="CS106" i="2"/>
  <c r="BB15" i="2"/>
  <c r="AX15" i="2"/>
  <c r="BB11" i="2"/>
  <c r="BB26" i="2" s="1"/>
  <c r="BF15" i="2"/>
  <c r="CS19" i="2"/>
  <c r="BN18" i="2"/>
  <c r="CQ8" i="2"/>
  <c r="CT7" i="2"/>
  <c r="CU7" i="2" s="1"/>
  <c r="CV7" i="2" s="1"/>
  <c r="CW7" i="2" s="1"/>
  <c r="CX7" i="2" s="1"/>
  <c r="CY7" i="2" s="1"/>
  <c r="CZ7" i="2" s="1"/>
  <c r="DA7" i="2" s="1"/>
  <c r="DB7" i="2" s="1"/>
  <c r="DC7" i="2" s="1"/>
  <c r="DD7" i="2" s="1"/>
  <c r="AS20" i="2"/>
  <c r="BA20" i="2"/>
  <c r="BI20" i="2"/>
  <c r="AM22" i="2"/>
  <c r="AU22" i="2"/>
  <c r="BC22" i="2"/>
  <c r="AP23" i="2"/>
  <c r="AS24" i="2"/>
  <c r="BA24" i="2"/>
  <c r="BI24" i="2"/>
  <c r="AN25" i="2"/>
  <c r="AV25" i="2"/>
  <c r="BD25" i="2"/>
  <c r="AQ26" i="2"/>
  <c r="AY26" i="2"/>
  <c r="BO26" i="2"/>
  <c r="BB37" i="2"/>
  <c r="AS33" i="2"/>
  <c r="AS46" i="2" s="1"/>
  <c r="AM48" i="2"/>
  <c r="AU48" i="2"/>
  <c r="AU50" i="2" s="1"/>
  <c r="AU64" i="2" s="1"/>
  <c r="BC48" i="2"/>
  <c r="BC50" i="2" s="1"/>
  <c r="W107" i="2"/>
  <c r="BF35" i="2"/>
  <c r="BF16" i="2"/>
  <c r="AV22" i="2"/>
  <c r="BD22" i="2"/>
  <c r="BO23" i="2"/>
  <c r="AO25" i="2"/>
  <c r="AW25" i="2"/>
  <c r="BE25" i="2"/>
  <c r="AR26" i="2"/>
  <c r="AZ26" i="2"/>
  <c r="BP26" i="2"/>
  <c r="CQ28" i="2"/>
  <c r="CQ35" i="2" s="1"/>
  <c r="CY75" i="2"/>
  <c r="H107" i="2"/>
  <c r="P107" i="2"/>
  <c r="X107" i="2"/>
  <c r="AF107" i="2"/>
  <c r="AN107" i="2"/>
  <c r="AV107" i="2"/>
  <c r="BD107" i="2"/>
  <c r="BL107" i="2"/>
  <c r="CR16" i="2"/>
  <c r="BE24" i="2"/>
  <c r="CR18" i="2"/>
  <c r="CS6" i="2"/>
  <c r="CT14" i="2"/>
  <c r="AU20" i="2"/>
  <c r="BC20" i="2"/>
  <c r="AO22" i="2"/>
  <c r="AW22" i="2"/>
  <c r="BE22" i="2"/>
  <c r="AP25" i="2"/>
  <c r="CR28" i="2"/>
  <c r="CS35" i="2" s="1"/>
  <c r="CF66" i="2"/>
  <c r="CT37" i="2"/>
  <c r="T102" i="2"/>
  <c r="T62" i="2"/>
  <c r="CO37" i="2"/>
  <c r="AV42" i="2"/>
  <c r="AV45" i="2"/>
  <c r="AV43" i="2"/>
  <c r="AV40" i="2"/>
  <c r="AV44" i="2"/>
  <c r="CT35" i="2"/>
  <c r="CQ38" i="2"/>
  <c r="AO45" i="2"/>
  <c r="AO43" i="2"/>
  <c r="AO44" i="2"/>
  <c r="AO42" i="2"/>
  <c r="CO35" i="2"/>
  <c r="CS37" i="2"/>
  <c r="AQ43" i="2"/>
  <c r="AQ44" i="2"/>
  <c r="AQ42" i="2"/>
  <c r="AQ45" i="2"/>
  <c r="AY43" i="2"/>
  <c r="AY46" i="2"/>
  <c r="AY40" i="2"/>
  <c r="CQ33" i="2"/>
  <c r="CQ43" i="2" s="1"/>
  <c r="AY44" i="2"/>
  <c r="AY42" i="2"/>
  <c r="Z102" i="2"/>
  <c r="Z62" i="2"/>
  <c r="AX37" i="2"/>
  <c r="CQ30" i="2"/>
  <c r="CR37" i="2" s="1"/>
  <c r="BF38" i="2"/>
  <c r="CS31" i="2"/>
  <c r="AY39" i="2"/>
  <c r="AU33" i="2"/>
  <c r="AU46" i="2"/>
  <c r="AU39" i="2"/>
  <c r="BF33" i="2"/>
  <c r="BF45" i="2" s="1"/>
  <c r="BN33" i="2"/>
  <c r="AY45" i="2"/>
  <c r="BC64" i="2"/>
  <c r="BC54" i="2"/>
  <c r="AM33" i="2"/>
  <c r="AM46" i="2" s="1"/>
  <c r="BP46" i="2"/>
  <c r="BO43" i="2"/>
  <c r="BO46" i="2"/>
  <c r="BO40" i="2"/>
  <c r="BP44" i="2"/>
  <c r="BO44" i="2"/>
  <c r="BP42" i="2"/>
  <c r="BP45" i="2"/>
  <c r="BO42" i="2"/>
  <c r="BP43" i="2"/>
  <c r="BF37" i="2"/>
  <c r="BN38" i="2"/>
  <c r="CT31" i="2"/>
  <c r="AW39" i="2"/>
  <c r="AZ46" i="2"/>
  <c r="AZ40" i="2"/>
  <c r="AZ44" i="2"/>
  <c r="AZ42" i="2"/>
  <c r="AZ45" i="2"/>
  <c r="AZ43" i="2"/>
  <c r="BH46" i="2"/>
  <c r="BH40" i="2"/>
  <c r="BH44" i="2"/>
  <c r="BH42" i="2"/>
  <c r="BH45" i="2"/>
  <c r="BH43" i="2"/>
  <c r="BO45" i="2"/>
  <c r="AO65" i="2"/>
  <c r="AO66" i="2"/>
  <c r="AO50" i="2"/>
  <c r="AW65" i="2"/>
  <c r="AW97" i="2"/>
  <c r="AW66" i="2"/>
  <c r="AW50" i="2"/>
  <c r="BE65" i="2"/>
  <c r="BE97" i="2"/>
  <c r="BE66" i="2"/>
  <c r="BE50" i="2"/>
  <c r="C58" i="2"/>
  <c r="C68" i="2" s="1"/>
  <c r="CE54" i="2"/>
  <c r="CE67" i="2" s="1"/>
  <c r="K58" i="2"/>
  <c r="K68" i="2" s="1"/>
  <c r="CG54" i="2"/>
  <c r="CG67" i="2" s="1"/>
  <c r="CI50" i="2"/>
  <c r="CI64" i="2" s="1"/>
  <c r="AA58" i="2"/>
  <c r="AA68" i="2" s="1"/>
  <c r="AI58" i="2"/>
  <c r="AI68" i="2" s="1"/>
  <c r="CM54" i="2"/>
  <c r="CM67" i="2" s="1"/>
  <c r="R102" i="2"/>
  <c r="R62" i="2"/>
  <c r="AZ64" i="2"/>
  <c r="AZ54" i="2"/>
  <c r="AT35" i="2"/>
  <c r="CP28" i="2"/>
  <c r="AO46" i="2"/>
  <c r="AX32" i="2"/>
  <c r="CQ32" i="2"/>
  <c r="AR44" i="2"/>
  <c r="AR42" i="2"/>
  <c r="AR45" i="2"/>
  <c r="AR43" i="2"/>
  <c r="BA44" i="2"/>
  <c r="BA42" i="2"/>
  <c r="BA45" i="2"/>
  <c r="BA46" i="2"/>
  <c r="BI44" i="2"/>
  <c r="BI42" i="2"/>
  <c r="BI45" i="2"/>
  <c r="BI46" i="2"/>
  <c r="BI40" i="2"/>
  <c r="BJ37" i="2"/>
  <c r="D102" i="2"/>
  <c r="D62" i="2"/>
  <c r="L102" i="2"/>
  <c r="L62" i="2"/>
  <c r="AJ102" i="2"/>
  <c r="AJ62" i="2"/>
  <c r="AH102" i="2"/>
  <c r="AH62" i="2"/>
  <c r="CS36" i="2"/>
  <c r="BN37" i="2"/>
  <c r="BM139" i="2" s="1"/>
  <c r="AP32" i="2"/>
  <c r="CN32" i="2" s="1"/>
  <c r="BJ33" i="2"/>
  <c r="BJ46" i="2" s="1"/>
  <c r="BN35" i="2"/>
  <c r="M102" i="2"/>
  <c r="M62" i="2"/>
  <c r="U102" i="2"/>
  <c r="U62" i="2"/>
  <c r="E62" i="2"/>
  <c r="BB35" i="2"/>
  <c r="BJ36" i="2"/>
  <c r="CT36" i="2"/>
  <c r="AQ46" i="2"/>
  <c r="AQ39" i="2"/>
  <c r="AT32" i="2"/>
  <c r="BF39" i="2"/>
  <c r="CS39" i="2"/>
  <c r="AT37" i="2"/>
  <c r="BB38" i="2"/>
  <c r="BB46" i="2"/>
  <c r="BP64" i="2"/>
  <c r="BP54" i="2"/>
  <c r="AF102" i="2"/>
  <c r="AF62" i="2"/>
  <c r="BG43" i="2"/>
  <c r="BG46" i="2"/>
  <c r="BG40" i="2"/>
  <c r="BG44" i="2"/>
  <c r="BG42" i="2"/>
  <c r="AX38" i="2"/>
  <c r="AR46" i="2"/>
  <c r="AR39" i="2"/>
  <c r="CT39" i="2"/>
  <c r="AT38" i="2"/>
  <c r="BA39" i="2"/>
  <c r="BJ39" i="2"/>
  <c r="BI138" i="2" s="1"/>
  <c r="BI136" i="2" s="1"/>
  <c r="G60" i="2"/>
  <c r="G69" i="2" s="1"/>
  <c r="AZ39" i="2"/>
  <c r="AV46" i="2"/>
  <c r="AV39" i="2"/>
  <c r="BJ35" i="2"/>
  <c r="CN29" i="2"/>
  <c r="CP30" i="2"/>
  <c r="CR31" i="2"/>
  <c r="AN33" i="2"/>
  <c r="AN46" i="2" s="1"/>
  <c r="AW33" i="2"/>
  <c r="BA40" i="2" s="1"/>
  <c r="BE45" i="2"/>
  <c r="BE43" i="2"/>
  <c r="BE46" i="2"/>
  <c r="BE40" i="2"/>
  <c r="BE44" i="2"/>
  <c r="BE42" i="2"/>
  <c r="BM45" i="2"/>
  <c r="BM43" i="2"/>
  <c r="BM46" i="2"/>
  <c r="BM40" i="2"/>
  <c r="BM44" i="2"/>
  <c r="BM42" i="2"/>
  <c r="BN36" i="2"/>
  <c r="BA43" i="2"/>
  <c r="H102" i="2"/>
  <c r="H62" i="2"/>
  <c r="P102" i="2"/>
  <c r="P62" i="2"/>
  <c r="X102" i="2"/>
  <c r="X62" i="2"/>
  <c r="CT51" i="2"/>
  <c r="CO59" i="2"/>
  <c r="BC44" i="2"/>
  <c r="BK44" i="2"/>
  <c r="AN66" i="2"/>
  <c r="AN65" i="2"/>
  <c r="AV66" i="2"/>
  <c r="AV97" i="2"/>
  <c r="AV65" i="2"/>
  <c r="BD66" i="2"/>
  <c r="BD97" i="2"/>
  <c r="BD65" i="2"/>
  <c r="AY64" i="2"/>
  <c r="AY54" i="2"/>
  <c r="BO64" i="2"/>
  <c r="CK50" i="2"/>
  <c r="CK64" i="2" s="1"/>
  <c r="CK65" i="2"/>
  <c r="CN52" i="2"/>
  <c r="S54" i="2"/>
  <c r="S67" i="2" s="1"/>
  <c r="AE60" i="2"/>
  <c r="AE69" i="2" s="1"/>
  <c r="CL58" i="2"/>
  <c r="CL68" i="2" s="1"/>
  <c r="CN59" i="2"/>
  <c r="Z107" i="2"/>
  <c r="CJ105" i="2"/>
  <c r="CJ107" i="2" s="1"/>
  <c r="BF107" i="2"/>
  <c r="CR105" i="2"/>
  <c r="BC40" i="2"/>
  <c r="BK40" i="2"/>
  <c r="BC46" i="2"/>
  <c r="BK46" i="2"/>
  <c r="CQ49" i="2"/>
  <c r="CE50" i="2"/>
  <c r="CE64" i="2" s="1"/>
  <c r="CM50" i="2"/>
  <c r="CM64" i="2" s="1"/>
  <c r="CE65" i="2"/>
  <c r="CM65" i="2"/>
  <c r="BD40" i="2"/>
  <c r="BL40" i="2"/>
  <c r="BC43" i="2"/>
  <c r="BK43" i="2"/>
  <c r="BD46" i="2"/>
  <c r="BL46" i="2"/>
  <c r="AQ65" i="2"/>
  <c r="AQ66" i="2"/>
  <c r="AY65" i="2"/>
  <c r="AY97" i="2"/>
  <c r="AY66" i="2"/>
  <c r="BO65" i="2"/>
  <c r="CR49" i="2"/>
  <c r="F102" i="2"/>
  <c r="F62" i="2"/>
  <c r="N102" i="2"/>
  <c r="N62" i="2"/>
  <c r="V102" i="2"/>
  <c r="V62" i="2"/>
  <c r="CF50" i="2"/>
  <c r="CF64" i="2" s="1"/>
  <c r="CF65" i="2"/>
  <c r="CN51" i="2"/>
  <c r="CI66" i="2"/>
  <c r="BD43" i="2"/>
  <c r="BL43" i="2"/>
  <c r="AR65" i="2"/>
  <c r="AR66" i="2"/>
  <c r="AZ65" i="2"/>
  <c r="AZ97" i="2"/>
  <c r="AZ66" i="2"/>
  <c r="BP65" i="2"/>
  <c r="BP97" i="2"/>
  <c r="BP66" i="2"/>
  <c r="CS49" i="2"/>
  <c r="CS98" i="2" s="1"/>
  <c r="CF54" i="2"/>
  <c r="CF67" i="2" s="1"/>
  <c r="CH54" i="2"/>
  <c r="CH67" i="2" s="1"/>
  <c r="CJ54" i="2"/>
  <c r="CJ67" i="2" s="1"/>
  <c r="CG50" i="2"/>
  <c r="CG64" i="2" s="1"/>
  <c r="CG65" i="2"/>
  <c r="CO51" i="2"/>
  <c r="CJ66" i="2"/>
  <c r="O58" i="2"/>
  <c r="O68" i="2" s="1"/>
  <c r="BN39" i="2"/>
  <c r="BM138" i="2" s="1"/>
  <c r="BC45" i="2"/>
  <c r="BK45" i="2"/>
  <c r="CT49" i="2"/>
  <c r="CT98" i="2" s="1"/>
  <c r="AN50" i="2"/>
  <c r="AV50" i="2"/>
  <c r="BD50" i="2"/>
  <c r="CH50" i="2"/>
  <c r="CH64" i="2" s="1"/>
  <c r="CH65" i="2"/>
  <c r="CK66" i="2"/>
  <c r="CK53" i="2"/>
  <c r="BD45" i="2"/>
  <c r="BL45" i="2"/>
  <c r="I102" i="2"/>
  <c r="I62" i="2"/>
  <c r="Q102" i="2"/>
  <c r="Q62" i="2"/>
  <c r="Y102" i="2"/>
  <c r="Y62" i="2"/>
  <c r="AG102" i="2"/>
  <c r="AG62" i="2"/>
  <c r="CS51" i="2"/>
  <c r="CL66" i="2"/>
  <c r="W58" i="2"/>
  <c r="W68" i="2" s="1"/>
  <c r="CX75" i="2"/>
  <c r="AU97" i="2"/>
  <c r="BC97" i="2"/>
  <c r="BC66" i="2"/>
  <c r="BC65" i="2"/>
  <c r="CJ50" i="2"/>
  <c r="CJ64" i="2" s="1"/>
  <c r="CJ65" i="2"/>
  <c r="CE66" i="2"/>
  <c r="CM66" i="2"/>
  <c r="BP105" i="2"/>
  <c r="BP107" i="2" s="1"/>
  <c r="CT90" i="2"/>
  <c r="BN92" i="2"/>
  <c r="CT92" i="2" s="1"/>
  <c r="CP59" i="2"/>
  <c r="CS95" i="2"/>
  <c r="CQ59" i="2"/>
  <c r="CT95" i="2"/>
  <c r="CT106" i="2"/>
  <c r="CR59" i="2"/>
  <c r="CP51" i="2"/>
  <c r="CG66" i="2"/>
  <c r="CO52" i="2"/>
  <c r="CS59" i="2"/>
  <c r="CQ107" i="2"/>
  <c r="CI65" i="2"/>
  <c r="CQ51" i="2"/>
  <c r="CH66" i="2"/>
  <c r="CT59" i="2"/>
  <c r="CF105" i="2"/>
  <c r="CF107" i="2" s="1"/>
  <c r="CH105" i="2"/>
  <c r="CH107" i="2" s="1"/>
  <c r="CL105" i="2"/>
  <c r="CL107" i="2" s="1"/>
  <c r="CN105" i="2"/>
  <c r="CP105" i="2"/>
  <c r="CT105" i="2"/>
  <c r="CK105" i="2"/>
  <c r="CS105" i="2"/>
  <c r="G107" i="2"/>
  <c r="O107" i="2"/>
  <c r="AE107" i="2"/>
  <c r="AM107" i="2"/>
  <c r="AU107" i="2"/>
  <c r="BK107" i="2"/>
  <c r="CS90" i="2"/>
  <c r="CE105" i="2"/>
  <c r="CM105" i="2"/>
  <c r="CM107" i="2" s="1"/>
  <c r="CS94" i="2"/>
  <c r="CT94" i="2"/>
  <c r="CG105" i="2"/>
  <c r="CG107" i="2" s="1"/>
  <c r="CO105" i="2"/>
  <c r="CT19" i="2"/>
  <c r="BJ15" i="2"/>
  <c r="BJ11" i="2"/>
  <c r="BJ25" i="2" s="1"/>
  <c r="CO17" i="2"/>
  <c r="CS18" i="2"/>
  <c r="CO19" i="2"/>
  <c r="BN15" i="2"/>
  <c r="BN11" i="2"/>
  <c r="BN26" i="2" s="1"/>
  <c r="BO15" i="2"/>
  <c r="BG15" i="2"/>
  <c r="BF11" i="2"/>
  <c r="AX11" i="2"/>
  <c r="AX25" i="2" s="1"/>
  <c r="BL11" i="2"/>
  <c r="CP10" i="2"/>
  <c r="CP9" i="2"/>
  <c r="CQ18" i="2" s="1"/>
  <c r="CP8" i="2"/>
  <c r="CQ17" i="2" s="1"/>
  <c r="CP7" i="2"/>
  <c r="CP6" i="2"/>
  <c r="CQ15" i="2" s="1"/>
  <c r="BJ19" i="2"/>
  <c r="BB19" i="2"/>
  <c r="AT19" i="2"/>
  <c r="BJ18" i="2"/>
  <c r="BB18" i="2"/>
  <c r="AT18" i="2"/>
  <c r="BJ17" i="2"/>
  <c r="BB17" i="2"/>
  <c r="AT17" i="2"/>
  <c r="BJ16" i="2"/>
  <c r="BB16" i="2"/>
  <c r="AT16" i="2"/>
  <c r="BL15" i="2"/>
  <c r="BN14" i="2"/>
  <c r="BK11" i="2"/>
  <c r="BO20" i="2" s="1"/>
  <c r="CO6" i="2"/>
  <c r="CT4" i="2"/>
  <c r="CN11" i="2"/>
  <c r="CN25" i="2" s="1"/>
  <c r="CU10" i="2"/>
  <c r="CV10" i="2" s="1"/>
  <c r="CW10" i="2" s="1"/>
  <c r="CX10" i="2" s="1"/>
  <c r="CY10" i="2" s="1"/>
  <c r="CZ10" i="2" s="1"/>
  <c r="DA10" i="2" s="1"/>
  <c r="DB10" i="2" s="1"/>
  <c r="DC10" i="2" s="1"/>
  <c r="DD10" i="2" s="1"/>
  <c r="CU9" i="2"/>
  <c r="CV9" i="2" s="1"/>
  <c r="CW9" i="2" s="1"/>
  <c r="CX9" i="2" s="1"/>
  <c r="CY9" i="2" s="1"/>
  <c r="CZ9" i="2" s="1"/>
  <c r="DA9" i="2" s="1"/>
  <c r="DB9" i="2" s="1"/>
  <c r="DC9" i="2" s="1"/>
  <c r="DD9" i="2" s="1"/>
  <c r="BG11" i="2"/>
  <c r="BA97" i="2" l="1"/>
  <c r="AS54" i="2"/>
  <c r="BB43" i="2"/>
  <c r="CQ45" i="2"/>
  <c r="CQ42" i="2"/>
  <c r="AC58" i="2"/>
  <c r="AC67" i="2"/>
  <c r="AS65" i="2"/>
  <c r="BB44" i="2"/>
  <c r="BB42" i="2"/>
  <c r="BB25" i="2"/>
  <c r="CQ11" i="2"/>
  <c r="CQ22" i="2" s="1"/>
  <c r="CN107" i="2"/>
  <c r="AR54" i="2"/>
  <c r="AS66" i="2"/>
  <c r="AS45" i="2"/>
  <c r="BF42" i="2"/>
  <c r="AB58" i="2"/>
  <c r="AB67" i="2"/>
  <c r="J58" i="2"/>
  <c r="J67" i="2"/>
  <c r="CK107" i="2"/>
  <c r="AD58" i="2"/>
  <c r="AD67" i="2"/>
  <c r="BI139" i="2"/>
  <c r="BN140" i="2"/>
  <c r="BN137" i="2" s="1"/>
  <c r="BN136" i="2" s="1"/>
  <c r="BO141" i="2"/>
  <c r="BJ43" i="2"/>
  <c r="CQ25" i="2"/>
  <c r="CE107" i="2"/>
  <c r="CS33" i="2"/>
  <c r="CS44" i="2" s="1"/>
  <c r="BJ42" i="2"/>
  <c r="BA54" i="2"/>
  <c r="CR35" i="2"/>
  <c r="CQ24" i="2"/>
  <c r="AU65" i="2"/>
  <c r="BO66" i="2"/>
  <c r="AU54" i="2"/>
  <c r="CN24" i="2"/>
  <c r="CO107" i="2"/>
  <c r="CP107" i="2"/>
  <c r="AU66" i="2"/>
  <c r="BA66" i="2"/>
  <c r="BO97" i="2"/>
  <c r="BB22" i="2"/>
  <c r="CN26" i="2"/>
  <c r="DA75" i="2"/>
  <c r="BA65" i="2"/>
  <c r="AS40" i="2"/>
  <c r="BN40" i="2"/>
  <c r="BF20" i="2"/>
  <c r="BF24" i="2"/>
  <c r="BF48" i="2"/>
  <c r="BG48" i="2"/>
  <c r="BG23" i="2"/>
  <c r="BG26" i="2"/>
  <c r="BG24" i="2"/>
  <c r="BG20" i="2"/>
  <c r="BG22" i="2"/>
  <c r="BG25" i="2"/>
  <c r="AM50" i="2"/>
  <c r="AX20" i="2"/>
  <c r="AX48" i="2"/>
  <c r="AR40" i="2"/>
  <c r="BF25" i="2"/>
  <c r="AX23" i="2"/>
  <c r="AT20" i="2"/>
  <c r="AT23" i="2"/>
  <c r="AT48" i="2"/>
  <c r="AT22" i="2"/>
  <c r="BH23" i="2"/>
  <c r="BH26" i="2"/>
  <c r="BH22" i="2"/>
  <c r="BH24" i="2"/>
  <c r="BH20" i="2"/>
  <c r="BH48" i="2"/>
  <c r="BH25" i="2"/>
  <c r="BJ22" i="2"/>
  <c r="CQ23" i="2"/>
  <c r="CO15" i="2"/>
  <c r="BN45" i="2"/>
  <c r="AQ64" i="2"/>
  <c r="BK22" i="2"/>
  <c r="CP17" i="2"/>
  <c r="AS43" i="2"/>
  <c r="AS42" i="2"/>
  <c r="CT17" i="2"/>
  <c r="BJ26" i="2"/>
  <c r="AP24" i="2"/>
  <c r="AP48" i="2"/>
  <c r="CN48" i="2" s="1"/>
  <c r="CS15" i="2"/>
  <c r="CP18" i="2"/>
  <c r="BN24" i="2"/>
  <c r="BN20" i="2"/>
  <c r="BN48" i="2"/>
  <c r="AM65" i="2"/>
  <c r="BI66" i="2"/>
  <c r="BN43" i="2"/>
  <c r="AS44" i="2"/>
  <c r="BF26" i="2"/>
  <c r="AT26" i="2"/>
  <c r="BM48" i="2"/>
  <c r="BM20" i="2"/>
  <c r="BM25" i="2"/>
  <c r="BM23" i="2"/>
  <c r="BM26" i="2"/>
  <c r="BM24" i="2"/>
  <c r="BN22" i="2"/>
  <c r="CT16" i="2"/>
  <c r="CP19" i="2"/>
  <c r="BJ20" i="2"/>
  <c r="BJ48" i="2"/>
  <c r="BJ23" i="2"/>
  <c r="CS107" i="2"/>
  <c r="AM66" i="2"/>
  <c r="BI97" i="2"/>
  <c r="CR107" i="2"/>
  <c r="BI54" i="2"/>
  <c r="BI67" i="2" s="1"/>
  <c r="CK54" i="2"/>
  <c r="CK67" i="2" s="1"/>
  <c r="CO11" i="2"/>
  <c r="AX26" i="2"/>
  <c r="AT25" i="2"/>
  <c r="CN23" i="2"/>
  <c r="BK24" i="2"/>
  <c r="BK20" i="2"/>
  <c r="BK48" i="2"/>
  <c r="BK26" i="2"/>
  <c r="BK25" i="2"/>
  <c r="BK23" i="2"/>
  <c r="BL48" i="2"/>
  <c r="BL22" i="2"/>
  <c r="BL25" i="2"/>
  <c r="BP20" i="2"/>
  <c r="BL23" i="2"/>
  <c r="BL26" i="2"/>
  <c r="BL24" i="2"/>
  <c r="BL20" i="2"/>
  <c r="BI65" i="2"/>
  <c r="BJ24" i="2"/>
  <c r="BN23" i="2"/>
  <c r="AX24" i="2"/>
  <c r="BF22" i="2"/>
  <c r="CR17" i="2"/>
  <c r="BB24" i="2"/>
  <c r="CP16" i="2"/>
  <c r="CQ26" i="2"/>
  <c r="CT107" i="2"/>
  <c r="BN25" i="2"/>
  <c r="BF23" i="2"/>
  <c r="BB23" i="2"/>
  <c r="BB20" i="2"/>
  <c r="BB48" i="2"/>
  <c r="AP22" i="2"/>
  <c r="AX22" i="2"/>
  <c r="CN22" i="2"/>
  <c r="AT39" i="2"/>
  <c r="CO32" i="2"/>
  <c r="CS42" i="2"/>
  <c r="CI54" i="2"/>
  <c r="CI67" i="2" s="1"/>
  <c r="S58" i="2"/>
  <c r="S68" i="2" s="1"/>
  <c r="BN44" i="2"/>
  <c r="CT38" i="2"/>
  <c r="BF40" i="2"/>
  <c r="CR33" i="2"/>
  <c r="CR45" i="2" s="1"/>
  <c r="BF46" i="2"/>
  <c r="BJ40" i="2"/>
  <c r="CM58" i="2"/>
  <c r="CM68" i="2" s="1"/>
  <c r="AI60" i="2"/>
  <c r="AI69" i="2" s="1"/>
  <c r="AW64" i="2"/>
  <c r="AW54" i="2"/>
  <c r="CS38" i="2"/>
  <c r="CS45" i="2"/>
  <c r="AZ67" i="2"/>
  <c r="AZ58" i="2"/>
  <c r="W60" i="2"/>
  <c r="W69" i="2" s="1"/>
  <c r="CJ58" i="2"/>
  <c r="CJ68" i="2" s="1"/>
  <c r="BD64" i="2"/>
  <c r="BD54" i="2"/>
  <c r="O60" i="2"/>
  <c r="O69" i="2" s="1"/>
  <c r="CH58" i="2"/>
  <c r="CH68" i="2" s="1"/>
  <c r="AW45" i="2"/>
  <c r="AW43" i="2"/>
  <c r="AW40" i="2"/>
  <c r="AW44" i="2"/>
  <c r="AW42" i="2"/>
  <c r="AR58" i="2"/>
  <c r="AR67" i="2"/>
  <c r="BP58" i="2"/>
  <c r="BP67" i="2"/>
  <c r="AX39" i="2"/>
  <c r="BC67" i="2"/>
  <c r="BC58" i="2"/>
  <c r="AX33" i="2"/>
  <c r="AX46" i="2" s="1"/>
  <c r="CQ37" i="2"/>
  <c r="CQ44" i="2"/>
  <c r="BB39" i="2"/>
  <c r="BA67" i="2"/>
  <c r="BA58" i="2"/>
  <c r="CQ46" i="2"/>
  <c r="AV64" i="2"/>
  <c r="AV54" i="2"/>
  <c r="AN42" i="2"/>
  <c r="AN45" i="2"/>
  <c r="AN43" i="2"/>
  <c r="AN44" i="2"/>
  <c r="AS67" i="2"/>
  <c r="AS58" i="2"/>
  <c r="AT33" i="2"/>
  <c r="AT46" i="2" s="1"/>
  <c r="BE64" i="2"/>
  <c r="BE54" i="2"/>
  <c r="AO64" i="2"/>
  <c r="AO54" i="2"/>
  <c r="BF44" i="2"/>
  <c r="CP37" i="2"/>
  <c r="AN64" i="2"/>
  <c r="AN54" i="2"/>
  <c r="AY67" i="2"/>
  <c r="AY58" i="2"/>
  <c r="BN46" i="2"/>
  <c r="G102" i="2"/>
  <c r="G62" i="2"/>
  <c r="CR39" i="2"/>
  <c r="CS43" i="2"/>
  <c r="BJ44" i="2"/>
  <c r="K60" i="2"/>
  <c r="K69" i="2" s="1"/>
  <c r="CG58" i="2"/>
  <c r="CG68" i="2" s="1"/>
  <c r="CP32" i="2"/>
  <c r="AM42" i="2"/>
  <c r="AM45" i="2"/>
  <c r="AM43" i="2"/>
  <c r="AM44" i="2"/>
  <c r="BO58" i="2"/>
  <c r="BO67" i="2"/>
  <c r="CK58" i="2"/>
  <c r="CK68" i="2" s="1"/>
  <c r="AA60" i="2"/>
  <c r="AA69" i="2" s="1"/>
  <c r="AM54" i="2"/>
  <c r="AM64" i="2"/>
  <c r="CT33" i="2"/>
  <c r="CT45" i="2" s="1"/>
  <c r="CS46" i="2"/>
  <c r="BN42" i="2"/>
  <c r="BF43" i="2"/>
  <c r="AU67" i="2"/>
  <c r="AU58" i="2"/>
  <c r="AU42" i="2"/>
  <c r="AU45" i="2"/>
  <c r="AU43" i="2"/>
  <c r="AU40" i="2"/>
  <c r="AU44" i="2"/>
  <c r="AQ40" i="2"/>
  <c r="AE102" i="2"/>
  <c r="CL102" i="2" s="1"/>
  <c r="AE62" i="2"/>
  <c r="CL62" i="2" s="1"/>
  <c r="CL60" i="2"/>
  <c r="CL69" i="2" s="1"/>
  <c r="AQ58" i="2"/>
  <c r="AQ67" i="2"/>
  <c r="CR38" i="2"/>
  <c r="BJ45" i="2"/>
  <c r="AP33" i="2"/>
  <c r="AP46" i="2" s="1"/>
  <c r="CP35" i="2"/>
  <c r="CE58" i="2"/>
  <c r="CE68" i="2" s="1"/>
  <c r="C60" i="2"/>
  <c r="C69" i="2" s="1"/>
  <c r="AW46" i="2"/>
  <c r="CT13" i="2"/>
  <c r="CU4" i="2"/>
  <c r="CS11" i="2"/>
  <c r="CP11" i="2"/>
  <c r="CP20" i="2" s="1"/>
  <c r="CR11" i="2"/>
  <c r="CQ16" i="2"/>
  <c r="CT11" i="2"/>
  <c r="CP15" i="2"/>
  <c r="CQ19" i="2"/>
  <c r="CN65" i="2" l="1"/>
  <c r="CN66" i="2"/>
  <c r="AD60" i="2"/>
  <c r="AD68" i="2"/>
  <c r="J60" i="2"/>
  <c r="J68" i="2"/>
  <c r="CF58" i="2"/>
  <c r="CF68" i="2" s="1"/>
  <c r="CP33" i="2"/>
  <c r="CP44" i="2" s="1"/>
  <c r="AC60" i="2"/>
  <c r="AC68" i="2"/>
  <c r="AB60" i="2"/>
  <c r="AB68" i="2"/>
  <c r="BO140" i="2"/>
  <c r="BO137" i="2" s="1"/>
  <c r="BO136" i="2" s="1"/>
  <c r="BP141" i="2"/>
  <c r="CP42" i="2"/>
  <c r="BI58" i="2"/>
  <c r="CP25" i="2"/>
  <c r="CP24" i="2"/>
  <c r="AT50" i="2"/>
  <c r="AT66" i="2"/>
  <c r="AT65" i="2"/>
  <c r="CO48" i="2"/>
  <c r="BG50" i="2"/>
  <c r="BG65" i="2"/>
  <c r="CS48" i="2"/>
  <c r="BG66" i="2"/>
  <c r="BG97" i="2"/>
  <c r="CS40" i="2"/>
  <c r="BK65" i="2"/>
  <c r="BK50" i="2"/>
  <c r="BK97" i="2"/>
  <c r="BK66" i="2"/>
  <c r="CT48" i="2"/>
  <c r="CO20" i="2"/>
  <c r="CO23" i="2"/>
  <c r="CO26" i="2"/>
  <c r="CO24" i="2"/>
  <c r="CO25" i="2"/>
  <c r="BJ97" i="2"/>
  <c r="BJ66" i="2"/>
  <c r="BJ65" i="2"/>
  <c r="BJ50" i="2"/>
  <c r="BH50" i="2"/>
  <c r="BH65" i="2"/>
  <c r="BH97" i="2"/>
  <c r="BH66" i="2"/>
  <c r="CT20" i="2"/>
  <c r="CT25" i="2"/>
  <c r="CT26" i="2"/>
  <c r="CS24" i="2"/>
  <c r="CS20" i="2"/>
  <c r="CS25" i="2"/>
  <c r="CS23" i="2"/>
  <c r="CS26" i="2"/>
  <c r="BF97" i="2"/>
  <c r="BF65" i="2"/>
  <c r="BF50" i="2"/>
  <c r="BF66" i="2"/>
  <c r="CR48" i="2"/>
  <c r="BB97" i="2"/>
  <c r="BB50" i="2"/>
  <c r="CQ48" i="2"/>
  <c r="BB66" i="2"/>
  <c r="BB65" i="2"/>
  <c r="CP26" i="2"/>
  <c r="AX97" i="2"/>
  <c r="CP48" i="2"/>
  <c r="AX50" i="2"/>
  <c r="AX66" i="2"/>
  <c r="AX65" i="2"/>
  <c r="CR24" i="2"/>
  <c r="CR20" i="2"/>
  <c r="CR26" i="2"/>
  <c r="CR25" i="2"/>
  <c r="CR23" i="2"/>
  <c r="CR22" i="2"/>
  <c r="CS22" i="2"/>
  <c r="CQ20" i="2"/>
  <c r="CT22" i="2"/>
  <c r="AP50" i="2"/>
  <c r="AP65" i="2"/>
  <c r="AP66" i="2"/>
  <c r="CO22" i="2"/>
  <c r="CT24" i="2"/>
  <c r="CP23" i="2"/>
  <c r="BL66" i="2"/>
  <c r="BL97" i="2"/>
  <c r="BL50" i="2"/>
  <c r="BL65" i="2"/>
  <c r="CP22" i="2"/>
  <c r="CT23" i="2"/>
  <c r="BM65" i="2"/>
  <c r="BM97" i="2"/>
  <c r="BM66" i="2"/>
  <c r="BM50" i="2"/>
  <c r="BN97" i="2"/>
  <c r="BN66" i="2"/>
  <c r="BN65" i="2"/>
  <c r="BN50" i="2"/>
  <c r="AP42" i="2"/>
  <c r="AP43" i="2"/>
  <c r="AP45" i="2"/>
  <c r="AP44" i="2"/>
  <c r="AU68" i="2"/>
  <c r="AU60" i="2"/>
  <c r="BO68" i="2"/>
  <c r="BO60" i="2"/>
  <c r="BC68" i="2"/>
  <c r="BC60" i="2"/>
  <c r="AR60" i="2"/>
  <c r="AR68" i="2"/>
  <c r="AZ68" i="2"/>
  <c r="AZ60" i="2"/>
  <c r="CO39" i="2"/>
  <c r="AW67" i="2"/>
  <c r="AW58" i="2"/>
  <c r="CN33" i="2"/>
  <c r="AQ60" i="2"/>
  <c r="AQ68" i="2"/>
  <c r="BA68" i="2"/>
  <c r="BA60" i="2"/>
  <c r="BI68" i="2"/>
  <c r="BI60" i="2"/>
  <c r="AY68" i="2"/>
  <c r="AY60" i="2"/>
  <c r="AT40" i="2"/>
  <c r="AT44" i="2"/>
  <c r="AT42" i="2"/>
  <c r="AT45" i="2"/>
  <c r="AT43" i="2"/>
  <c r="CO33" i="2"/>
  <c r="O102" i="2"/>
  <c r="CH102" i="2" s="1"/>
  <c r="CH60" i="2"/>
  <c r="CH69" i="2" s="1"/>
  <c r="O62" i="2"/>
  <c r="CH62" i="2" s="1"/>
  <c r="CI58" i="2"/>
  <c r="CI68" i="2" s="1"/>
  <c r="S60" i="2"/>
  <c r="S69" i="2" s="1"/>
  <c r="K102" i="2"/>
  <c r="CG102" i="2" s="1"/>
  <c r="CG60" i="2"/>
  <c r="CG69" i="2" s="1"/>
  <c r="K62" i="2"/>
  <c r="CG62" i="2" s="1"/>
  <c r="AN67" i="2"/>
  <c r="AN58" i="2"/>
  <c r="AS68" i="2"/>
  <c r="AS60" i="2"/>
  <c r="AV67" i="2"/>
  <c r="AV58" i="2"/>
  <c r="CQ40" i="2"/>
  <c r="BD67" i="2"/>
  <c r="BD58" i="2"/>
  <c r="AI102" i="2"/>
  <c r="CM102" i="2" s="1"/>
  <c r="CM60" i="2"/>
  <c r="CM69" i="2" s="1"/>
  <c r="AI62" i="2"/>
  <c r="CM62" i="2" s="1"/>
  <c r="AM67" i="2"/>
  <c r="AM58" i="2"/>
  <c r="CT40" i="2"/>
  <c r="CT42" i="2"/>
  <c r="CT44" i="2"/>
  <c r="CT46" i="2"/>
  <c r="CT43" i="2"/>
  <c r="BP60" i="2"/>
  <c r="BP68" i="2"/>
  <c r="CR40" i="2"/>
  <c r="CR44" i="2"/>
  <c r="CR46" i="2"/>
  <c r="CR43" i="2"/>
  <c r="CR42" i="2"/>
  <c r="BE67" i="2"/>
  <c r="BE58" i="2"/>
  <c r="C102" i="2"/>
  <c r="CE102" i="2" s="1"/>
  <c r="CE60" i="2"/>
  <c r="CE69" i="2" s="1"/>
  <c r="C62" i="2"/>
  <c r="CE62" i="2" s="1"/>
  <c r="CP43" i="2"/>
  <c r="CP45" i="2"/>
  <c r="AA102" i="2"/>
  <c r="AA62" i="2"/>
  <c r="CP46" i="2"/>
  <c r="CP39" i="2"/>
  <c r="AO67" i="2"/>
  <c r="AO58" i="2"/>
  <c r="CQ39" i="2"/>
  <c r="AX40" i="2"/>
  <c r="AX43" i="2"/>
  <c r="AX45" i="2"/>
  <c r="BB40" i="2"/>
  <c r="AX44" i="2"/>
  <c r="AX42" i="2"/>
  <c r="W102" i="2"/>
  <c r="CJ102" i="2" s="1"/>
  <c r="W62" i="2"/>
  <c r="CJ62" i="2" s="1"/>
  <c r="CJ60" i="2"/>
  <c r="CJ69" i="2" s="1"/>
  <c r="CU6" i="2"/>
  <c r="CV4" i="2"/>
  <c r="J69" i="2" l="1"/>
  <c r="J102" i="2"/>
  <c r="CF102" i="2" s="1"/>
  <c r="J62" i="2"/>
  <c r="CF62" i="2" s="1"/>
  <c r="CF60" i="2"/>
  <c r="CF69" i="2" s="1"/>
  <c r="AD102" i="2"/>
  <c r="AD69" i="2"/>
  <c r="AD62" i="2"/>
  <c r="CK62" i="2"/>
  <c r="AC69" i="2"/>
  <c r="AC62" i="2"/>
  <c r="AC102" i="2"/>
  <c r="AB69" i="2"/>
  <c r="AB102" i="2"/>
  <c r="CK102" i="2" s="1"/>
  <c r="AB62" i="2"/>
  <c r="CK60" i="2"/>
  <c r="CK69" i="2" s="1"/>
  <c r="BP140" i="2"/>
  <c r="BQ141" i="2"/>
  <c r="CR50" i="2"/>
  <c r="CR64" i="2" s="1"/>
  <c r="BF54" i="2"/>
  <c r="BF64" i="2"/>
  <c r="BL54" i="2"/>
  <c r="BL64" i="2"/>
  <c r="BM64" i="2"/>
  <c r="BM54" i="2"/>
  <c r="CQ66" i="2"/>
  <c r="CQ65" i="2"/>
  <c r="BG64" i="2"/>
  <c r="BG54" i="2"/>
  <c r="CS50" i="2"/>
  <c r="CS64" i="2" s="1"/>
  <c r="CS97" i="2"/>
  <c r="CS66" i="2"/>
  <c r="CS65" i="2"/>
  <c r="CQ50" i="2"/>
  <c r="CQ64" i="2" s="1"/>
  <c r="BB54" i="2"/>
  <c r="BB64" i="2"/>
  <c r="BK64" i="2"/>
  <c r="CT50" i="2"/>
  <c r="CT64" i="2" s="1"/>
  <c r="BK54" i="2"/>
  <c r="CO65" i="2"/>
  <c r="CO66" i="2"/>
  <c r="CT97" i="2"/>
  <c r="CT66" i="2"/>
  <c r="CT65" i="2"/>
  <c r="CP50" i="2"/>
  <c r="CP64" i="2" s="1"/>
  <c r="AX64" i="2"/>
  <c r="AX54" i="2"/>
  <c r="AP54" i="2"/>
  <c r="AP64" i="2"/>
  <c r="CN50" i="2"/>
  <c r="CN64" i="2" s="1"/>
  <c r="BN54" i="2"/>
  <c r="BN64" i="2"/>
  <c r="CP66" i="2"/>
  <c r="CP65" i="2"/>
  <c r="CR66" i="2"/>
  <c r="CR65" i="2"/>
  <c r="BJ64" i="2"/>
  <c r="BJ54" i="2"/>
  <c r="BH64" i="2"/>
  <c r="BH54" i="2"/>
  <c r="AT54" i="2"/>
  <c r="AT64" i="2"/>
  <c r="CO50" i="2"/>
  <c r="CO64" i="2" s="1"/>
  <c r="BE68" i="2"/>
  <c r="BE60" i="2"/>
  <c r="BP102" i="2"/>
  <c r="BP69" i="2"/>
  <c r="BP100" i="2"/>
  <c r="BP99" i="2"/>
  <c r="BP62" i="2"/>
  <c r="BI100" i="2"/>
  <c r="BI99" i="2"/>
  <c r="BI102" i="2"/>
  <c r="BI62" i="2"/>
  <c r="BI69" i="2"/>
  <c r="CO40" i="2"/>
  <c r="CO44" i="2"/>
  <c r="CO43" i="2"/>
  <c r="CO42" i="2"/>
  <c r="CO45" i="2"/>
  <c r="AM68" i="2"/>
  <c r="AM60" i="2"/>
  <c r="BD68" i="2"/>
  <c r="BD60" i="2"/>
  <c r="S102" i="2"/>
  <c r="CI102" i="2" s="1"/>
  <c r="S62" i="2"/>
  <c r="CI62" i="2" s="1"/>
  <c r="CI60" i="2"/>
  <c r="CI69" i="2" s="1"/>
  <c r="BA100" i="2"/>
  <c r="BA99" i="2"/>
  <c r="BA102" i="2"/>
  <c r="BA69" i="2"/>
  <c r="BA62" i="2"/>
  <c r="AU100" i="2"/>
  <c r="AU99" i="2"/>
  <c r="AU62" i="2"/>
  <c r="AU102" i="2"/>
  <c r="AU69" i="2"/>
  <c r="CO46" i="2"/>
  <c r="AR102" i="2"/>
  <c r="AR69" i="2"/>
  <c r="AR62" i="2"/>
  <c r="AO68" i="2"/>
  <c r="AO60" i="2"/>
  <c r="AN68" i="2"/>
  <c r="AN60" i="2"/>
  <c r="CP40" i="2"/>
  <c r="AW68" i="2"/>
  <c r="AW60" i="2"/>
  <c r="AV68" i="2"/>
  <c r="AV60" i="2"/>
  <c r="AZ102" i="2"/>
  <c r="AZ69" i="2"/>
  <c r="AZ100" i="2"/>
  <c r="AZ99" i="2"/>
  <c r="AZ62" i="2"/>
  <c r="BC100" i="2"/>
  <c r="BC99" i="2"/>
  <c r="BC62" i="2"/>
  <c r="BC102" i="2"/>
  <c r="BC69" i="2"/>
  <c r="AQ102" i="2"/>
  <c r="AQ69" i="2"/>
  <c r="AQ62" i="2"/>
  <c r="CN42" i="2"/>
  <c r="CN44" i="2"/>
  <c r="CN45" i="2"/>
  <c r="CN46" i="2"/>
  <c r="CN43" i="2"/>
  <c r="AS102" i="2"/>
  <c r="AS69" i="2"/>
  <c r="AS62" i="2"/>
  <c r="AY102" i="2"/>
  <c r="AY69" i="2"/>
  <c r="AY100" i="2"/>
  <c r="AY99" i="2"/>
  <c r="AY62" i="2"/>
  <c r="BO102" i="2"/>
  <c r="BO69" i="2"/>
  <c r="BO100" i="2"/>
  <c r="BO99" i="2"/>
  <c r="BO62" i="2"/>
  <c r="CV6" i="2"/>
  <c r="CW4" i="2"/>
  <c r="CU11" i="2"/>
  <c r="CU15" i="2"/>
  <c r="BQ140" i="2" l="1"/>
  <c r="BR141" i="2"/>
  <c r="BR140" i="2" s="1"/>
  <c r="BM67" i="2"/>
  <c r="BM58" i="2"/>
  <c r="AP67" i="2"/>
  <c r="AP58" i="2"/>
  <c r="CN54" i="2"/>
  <c r="CN67" i="2" s="1"/>
  <c r="CT54" i="2"/>
  <c r="CT67" i="2" s="1"/>
  <c r="BK58" i="2"/>
  <c r="BK67" i="2"/>
  <c r="AT67" i="2"/>
  <c r="AT58" i="2"/>
  <c r="CO54" i="2"/>
  <c r="CO67" i="2" s="1"/>
  <c r="BG58" i="2"/>
  <c r="BG67" i="2"/>
  <c r="CS54" i="2"/>
  <c r="CS67" i="2" s="1"/>
  <c r="BL67" i="2"/>
  <c r="BL58" i="2"/>
  <c r="CU48" i="2"/>
  <c r="CU20" i="2"/>
  <c r="BH58" i="2"/>
  <c r="BH67" i="2"/>
  <c r="BN58" i="2"/>
  <c r="BN67" i="2"/>
  <c r="CQ54" i="2"/>
  <c r="CQ67" i="2" s="1"/>
  <c r="BB67" i="2"/>
  <c r="BB58" i="2"/>
  <c r="BF58" i="2"/>
  <c r="CR54" i="2"/>
  <c r="CR67" i="2" s="1"/>
  <c r="BF67" i="2"/>
  <c r="CP54" i="2"/>
  <c r="CP67" i="2" s="1"/>
  <c r="AX67" i="2"/>
  <c r="AX58" i="2"/>
  <c r="BJ67" i="2"/>
  <c r="BJ58" i="2"/>
  <c r="AV102" i="2"/>
  <c r="AV69" i="2"/>
  <c r="AV100" i="2"/>
  <c r="AV99" i="2"/>
  <c r="AV62" i="2"/>
  <c r="AW102" i="2"/>
  <c r="AW69" i="2"/>
  <c r="AW62" i="2"/>
  <c r="AW100" i="2"/>
  <c r="AW99" i="2"/>
  <c r="AN102" i="2"/>
  <c r="AN69" i="2"/>
  <c r="AN62" i="2"/>
  <c r="BD62" i="2"/>
  <c r="BD102" i="2"/>
  <c r="BD69" i="2"/>
  <c r="BD100" i="2"/>
  <c r="BD99" i="2"/>
  <c r="AO102" i="2"/>
  <c r="AO69" i="2"/>
  <c r="AO62" i="2"/>
  <c r="BE102" i="2"/>
  <c r="BE69" i="2"/>
  <c r="BE100" i="2"/>
  <c r="BE62" i="2"/>
  <c r="BE99" i="2"/>
  <c r="AM102" i="2"/>
  <c r="AM69" i="2"/>
  <c r="AM62" i="2"/>
  <c r="CV15" i="2"/>
  <c r="CV11" i="2"/>
  <c r="CW6" i="2"/>
  <c r="CX4" i="2"/>
  <c r="BQ138" i="2" l="1"/>
  <c r="BQ139" i="2"/>
  <c r="BR139" i="2"/>
  <c r="BR138" i="2"/>
  <c r="AX60" i="2"/>
  <c r="AX68" i="2"/>
  <c r="CP58" i="2"/>
  <c r="CP68" i="2" s="1"/>
  <c r="BL68" i="2"/>
  <c r="BL60" i="2"/>
  <c r="BN68" i="2"/>
  <c r="BN60" i="2"/>
  <c r="BG68" i="2"/>
  <c r="BG60" i="2"/>
  <c r="AP60" i="2"/>
  <c r="AP68" i="2"/>
  <c r="CN58" i="2"/>
  <c r="CN68" i="2" s="1"/>
  <c r="BK60" i="2"/>
  <c r="CT58" i="2"/>
  <c r="CT68" i="2" s="1"/>
  <c r="BK68" i="2"/>
  <c r="CV48" i="2"/>
  <c r="CV20" i="2"/>
  <c r="CR58" i="2"/>
  <c r="CR68" i="2" s="1"/>
  <c r="BF60" i="2"/>
  <c r="BF68" i="2"/>
  <c r="BH68" i="2"/>
  <c r="BH60" i="2"/>
  <c r="CS58" i="2"/>
  <c r="CS68" i="2" s="1"/>
  <c r="BJ60" i="2"/>
  <c r="BJ68" i="2"/>
  <c r="CQ58" i="2"/>
  <c r="CQ68" i="2" s="1"/>
  <c r="BB60" i="2"/>
  <c r="BB68" i="2"/>
  <c r="AT60" i="2"/>
  <c r="AT68" i="2"/>
  <c r="CO58" i="2"/>
  <c r="CO68" i="2" s="1"/>
  <c r="BM68" i="2"/>
  <c r="BM60" i="2"/>
  <c r="CU52" i="2"/>
  <c r="CU51" i="2"/>
  <c r="CU49" i="2"/>
  <c r="CU50" i="2" s="1"/>
  <c r="CU54" i="2" s="1"/>
  <c r="CY4" i="2"/>
  <c r="CX6" i="2"/>
  <c r="CW15" i="2"/>
  <c r="CW11" i="2"/>
  <c r="CV75" i="2" l="1"/>
  <c r="CV76" i="2" s="1"/>
  <c r="CU58" i="2"/>
  <c r="CU67" i="2"/>
  <c r="BH102" i="2"/>
  <c r="BH69" i="2"/>
  <c r="BH100" i="2"/>
  <c r="BH99" i="2"/>
  <c r="BH62" i="2"/>
  <c r="CW20" i="2"/>
  <c r="CW48" i="2"/>
  <c r="CQ60" i="2"/>
  <c r="CQ69" i="2" s="1"/>
  <c r="BB100" i="2"/>
  <c r="BB62" i="2"/>
  <c r="CQ62" i="2" s="1"/>
  <c r="BB102" i="2"/>
  <c r="CQ102" i="2" s="1"/>
  <c r="BB99" i="2"/>
  <c r="BB69" i="2"/>
  <c r="AP62" i="2"/>
  <c r="CN62" i="2" s="1"/>
  <c r="AP102" i="2"/>
  <c r="CN102" i="2" s="1"/>
  <c r="AP69" i="2"/>
  <c r="CN60" i="2"/>
  <c r="CN69" i="2" s="1"/>
  <c r="CR60" i="2"/>
  <c r="CR69" i="2" s="1"/>
  <c r="BF102" i="2"/>
  <c r="CR102" i="2" s="1"/>
  <c r="BF69" i="2"/>
  <c r="BF62" i="2"/>
  <c r="CR62" i="2" s="1"/>
  <c r="BF100" i="2"/>
  <c r="BF99" i="2"/>
  <c r="BM102" i="2"/>
  <c r="BM69" i="2"/>
  <c r="BM100" i="2"/>
  <c r="BM99" i="2"/>
  <c r="BM62" i="2"/>
  <c r="BG100" i="2"/>
  <c r="BG99" i="2"/>
  <c r="BG102" i="2"/>
  <c r="BG62" i="2"/>
  <c r="BG69" i="2"/>
  <c r="CS60" i="2"/>
  <c r="BN100" i="2"/>
  <c r="BN99" i="2"/>
  <c r="BN62" i="2"/>
  <c r="BN69" i="2"/>
  <c r="BN102" i="2"/>
  <c r="BK100" i="2"/>
  <c r="BK99" i="2"/>
  <c r="BK62" i="2"/>
  <c r="BK102" i="2"/>
  <c r="CT102" i="2" s="1"/>
  <c r="BK69" i="2"/>
  <c r="CT60" i="2"/>
  <c r="BL62" i="2"/>
  <c r="BL69" i="2"/>
  <c r="BL102" i="2"/>
  <c r="BL100" i="2"/>
  <c r="BL99" i="2"/>
  <c r="BJ69" i="2"/>
  <c r="BJ99" i="2"/>
  <c r="BJ62" i="2"/>
  <c r="CS62" i="2" s="1"/>
  <c r="BJ100" i="2"/>
  <c r="BJ102" i="2"/>
  <c r="CV52" i="2"/>
  <c r="CV51" i="2"/>
  <c r="CV49" i="2"/>
  <c r="CV50" i="2"/>
  <c r="CV54" i="2" s="1"/>
  <c r="CV67" i="2" s="1"/>
  <c r="AX62" i="2"/>
  <c r="CP62" i="2" s="1"/>
  <c r="CP60" i="2"/>
  <c r="CP69" i="2" s="1"/>
  <c r="AX102" i="2"/>
  <c r="CP102" i="2" s="1"/>
  <c r="AX69" i="2"/>
  <c r="AX100" i="2"/>
  <c r="AX99" i="2"/>
  <c r="AT62" i="2"/>
  <c r="CO62" i="2" s="1"/>
  <c r="AT69" i="2"/>
  <c r="AT102" i="2"/>
  <c r="CO102" i="2" s="1"/>
  <c r="CO60" i="2"/>
  <c r="CO69" i="2" s="1"/>
  <c r="CZ4" i="2"/>
  <c r="CY6" i="2"/>
  <c r="CX15" i="2"/>
  <c r="CX11" i="2"/>
  <c r="CS99" i="2" l="1"/>
  <c r="CS69" i="2"/>
  <c r="CS100" i="2"/>
  <c r="CX20" i="2"/>
  <c r="CX48" i="2"/>
  <c r="CT99" i="2"/>
  <c r="CT100" i="2"/>
  <c r="CT69" i="2"/>
  <c r="CW52" i="2"/>
  <c r="CW49" i="2"/>
  <c r="CW50" i="2" s="1"/>
  <c r="CW51" i="2"/>
  <c r="CU59" i="2"/>
  <c r="CU60" i="2"/>
  <c r="CT62" i="2"/>
  <c r="CS102" i="2"/>
  <c r="DA4" i="2"/>
  <c r="CZ6" i="2"/>
  <c r="CY15" i="2"/>
  <c r="CY11" i="2"/>
  <c r="CW54" i="2" l="1"/>
  <c r="CW67" i="2" s="1"/>
  <c r="CY20" i="2"/>
  <c r="CY48" i="2"/>
  <c r="CX49" i="2"/>
  <c r="CX52" i="2"/>
  <c r="CX50" i="2"/>
  <c r="CX51" i="2"/>
  <c r="CU71" i="2"/>
  <c r="CU69" i="2"/>
  <c r="DA6" i="2"/>
  <c r="DB4" i="2"/>
  <c r="CZ11" i="2"/>
  <c r="CZ15" i="2"/>
  <c r="CV55" i="2" l="1"/>
  <c r="CV58" i="2" s="1"/>
  <c r="CV59" i="2" s="1"/>
  <c r="CV60" i="2" s="1"/>
  <c r="CV69" i="2" s="1"/>
  <c r="CX54" i="2"/>
  <c r="CX67" i="2" s="1"/>
  <c r="CZ48" i="2"/>
  <c r="CZ20" i="2"/>
  <c r="CY49" i="2"/>
  <c r="CY50" i="2" s="1"/>
  <c r="CY51" i="2"/>
  <c r="CY52" i="2"/>
  <c r="DB6" i="2"/>
  <c r="DC4" i="2"/>
  <c r="DA15" i="2"/>
  <c r="DA11" i="2"/>
  <c r="CV71" i="2" l="1"/>
  <c r="DA48" i="2"/>
  <c r="DA20" i="2"/>
  <c r="CZ49" i="2"/>
  <c r="CZ50" i="2" s="1"/>
  <c r="CZ52" i="2"/>
  <c r="CZ51" i="2"/>
  <c r="CY54" i="2"/>
  <c r="CY67" i="2" s="1"/>
  <c r="DC6" i="2"/>
  <c r="DD4" i="2"/>
  <c r="DD6" i="2" s="1"/>
  <c r="DB11" i="2"/>
  <c r="DB15" i="2"/>
  <c r="CW55" i="2" l="1"/>
  <c r="CW58" i="2" s="1"/>
  <c r="CW59" i="2" s="1"/>
  <c r="CW60" i="2" s="1"/>
  <c r="CW69" i="2" s="1"/>
  <c r="CZ54" i="2"/>
  <c r="CZ67" i="2" s="1"/>
  <c r="DB48" i="2"/>
  <c r="DB20" i="2"/>
  <c r="DA52" i="2"/>
  <c r="DA49" i="2"/>
  <c r="DA50" i="2" s="1"/>
  <c r="DA54" i="2" s="1"/>
  <c r="DA67" i="2" s="1"/>
  <c r="DA51" i="2"/>
  <c r="DD15" i="2"/>
  <c r="DD11" i="2"/>
  <c r="DC11" i="2"/>
  <c r="DC15" i="2"/>
  <c r="CW71" i="2" l="1"/>
  <c r="CX55" i="2" s="1"/>
  <c r="CX58" i="2" s="1"/>
  <c r="CX59" i="2" s="1"/>
  <c r="CX60" i="2" s="1"/>
  <c r="CX71" i="2" s="1"/>
  <c r="DC48" i="2"/>
  <c r="DC20" i="2"/>
  <c r="DD48" i="2"/>
  <c r="DD20" i="2"/>
  <c r="DB52" i="2"/>
  <c r="DB49" i="2"/>
  <c r="DB50" i="2" s="1"/>
  <c r="DB54" i="2" s="1"/>
  <c r="DB67" i="2" s="1"/>
  <c r="DB51" i="2"/>
  <c r="CX69" i="2"/>
  <c r="DD51" i="2" l="1"/>
  <c r="DD49" i="2"/>
  <c r="DD50" i="2" s="1"/>
  <c r="DD54" i="2" s="1"/>
  <c r="DD67" i="2" s="1"/>
  <c r="DD52" i="2"/>
  <c r="DC51" i="2"/>
  <c r="DC49" i="2"/>
  <c r="DC50" i="2"/>
  <c r="DC52" i="2"/>
  <c r="CY55" i="2"/>
  <c r="CY58" i="2" s="1"/>
  <c r="DC54" i="2" l="1"/>
  <c r="DC67" i="2" s="1"/>
  <c r="CY59" i="2"/>
  <c r="CY60" i="2"/>
  <c r="CY69" i="2" l="1"/>
  <c r="CY71" i="2"/>
  <c r="CZ55" i="2" l="1"/>
  <c r="CZ58" i="2" s="1"/>
  <c r="CZ59" i="2" l="1"/>
  <c r="CZ60" i="2" s="1"/>
  <c r="CZ69" i="2" l="1"/>
  <c r="CZ71" i="2"/>
  <c r="DA55" i="2" l="1"/>
  <c r="DA58" i="2" s="1"/>
  <c r="DA59" i="2" l="1"/>
  <c r="DA60" i="2"/>
  <c r="DA69" i="2" l="1"/>
  <c r="DA71" i="2"/>
  <c r="DB55" i="2" l="1"/>
  <c r="DB58" i="2" s="1"/>
  <c r="DB59" i="2" l="1"/>
  <c r="DB60" i="2" s="1"/>
  <c r="DB69" i="2" l="1"/>
  <c r="DB71" i="2"/>
  <c r="DC55" i="2" l="1"/>
  <c r="DC58" i="2" s="1"/>
  <c r="DC59" i="2" l="1"/>
  <c r="DC60" i="2" s="1"/>
  <c r="DC69" i="2" l="1"/>
  <c r="DC71" i="2"/>
  <c r="DD55" i="2" l="1"/>
  <c r="DD58" i="2" s="1"/>
  <c r="DD59" i="2" l="1"/>
  <c r="DD60" i="2" s="1"/>
  <c r="DE60" i="2" l="1"/>
  <c r="DF60" i="2" s="1"/>
  <c r="DG60" i="2" s="1"/>
  <c r="DH60" i="2" s="1"/>
  <c r="DI60" i="2" s="1"/>
  <c r="DJ60" i="2" s="1"/>
  <c r="DK60" i="2" s="1"/>
  <c r="DL60" i="2" s="1"/>
  <c r="DM60" i="2" s="1"/>
  <c r="DN60" i="2" s="1"/>
  <c r="DO60" i="2" s="1"/>
  <c r="DP60" i="2" s="1"/>
  <c r="DQ60" i="2" s="1"/>
  <c r="DR60" i="2" s="1"/>
  <c r="DS60" i="2" s="1"/>
  <c r="DT60" i="2" s="1"/>
  <c r="DU60" i="2" s="1"/>
  <c r="DV60" i="2" s="1"/>
  <c r="DW60" i="2" s="1"/>
  <c r="DX60" i="2" s="1"/>
  <c r="DY60" i="2" s="1"/>
  <c r="DZ60" i="2" s="1"/>
  <c r="EA60" i="2" s="1"/>
  <c r="EB60" i="2" s="1"/>
  <c r="EC60" i="2" s="1"/>
  <c r="ED60" i="2" s="1"/>
  <c r="EE60" i="2" s="1"/>
  <c r="EF60" i="2" s="1"/>
  <c r="EG60" i="2" s="1"/>
  <c r="EH60" i="2" s="1"/>
  <c r="EI60" i="2" s="1"/>
  <c r="EJ60" i="2" s="1"/>
  <c r="EK60" i="2" s="1"/>
  <c r="EL60" i="2" s="1"/>
  <c r="EM60" i="2" s="1"/>
  <c r="EN60" i="2" s="1"/>
  <c r="EO60" i="2" s="1"/>
  <c r="EP60" i="2" s="1"/>
  <c r="EQ60" i="2" s="1"/>
  <c r="ER60" i="2" s="1"/>
  <c r="ES60" i="2" s="1"/>
  <c r="ET60" i="2" s="1"/>
  <c r="EU60" i="2" s="1"/>
  <c r="EV60" i="2" s="1"/>
  <c r="EW60" i="2" s="1"/>
  <c r="EX60" i="2" s="1"/>
  <c r="EY60" i="2" s="1"/>
  <c r="EZ60" i="2" s="1"/>
  <c r="FA60" i="2" s="1"/>
  <c r="FB60" i="2" s="1"/>
  <c r="DD80" i="2" s="1"/>
  <c r="DD82" i="2" s="1"/>
  <c r="DD84" i="2" s="1"/>
  <c r="DD69" i="2"/>
  <c r="DD71" i="2"/>
  <c r="DC85" i="2" l="1" a="1"/>
  <c r="DC85" i="2" s="1"/>
  <c r="DE84" i="2"/>
  <c r="M280" i="3" l="1"/>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L217" i="3"/>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K204" i="3" l="1"/>
  <c r="K203" i="3"/>
  <c r="K202" i="3"/>
  <c r="K201" i="3"/>
  <c r="K200"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190"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CF3" i="2" l="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EZ3" i="2" s="1"/>
  <c r="FA3" i="2" s="1"/>
  <c r="FB3" i="2" s="1"/>
  <c r="K205" i="3"/>
  <c r="C5" i="1"/>
  <c r="C8" i="1" s="1"/>
  <c r="P223" i="3" l="1"/>
  <c r="P213" i="3" l="1"/>
  <c r="P212" i="3"/>
  <c r="P215" i="3"/>
  <c r="P222" i="3"/>
  <c r="P214" i="3"/>
  <c r="P225" i="3"/>
  <c r="P221" i="3"/>
  <c r="P217" i="3"/>
  <c r="P220" i="3"/>
  <c r="P224" i="3"/>
  <c r="P219" i="3"/>
  <c r="P216" i="3"/>
  <c r="P21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tc={EFF41ED5-5FF0-4F1C-A3A9-5413D00EBE46}</author>
    <author>tc={DF25325D-8029-43D8-8102-EB216E9395A8}</author>
    <author>tc={1314C9B3-496B-49B9-BECE-24EB778CD920}</author>
    <author>tc={5C7D43E5-969A-43E7-A322-B542796C8623}</author>
    <author>tc={F8453695-D30F-4409-A257-6CE581EC32B1}</author>
    <author>tc={39D2BA22-CF19-4FF2-A8AE-5A1C3212D9DD}</author>
    <author>tc={A3E73D5B-0F86-42CB-BD41-CF7C93498DFC}</author>
    <author>tc={6A0E60A7-74E7-4212-9BA5-88E629B8E816}</author>
  </authors>
  <commentList>
    <comment ref="BL141" authorId="0" shapeId="0" xr:uid="{EFF41ED5-5FF0-4F1C-A3A9-5413D00EBE46}">
      <text>
        <t>[Threaded comment]
Your version of Excel allows you to read this threaded comment; however, any edits to it will get removed if the file is opened in a newer version of Excel. Learn more: https://go.microsoft.com/fwlink/?linkid=870924
Comment:
    Raised 6B Series B</t>
      </text>
    </comment>
    <comment ref="BN141" authorId="1" shapeId="0" xr:uid="{DF25325D-8029-43D8-8102-EB216E9395A8}">
      <text>
        <t>[Threaded comment]
Your version of Excel allows you to read this threaded comment; however, any edits to it will get removed if the file is opened in a newer version of Excel. Learn more: https://go.microsoft.com/fwlink/?linkid=870924
Comment:
    Raised 6B Series C</t>
      </text>
    </comment>
    <comment ref="BP141" authorId="2" shapeId="0" xr:uid="{1314C9B3-496B-49B9-BECE-24EB778CD920}">
      <text>
        <t>[Threaded comment]
Your version of Excel allows you to read this threaded comment; however, any edits to it will get removed if the file is opened in a newer version of Excel. Learn more: https://go.microsoft.com/fwlink/?linkid=870924
Comment:
    Raised 10.3B, 5.3B equity, 5.0B debt</t>
      </text>
    </comment>
    <comment ref="BM142" authorId="3" shapeId="0" xr:uid="{5C7D43E5-969A-43E7-A322-B542796C8623}">
      <text>
        <t>[Threaded comment]
Your version of Excel allows you to read this threaded comment; however, any edits to it will get removed if the file is opened in a newer version of Excel. Learn more: https://go.microsoft.com/fwlink/?linkid=870924
Comment:
    Raised $4B from Amazon</t>
      </text>
    </comment>
    <comment ref="BN142" authorId="4" shapeId="0" xr:uid="{F8453695-D30F-4409-A257-6CE581EC32B1}">
      <text>
        <t>[Threaded comment]
Your version of Excel allows you to read this threaded comment; however, any edits to it will get removed if the file is opened in a newer version of Excel. Learn more: https://go.microsoft.com/fwlink/?linkid=870924
Comment:
    Raised $1B from Google</t>
      </text>
    </comment>
    <comment ref="BO142" authorId="5" shapeId="0" xr:uid="{39D2BA22-CF19-4FF2-A8AE-5A1C3212D9DD}">
      <text>
        <t>[Threaded comment]
Your version of Excel allows you to read this threaded comment; however, any edits to it will get removed if the file is opened in a newer version of Excel. Learn more: https://go.microsoft.com/fwlink/?linkid=870924
Comment:
    Raised 6B: 3.5B Series E, 2.5B debt</t>
      </text>
    </comment>
    <comment ref="BN146" authorId="6" shapeId="0" xr:uid="{A3E73D5B-0F86-42CB-BD41-CF7C93498DFC}">
      <text>
        <t>[Threaded comment]
Your version of Excel allows you to read this threaded comment; however, any edits to it will get removed if the file is opened in a newer version of Excel. Learn more: https://go.microsoft.com/fwlink/?linkid=870924
Comment:
    Raised 10.6B in equity/debt</t>
      </text>
    </comment>
    <comment ref="BO146" authorId="7" shapeId="0" xr:uid="{6A0E60A7-74E7-4212-9BA5-88E629B8E816}">
      <text>
        <t>[Threaded comment]
Your version of Excel allows you to read this threaded comment; however, any edits to it will get removed if the file is opened in a newer version of Excel. Learn more: https://go.microsoft.com/fwlink/?linkid=870924
Comment:
    Raised 40B from SoftBank/others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<sst xmlns="http://schemas.openxmlformats.org/spreadsheetml/2006/main" count="1693" uniqueCount="1646">
  <si>
    <t xml:space="preserve">Price </t>
  </si>
  <si>
    <t>MC</t>
  </si>
  <si>
    <t>Cash</t>
  </si>
  <si>
    <t>Debt</t>
  </si>
  <si>
    <t>EV</t>
  </si>
  <si>
    <t>Investor Relations Contact:</t>
  </si>
  <si>
    <t>SEC filings</t>
  </si>
  <si>
    <t>Godel Terminal</t>
  </si>
  <si>
    <t>Company Overview:</t>
  </si>
  <si>
    <t>[Bold Title]</t>
  </si>
  <si>
    <t>Line Titles</t>
  </si>
  <si>
    <t>&lt;-- General</t>
  </si>
  <si>
    <t>&lt;-- Info</t>
  </si>
  <si>
    <t>Institutional Ownership Snapshot (4/14/2025)</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</si>
  <si>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</si>
  <si>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</si>
  <si>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</si>
  <si>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</si>
  <si>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</si>
  <si>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</si>
  <si>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</si>
  <si>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</si>
  <si>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</si>
  <si>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</si>
  <si>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</si>
  <si>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</si>
  <si>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</si>
  <si>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</si>
  <si>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</si>
  <si>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</si>
  <si>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</si>
  <si>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</si>
  <si>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</si>
  <si>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</si>
  <si>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</si>
  <si>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</si>
  <si>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</si>
  <si>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</si>
  <si>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</si>
  <si>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</si>
  <si>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</si>
  <si>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</si>
  <si>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</si>
  <si>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</si>
  <si>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</si>
  <si>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</si>
  <si>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</si>
  <si>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</si>
  <si>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</si>
  <si>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</si>
  <si>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</si>
  <si>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</si>
  <si>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</si>
  <si>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</si>
  <si>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</si>
  <si>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</si>
  <si>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</si>
  <si>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</si>
  <si>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</si>
  <si>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</si>
  <si>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</si>
  <si>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</si>
  <si>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</si>
  <si>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</si>
  <si>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</si>
  <si>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</si>
  <si>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</si>
  <si>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</si>
  <si>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</si>
  <si>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</si>
  <si>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</si>
  <si>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</si>
  <si>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</si>
  <si>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</si>
  <si>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</si>
  <si>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</si>
  <si>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</si>
  <si>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</si>
  <si>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</si>
  <si>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</si>
  <si>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</si>
  <si>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</si>
  <si>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</si>
  <si>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</si>
  <si>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</si>
  <si>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</si>
  <si>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</si>
  <si>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</si>
  <si>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</si>
  <si>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</si>
  <si>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</si>
  <si>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</si>
  <si>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</si>
  <si>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</si>
  <si>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</si>
  <si>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</si>
  <si>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</si>
  <si>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</si>
  <si>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</si>
  <si>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</si>
  <si>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</si>
  <si>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</si>
  <si>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</si>
  <si>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</si>
  <si>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</si>
  <si>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</si>
  <si>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</si>
  <si>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</si>
  <si>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</si>
  <si>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</si>
  <si>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</si>
  <si>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</si>
  <si>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</si>
  <si>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</si>
  <si>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</si>
  <si>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</si>
  <si>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</si>
  <si>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</si>
  <si>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</si>
  <si>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 of Revenues</t>
  </si>
  <si>
    <t>U.S. Revenue Growth Y/y</t>
  </si>
  <si>
    <t>COGS</t>
  </si>
  <si>
    <t>GP</t>
  </si>
  <si>
    <t>Gross Profit Margin</t>
  </si>
  <si>
    <t>R&amp;D as % of Revenue</t>
  </si>
  <si>
    <t>SG&amp;A as % of Revenue</t>
  </si>
  <si>
    <t>Operating Profit Margin</t>
  </si>
  <si>
    <t>Effective Tax Rate</t>
  </si>
  <si>
    <t>Net Profit Margin</t>
  </si>
  <si>
    <t xml:space="preserve">Cash &amp; CEs </t>
  </si>
  <si>
    <t>Marketable Securities</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</si>
  <si>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</si>
  <si>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</si>
  <si>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</si>
  <si>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</si>
  <si>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</si>
  <si>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</si>
  <si>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</si>
  <si>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</si>
  <si>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</si>
  <si>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</si>
  <si>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</si>
  <si>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</si>
  <si>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</si>
  <si>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</si>
  <si>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</si>
  <si>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</si>
  <si>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Earnings Scope:</t>
  </si>
  <si>
    <t>Balance Sheet Scope:</t>
  </si>
  <si>
    <t>[Godel Snapshot of projected balances (assets, liabilities, equity)]</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</si>
  <si>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</si>
  <si>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</si>
  <si>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</si>
  <si>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</si>
  <si>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</si>
  <si>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</si>
  <si>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</si>
  <si>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</si>
  <si>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</si>
  <si>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</si>
  <si>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</si>
  <si>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</si>
  <si>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</si>
  <si>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</si>
  <si>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Address:</t>
  </si>
  <si>
    <t>Investors Relation Department</t>
  </si>
  <si>
    <t>Business Segments and Geographical Info:</t>
  </si>
  <si>
    <t>Employee Scope:</t>
  </si>
  <si>
    <t>NVDA</t>
  </si>
  <si>
    <t>NVIDIA</t>
  </si>
  <si>
    <t>7/17/2025</t>
  </si>
  <si>
    <r>
      <rPr>
        <b/>
        <sz val="11"/>
        <color theme="1"/>
        <rFont val="Calibre"/>
      </rPr>
      <t>NVIDIA Corporation (NVDA) is the defining force behind today's AI revolution</t>
    </r>
    <r>
      <rPr>
        <sz val="11"/>
        <color theme="1"/>
        <rFont val="Calibre"/>
      </rPr>
      <t>, serving as the critical infrastructure provider for accelerated computing across industries</t>
    </r>
  </si>
  <si>
    <t>The Company has evolved far beyond its gaming GPU roots (meme in notes) to become the backbone of artificial intelligence development, offering an unmatched ecosystem of hardware and software solutions that power everything from generative AI to autonomous vehicles (more than just TSLA's too) + beginning murmurs around robotics</t>
  </si>
  <si>
    <r>
      <t xml:space="preserve">NVIDIA's platform combines </t>
    </r>
    <r>
      <rPr>
        <b/>
        <sz val="11"/>
        <color theme="1"/>
        <rFont val="Calibre"/>
      </rPr>
      <t>industry-leading graphics processing units (GPUs)</t>
    </r>
    <r>
      <rPr>
        <sz val="11"/>
        <color theme="1"/>
        <rFont val="Calibre"/>
      </rPr>
      <t xml:space="preserve"> with a comprehensive software stack, creating a virtuous cycle where its </t>
    </r>
    <r>
      <rPr>
        <b/>
        <sz val="11"/>
        <color theme="1"/>
        <rFont val="Calibre"/>
      </rPr>
      <t>CUDA architecture and developer tools reinforce its technological dominance</t>
    </r>
    <r>
      <rPr>
        <sz val="11"/>
        <color theme="1"/>
        <rFont val="Calibre"/>
      </rPr>
      <t xml:space="preserve"> (CUDA is the differentiating moat)</t>
    </r>
  </si>
  <si>
    <t>The Company operates at the center of multiple megatrends - artificial intelligence, cloud computing, robotics, and the metaverse - making its technology indispensable for tech giants, startups, and enterprises alike</t>
  </si>
  <si>
    <t>Biggest beneficiary of the largest CapEx investment cycle in all of human history (routed through one single company)</t>
  </si>
  <si>
    <t>NVIDIA's data center solutions have become the gold standard for AI training and inference, while its expansion into networking, edge computing, and specialized industry applications demonstrates remarkable horizontal growth potential</t>
  </si>
  <si>
    <t>The company maintains its leadership through relentless innovation, having consistently anticipated and shaped computing paradigm shifts from graphics processing to deep learning</t>
  </si>
  <si>
    <t>NVDA employee's stuck with golden shackles … I wonder if managers will get lazy from too much comp, but it seems their bi-annual realeases have continued with incredible leaps in technological capabilities</t>
  </si>
  <si>
    <t>With a robust ecosystem of developers and partners, NVIDIA has created significant switching costs that protect its competitive position</t>
  </si>
  <si>
    <t>Its full-stack approach - spanning chips, systems, software, and services - allows it to capture value across the entire AI value chain while enabling customization for diverse vertical markets</t>
  </si>
  <si>
    <t>As computing demands grow increasingly complex and AI becomes more pervasive, NVIDIA's architecture-agnostic platform positions it as the essential enabler of next-generation technological advancements across virtually every sector of the global economy</t>
  </si>
  <si>
    <t>The company's ability to continually reinvent itself while maintaining technological leadership makes it a unique investment proposition in the semiconductor space</t>
  </si>
  <si>
    <t>The Company's full-stack includes the foundational CUDA programming model that runs on all NVIDIA GPUs, as well as hundreds of domain-specific software libraries, software development kits, or SDKs, and Application Programming Interfaces, or APIs</t>
  </si>
  <si>
    <t>This deep and broad software stack accelerates the performance and eases the deployment of NVIDIA accelerated computing for computationally intensive workloads such as artificial intelligence, or AI, model training and inference, data analytics, scientific computing, and 3D graphics, with vertical-specific optimizations to address industries ranging from healthcare and telecom to automotive and manufacturing</t>
  </si>
  <si>
    <t>Compute &amp; Networking:</t>
  </si>
  <si>
    <t>The Company reports it's business in two segments</t>
  </si>
  <si>
    <t>The Compute &amp; Networking segment includes our Data Center accelerated computing platforms and AI solutions and software; networking; automotive platforms and autonomous and electric vehicle solutions; Jetson for robotics and other embedded platforms; and DGX Cloud computing services</t>
  </si>
  <si>
    <t>Graphics:</t>
  </si>
  <si>
    <t>The Graphics segment includes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Enterprise software for building and operating industrial AI and digital twin applications</t>
  </si>
  <si>
    <t>The Company's platforms address four large markets where our expertise is critical: Data Center, Gaming, Professional Visualization, and Automotive</t>
  </si>
  <si>
    <t>Data Center</t>
  </si>
  <si>
    <t>Data Center:</t>
  </si>
  <si>
    <t>The NVIDIA Data Center platform is focused on accelerating the most compute-intensive workloads, such as AI, data analytics, graphics, and scientific computing, delivering significantly better performance and power efficiency relative to conventional CPU-only approaches</t>
  </si>
  <si>
    <t>It is deployed in cloud, hyperscale, on-premises and edge data centers. The platform consists of compute and networking offerings typically delivered to customers as systems, subsystems, or modules, along with software and services</t>
  </si>
  <si>
    <t>Our compute offerings include supercomputing platforms and servers, bringing together our energy efficient GPUs, CPUs, interconnects, and fully optimized AI and HPC software stacks</t>
  </si>
  <si>
    <t>In addition, they include NVIDIA AI Enterprise software; our DGX Cloud service; and a growing body of acceleration libraries, APIs, SDKs, and domain-specific application frameworks</t>
  </si>
  <si>
    <t>Our networking offerings include end-to-end platforms for InfiniBand and Ethernet, consisting of network adapters, cables, DPUs, switch chips and systems, as well as a full software stack</t>
  </si>
  <si>
    <t>This has enabled us to architect data center-scale computing platforms that can interconnect thousands of compute nodes with high-performance networking</t>
  </si>
  <si>
    <t>While historically the server was the unit of computing, as AI and HPC workloads have become extremely large spanning thousands of compute nodes, the data center has become the new unit of computing, with networking as an integral part</t>
  </si>
  <si>
    <t>Our customers include the world’s leading public cloud and consumer internet companies, thousands of enterprises and startups, and public sector entities</t>
  </si>
  <si>
    <t>We work with industry leaders to help build or transform their applications and data center infrastructure</t>
  </si>
  <si>
    <t>Our direct customers include original equipment manufacturers, or OEMs, original device manufacturers, or ODMs, system integrators and distributors which we partner with to help bring our products to market</t>
  </si>
  <si>
    <t>We also have partnerships in automotive, healthcare, financial services, manufacturing, retail, and technology among others, to accelerate the adoption of AI</t>
  </si>
  <si>
    <t>At the foundation of the NVIDIA accelerated computing platform are our GPUs, which excel at parallel workloads such as the training and inferencing of neural networks</t>
  </si>
  <si>
    <t>Beyond GPUs, our data center platform expanded to include DPUs in fiscal year 2022 and CPUs in fiscal year 2024</t>
  </si>
  <si>
    <t xml:space="preserve">What??? I didn’t know NVDA designed CPU's as well </t>
  </si>
  <si>
    <t>We can optimize across the entire computing, networking and storage stack to deliver data center-scale computing solutions</t>
  </si>
  <si>
    <t>While our approach starts with powerful chips, what makes it a full-stack computing platform is our large body of software, including the CUDA parallel programming model, the CUDA-X collection of acceleration libraries, APIs, SDKs, and domain-specific application frameworks</t>
  </si>
  <si>
    <t>In addition to software delivered to customers as an integral part of our data center computing platform, we offer paid licenses to NVIDIA AI Enterprise, a comprehensive suite of enterprise-grade AI software and NVIDIA vGPU software for graphics-rich virtual desktops and workstations</t>
  </si>
  <si>
    <t>We also offer the NVIDIA DGX Cloud, a fully managed AI-training-as-a-service platform which includes cloud-based infrastructure and software for AI, customizable pretrained AI models, and access to NVIDIA experts</t>
  </si>
  <si>
    <t>In fiscal year 2025, we launched the NVIDIA Blackwell architecture, a full set of data center scale infrastructure that includes GPUs, CPUs, DPUs, interconnects, switch chips and systems, and networking adapters</t>
  </si>
  <si>
    <t>Blackwell excels at processing cutting edge generative AI and accelerated computing workloads with market leading performance and efficiency. Offered in a number of configurations, it can address the needs of customers across industries and a diverse set of AI and accelerated computing use cases</t>
  </si>
  <si>
    <t>Gaming:</t>
  </si>
  <si>
    <t>Gaming is the largest entertainment industry, with PC gaming as the predominant platform</t>
  </si>
  <si>
    <t>Many factors propel its growth, including new high production value games and franchises, the continued rise of competitive gaming, or eSports, social connectivity and the increasing popularity of game streamers, modders, or gamers who remaster games, and creators</t>
  </si>
  <si>
    <t>Our gaming platforms leverage our GPUs and sophisticated software to enhance the gaming experience with smoother, higher quality graphics</t>
  </si>
  <si>
    <t>We developed NVIDIA RTX to bring next generation graphics and AI to games</t>
  </si>
  <si>
    <t>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t>
  </si>
  <si>
    <t xml:space="preserve">It's crazy … This was all the rage back in 2019 … 5 years later and it's monkey tech ... Gamer's funded the AI revolution -&gt; </t>
  </si>
  <si>
    <t>https://www.youtube.com/watch?v=91kxRGeg9wQ</t>
  </si>
  <si>
    <r>
      <t xml:space="preserve">They are available in the NVIDIA accelerated computing platform and in </t>
    </r>
    <r>
      <rPr>
        <b/>
        <sz val="11"/>
        <color rgb="FF000000"/>
        <rFont val="Calibre"/>
      </rPr>
      <t>industry standard servers from every major cloud provider and server maker</t>
    </r>
  </si>
  <si>
    <t>https://www.sec.gov/edgar/browse/?CIK=1045810&amp;owner=exclude</t>
  </si>
  <si>
    <t>NVIDIA Homepage</t>
  </si>
  <si>
    <t>IR Homepage</t>
  </si>
  <si>
    <t>https://www.nvidia.com/en-us/</t>
  </si>
  <si>
    <t>MacroTrends</t>
  </si>
  <si>
    <t>ROIC/WACC</t>
  </si>
  <si>
    <t>https://investor.nvidia.com/home/default.aspx</t>
  </si>
  <si>
    <t>https://seekingalpha.com/symbol/NVDA/earnings/transcripts</t>
  </si>
  <si>
    <t>https://stockanalysis.com/stocks/nvda/company/</t>
  </si>
  <si>
    <t>https://www.macrotrends.net/stocks/charts/NVDA/nvidia/income-statement?freq=Q</t>
  </si>
  <si>
    <t>https://www.gurufocus.com/term/wacc/NVDA</t>
  </si>
  <si>
    <t>Founded: 1993</t>
  </si>
  <si>
    <t>Headquartered: Santa Clara, CA</t>
  </si>
  <si>
    <t>ir@nvidia.com</t>
  </si>
  <si>
    <t>Registered Exchange: NASDAQ</t>
  </si>
  <si>
    <t>2788 San Tomas Expressway Santa Clara, CA 95051 US</t>
  </si>
  <si>
    <t>Current CEO: Jensen Huang</t>
  </si>
  <si>
    <t>Founder(s): Jensen Huang , Chris Malachowsky, Curtis Priem</t>
  </si>
  <si>
    <t>Employees: 36,000</t>
  </si>
  <si>
    <t>Industry: Semiconductors</t>
  </si>
  <si>
    <t>Sector: Technology</t>
  </si>
  <si>
    <t>https://investor.nvidia.com/investor-resources/faqs/default.aspx</t>
  </si>
  <si>
    <t>IR FAQs</t>
  </si>
  <si>
    <t>NVIDIA RTX also features deep learning super sampling, or NVIDIA DLSS, our AI technology that boosts frame rates while generating beautiful, sharp images for games. RTX GPUs will also accelerate a new generation of AI applications</t>
  </si>
  <si>
    <t>With an installed base of over 100 million AI capable PCs, more than 700 RTX AI-enabled applications and games, and a robust suite of development tools, RTX is already the AI PC leader</t>
  </si>
  <si>
    <t>Our products for the gaming market include GeForce RTX and GeForce GTX GPUs for gaming desktop and laptop PCs, GeForce NOW cloud gaming for playing PC games on underpowered devices, as well as SoCs and development services for game consoles</t>
  </si>
  <si>
    <t>In fiscal year 2025, we launched the NVIDIA Blackwell GeForce RTX 50 Series family of desktop and laptop GPUs</t>
  </si>
  <si>
    <t>The Blackwell architecture introduced neural graphics which combines AI models with traditional rendering to unlock a new era of graphics innovation</t>
  </si>
  <si>
    <t>The RTX 50 Series also features the next generation of our DLSS technology powered for the first time by a transformer model architecture. Together these technologies help deliver up to a 2x leap in performance and stunning visual realism for PC gamers, developers, and creatives</t>
  </si>
  <si>
    <t>Professional Visualization:</t>
  </si>
  <si>
    <t>We serve the Professional Visualization market by working closely with independent software vendors, or ISVs, to optimize their offerings for NVIDIA GPUs</t>
  </si>
  <si>
    <t>Our GPU computing platform enhances productivity and introduces new capabilities for critical workflows in many fields, such as design and manufacturing and digital content creation</t>
  </si>
  <si>
    <t>Design and manufacturing encompass computer-aided design, architectural design, consumer-products manufacturing, medical instrumentation, and aerospace</t>
  </si>
  <si>
    <t>Digital content creation includes professional video editing and post-production, special effects for films, and broadcast-television graphics</t>
  </si>
  <si>
    <t>Additionally, the infusion of generative AI into an increasing number of applications is giving rise to the need for the enhanced AI processing capabilities of our RTX GPUs</t>
  </si>
  <si>
    <t>The NVIDIA RTX platform makes it possible to render film-quality, photorealistic objects and environments with physically accurate shadows, reflections and refractions using ray tracing in real-time</t>
  </si>
  <si>
    <t>Many leading 3D design and content creation applications developed by our ecosystem partners now support RTX, allowing professionals to accelerate and transform their workflows with NVIDIA RTX GPUs and software</t>
  </si>
  <si>
    <t>We offer NVIDIA Omniverse as a development platform and operating system for building and running virtual world simulation applications, available as a software subscription for enterprise use and free for individual use</t>
  </si>
  <si>
    <t>Industrial enterprises are adopting Omniverse’s 3D and simulation technologies to digitalize their complex physical assets, processes, and environments – building digital twins of factories, real time 3D product configurators, testing and validating autonomous robots and vehicles, powered by NVIDIA accelerated computing infrastructure on-premises and in the cloud</t>
  </si>
  <si>
    <t>Automotive:</t>
  </si>
  <si>
    <t>Automotive is comprised of platform solutions for automated driving from the cloud to the car</t>
  </si>
  <si>
    <t>Leveraging our technology leadership in AI and building on our long-standing automotive relationships, we are delivering a complete end-to-end solution for the AV market under the DRIVE Hyperion brand. We have demonstrated multiple applications of AI within the car: AI can drive the car itself as a pilot in fully autonomous mode or it can also be a co-pilot, assisting the human driver while creating a safer driving experience</t>
  </si>
  <si>
    <t>We are working with several hundred partners in the automotive ecosystem including automakers, truck makers, tier-one suppliers, sensor manufacturers, automotive research institutions, HD mapping companies, and startups to develop and deploy AI systems for self-driving vehicles</t>
  </si>
  <si>
    <t>Our unified AI computing architecture starts with training deep neural networks using our Data Center computing solutions, and then running a full perception, fusion, planning, and control stack within the vehicle on the NVIDIA DRIVE Hyperion platform</t>
  </si>
  <si>
    <t>DRIVE Hyperion consists of the high-performance, energy efficient DRIVE AGX computing hardware running an in-vehicle operating system (DRIVE OS), a reference sensor set that supports full self-driving capability as well as an open, modular DRIVE software platform for autonomous driving, mapping, and parking services, and intelligent in-vehicle experiences</t>
  </si>
  <si>
    <t>In addition, we offer a scalable data center-based simulation solution based on NVIDIA Omniverse software to develop synthetic data for AI model training, as well as for testing and validating a self-driving platform</t>
  </si>
  <si>
    <t>Our unique end-to-end, software-defined approach is designed for continuous innovation and continuous development, enabling cars to receive over-the-air updates to add new features and capabilities throughout the life of a vehicle</t>
  </si>
  <si>
    <t>Compute</t>
  </si>
  <si>
    <t>Networking</t>
  </si>
  <si>
    <t xml:space="preserve">Gaming </t>
  </si>
  <si>
    <t xml:space="preserve">Professional Visualization </t>
  </si>
  <si>
    <t>Automotive</t>
  </si>
  <si>
    <t xml:space="preserve">[NVDA] Historical Return Histogram (7/18/2025) </t>
  </si>
  <si>
    <t>Y/y Total Revenues, Net Income, FCF</t>
  </si>
  <si>
    <t>Q/q Total Revenues, Net Income, FCF</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</si>
  <si>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</si>
  <si>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</si>
  <si>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</si>
  <si>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</si>
  <si>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</si>
  <si>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</si>
  <si>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</si>
  <si>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</si>
  <si>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</si>
  <si>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</si>
  <si>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</si>
  <si>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</si>
  <si>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</si>
  <si>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</si>
  <si>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</si>
  <si>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</si>
  <si>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</si>
  <si>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</si>
  <si>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</si>
  <si>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</si>
  <si>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</si>
  <si>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</si>
  <si>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</si>
  <si>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</si>
  <si>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</si>
  <si>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</si>
  <si>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</si>
  <si>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</si>
  <si>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</si>
  <si>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</si>
  <si>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</si>
  <si>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</si>
  <si>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</si>
  <si>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</si>
  <si>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</si>
  <si>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</si>
  <si>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</si>
  <si>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</si>
  <si>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</si>
  <si>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</si>
  <si>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</si>
  <si>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</si>
  <si>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</si>
  <si>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</si>
  <si>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</si>
  <si>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</si>
  <si>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</si>
  <si>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</si>
  <si>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</si>
  <si>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</si>
  <si>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</si>
  <si>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</si>
  <si>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</si>
  <si>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</si>
  <si>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</si>
  <si>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</si>
  <si>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</si>
  <si>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</si>
  <si>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</si>
  <si>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</si>
  <si>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</si>
  <si>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</si>
  <si>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</si>
  <si>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</si>
  <si>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</si>
  <si>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</si>
  <si>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</si>
  <si>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</si>
  <si>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</si>
  <si>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</si>
  <si>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</si>
  <si>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</si>
  <si>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</si>
  <si>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</si>
  <si>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</si>
  <si>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</si>
  <si>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</si>
  <si>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</si>
  <si>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</si>
  <si>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</si>
  <si>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</si>
  <si>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</si>
  <si>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</si>
  <si>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</si>
  <si>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</si>
  <si>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</si>
  <si>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</si>
  <si>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</si>
  <si>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</si>
  <si>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</si>
  <si>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</si>
  <si>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</si>
  <si>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</si>
  <si>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</si>
  <si>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</si>
  <si>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</si>
  <si>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</si>
  <si>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</si>
  <si>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</si>
  <si>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</si>
  <si>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</si>
  <si>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</si>
  <si>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</si>
  <si>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</si>
  <si>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</si>
  <si>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</si>
  <si>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</si>
  <si>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</si>
  <si>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</si>
  <si>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</si>
  <si>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</si>
  <si>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</si>
  <si>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</si>
  <si>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</si>
  <si>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</si>
  <si>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</si>
  <si>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</si>
  <si>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</si>
  <si>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</si>
  <si>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</si>
  <si>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</si>
  <si>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</si>
  <si>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</si>
  <si>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</si>
  <si>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</si>
  <si>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</si>
  <si>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</si>
  <si>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</si>
  <si>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</si>
  <si>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</si>
  <si>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</si>
  <si>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</si>
  <si>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</si>
  <si>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</si>
  <si>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</si>
  <si>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</si>
  <si>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</si>
  <si>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</si>
  <si>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</si>
  <si>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</si>
  <si>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</si>
  <si>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</si>
  <si>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</si>
  <si>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</si>
  <si>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</si>
  <si>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</si>
  <si>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</si>
  <si>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</si>
  <si>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</si>
  <si>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</si>
  <si>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</si>
  <si>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</si>
  <si>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</si>
  <si>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</si>
  <si>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</si>
  <si>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</si>
  <si>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</si>
  <si>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</si>
  <si>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</si>
  <si>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</si>
  <si>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</si>
  <si>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</si>
  <si>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</si>
  <si>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</si>
  <si>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</si>
  <si>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</si>
  <si>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</si>
  <si>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</si>
  <si>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</si>
  <si>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</si>
  <si>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</si>
  <si>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</si>
  <si>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</si>
  <si>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</si>
  <si>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</si>
  <si>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</si>
  <si>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</si>
  <si>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</si>
  <si>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</si>
  <si>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</si>
  <si>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</si>
  <si>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</si>
  <si>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</si>
  <si>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</si>
  <si>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</si>
  <si>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</si>
  <si>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</si>
  <si>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</si>
  <si>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</si>
  <si>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</si>
  <si>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</si>
  <si>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</si>
  <si>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</si>
  <si>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</si>
  <si>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</si>
  <si>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</si>
  <si>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</si>
  <si>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</si>
  <si>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</si>
  <si>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</si>
  <si>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</si>
  <si>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</si>
  <si>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</si>
  <si>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</si>
  <si>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</si>
  <si>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</si>
  <si>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</si>
  <si>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</si>
  <si>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</si>
  <si>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</si>
  <si>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</si>
  <si>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</si>
  <si>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</si>
  <si>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</si>
  <si>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</si>
  <si>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</si>
  <si>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</si>
  <si>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</si>
  <si>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</si>
  <si>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</si>
  <si>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</si>
  <si>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</si>
  <si>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</si>
  <si>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</si>
  <si>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</si>
  <si>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</si>
  <si>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</si>
  <si>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</si>
  <si>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</si>
  <si>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</si>
  <si>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</si>
  <si>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</si>
  <si>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</si>
  <si>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</si>
  <si>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</si>
  <si>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</si>
  <si>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</si>
  <si>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</si>
  <si>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</si>
  <si>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</si>
  <si>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</si>
  <si>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</si>
  <si>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</si>
  <si>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</si>
  <si>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</si>
  <si>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</si>
  <si>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</si>
  <si>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</si>
  <si>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</si>
  <si>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</si>
  <si>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</si>
  <si>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</si>
  <si>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</si>
  <si>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</si>
  <si>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</si>
  <si>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</si>
  <si>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</si>
  <si>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</si>
  <si>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</si>
  <si>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</si>
  <si>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</si>
  <si>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</si>
  <si>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</si>
  <si>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</si>
  <si>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</si>
  <si>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</si>
  <si>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</si>
  <si>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</si>
  <si>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</si>
  <si>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</si>
  <si>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</si>
  <si>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</si>
  <si>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</si>
  <si>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</si>
  <si>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</si>
  <si>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</si>
  <si>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</si>
  <si>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</si>
  <si>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</si>
  <si>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</si>
  <si>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</si>
  <si>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</si>
  <si>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</si>
  <si>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</si>
  <si>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</si>
  <si>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</si>
  <si>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</si>
  <si>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</si>
  <si>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</si>
  <si>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</si>
  <si>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</si>
  <si>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</si>
  <si>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</si>
  <si>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</si>
  <si>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</si>
  <si>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</si>
  <si>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</si>
  <si>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</si>
  <si>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</si>
  <si>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</si>
  <si>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</si>
  <si>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</si>
  <si>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</si>
  <si>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</si>
  <si>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</si>
  <si>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</si>
  <si>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</si>
  <si>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</si>
  <si>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</si>
  <si>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</si>
  <si>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</si>
  <si>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</si>
  <si>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</si>
  <si>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</si>
  <si>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</si>
  <si>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</si>
  <si>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</si>
  <si>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</si>
  <si>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</si>
  <si>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</si>
  <si>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</si>
  <si>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</si>
  <si>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</si>
  <si>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</si>
  <si>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</si>
  <si>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</si>
  <si>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</si>
  <si>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</si>
  <si>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</si>
  <si>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</si>
  <si>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</si>
  <si>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</si>
  <si>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</si>
  <si>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</si>
  <si>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</si>
  <si>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</si>
  <si>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</si>
  <si>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</si>
  <si>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</si>
  <si>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</si>
  <si>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</si>
  <si>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</si>
  <si>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</si>
  <si>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</si>
  <si>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</si>
  <si>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</si>
  <si>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</si>
  <si>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</si>
  <si>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</si>
  <si>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</si>
  <si>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</si>
  <si>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</si>
  <si>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</si>
  <si>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</si>
  <si>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</si>
  <si>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</si>
  <si>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</si>
  <si>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</si>
  <si>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</si>
  <si>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</si>
  <si>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</si>
  <si>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</si>
  <si>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</si>
  <si>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</si>
  <si>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</si>
  <si>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</si>
  <si>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</si>
  <si>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</si>
  <si>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</si>
  <si>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</si>
  <si>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</si>
  <si>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</si>
  <si>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</si>
  <si>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</si>
  <si>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</si>
  <si>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</si>
  <si>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</si>
  <si>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</si>
  <si>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</si>
  <si>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</si>
  <si>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</si>
  <si>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</si>
  <si>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</si>
  <si>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</si>
  <si>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</si>
  <si>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</si>
  <si>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</si>
  <si>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</si>
  <si>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</si>
  <si>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</si>
  <si>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</si>
  <si>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</si>
  <si>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</si>
  <si>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</si>
  <si>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</si>
  <si>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</si>
  <si>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</si>
  <si>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</si>
  <si>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</si>
  <si>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</si>
  <si>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</si>
  <si>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</si>
  <si>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</si>
  <si>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</si>
  <si>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</si>
  <si>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</si>
  <si>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</si>
  <si>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</si>
  <si>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</si>
  <si>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</si>
  <si>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</si>
  <si>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</si>
  <si>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</si>
  <si>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</si>
  <si>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</si>
  <si>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</si>
  <si>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</si>
  <si>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</si>
  <si>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</si>
  <si>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</si>
  <si>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</si>
  <si>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</si>
  <si>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</si>
  <si>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</si>
  <si>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</si>
  <si>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</si>
  <si>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</si>
  <si>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</si>
  <si>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</si>
  <si>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</si>
  <si>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</si>
  <si>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</si>
  <si>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</si>
  <si>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</si>
  <si>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</si>
  <si>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</si>
  <si>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</si>
  <si>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</si>
  <si>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</si>
  <si>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</si>
  <si>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</si>
  <si>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</si>
  <si>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</si>
  <si>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</si>
  <si>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</si>
  <si>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</si>
  <si>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</si>
  <si>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</si>
  <si>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</si>
  <si>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</si>
  <si>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</si>
  <si>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</si>
  <si>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</si>
  <si>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</si>
  <si>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</si>
  <si>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</si>
  <si>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</si>
  <si>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</si>
  <si>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</si>
  <si>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</si>
  <si>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</si>
  <si>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</si>
  <si>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</si>
  <si>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</si>
  <si>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</si>
  <si>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</si>
  <si>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</si>
  <si>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</si>
  <si>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</si>
  <si>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</si>
  <si>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</si>
  <si>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</si>
  <si>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</si>
  <si>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</si>
  <si>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</si>
  <si>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</si>
  <si>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</si>
  <si>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</si>
  <si>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</si>
  <si>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</si>
  <si>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</si>
  <si>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</si>
  <si>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</si>
  <si>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</si>
  <si>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</si>
  <si>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</si>
  <si>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</si>
  <si>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</si>
  <si>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</si>
  <si>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</si>
  <si>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</si>
  <si>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</si>
  <si>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</si>
  <si>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</si>
  <si>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</si>
  <si>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</si>
  <si>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</si>
  <si>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</si>
  <si>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</si>
  <si>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</si>
  <si>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</si>
  <si>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</si>
  <si>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</si>
  <si>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</si>
  <si>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</si>
  <si>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</si>
  <si>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</si>
  <si>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</si>
  <si>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</si>
  <si>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</si>
  <si>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</si>
  <si>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</si>
  <si>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</si>
  <si>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</si>
  <si>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</si>
  <si>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</si>
  <si>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</si>
  <si>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</si>
  <si>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</si>
  <si>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</si>
  <si>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</si>
  <si>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</si>
  <si>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</si>
  <si>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</si>
  <si>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</si>
  <si>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</si>
  <si>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</si>
  <si>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</si>
  <si>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</si>
  <si>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</si>
  <si>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</si>
  <si>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</si>
  <si>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</si>
  <si>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</si>
  <si>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</si>
  <si>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</si>
  <si>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</si>
  <si>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</si>
  <si>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</si>
  <si>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</si>
  <si>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</si>
  <si>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</si>
  <si>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</si>
  <si>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</si>
  <si>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</si>
  <si>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</si>
  <si>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</si>
  <si>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</si>
  <si>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</si>
  <si>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</si>
  <si>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</si>
  <si>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</si>
  <si>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</si>
  <si>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</si>
  <si>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</si>
  <si>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</si>
  <si>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</si>
  <si>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</si>
  <si>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</si>
  <si>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</si>
  <si>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</si>
  <si>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</si>
  <si>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</si>
  <si>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</si>
  <si>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</si>
  <si>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</si>
  <si>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</si>
  <si>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</si>
  <si>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</si>
  <si>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</si>
  <si>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</si>
  <si>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</si>
  <si>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</si>
  <si>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</si>
  <si>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</si>
  <si>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</si>
  <si>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</si>
  <si>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</si>
  <si>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</si>
  <si>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</si>
  <si>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</si>
  <si>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</si>
  <si>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</si>
  <si>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</si>
  <si>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</si>
  <si>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</si>
  <si>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</si>
  <si>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</si>
  <si>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</si>
  <si>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</si>
  <si>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</si>
  <si>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</si>
  <si>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</si>
  <si>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</si>
  <si>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</si>
  <si>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</si>
  <si>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</si>
  <si>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</si>
  <si>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</si>
  <si>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</si>
  <si>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</si>
  <si>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</si>
  <si>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</si>
  <si>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</si>
  <si>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</si>
  <si>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</si>
  <si>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</si>
  <si>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</si>
  <si>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</si>
  <si>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</si>
  <si>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</si>
  <si>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</si>
  <si>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</si>
  <si>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</si>
  <si>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</si>
  <si>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</si>
  <si>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</si>
  <si>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</si>
  <si>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</si>
  <si>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</si>
  <si>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</si>
  <si>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</si>
  <si>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</si>
  <si>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</si>
  <si>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</si>
  <si>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</si>
  <si>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</si>
  <si>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</si>
  <si>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</si>
  <si>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</si>
  <si>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</si>
  <si>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</si>
  <si>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</si>
  <si>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</si>
  <si>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</si>
  <si>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</si>
  <si>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</si>
  <si>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</si>
  <si>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</si>
  <si>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</si>
  <si>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</si>
  <si>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</si>
  <si>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</si>
  <si>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</si>
  <si>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</si>
  <si>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</si>
  <si>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</si>
  <si>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</si>
  <si>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</si>
  <si>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</si>
  <si>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</si>
  <si>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</si>
  <si>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</si>
  <si>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</si>
  <si>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</si>
  <si>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</si>
  <si>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</si>
  <si>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</si>
  <si>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</si>
  <si>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</si>
  <si>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</si>
  <si>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</si>
  <si>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</si>
  <si>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</si>
  <si>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</si>
  <si>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</si>
  <si>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</si>
  <si>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</si>
  <si>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</si>
  <si>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</si>
  <si>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</si>
  <si>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</si>
  <si>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</si>
  <si>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</si>
  <si>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</si>
  <si>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</si>
  <si>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</si>
  <si>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</si>
  <si>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</si>
  <si>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</si>
  <si>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</si>
  <si>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</si>
  <si>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</si>
  <si>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</si>
  <si>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</si>
  <si>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</si>
  <si>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</si>
  <si>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</si>
  <si>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</si>
  <si>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</si>
  <si>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</si>
  <si>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</si>
  <si>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</si>
  <si>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</si>
  <si>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</si>
  <si>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</si>
  <si>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</si>
  <si>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</si>
  <si>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</si>
  <si>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</si>
  <si>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</si>
  <si>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</si>
  <si>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</si>
  <si>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</si>
  <si>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</si>
  <si>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</si>
  <si>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</si>
  <si>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</si>
  <si>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</si>
  <si>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</si>
  <si>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</si>
  <si>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</si>
  <si>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</si>
  <si>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</si>
  <si>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</si>
  <si>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</si>
  <si>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</si>
  <si>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</si>
  <si>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</si>
  <si>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</si>
  <si>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</si>
  <si>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</si>
  <si>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</si>
  <si>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</si>
  <si>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</si>
  <si>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</si>
  <si>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</si>
  <si>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</si>
  <si>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</si>
  <si>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</si>
  <si>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</si>
  <si>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</si>
  <si>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</si>
  <si>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</si>
  <si>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</si>
  <si>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</si>
  <si>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</si>
  <si>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</si>
  <si>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</si>
  <si>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</si>
  <si>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</si>
  <si>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</si>
  <si>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</si>
  <si>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</si>
  <si>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</si>
  <si>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</si>
  <si>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</si>
  <si>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</si>
  <si>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</si>
  <si>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</si>
  <si>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</si>
  <si>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</si>
  <si>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</si>
  <si>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</si>
  <si>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</si>
  <si>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</si>
  <si>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</si>
  <si>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</si>
  <si>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</si>
  <si>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</si>
  <si>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</si>
  <si>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</si>
  <si>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</si>
  <si>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</si>
  <si>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</si>
  <si>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</si>
  <si>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</si>
  <si>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</si>
  <si>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</si>
  <si>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</si>
  <si>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</si>
  <si>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</si>
  <si>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</si>
  <si>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</si>
  <si>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</si>
  <si>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</si>
  <si>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</si>
  <si>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</si>
  <si>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</si>
  <si>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</si>
  <si>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</si>
  <si>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</si>
  <si>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</si>
  <si>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</si>
  <si>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</si>
  <si>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</si>
  <si>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</si>
  <si>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</si>
  <si>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</si>
  <si>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</si>
  <si>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</si>
  <si>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</si>
  <si>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</si>
  <si>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</si>
  <si>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</si>
  <si>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</si>
  <si>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</si>
  <si>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</si>
  <si>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</si>
  <si>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</si>
  <si>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</si>
  <si>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</si>
  <si>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</si>
  <si>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</si>
  <si>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</si>
  <si>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</si>
  <si>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</si>
  <si>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</si>
  <si>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</si>
  <si>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</si>
  <si>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</si>
  <si>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</si>
  <si>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</si>
  <si>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</si>
  <si>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</si>
  <si>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</si>
  <si>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</si>
  <si>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</si>
  <si>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</si>
  <si>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</si>
  <si>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</si>
  <si>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</si>
  <si>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</si>
  <si>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</si>
  <si>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</si>
  <si>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</si>
  <si>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</si>
  <si>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</si>
  <si>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</si>
  <si>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</si>
  <si>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</si>
  <si>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</si>
  <si>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</si>
  <si>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</si>
  <si>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</si>
  <si>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</si>
  <si>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</si>
  <si>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</si>
  <si>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</si>
  <si>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</si>
  <si>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</si>
  <si>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</si>
  <si>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</si>
  <si>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</si>
  <si>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</si>
  <si>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</si>
  <si>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</si>
  <si>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</si>
  <si>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</si>
  <si>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</si>
  <si>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</si>
  <si>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</si>
  <si>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</si>
  <si>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</si>
  <si>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</si>
  <si>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</si>
  <si>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</si>
  <si>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</si>
  <si>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</si>
  <si>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</si>
  <si>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</si>
  <si>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</si>
  <si>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</si>
  <si>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</si>
  <si>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</si>
  <si>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</si>
  <si>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</si>
  <si>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</si>
  <si>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</si>
  <si>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</si>
  <si>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</si>
  <si>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</si>
  <si>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</si>
  <si>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</si>
  <si>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</si>
  <si>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</si>
  <si>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</si>
  <si>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</si>
  <si>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</si>
  <si>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</si>
  <si>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</si>
  <si>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</si>
  <si>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</si>
  <si>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</si>
  <si>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</si>
  <si>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</si>
  <si>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</si>
  <si>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</si>
  <si>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</si>
  <si>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</si>
  <si>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</si>
  <si>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</si>
  <si>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</si>
  <si>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</si>
  <si>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</si>
  <si>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</si>
  <si>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</si>
  <si>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</si>
  <si>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</si>
  <si>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</si>
  <si>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</si>
  <si>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</si>
  <si>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</si>
  <si>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</si>
  <si>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</si>
  <si>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</si>
  <si>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</si>
  <si>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</si>
  <si>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</si>
  <si>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</si>
  <si>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</si>
  <si>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</si>
  <si>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</si>
  <si>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</si>
  <si>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</si>
  <si>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</si>
  <si>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</si>
  <si>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</si>
  <si>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</si>
  <si>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</si>
  <si>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</si>
  <si>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</si>
  <si>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</si>
  <si>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</si>
  <si>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</si>
  <si>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</si>
  <si>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</si>
  <si>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</si>
  <si>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</si>
  <si>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</si>
  <si>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</si>
  <si>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</si>
  <si>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</si>
  <si>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</si>
  <si>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</si>
  <si>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</si>
  <si>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</si>
  <si>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</si>
  <si>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</si>
  <si>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</si>
  <si>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</si>
  <si>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</si>
  <si>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</si>
  <si>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</si>
  <si>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</si>
  <si>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</si>
  <si>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</si>
  <si>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</si>
  <si>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</si>
  <si>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</si>
  <si>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</si>
  <si>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</si>
  <si>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</si>
  <si>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</si>
  <si>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</si>
  <si>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</si>
  <si>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</si>
  <si>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</si>
  <si>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</si>
  <si>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</si>
  <si>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</si>
  <si>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</si>
  <si>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</si>
  <si>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</si>
  <si>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</si>
  <si>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</si>
  <si>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</si>
  <si>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</si>
  <si>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</si>
  <si>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</si>
  <si>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</si>
  <si>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</si>
  <si>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</si>
  <si>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</si>
  <si>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</si>
  <si>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</si>
  <si>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</si>
  <si>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</si>
  <si>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</si>
  <si>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</si>
  <si>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</si>
  <si>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</si>
  <si>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</si>
  <si>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</si>
  <si>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</si>
  <si>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</si>
  <si>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</si>
  <si>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</si>
  <si>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</si>
  <si>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</si>
  <si>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</si>
  <si>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</si>
  <si>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</si>
  <si>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</si>
  <si>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</si>
  <si>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</si>
  <si>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</si>
  <si>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</si>
  <si>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</si>
  <si>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</si>
  <si>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</si>
  <si>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</si>
  <si>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</si>
  <si>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</si>
  <si>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</si>
  <si>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</si>
  <si>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</si>
  <si>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</si>
  <si>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</si>
  <si>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</si>
  <si>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</si>
  <si>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</si>
  <si>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</si>
  <si>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</si>
  <si>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</si>
  <si>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</si>
  <si>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</si>
  <si>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</si>
  <si>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</si>
  <si>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</si>
  <si>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</si>
  <si>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</si>
  <si>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</si>
  <si>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</si>
  <si>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</si>
  <si>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</si>
  <si>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</si>
  <si>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</si>
  <si>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</si>
  <si>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</si>
  <si>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</si>
  <si>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</si>
  <si>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</si>
  <si>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</si>
  <si>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</si>
  <si>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</si>
  <si>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</si>
  <si>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</si>
  <si>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</si>
  <si>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</si>
  <si>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</si>
  <si>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</si>
  <si>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</si>
  <si>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</si>
  <si>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</si>
  <si>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</si>
  <si>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</si>
  <si>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</si>
  <si>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</si>
  <si>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</si>
  <si>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</si>
  <si>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</si>
  <si>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</si>
  <si>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</si>
  <si>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</si>
  <si>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</si>
  <si>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</si>
  <si>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</si>
  <si>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</si>
  <si>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</si>
  <si>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</si>
  <si>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</si>
  <si>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</si>
  <si>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</si>
  <si>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</si>
  <si>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</si>
  <si>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</si>
  <si>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</si>
  <si>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</si>
  <si>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</si>
  <si>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</si>
  <si>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</si>
  <si>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</si>
  <si>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</si>
  <si>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</si>
  <si>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</si>
  <si>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</si>
  <si>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</si>
  <si>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</si>
  <si>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</si>
  <si>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</si>
  <si>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</si>
  <si>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</si>
  <si>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</si>
  <si>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</si>
  <si>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</si>
  <si>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</si>
  <si>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</si>
  <si>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</si>
  <si>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</si>
  <si>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</si>
  <si>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</si>
  <si>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</si>
  <si>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</si>
  <si>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</si>
  <si>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</si>
  <si>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</si>
  <si>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</si>
  <si>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</si>
  <si>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</si>
  <si>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</si>
  <si>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</si>
  <si>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</si>
  <si>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</si>
  <si>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</si>
  <si>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</si>
  <si>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</si>
  <si>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</si>
  <si>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</si>
  <si>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</si>
  <si>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</si>
  <si>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</si>
  <si>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</si>
  <si>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</si>
  <si>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</si>
  <si>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</si>
  <si>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</si>
  <si>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</si>
  <si>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</si>
  <si>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</si>
  <si>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</si>
  <si>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</si>
  <si>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</si>
  <si>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</si>
  <si>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</si>
  <si>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</si>
  <si>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</si>
  <si>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</si>
  <si>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</si>
  <si>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</si>
  <si>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</si>
  <si>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</si>
  <si>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</si>
  <si>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</si>
  <si>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</si>
  <si>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</si>
  <si>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</si>
  <si>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</si>
  <si>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</si>
  <si>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</si>
  <si>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</si>
  <si>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</si>
  <si>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</si>
  <si>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</si>
  <si>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</si>
  <si>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</si>
  <si>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</si>
  <si>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</si>
  <si>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</si>
  <si>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</si>
  <si>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</si>
  <si>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</si>
  <si>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</si>
  <si>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</si>
  <si>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</si>
  <si>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</si>
  <si>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</si>
  <si>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</si>
  <si>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</si>
  <si>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</si>
  <si>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</si>
  <si>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</si>
  <si>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</si>
  <si>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</si>
  <si>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</si>
  <si>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</si>
  <si>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</si>
  <si>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</si>
  <si>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</si>
  <si>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</si>
  <si>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</si>
  <si>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</si>
  <si>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</si>
  <si>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</si>
  <si>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</si>
  <si>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</si>
  <si>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</si>
  <si>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</si>
  <si>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</si>
  <si>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</si>
  <si>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</si>
  <si>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</si>
  <si>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</si>
  <si>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</si>
  <si>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</si>
  <si>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</si>
  <si>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</si>
  <si>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</si>
  <si>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</si>
  <si>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</si>
  <si>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</si>
  <si>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</si>
  <si>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</si>
  <si>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</si>
  <si>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</si>
  <si>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</si>
  <si>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</si>
  <si>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</si>
  <si>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</si>
  <si>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</si>
  <si>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</si>
  <si>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</si>
  <si>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</si>
  <si>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</si>
  <si>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</si>
  <si>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</si>
  <si>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</si>
  <si>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</si>
  <si>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</si>
  <si>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</si>
  <si>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</si>
  <si>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</si>
  <si>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</si>
  <si>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</si>
  <si>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</si>
  <si>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</si>
  <si>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</si>
  <si>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</si>
  <si>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</si>
  <si>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</si>
  <si>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</si>
  <si>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</si>
  <si>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</si>
  <si>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</si>
  <si>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</si>
  <si>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</si>
  <si>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</si>
  <si>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</si>
  <si>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</si>
  <si>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</si>
  <si>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</si>
  <si>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</si>
  <si>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</si>
  <si>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t>Tue, 18 Aug 2020 00:00:00 GMT</t>
  </si>
  <si>
    <t>Mon, 17 Aug 2020 00:00:00 GMT</t>
  </si>
  <si>
    <t>Fri, 14 Aug 2020 00:00:00 GMT</t>
  </si>
  <si>
    <t>Thu, 13 Aug 2020 00:00:00 GMT</t>
  </si>
  <si>
    <t>Wed, 12 Aug 2020 00:00:00 GMT</t>
  </si>
  <si>
    <t>Tue, 11 Aug 2020 00:00:00 GMT</t>
  </si>
  <si>
    <t>Mon, 10 Aug 2020 00:00:00 GMT</t>
  </si>
  <si>
    <t>Fri, 07 Aug 2020 00:00:00 GMT</t>
  </si>
  <si>
    <t>Thu, 06 Aug 2020 00:00:00 GMT</t>
  </si>
  <si>
    <t>Wed, 05 Aug 2020 00:00:00 GMT</t>
  </si>
  <si>
    <t>Tue, 04 Aug 2020 00:00:00 GMT</t>
  </si>
  <si>
    <t>Mon, 03 Aug 2020 00:00:00 GMT</t>
  </si>
  <si>
    <t>Fri, 31 Jul 2020 00:00:00 GMT</t>
  </si>
  <si>
    <t>Thu, 30 Jul 2020 00:00:00 GMT</t>
  </si>
  <si>
    <t>Wed, 29 Jul 2020 00:00:00 GMT</t>
  </si>
  <si>
    <t>Tue, 28 Jul 2020 00:00:00 GMT</t>
  </si>
  <si>
    <t>Mon, 27 Jul 2020 00:00:00 GMT</t>
  </si>
  <si>
    <t>Fri, 24 Jul 2020 00:00:00 GMT</t>
  </si>
  <si>
    <t>Thu, 23 Jul 2020 00:00:00 GMT</t>
  </si>
  <si>
    <t>Wed, 22 Jul 2020 00:00:00 GMT</t>
  </si>
  <si>
    <t>Tue, 21 Jul 2020 00:00:00 GMT</t>
  </si>
  <si>
    <t>Mon, 20 Jul 2020 00:00:00 GMT</t>
  </si>
  <si>
    <r>
      <rPr>
        <i/>
        <sz val="11"/>
        <color theme="1"/>
        <rFont val="Calibre"/>
      </rPr>
      <t xml:space="preserve">1255 </t>
    </r>
    <r>
      <rPr>
        <sz val="11"/>
        <color theme="1"/>
        <rFont val="Calibre"/>
      </rPr>
      <t>Trading Days (From: 7/15/2020 - 7/15/2025)</t>
    </r>
  </si>
  <si>
    <t>More</t>
  </si>
  <si>
    <t xml:space="preserve">Revenue Breakdown by Segment </t>
  </si>
  <si>
    <t>Compute Growth Y/y</t>
  </si>
  <si>
    <t>Data Center Growth Y/y</t>
  </si>
  <si>
    <t>Gaming Growth Y/y</t>
  </si>
  <si>
    <t>OEM &amp; Other Growth Y/y</t>
  </si>
  <si>
    <t xml:space="preserve">OEM &amp; Other </t>
  </si>
  <si>
    <t>Ttl Revenue Growth Y/y</t>
  </si>
  <si>
    <t>Data Center % of Ttl Revenues</t>
  </si>
  <si>
    <t>Networking Growth Y/y</t>
  </si>
  <si>
    <t>Gaming % of Ttl Revenues</t>
  </si>
  <si>
    <t>Pro. Vis. % of Ttl Revenues</t>
  </si>
  <si>
    <t>Pro. Vis. Growth Y/y</t>
  </si>
  <si>
    <t>Auto % of Ttl Revenues</t>
  </si>
  <si>
    <t>OEM &amp; Other % of Ttl Revenues</t>
  </si>
  <si>
    <t>Auto Growth Y/y</t>
  </si>
  <si>
    <t>Singapore Revenue</t>
  </si>
  <si>
    <t>U.S. Revenue</t>
  </si>
  <si>
    <t>Taiwan Revenue</t>
  </si>
  <si>
    <t>China (Incl. Hong Kong) Revenue</t>
  </si>
  <si>
    <t>Other Revenue</t>
  </si>
  <si>
    <t>Singapore Revenue Growth Y/y</t>
  </si>
  <si>
    <t>Taiwan Revenue Growth Y/y</t>
  </si>
  <si>
    <t>China Revenue Growth Y/y</t>
  </si>
  <si>
    <t>Other Revenue Growth Y/y</t>
  </si>
  <si>
    <t>Ttl. Revenue Growth Y/y</t>
  </si>
  <si>
    <t xml:space="preserve">  </t>
  </si>
  <si>
    <t>Taiwanese % of Revenues</t>
  </si>
  <si>
    <t>Singaporian % of Revenues</t>
  </si>
  <si>
    <t>Chinese % of Revenues</t>
  </si>
  <si>
    <t>Other Countries % of Revenues</t>
  </si>
  <si>
    <t>R&amp;D</t>
  </si>
  <si>
    <t>SG&amp;A</t>
  </si>
  <si>
    <t>Operating Income</t>
  </si>
  <si>
    <t>Interest Income</t>
  </si>
  <si>
    <t>Interest Expenses</t>
  </si>
  <si>
    <t>Other Income</t>
  </si>
  <si>
    <t>Pretax Income</t>
  </si>
  <si>
    <t>Taxes</t>
  </si>
  <si>
    <t>EPS</t>
  </si>
  <si>
    <t>A/R</t>
  </si>
  <si>
    <t>Inventories</t>
  </si>
  <si>
    <t>Prepaid Expenses</t>
  </si>
  <si>
    <t>PP&amp;E</t>
  </si>
  <si>
    <t>Operating Lease Assets</t>
  </si>
  <si>
    <t>Goodwill</t>
  </si>
  <si>
    <t>Intangible Assets</t>
  </si>
  <si>
    <t>Deffered Income Tax Assets</t>
  </si>
  <si>
    <t>Other LT Assets</t>
  </si>
  <si>
    <t>Total Assets</t>
  </si>
  <si>
    <t>A/P</t>
  </si>
  <si>
    <t xml:space="preserve">Accrued Liabilities </t>
  </si>
  <si>
    <t>LT Debt</t>
  </si>
  <si>
    <t>LT Operating Lease Liabilities</t>
  </si>
  <si>
    <t>Other LT Liabilities</t>
  </si>
  <si>
    <t>Total Liabilities</t>
  </si>
  <si>
    <t>SE</t>
  </si>
  <si>
    <t>Total L + SE</t>
  </si>
  <si>
    <t>Other OpEx</t>
  </si>
  <si>
    <t>ST Debt</t>
  </si>
  <si>
    <t>Projected ROIC:</t>
  </si>
  <si>
    <t>Invested Capital</t>
  </si>
  <si>
    <t>AVG Invested Capital</t>
  </si>
  <si>
    <t>ROIC</t>
  </si>
  <si>
    <t>2023-2024</t>
  </si>
  <si>
    <t>Terminal</t>
  </si>
  <si>
    <t>RFR (10-year yield)</t>
  </si>
  <si>
    <t>ERP 
(Avg. market return - (less) RFR)</t>
  </si>
  <si>
    <t>Equity β (1-year avg.)</t>
  </si>
  <si>
    <t>Discount (Cost of Equity)</t>
  </si>
  <si>
    <t>NPV</t>
  </si>
  <si>
    <t>Q2'25</t>
  </si>
  <si>
    <t>FV</t>
  </si>
  <si>
    <t>CP</t>
  </si>
  <si>
    <t>Change Δ</t>
  </si>
  <si>
    <t xml:space="preserve">IPO: Jan 22, 1999 </t>
  </si>
  <si>
    <t>8/27/2025</t>
  </si>
  <si>
    <t>Revenue</t>
  </si>
  <si>
    <t>The Company specializes in markets where computing platforms can provide tremendous acceleration for applications. These platforms incorporate processors, interconnects, software, algorithms, systems, and services to deliver unique value</t>
  </si>
  <si>
    <t>Meta</t>
  </si>
  <si>
    <t>Google</t>
  </si>
  <si>
    <t>GCP</t>
  </si>
  <si>
    <t>OpenAI</t>
  </si>
  <si>
    <t>Microsoft</t>
  </si>
  <si>
    <t>Azure</t>
  </si>
  <si>
    <t>Character.ai</t>
  </si>
  <si>
    <t>AWS</t>
  </si>
  <si>
    <t>Amazon AI</t>
  </si>
  <si>
    <t>Lambda</t>
  </si>
  <si>
    <t>Coreweave</t>
  </si>
  <si>
    <t>Tesla/X</t>
  </si>
  <si>
    <t>Baidu</t>
  </si>
  <si>
    <t>Academics</t>
  </si>
  <si>
    <t>Government</t>
  </si>
  <si>
    <t>Tencent</t>
  </si>
  <si>
    <t>Oracle</t>
  </si>
  <si>
    <t>IBM</t>
  </si>
  <si>
    <t>Anthropic</t>
  </si>
  <si>
    <t>Bytedance</t>
  </si>
  <si>
    <t>Total</t>
  </si>
  <si>
    <t>"Large Cloud"</t>
  </si>
  <si>
    <t>H100 volume</t>
  </si>
  <si>
    <t>H100 ASP</t>
  </si>
  <si>
    <t>Diff</t>
  </si>
  <si>
    <t>Forecast</t>
  </si>
  <si>
    <t>Top Players Raised+CapEx</t>
  </si>
  <si>
    <t>xAI</t>
  </si>
  <si>
    <t>MSFT CapEx</t>
  </si>
  <si>
    <t>GOOG CapEx</t>
  </si>
  <si>
    <t>AMZN CapEx</t>
  </si>
  <si>
    <t>CoreWeave</t>
  </si>
  <si>
    <t>Meta CapEx</t>
  </si>
  <si>
    <t>Oracle 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</si>
</sst>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24">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b/>
      <sz val="11"/>
      <color rgb="FF000000"/>
      <name val="Calibre"/>
    </font>
    <font>
      <sz val="10"/>
      <name val="Arial"/>
      <family val="2"/>
    </font>
    <font>
      <b/>
      <sz val="11"/>
      <color theme="4" tint="-0.249977111117893"/>
      <name val="Calibre"/>
    </font>
    <font>
      <sz val="11"/>
      <color theme="4" tint="-0.249977111117893"/>
      <name val="Calibre"/>
    </font>
    <font>
      <b/>
      <sz val="10"/>
      <color theme="1"/>
      <name val="Arial"/>
      <family val="2"/>
    </font>
    <font>
      <sz val="11"/>
      <color rgb="FF0070C0"/>
      <name val="Calibri"/>
      <family val="2"/>
      <scheme val="minor"/>
    </font>
    <font>
      <b/>
      <sz val="10"/>
      <color rgb="FF0070C0"/>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85">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164" fontId="2" fillId="0" borderId="0" xfId="3" applyNumberFormat="1" applyFont="1"/>
    <xf numFmtId="164" fontId="2" fillId="0" borderId="0" xfId="3" applyNumberFormat="1" applyFont="1" applyAlignment="1">
      <alignment horizontal="right"/>
    </xf>
    <xf numFmtId="43" fontId="2" fillId="0" borderId="0" xfId="3" applyFont="1" applyAlignment="1">
      <alignment horizontal="right" indent="1"/>
    </xf>
    <xf numFmtId="10" fontId="2" fillId="0" borderId="0" xfId="1" applyNumberFormat="1" applyFont="1"/>
    <xf numFmtId="0" fontId="18" fillId="0" borderId="0" xfId="0" applyFont="1"/>
    <xf numFmtId="10" fontId="0" fillId="0" borderId="0" xfId="0" applyNumberFormat="1"/>
    <xf numFmtId="0" fontId="0" fillId="0" borderId="18" xfId="0" applyBorder="1"/>
    <xf numFmtId="0" fontId="9" fillId="0" borderId="17" xfId="0" applyFont="1" applyBorder="1" applyAlignment="1">
      <alignment horizontal="center"/>
    </xf>
    <xf numFmtId="165" fontId="2" fillId="0" borderId="0" xfId="1" applyNumberFormat="1" applyFont="1"/>
    <xf numFmtId="165" fontId="3" fillId="0" borderId="0" xfId="1" applyNumberFormat="1" applyFont="1"/>
    <xf numFmtId="1" fontId="2" fillId="0" borderId="0" xfId="0" applyNumberFormat="1" applyFont="1"/>
    <xf numFmtId="1" fontId="3" fillId="0" borderId="0" xfId="0" applyNumberFormat="1" applyFont="1"/>
    <xf numFmtId="165" fontId="13" fillId="0" borderId="0" xfId="1" applyNumberFormat="1" applyFont="1"/>
    <xf numFmtId="165" fontId="12" fillId="0" borderId="0" xfId="1" applyNumberFormat="1" applyFont="1"/>
    <xf numFmtId="1" fontId="13" fillId="0" borderId="0" xfId="0" applyNumberFormat="1" applyFont="1"/>
    <xf numFmtId="1" fontId="19" fillId="0" borderId="0" xfId="0" applyNumberFormat="1" applyFont="1"/>
    <xf numFmtId="1" fontId="12" fillId="0" borderId="0" xfId="0" applyNumberFormat="1"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6" fontId="13" fillId="0" borderId="0" xfId="0" applyNumberFormat="1" applyFont="1" applyAlignment="1">
      <alignment vertical="top"/>
    </xf>
    <xf numFmtId="165" fontId="13" fillId="0" borderId="0" xfId="1" applyNumberFormat="1" applyFont="1" applyAlignment="1">
      <alignment vertical="top"/>
    </xf>
    <xf numFmtId="2" fontId="13" fillId="0" borderId="0" xfId="0" applyNumberFormat="1" applyFont="1" applyAlignment="1">
      <alignment vertical="top"/>
    </xf>
    <xf numFmtId="0" fontId="3" fillId="0" borderId="0" xfId="0" applyFont="1" applyAlignment="1">
      <alignment vertical="top"/>
    </xf>
    <xf numFmtId="0" fontId="20" fillId="0" borderId="0" xfId="0" applyFont="1"/>
    <xf numFmtId="49" fontId="13" fillId="0" borderId="0" xfId="0" applyNumberFormat="1" applyFont="1" applyAlignment="1">
      <alignment horizontal="left" vertical="top"/>
    </xf>
    <xf numFmtId="14" fontId="13" fillId="0" borderId="0" xfId="0" applyNumberFormat="1" applyFont="1" applyAlignment="1">
      <alignment horizontal="left" vertical="top"/>
    </xf>
    <xf numFmtId="0" fontId="13" fillId="0" borderId="0" xfId="0" applyFont="1" applyAlignment="1">
      <alignment horizontal="left" vertical="top"/>
    </xf>
    <xf numFmtId="14" fontId="0" fillId="0" borderId="0" xfId="0" applyNumberFormat="1" applyAlignment="1">
      <alignment horizontal="right"/>
    </xf>
    <xf numFmtId="14" fontId="21" fillId="0" borderId="0" xfId="0" applyNumberFormat="1" applyFont="1" applyAlignment="1">
      <alignment horizontal="right"/>
    </xf>
    <xf numFmtId="3" fontId="21" fillId="0" borderId="0" xfId="0" applyNumberFormat="1" applyFont="1" applyAlignment="1">
      <alignment horizontal="right"/>
    </xf>
    <xf numFmtId="0" fontId="0" fillId="0" borderId="0" xfId="0" applyAlignment="1">
      <alignment horizontal="right"/>
    </xf>
    <xf numFmtId="3" fontId="22" fillId="0" borderId="0" xfId="0" applyNumberFormat="1" applyFont="1" applyAlignment="1">
      <alignment horizontal="right"/>
    </xf>
    <xf numFmtId="3" fontId="23" fillId="0" borderId="0" xfId="0" applyNumberFormat="1" applyFont="1" applyAlignment="1">
      <alignment horizontal="right"/>
    </xf>
    <xf numFmtId="14" fontId="22" fillId="0" borderId="0" xfId="0" applyNumberFormat="1" applyFont="1" applyAlignment="1">
      <alignment horizontal="right"/>
    </xf>
    <xf numFmtId="0" fontId="22" fillId="0" borderId="0" xfId="0" applyFont="1"/>
    <xf numFmtId="0" fontId="20" fillId="0" borderId="0" xfId="0" applyFont="1" applyAlignment="1">
      <alignment horizontal="center"/>
    </xf>
  </cellXfs>
  <cellStyles count="4">
    <cellStyle name="Comma" xfId="3" builtinId="3"/>
    <cellStyle name="Hyperlink" xfId="2"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62983E"/>
      <color rgb="FF78B74D"/>
      <color rgb="FF95C674"/>
      <color rgb="FFBBDAA6"/>
      <color rgb="FFA7BCE3"/>
      <color rgb="FFFFC000"/>
      <color rgb="FFC10757"/>
      <color rgb="FF6E91D0"/>
      <color rgb="FF7A9AD4"/>
      <color rgb="FF4B77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(NVDA)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Analysis'!$I$210</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Analysis'!$I$212:$I$278</c:f>
              <c:numCache>
                <c:formatCode>0.00%</c:formatCode>
                <c:ptCount val="67"/>
                <c:pt idx="0">
                  <c:v>-8.2500000000000004E-2</c:v>
                </c:pt>
                <c:pt idx="1">
                  <c:v>-0.08</c:v>
                </c:pt>
                <c:pt idx="2">
                  <c:v>-7.7499999999999999E-2</c:v>
                </c:pt>
                <c:pt idx="3">
                  <c:v>-7.4999999999999997E-2</c:v>
                </c:pt>
                <c:pt idx="4">
                  <c:v>-7.2499999999999995E-2</c:v>
                </c:pt>
                <c:pt idx="5">
                  <c:v>-6.9999999999999993E-2</c:v>
                </c:pt>
                <c:pt idx="6">
                  <c:v>-6.7499999999999991E-2</c:v>
                </c:pt>
                <c:pt idx="7">
                  <c:v>-6.4999999999999988E-2</c:v>
                </c:pt>
                <c:pt idx="8">
                  <c:v>-6.2499999999999986E-2</c:v>
                </c:pt>
                <c:pt idx="9">
                  <c:v>-5.9999999999999984E-2</c:v>
                </c:pt>
                <c:pt idx="10">
                  <c:v>-5.7499999999999982E-2</c:v>
                </c:pt>
                <c:pt idx="11">
                  <c:v>-5.4999999999999979E-2</c:v>
                </c:pt>
                <c:pt idx="12">
                  <c:v>-5.2499999999999977E-2</c:v>
                </c:pt>
                <c:pt idx="13">
                  <c:v>-4.9999999999999975E-2</c:v>
                </c:pt>
                <c:pt idx="14">
                  <c:v>-4.7499999999999973E-2</c:v>
                </c:pt>
                <c:pt idx="15">
                  <c:v>-4.4999999999999971E-2</c:v>
                </c:pt>
                <c:pt idx="16">
                  <c:v>-4.2499999999999968E-2</c:v>
                </c:pt>
                <c:pt idx="17">
                  <c:v>-3.9999999999999966E-2</c:v>
                </c:pt>
                <c:pt idx="18">
                  <c:v>-3.7499999999999964E-2</c:v>
                </c:pt>
                <c:pt idx="19">
                  <c:v>-3.4999999999999962E-2</c:v>
                </c:pt>
                <c:pt idx="20">
                  <c:v>-3.2499999999999959E-2</c:v>
                </c:pt>
                <c:pt idx="21">
                  <c:v>-2.9999999999999961E-2</c:v>
                </c:pt>
                <c:pt idx="22">
                  <c:v>-2.7499999999999962E-2</c:v>
                </c:pt>
                <c:pt idx="23">
                  <c:v>-2.4999999999999963E-2</c:v>
                </c:pt>
                <c:pt idx="24">
                  <c:v>-2.2499999999999964E-2</c:v>
                </c:pt>
                <c:pt idx="25">
                  <c:v>-1.9999999999999966E-2</c:v>
                </c:pt>
                <c:pt idx="26">
                  <c:v>-1.7499999999999967E-2</c:v>
                </c:pt>
                <c:pt idx="27">
                  <c:v>-1.4999999999999966E-2</c:v>
                </c:pt>
                <c:pt idx="28">
                  <c:v>-1.2499999999999966E-2</c:v>
                </c:pt>
                <c:pt idx="29">
                  <c:v>-9.9999999999999655E-3</c:v>
                </c:pt>
                <c:pt idx="30">
                  <c:v>-7.499999999999965E-3</c:v>
                </c:pt>
                <c:pt idx="31">
                  <c:v>-4.9999999999999645E-3</c:v>
                </c:pt>
                <c:pt idx="32">
                  <c:v>-2.4999999999999645E-3</c:v>
                </c:pt>
                <c:pt idx="33">
                  <c:v>3.5561831257524545E-17</c:v>
                </c:pt>
                <c:pt idx="34">
                  <c:v>2.5000000000000356E-3</c:v>
                </c:pt>
                <c:pt idx="35">
                  <c:v>5.0000000000000357E-3</c:v>
                </c:pt>
                <c:pt idx="36">
                  <c:v>7.5000000000000362E-3</c:v>
                </c:pt>
                <c:pt idx="37">
                  <c:v>1.0000000000000037E-2</c:v>
                </c:pt>
                <c:pt idx="38">
                  <c:v>1.2500000000000037E-2</c:v>
                </c:pt>
                <c:pt idx="39">
                  <c:v>1.5000000000000038E-2</c:v>
                </c:pt>
                <c:pt idx="40">
                  <c:v>1.7500000000000036E-2</c:v>
                </c:pt>
                <c:pt idx="41">
                  <c:v>2.0000000000000035E-2</c:v>
                </c:pt>
                <c:pt idx="42">
                  <c:v>2.2500000000000034E-2</c:v>
                </c:pt>
                <c:pt idx="43">
                  <c:v>2.5000000000000033E-2</c:v>
                </c:pt>
                <c:pt idx="44">
                  <c:v>2.7500000000000031E-2</c:v>
                </c:pt>
                <c:pt idx="45">
                  <c:v>3.000000000000003E-2</c:v>
                </c:pt>
                <c:pt idx="46">
                  <c:v>3.2500000000000029E-2</c:v>
                </c:pt>
                <c:pt idx="47">
                  <c:v>3.5000000000000031E-2</c:v>
                </c:pt>
                <c:pt idx="48">
                  <c:v>3.7500000000000033E-2</c:v>
                </c:pt>
                <c:pt idx="49">
                  <c:v>4.0000000000000036E-2</c:v>
                </c:pt>
                <c:pt idx="50">
                  <c:v>4.2500000000000038E-2</c:v>
                </c:pt>
                <c:pt idx="51">
                  <c:v>4.500000000000004E-2</c:v>
                </c:pt>
                <c:pt idx="52">
                  <c:v>4.7500000000000042E-2</c:v>
                </c:pt>
                <c:pt idx="53">
                  <c:v>5.0000000000000044E-2</c:v>
                </c:pt>
                <c:pt idx="54">
                  <c:v>5.2500000000000047E-2</c:v>
                </c:pt>
                <c:pt idx="55">
                  <c:v>5.5000000000000049E-2</c:v>
                </c:pt>
                <c:pt idx="56">
                  <c:v>5.7500000000000051E-2</c:v>
                </c:pt>
                <c:pt idx="57">
                  <c:v>6.0000000000000053E-2</c:v>
                </c:pt>
                <c:pt idx="58">
                  <c:v>6.2500000000000056E-2</c:v>
                </c:pt>
                <c:pt idx="59">
                  <c:v>6.5000000000000058E-2</c:v>
                </c:pt>
                <c:pt idx="60">
                  <c:v>6.750000000000006E-2</c:v>
                </c:pt>
                <c:pt idx="61">
                  <c:v>7.0000000000000062E-2</c:v>
                </c:pt>
                <c:pt idx="62">
                  <c:v>7.2500000000000064E-2</c:v>
                </c:pt>
                <c:pt idx="63">
                  <c:v>7.5000000000000067E-2</c:v>
                </c:pt>
                <c:pt idx="64">
                  <c:v>7.7499999999999999E-2</c:v>
                </c:pt>
                <c:pt idx="65">
                  <c:v>0.08</c:v>
                </c:pt>
                <c:pt idx="66">
                  <c:v>8.2500000000000004E-2</c:v>
                </c:pt>
              </c:numCache>
            </c:numRef>
          </c:xVal>
          <c:yVal>
            <c:numRef>
              <c:f>'Notes | Quant Analysis'!$J$212:$J$278</c:f>
              <c:numCache>
                <c:formatCode>General</c:formatCode>
                <c:ptCount val="67"/>
                <c:pt idx="0">
                  <c:v>6</c:v>
                </c:pt>
                <c:pt idx="1">
                  <c:v>0</c:v>
                </c:pt>
                <c:pt idx="2">
                  <c:v>1</c:v>
                </c:pt>
                <c:pt idx="3">
                  <c:v>2</c:v>
                </c:pt>
                <c:pt idx="4">
                  <c:v>0</c:v>
                </c:pt>
                <c:pt idx="5">
                  <c:v>3</c:v>
                </c:pt>
                <c:pt idx="6">
                  <c:v>6</c:v>
                </c:pt>
                <c:pt idx="7">
                  <c:v>0</c:v>
                </c:pt>
                <c:pt idx="8">
                  <c:v>5</c:v>
                </c:pt>
                <c:pt idx="9">
                  <c:v>4</c:v>
                </c:pt>
                <c:pt idx="10">
                  <c:v>2</c:v>
                </c:pt>
                <c:pt idx="11">
                  <c:v>1</c:v>
                </c:pt>
                <c:pt idx="12">
                  <c:v>3</c:v>
                </c:pt>
                <c:pt idx="13">
                  <c:v>6</c:v>
                </c:pt>
                <c:pt idx="14">
                  <c:v>6</c:v>
                </c:pt>
                <c:pt idx="15">
                  <c:v>14</c:v>
                </c:pt>
                <c:pt idx="16">
                  <c:v>6</c:v>
                </c:pt>
                <c:pt idx="17">
                  <c:v>10</c:v>
                </c:pt>
                <c:pt idx="18">
                  <c:v>11</c:v>
                </c:pt>
                <c:pt idx="19">
                  <c:v>14</c:v>
                </c:pt>
                <c:pt idx="20">
                  <c:v>16</c:v>
                </c:pt>
                <c:pt idx="21">
                  <c:v>23</c:v>
                </c:pt>
                <c:pt idx="22">
                  <c:v>13</c:v>
                </c:pt>
                <c:pt idx="23">
                  <c:v>19</c:v>
                </c:pt>
                <c:pt idx="24">
                  <c:v>23</c:v>
                </c:pt>
                <c:pt idx="25">
                  <c:v>38</c:v>
                </c:pt>
                <c:pt idx="26">
                  <c:v>38</c:v>
                </c:pt>
                <c:pt idx="27">
                  <c:v>39</c:v>
                </c:pt>
                <c:pt idx="28">
                  <c:v>33</c:v>
                </c:pt>
                <c:pt idx="29">
                  <c:v>40</c:v>
                </c:pt>
                <c:pt idx="30">
                  <c:v>59</c:v>
                </c:pt>
                <c:pt idx="31">
                  <c:v>59</c:v>
                </c:pt>
                <c:pt idx="32">
                  <c:v>43</c:v>
                </c:pt>
                <c:pt idx="33">
                  <c:v>59</c:v>
                </c:pt>
                <c:pt idx="34">
                  <c:v>59</c:v>
                </c:pt>
                <c:pt idx="35">
                  <c:v>53</c:v>
                </c:pt>
                <c:pt idx="36">
                  <c:v>52</c:v>
                </c:pt>
                <c:pt idx="37">
                  <c:v>46</c:v>
                </c:pt>
                <c:pt idx="38">
                  <c:v>43</c:v>
                </c:pt>
                <c:pt idx="39">
                  <c:v>48</c:v>
                </c:pt>
                <c:pt idx="40">
                  <c:v>48</c:v>
                </c:pt>
                <c:pt idx="41">
                  <c:v>39</c:v>
                </c:pt>
                <c:pt idx="42">
                  <c:v>38</c:v>
                </c:pt>
                <c:pt idx="43">
                  <c:v>32</c:v>
                </c:pt>
                <c:pt idx="44">
                  <c:v>35</c:v>
                </c:pt>
                <c:pt idx="45">
                  <c:v>24</c:v>
                </c:pt>
                <c:pt idx="46">
                  <c:v>21</c:v>
                </c:pt>
                <c:pt idx="47">
                  <c:v>18</c:v>
                </c:pt>
                <c:pt idx="48">
                  <c:v>13</c:v>
                </c:pt>
                <c:pt idx="49">
                  <c:v>13</c:v>
                </c:pt>
                <c:pt idx="50">
                  <c:v>10</c:v>
                </c:pt>
                <c:pt idx="51">
                  <c:v>6</c:v>
                </c:pt>
                <c:pt idx="52">
                  <c:v>9</c:v>
                </c:pt>
                <c:pt idx="53">
                  <c:v>8</c:v>
                </c:pt>
                <c:pt idx="54">
                  <c:v>2</c:v>
                </c:pt>
                <c:pt idx="55">
                  <c:v>4</c:v>
                </c:pt>
                <c:pt idx="56">
                  <c:v>6</c:v>
                </c:pt>
                <c:pt idx="57">
                  <c:v>3</c:v>
                </c:pt>
                <c:pt idx="58">
                  <c:v>2</c:v>
                </c:pt>
                <c:pt idx="59">
                  <c:v>6</c:v>
                </c:pt>
                <c:pt idx="60">
                  <c:v>1</c:v>
                </c:pt>
                <c:pt idx="61">
                  <c:v>2</c:v>
                </c:pt>
                <c:pt idx="62">
                  <c:v>2</c:v>
                </c:pt>
                <c:pt idx="63">
                  <c:v>0</c:v>
                </c:pt>
                <c:pt idx="64">
                  <c:v>1</c:v>
                </c:pt>
                <c:pt idx="65">
                  <c:v>1</c:v>
                </c:pt>
                <c:pt idx="66">
                  <c:v>1</c:v>
                </c:pt>
              </c:numCache>
            </c:numRef>
          </c:yVal>
          <c:smooth val="1"/>
          <c:extLst>
            <c:ext xmlns:c16="http://schemas.microsoft.com/office/drawing/2014/chart" uri="{C3380CC4-5D6E-409C-BE32-E72D297353CC}">
              <c16:uniqueId val="{00000000-28C7-4862-86E9-AF862A5BA0AD}"/>
            </c:ext>
          </c:extLst>
        </c:ser>
        <c:ser>
          <c:idx val="1"/>
          <c:order val="1"/>
          <c:tx>
            <c:strRef>
              <c:f>'Notes | Quant Analysis'!$L$210</c:f>
              <c:strCache>
                <c:ptCount val="1"/>
                <c:pt idx="0">
                  <c:v>Distribution Overlay</c:v>
                </c:pt>
              </c:strCache>
            </c:strRef>
          </c:tx>
          <c:spPr>
            <a:ln w="19050" cap="rnd">
              <a:solidFill>
                <a:srgbClr val="FFC000"/>
              </a:solidFill>
              <a:round/>
            </a:ln>
            <a:effectLst/>
          </c:spPr>
          <c:marker>
            <c:symbol val="none"/>
          </c:marker>
          <c:xVal>
            <c:numRef>
              <c:f>'Notes | Quant Analysis'!$L$212:$L$280</c:f>
              <c:numCache>
                <c:formatCode>0.00%</c:formatCode>
                <c:ptCount val="69"/>
                <c:pt idx="0">
                  <c:v>-8.5000000000000006E-2</c:v>
                </c:pt>
                <c:pt idx="1">
                  <c:v>-8.2500000000000004E-2</c:v>
                </c:pt>
                <c:pt idx="2">
                  <c:v>-0.08</c:v>
                </c:pt>
                <c:pt idx="3">
                  <c:v>-7.7499999999999999E-2</c:v>
                </c:pt>
                <c:pt idx="4">
                  <c:v>-7.4999999999999997E-2</c:v>
                </c:pt>
                <c:pt idx="5">
                  <c:v>-7.2499999999999995E-2</c:v>
                </c:pt>
                <c:pt idx="6">
                  <c:v>-6.9999999999999993E-2</c:v>
                </c:pt>
                <c:pt idx="7">
                  <c:v>-6.7499999999999991E-2</c:v>
                </c:pt>
                <c:pt idx="8">
                  <c:v>-6.4999999999999988E-2</c:v>
                </c:pt>
                <c:pt idx="9">
                  <c:v>-6.2499999999999986E-2</c:v>
                </c:pt>
                <c:pt idx="10">
                  <c:v>-5.9999999999999984E-2</c:v>
                </c:pt>
                <c:pt idx="11">
                  <c:v>-5.7499999999999982E-2</c:v>
                </c:pt>
                <c:pt idx="12">
                  <c:v>-5.4999999999999979E-2</c:v>
                </c:pt>
                <c:pt idx="13">
                  <c:v>-5.2499999999999977E-2</c:v>
                </c:pt>
                <c:pt idx="14">
                  <c:v>-4.9999999999999975E-2</c:v>
                </c:pt>
                <c:pt idx="15">
                  <c:v>-4.7499999999999973E-2</c:v>
                </c:pt>
                <c:pt idx="16">
                  <c:v>-4.4999999999999971E-2</c:v>
                </c:pt>
                <c:pt idx="17">
                  <c:v>-4.2499999999999968E-2</c:v>
                </c:pt>
                <c:pt idx="18">
                  <c:v>-3.9999999999999966E-2</c:v>
                </c:pt>
                <c:pt idx="19">
                  <c:v>-3.7499999999999964E-2</c:v>
                </c:pt>
                <c:pt idx="20">
                  <c:v>-3.4999999999999962E-2</c:v>
                </c:pt>
                <c:pt idx="21">
                  <c:v>-3.2499999999999959E-2</c:v>
                </c:pt>
                <c:pt idx="22">
                  <c:v>-2.9999999999999961E-2</c:v>
                </c:pt>
                <c:pt idx="23">
                  <c:v>-2.7499999999999962E-2</c:v>
                </c:pt>
                <c:pt idx="24">
                  <c:v>-2.4999999999999963E-2</c:v>
                </c:pt>
                <c:pt idx="25">
                  <c:v>-2.2499999999999964E-2</c:v>
                </c:pt>
                <c:pt idx="26">
                  <c:v>-1.9999999999999966E-2</c:v>
                </c:pt>
                <c:pt idx="27">
                  <c:v>-1.7499999999999967E-2</c:v>
                </c:pt>
                <c:pt idx="28">
                  <c:v>-1.4999999999999966E-2</c:v>
                </c:pt>
                <c:pt idx="29">
                  <c:v>-1.2499999999999966E-2</c:v>
                </c:pt>
                <c:pt idx="30">
                  <c:v>-9.9999999999999655E-3</c:v>
                </c:pt>
                <c:pt idx="31">
                  <c:v>-7.499999999999965E-3</c:v>
                </c:pt>
                <c:pt idx="32">
                  <c:v>-4.9999999999999645E-3</c:v>
                </c:pt>
                <c:pt idx="33">
                  <c:v>-2.4999999999999645E-3</c:v>
                </c:pt>
                <c:pt idx="34">
                  <c:v>3.5561831257524545E-17</c:v>
                </c:pt>
                <c:pt idx="35">
                  <c:v>2.5000000000000356E-3</c:v>
                </c:pt>
                <c:pt idx="36">
                  <c:v>5.0000000000000357E-3</c:v>
                </c:pt>
                <c:pt idx="37">
                  <c:v>7.5000000000000362E-3</c:v>
                </c:pt>
                <c:pt idx="38">
                  <c:v>1.0000000000000037E-2</c:v>
                </c:pt>
                <c:pt idx="39">
                  <c:v>1.2500000000000037E-2</c:v>
                </c:pt>
                <c:pt idx="40">
                  <c:v>1.5000000000000038E-2</c:v>
                </c:pt>
                <c:pt idx="41">
                  <c:v>1.7500000000000036E-2</c:v>
                </c:pt>
                <c:pt idx="42">
                  <c:v>2.0000000000000035E-2</c:v>
                </c:pt>
                <c:pt idx="43">
                  <c:v>2.2500000000000034E-2</c:v>
                </c:pt>
                <c:pt idx="44">
                  <c:v>2.5000000000000033E-2</c:v>
                </c:pt>
                <c:pt idx="45">
                  <c:v>2.7500000000000031E-2</c:v>
                </c:pt>
                <c:pt idx="46">
                  <c:v>3.000000000000003E-2</c:v>
                </c:pt>
                <c:pt idx="47">
                  <c:v>3.2500000000000029E-2</c:v>
                </c:pt>
                <c:pt idx="48">
                  <c:v>3.5000000000000031E-2</c:v>
                </c:pt>
                <c:pt idx="49">
                  <c:v>3.7500000000000033E-2</c:v>
                </c:pt>
                <c:pt idx="50">
                  <c:v>4.0000000000000036E-2</c:v>
                </c:pt>
                <c:pt idx="51">
                  <c:v>4.2500000000000038E-2</c:v>
                </c:pt>
                <c:pt idx="52">
                  <c:v>4.500000000000004E-2</c:v>
                </c:pt>
                <c:pt idx="53">
                  <c:v>4.7500000000000042E-2</c:v>
                </c:pt>
                <c:pt idx="54">
                  <c:v>5.0000000000000044E-2</c:v>
                </c:pt>
                <c:pt idx="55">
                  <c:v>5.2500000000000047E-2</c:v>
                </c:pt>
                <c:pt idx="56">
                  <c:v>5.5000000000000049E-2</c:v>
                </c:pt>
                <c:pt idx="57">
                  <c:v>5.7500000000000051E-2</c:v>
                </c:pt>
                <c:pt idx="58">
                  <c:v>6.0000000000000053E-2</c:v>
                </c:pt>
                <c:pt idx="59">
                  <c:v>6.2500000000000056E-2</c:v>
                </c:pt>
                <c:pt idx="60">
                  <c:v>6.5000000000000058E-2</c:v>
                </c:pt>
                <c:pt idx="61">
                  <c:v>6.750000000000006E-2</c:v>
                </c:pt>
                <c:pt idx="62">
                  <c:v>7.0000000000000062E-2</c:v>
                </c:pt>
                <c:pt idx="63">
                  <c:v>7.2500000000000064E-2</c:v>
                </c:pt>
                <c:pt idx="64">
                  <c:v>7.5000000000000067E-2</c:v>
                </c:pt>
                <c:pt idx="65">
                  <c:v>7.7499999999999999E-2</c:v>
                </c:pt>
                <c:pt idx="66">
                  <c:v>0.08</c:v>
                </c:pt>
                <c:pt idx="67">
                  <c:v>8.2500000000000004E-2</c:v>
                </c:pt>
                <c:pt idx="68">
                  <c:v>8.5000000000000006E-2</c:v>
                </c:pt>
              </c:numCache>
            </c:numRef>
          </c:xVal>
          <c:yVal>
            <c:numRef>
              <c:f>'Notes | Quant Analysis'!$M$212:$M$280</c:f>
              <c:numCache>
                <c:formatCode>General</c:formatCode>
                <c:ptCount val="69"/>
                <c:pt idx="0">
                  <c:v>8.9632660933837857E-2</c:v>
                </c:pt>
                <c:pt idx="1">
                  <c:v>0.12010642761317324</c:v>
                </c:pt>
                <c:pt idx="2">
                  <c:v>0.15955752782414359</c:v>
                </c:pt>
                <c:pt idx="3">
                  <c:v>0.21014518165133711</c:v>
                </c:pt>
                <c:pt idx="4">
                  <c:v>0.27439276969896353</c:v>
                </c:pt>
                <c:pt idx="5">
                  <c:v>0.3552032895157391</c:v>
                </c:pt>
                <c:pt idx="6">
                  <c:v>0.45586094202727068</c:v>
                </c:pt>
                <c:pt idx="7">
                  <c:v>0.58001453504636702</c:v>
                </c:pt>
                <c:pt idx="8">
                  <c:v>0.73163834606189315</c:v>
                </c:pt>
                <c:pt idx="9">
                  <c:v>0.91496636744040993</c:v>
                </c:pt>
                <c:pt idx="10">
                  <c:v>1.1343965328713603</c:v>
                </c:pt>
                <c:pt idx="11">
                  <c:v>1.3943626445974475</c:v>
                </c:pt>
                <c:pt idx="12">
                  <c:v>1.699173307774958</c:v>
                </c:pt>
                <c:pt idx="13">
                  <c:v>2.0528192131725049</c:v>
                </c:pt>
                <c:pt idx="14">
                  <c:v>2.4587525271664981</c:v>
                </c:pt>
                <c:pt idx="15">
                  <c:v>2.9196448316534065</c:v>
                </c:pt>
                <c:pt idx="16">
                  <c:v>3.4371328374098877</c:v>
                </c:pt>
                <c:pt idx="17">
                  <c:v>4.0115637582132244</c:v>
                </c:pt>
                <c:pt idx="18">
                  <c:v>4.6417545319960221</c:v>
                </c:pt>
                <c:pt idx="19">
                  <c:v>5.3247807471385737</c:v>
                </c:pt>
                <c:pt idx="20">
                  <c:v>6.0558119237460186</c:v>
                </c:pt>
                <c:pt idx="21">
                  <c:v>6.8280094952152028</c:v>
                </c:pt>
                <c:pt idx="22">
                  <c:v>7.6325022832674865</c:v>
                </c:pt>
                <c:pt idx="23">
                  <c:v>8.4584513991785624</c:v>
                </c:pt>
                <c:pt idx="24">
                  <c:v>9.2932123847651589</c:v>
                </c:pt>
                <c:pt idx="25">
                  <c:v>10.122597199307945</c:v>
                </c:pt>
                <c:pt idx="26">
                  <c:v>10.93123265336709</c:v>
                </c:pt>
                <c:pt idx="27">
                  <c:v>11.703005483437979</c:v>
                </c:pt>
                <c:pt idx="28">
                  <c:v>12.421577927161115</c:v>
                </c:pt>
                <c:pt idx="29">
                  <c:v>13.070951911898533</c:v>
                </c:pt>
                <c:pt idx="30">
                  <c:v>13.63605531793295</c:v>
                </c:pt>
                <c:pt idx="31">
                  <c:v>14.103320672840823</c:v>
                </c:pt>
                <c:pt idx="32">
                  <c:v>14.461225422795078</c:v>
                </c:pt>
                <c:pt idx="33">
                  <c:v>14.700763811971989</c:v>
                </c:pt>
                <c:pt idx="34">
                  <c:v>14.81582341284042</c:v>
                </c:pt>
                <c:pt idx="35">
                  <c:v>14.8034443345085</c:v>
                </c:pt>
                <c:pt idx="36">
                  <c:v>14.663945764292501</c:v>
                </c:pt>
                <c:pt idx="37">
                  <c:v>14.400912290249785</c:v>
                </c:pt>
                <c:pt idx="38">
                  <c:v>14.021040822857749</c:v>
                </c:pt>
                <c:pt idx="39">
                  <c:v>13.533857241713354</c:v>
                </c:pt>
                <c:pt idx="40">
                  <c:v>12.951319503326856</c:v>
                </c:pt>
                <c:pt idx="41">
                  <c:v>12.287330289013523</c:v>
                </c:pt>
                <c:pt idx="42">
                  <c:v>11.557186894718265</c:v>
                </c:pt>
                <c:pt idx="43">
                  <c:v>10.776998670711615</c:v>
                </c:pt>
                <c:pt idx="44">
                  <c:v>9.9631027905899181</c:v>
                </c:pt>
                <c:pt idx="45">
                  <c:v>9.1315075306601106</c:v>
                </c:pt>
                <c:pt idx="46">
                  <c:v>8.2973888055407734</c:v>
                </c:pt>
                <c:pt idx="47">
                  <c:v>7.474660804413527</c:v>
                </c:pt>
                <c:pt idx="48">
                  <c:v>6.6756356711474174</c:v>
                </c:pt>
                <c:pt idx="49">
                  <c:v>5.9107807836421182</c:v>
                </c:pt>
                <c:pt idx="50">
                  <c:v>5.1885758234463175</c:v>
                </c:pt>
                <c:pt idx="51">
                  <c:v>4.5154659480553212</c:v>
                </c:pt>
                <c:pt idx="52">
                  <c:v>3.8959023625956886</c:v>
                </c:pt>
                <c:pt idx="53">
                  <c:v>3.3324577027114159</c:v>
                </c:pt>
                <c:pt idx="54">
                  <c:v>2.8260010331662024</c:v>
                </c:pt>
                <c:pt idx="55">
                  <c:v>2.3759159640415612</c:v>
                </c:pt>
                <c:pt idx="56">
                  <c:v>1.9803453083965132</c:v>
                </c:pt>
                <c:pt idx="57">
                  <c:v>1.6364466858625928</c:v>
                </c:pt>
                <c:pt idx="58">
                  <c:v>1.3406452903428223</c:v>
                </c:pt>
                <c:pt idx="59">
                  <c:v>1.088872429933041</c:v>
                </c:pt>
                <c:pt idx="60">
                  <c:v>0.87678115217937347</c:v>
                </c:pt>
                <c:pt idx="61">
                  <c:v>0.69993304531485256</c:v>
                </c:pt>
                <c:pt idx="62">
                  <c:v>0.55395294989054411</c:v>
                </c:pt>
                <c:pt idx="63">
                  <c:v>0.4346506663069043</c:v>
                </c:pt>
                <c:pt idx="64">
                  <c:v>0.33811069537463323</c:v>
                </c:pt>
                <c:pt idx="65">
                  <c:v>0.26075254563547801</c:v>
                </c:pt>
                <c:pt idx="66">
                  <c:v>0.19936517300174683</c:v>
                </c:pt>
                <c:pt idx="67">
                  <c:v>0.15111971286693238</c:v>
                </c:pt>
                <c:pt idx="68">
                  <c:v>0.11356487688570112</c:v>
                </c:pt>
              </c:numCache>
            </c:numRef>
          </c:yVal>
          <c:smooth val="1"/>
          <c:extLst>
            <c:ext xmlns:c16="http://schemas.microsoft.com/office/drawing/2014/chart" uri="{C3380CC4-5D6E-409C-BE32-E72D297353CC}">
              <c16:uniqueId val="{00000001-28C7-4862-86E9-AF862A5BA0AD}"/>
            </c:ext>
          </c:extLst>
        </c:ser>
        <c:ser>
          <c:idx val="2"/>
          <c:order val="2"/>
          <c:tx>
            <c:strRef>
              <c:f>'Notes | Quant Analysis'!$O$212</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6267825896762958E-2"/>
                  <c:y val="-2.7103191048487359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875962379702537"/>
                      <c:h val="7.744834527263039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Analysis'!$P$212:$P$213</c:f>
              <c:numCache>
                <c:formatCode>0.00%</c:formatCode>
                <c:ptCount val="2"/>
                <c:pt idx="0">
                  <c:v>1.0079176149738727E-3</c:v>
                </c:pt>
                <c:pt idx="1">
                  <c:v>1.0079176149738727E-3</c:v>
                </c:pt>
              </c:numCache>
            </c:numRef>
          </c:xVal>
          <c:yVal>
            <c:numRef>
              <c:f>'Notes | Quant Analysis'!$Q$212:$Q$213</c:f>
              <c:numCache>
                <c:formatCode>General</c:formatCode>
                <c:ptCount val="2"/>
                <c:pt idx="0">
                  <c:v>0</c:v>
                </c:pt>
                <c:pt idx="1">
                  <c:v>15</c:v>
                </c:pt>
              </c:numCache>
            </c:numRef>
          </c:yVal>
          <c:smooth val="1"/>
          <c:extLst>
            <c:ext xmlns:c16="http://schemas.microsoft.com/office/drawing/2014/chart" uri="{C3380CC4-5D6E-409C-BE32-E72D297353CC}">
              <c16:uniqueId val="{00000004-28C7-4862-86E9-AF862A5BA0AD}"/>
            </c:ext>
          </c:extLst>
        </c:ser>
        <c:ser>
          <c:idx val="3"/>
          <c:order val="3"/>
          <c:tx>
            <c:strRef>
              <c:f>'Notes | Quant Analysis'!$O$214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Analysis'!$P$214:$P$215</c:f>
              <c:numCache>
                <c:formatCode>0.00%</c:formatCode>
                <c:ptCount val="2"/>
                <c:pt idx="0">
                  <c:v>-7.9715742764275177E-2</c:v>
                </c:pt>
                <c:pt idx="1">
                  <c:v>-7.9715742764275177E-2</c:v>
                </c:pt>
              </c:numCache>
            </c:numRef>
          </c:xVal>
          <c:yVal>
            <c:numRef>
              <c:f>'Notes | Quant Analysis'!$Q$214:$Q$215</c:f>
              <c:numCache>
                <c:formatCode>General</c:formatCode>
                <c:ptCount val="2"/>
                <c:pt idx="0">
                  <c:v>0</c:v>
                </c:pt>
                <c:pt idx="1">
                  <c:v>5</c:v>
                </c:pt>
              </c:numCache>
            </c:numRef>
          </c:yVal>
          <c:smooth val="1"/>
          <c:extLst>
            <c:ext xmlns:c16="http://schemas.microsoft.com/office/drawing/2014/chart" uri="{C3380CC4-5D6E-409C-BE32-E72D297353CC}">
              <c16:uniqueId val="{00000007-28C7-4862-86E9-AF862A5BA0AD}"/>
            </c:ext>
          </c:extLst>
        </c:ser>
        <c:ser>
          <c:idx val="4"/>
          <c:order val="4"/>
          <c:tx>
            <c:strRef>
              <c:f>'Notes | Quant Analysis'!$O$216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6.5176071741032376E-2"/>
                  <c:y val="-1.8649971385155804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Analysis'!$P$216:$P$217</c:f>
              <c:numCache>
                <c:formatCode>0.00%</c:formatCode>
                <c:ptCount val="2"/>
                <c:pt idx="0">
                  <c:v>-5.2807855971192155E-2</c:v>
                </c:pt>
                <c:pt idx="1">
                  <c:v>-5.2807855971192155E-2</c:v>
                </c:pt>
              </c:numCache>
            </c:numRef>
          </c:xVal>
          <c:yVal>
            <c:numRef>
              <c:f>'Notes | Quant Analysis'!$Q$216:$Q$217</c:f>
              <c:numCache>
                <c:formatCode>General</c:formatCode>
                <c:ptCount val="2"/>
                <c:pt idx="0">
                  <c:v>0</c:v>
                </c:pt>
                <c:pt idx="1">
                  <c:v>7</c:v>
                </c:pt>
              </c:numCache>
            </c:numRef>
          </c:yVal>
          <c:smooth val="1"/>
          <c:extLst>
            <c:ext xmlns:c16="http://schemas.microsoft.com/office/drawing/2014/chart" uri="{C3380CC4-5D6E-409C-BE32-E72D297353CC}">
              <c16:uniqueId val="{0000000A-28C7-4862-86E9-AF862A5BA0AD}"/>
            </c:ext>
          </c:extLst>
        </c:ser>
        <c:ser>
          <c:idx val="5"/>
          <c:order val="5"/>
          <c:tx>
            <c:strRef>
              <c:f>'Notes | Quant Analysis'!$O$218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5.5055008748906439E-2"/>
                  <c:y val="-3.7549187930456064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-2.589996917810914E-2</c:v>
                </c:pt>
                <c:pt idx="1">
                  <c:v>-2.589996917810914E-2</c:v>
                </c:pt>
              </c:numCache>
            </c:numRef>
          </c:xVal>
          <c:yVal>
            <c:numRef>
              <c:f>'Notes | Quant Analysis'!$Q$218:$Q$219</c:f>
              <c:numCache>
                <c:formatCode>General</c:formatCode>
                <c:ptCount val="2"/>
                <c:pt idx="0">
                  <c:v>0</c:v>
                </c:pt>
                <c:pt idx="1">
                  <c:v>10</c:v>
                </c:pt>
              </c:numCache>
            </c:numRef>
          </c:yVal>
          <c:smooth val="1"/>
          <c:extLst>
            <c:ext xmlns:c16="http://schemas.microsoft.com/office/drawing/2014/chart" uri="{C3380CC4-5D6E-409C-BE32-E72D297353CC}">
              <c16:uniqueId val="{0000000D-28C7-4862-86E9-AF862A5BA0AD}"/>
            </c:ext>
          </c:extLst>
        </c:ser>
        <c:ser>
          <c:idx val="6"/>
          <c:order val="6"/>
          <c:tx>
            <c:strRef>
              <c:f>'Notes | Quant Analysis'!$O$220</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804899387676E-2"/>
                  <c:y val="-3.253665660213526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2.7915804408056889E-2</c:v>
                </c:pt>
                <c:pt idx="1">
                  <c:v>2.7915804408056889E-2</c:v>
                </c:pt>
              </c:numCache>
            </c:numRef>
          </c:xVal>
          <c:yVal>
            <c:numRef>
              <c:f>'Notes | Quant Analysis'!$Q$220:$Q$221</c:f>
              <c:numCache>
                <c:formatCode>General</c:formatCode>
                <c:ptCount val="2"/>
                <c:pt idx="0">
                  <c:v>0</c:v>
                </c:pt>
                <c:pt idx="1">
                  <c:v>10</c:v>
                </c:pt>
              </c:numCache>
            </c:numRef>
          </c:yVal>
          <c:smooth val="1"/>
          <c:extLst>
            <c:ext xmlns:c16="http://schemas.microsoft.com/office/drawing/2014/chart" uri="{C3380CC4-5D6E-409C-BE32-E72D297353CC}">
              <c16:uniqueId val="{0000000F-28C7-4862-86E9-AF862A5BA0AD}"/>
            </c:ext>
          </c:extLst>
        </c:ser>
        <c:ser>
          <c:idx val="7"/>
          <c:order val="7"/>
          <c:tx>
            <c:strRef>
              <c:f>'Notes | Quant Analysis'!$O$222</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2.5460373646870892E-2"/>
                  <c:y val="-2.130345245305884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Analysis'!$P$222:$P$223</c:f>
              <c:numCache>
                <c:formatCode>0.00%</c:formatCode>
                <c:ptCount val="2"/>
                <c:pt idx="0">
                  <c:v>5.4823691201139904E-2</c:v>
                </c:pt>
                <c:pt idx="1">
                  <c:v>5.4823691201139904E-2</c:v>
                </c:pt>
              </c:numCache>
            </c:numRef>
          </c:xVal>
          <c:yVal>
            <c:numRef>
              <c:f>'Notes | Quant Analysis'!$Q$222:$Q$223</c:f>
              <c:numCache>
                <c:formatCode>General</c:formatCode>
                <c:ptCount val="2"/>
                <c:pt idx="0">
                  <c:v>0</c:v>
                </c:pt>
                <c:pt idx="1">
                  <c:v>7</c:v>
                </c:pt>
              </c:numCache>
            </c:numRef>
          </c:yVal>
          <c:smooth val="1"/>
          <c:extLst>
            <c:ext xmlns:c16="http://schemas.microsoft.com/office/drawing/2014/chart" uri="{C3380CC4-5D6E-409C-BE32-E72D297353CC}">
              <c16:uniqueId val="{00000012-28C7-4862-86E9-AF862A5BA0AD}"/>
            </c:ext>
          </c:extLst>
        </c:ser>
        <c:ser>
          <c:idx val="8"/>
          <c:order val="8"/>
          <c:tx>
            <c:strRef>
              <c:f>'Notes | Quant Analysis'!$O$224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3.7202209098862744E-2"/>
                  <c:y val="-2.665778619777800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Analysis'!$P$224:$P$225</c:f>
              <c:numCache>
                <c:formatCode>0.00%</c:formatCode>
                <c:ptCount val="2"/>
                <c:pt idx="0">
                  <c:v>8.1731577994222926E-2</c:v>
                </c:pt>
                <c:pt idx="1">
                  <c:v>8.1731577994222926E-2</c:v>
                </c:pt>
              </c:numCache>
            </c:numRef>
          </c:xVal>
          <c:yVal>
            <c:numRef>
              <c:f>'Notes | Quant Analysis'!$Q$224:$Q$225</c:f>
              <c:numCache>
                <c:formatCode>General</c:formatCode>
                <c:ptCount val="2"/>
                <c:pt idx="0">
                  <c:v>0</c:v>
                </c:pt>
                <c:pt idx="1">
                  <c:v>5</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9.0000000000000024E-2"/>
          <c:min val="-9.0000000000000024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(NVDA) Revenue by Segment (in $ millions)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95635933687367E-2"/>
          <c:y val="0.16630261573867286"/>
          <c:w val="0.89268256836907955"/>
          <c:h val="0.74917903495450422"/>
        </c:manualLayout>
      </c:layout>
      <c:barChart>
        <c:barDir val="col"/>
        <c:grouping val="stacked"/>
        <c:varyColors val="0"/>
        <c:ser>
          <c:idx val="2"/>
          <c:order val="0"/>
          <c:tx>
            <c:strRef>
              <c:f>Model!$B$8</c:f>
              <c:strCache>
                <c:ptCount val="1"/>
                <c:pt idx="0">
                  <c:v>Professional Visualization </c:v>
                </c:pt>
              </c:strCache>
            </c:strRef>
          </c:tx>
          <c:spPr>
            <a:solidFill>
              <a:srgbClr val="62983E"/>
            </a:solidFill>
            <a:ln>
              <a:noFill/>
            </a:ln>
            <a:effectLst/>
          </c:spPr>
          <c:invertIfNegative val="0"/>
          <c:cat>
            <c:strRef>
              <c:f>Model!$AM$1:$BO$1</c:f>
              <c:strCache>
                <c:ptCount val="29"/>
                <c:pt idx="0">
                  <c:v>Q1 2018</c:v>
                </c:pt>
                <c:pt idx="4">
                  <c:v>Q1 2019</c:v>
                </c:pt>
                <c:pt idx="8">
                  <c:v>Q1 2020</c:v>
                </c:pt>
                <c:pt idx="12">
                  <c:v>Q1 2021</c:v>
                </c:pt>
                <c:pt idx="16">
                  <c:v>Q1 2022</c:v>
                </c:pt>
                <c:pt idx="20">
                  <c:v>Q1 2023</c:v>
                </c:pt>
                <c:pt idx="24">
                  <c:v>Q1 2024</c:v>
                </c:pt>
                <c:pt idx="28">
                  <c:v>Q1 2025</c:v>
                </c:pt>
              </c:strCache>
            </c:strRef>
          </c:cat>
          <c:val>
            <c:numRef>
              <c:f>Model!$AM$8:$BP$8</c:f>
              <c:numCache>
                <c:formatCode>General</c:formatCode>
                <c:ptCount val="30"/>
                <c:pt idx="0">
                  <c:v>701</c:v>
                </c:pt>
                <c:pt idx="1">
                  <c:v>760</c:v>
                </c:pt>
                <c:pt idx="2">
                  <c:v>792</c:v>
                </c:pt>
                <c:pt idx="3">
                  <c:v>679</c:v>
                </c:pt>
                <c:pt idx="4">
                  <c:v>634</c:v>
                </c:pt>
                <c:pt idx="5">
                  <c:v>655</c:v>
                </c:pt>
                <c:pt idx="6">
                  <c:v>726</c:v>
                </c:pt>
                <c:pt idx="7">
                  <c:v>968</c:v>
                </c:pt>
                <c:pt idx="8">
                  <c:v>307</c:v>
                </c:pt>
                <c:pt idx="9">
                  <c:v>203</c:v>
                </c:pt>
                <c:pt idx="10">
                  <c:v>236</c:v>
                </c:pt>
                <c:pt idx="11">
                  <c:v>307</c:v>
                </c:pt>
                <c:pt idx="12">
                  <c:v>372</c:v>
                </c:pt>
                <c:pt idx="13">
                  <c:v>519</c:v>
                </c:pt>
                <c:pt idx="14">
                  <c:v>577</c:v>
                </c:pt>
                <c:pt idx="15">
                  <c:v>643</c:v>
                </c:pt>
                <c:pt idx="16">
                  <c:v>622</c:v>
                </c:pt>
                <c:pt idx="17">
                  <c:v>496</c:v>
                </c:pt>
                <c:pt idx="18">
                  <c:v>200</c:v>
                </c:pt>
                <c:pt idx="19">
                  <c:v>226</c:v>
                </c:pt>
                <c:pt idx="20">
                  <c:v>295</c:v>
                </c:pt>
                <c:pt idx="21">
                  <c:v>379</c:v>
                </c:pt>
                <c:pt idx="22">
                  <c:v>416</c:v>
                </c:pt>
                <c:pt idx="23">
                  <c:v>463</c:v>
                </c:pt>
                <c:pt idx="24">
                  <c:v>427</c:v>
                </c:pt>
                <c:pt idx="25">
                  <c:v>454</c:v>
                </c:pt>
                <c:pt idx="26">
                  <c:v>486</c:v>
                </c:pt>
                <c:pt idx="27">
                  <c:v>511</c:v>
                </c:pt>
                <c:pt idx="28">
                  <c:v>509</c:v>
                </c:pt>
                <c:pt idx="29">
                  <c:v>601</c:v>
                </c:pt>
              </c:numCache>
            </c:numRef>
          </c:val>
          <c:extLst>
            <c:ext xmlns:c16="http://schemas.microsoft.com/office/drawing/2014/chart" uri="{C3380CC4-5D6E-409C-BE32-E72D297353CC}">
              <c16:uniqueId val="{00000002-8BD6-4AF8-A693-29970EDA7F21}"/>
            </c:ext>
          </c:extLst>
        </c:ser>
        <c:ser>
          <c:idx val="3"/>
          <c:order val="1"/>
          <c:tx>
            <c:strRef>
              <c:f>Model!$B$9</c:f>
              <c:strCache>
                <c:ptCount val="1"/>
                <c:pt idx="0">
                  <c:v>Automotive</c:v>
                </c:pt>
              </c:strCache>
            </c:strRef>
          </c:tx>
          <c:spPr>
            <a:solidFill>
              <a:srgbClr val="78B74D"/>
            </a:solidFill>
            <a:ln>
              <a:noFill/>
            </a:ln>
            <a:effectLst/>
          </c:spPr>
          <c:invertIfNegative val="0"/>
          <c:cat>
            <c:strRef>
              <c:f>Model!$AM$1:$BO$1</c:f>
              <c:strCache>
                <c:ptCount val="29"/>
                <c:pt idx="0">
                  <c:v>Q1 2018</c:v>
                </c:pt>
                <c:pt idx="4">
                  <c:v>Q1 2019</c:v>
                </c:pt>
                <c:pt idx="8">
                  <c:v>Q1 2020</c:v>
                </c:pt>
                <c:pt idx="12">
                  <c:v>Q1 2021</c:v>
                </c:pt>
                <c:pt idx="16">
                  <c:v>Q1 2022</c:v>
                </c:pt>
                <c:pt idx="20">
                  <c:v>Q1 2023</c:v>
                </c:pt>
                <c:pt idx="24">
                  <c:v>Q1 2024</c:v>
                </c:pt>
                <c:pt idx="28">
                  <c:v>Q1 2025</c:v>
                </c:pt>
              </c:strCache>
            </c:strRef>
          </c:cat>
          <c:val>
            <c:numRef>
              <c:f>Model!$AM$9:$BP$9</c:f>
              <c:numCache>
                <c:formatCode>General</c:formatCode>
                <c:ptCount val="30"/>
                <c:pt idx="0">
                  <c:v>145</c:v>
                </c:pt>
                <c:pt idx="1">
                  <c:v>161</c:v>
                </c:pt>
                <c:pt idx="2">
                  <c:v>172</c:v>
                </c:pt>
                <c:pt idx="3">
                  <c:v>163</c:v>
                </c:pt>
                <c:pt idx="4">
                  <c:v>166</c:v>
                </c:pt>
                <c:pt idx="5">
                  <c:v>209</c:v>
                </c:pt>
                <c:pt idx="6">
                  <c:v>162</c:v>
                </c:pt>
                <c:pt idx="7">
                  <c:v>163</c:v>
                </c:pt>
                <c:pt idx="8">
                  <c:v>155</c:v>
                </c:pt>
                <c:pt idx="9">
                  <c:v>111</c:v>
                </c:pt>
                <c:pt idx="10">
                  <c:v>125</c:v>
                </c:pt>
                <c:pt idx="11">
                  <c:v>145</c:v>
                </c:pt>
                <c:pt idx="12">
                  <c:v>154</c:v>
                </c:pt>
                <c:pt idx="13">
                  <c:v>152</c:v>
                </c:pt>
                <c:pt idx="14">
                  <c:v>135</c:v>
                </c:pt>
                <c:pt idx="15">
                  <c:v>125</c:v>
                </c:pt>
                <c:pt idx="16">
                  <c:v>138</c:v>
                </c:pt>
                <c:pt idx="17">
                  <c:v>220</c:v>
                </c:pt>
                <c:pt idx="18">
                  <c:v>251</c:v>
                </c:pt>
                <c:pt idx="19">
                  <c:v>294</c:v>
                </c:pt>
                <c:pt idx="20">
                  <c:v>296</c:v>
                </c:pt>
                <c:pt idx="21">
                  <c:v>253</c:v>
                </c:pt>
                <c:pt idx="22">
                  <c:v>261</c:v>
                </c:pt>
                <c:pt idx="23">
                  <c:v>281</c:v>
                </c:pt>
                <c:pt idx="24">
                  <c:v>329</c:v>
                </c:pt>
                <c:pt idx="25">
                  <c:v>346</c:v>
                </c:pt>
                <c:pt idx="26">
                  <c:v>449</c:v>
                </c:pt>
                <c:pt idx="27">
                  <c:v>570</c:v>
                </c:pt>
                <c:pt idx="28">
                  <c:v>567</c:v>
                </c:pt>
                <c:pt idx="29">
                  <c:v>586</c:v>
                </c:pt>
              </c:numCache>
            </c:numRef>
          </c:val>
          <c:extLst>
            <c:ext xmlns:c16="http://schemas.microsoft.com/office/drawing/2014/chart" uri="{C3380CC4-5D6E-409C-BE32-E72D297353CC}">
              <c16:uniqueId val="{00000003-8BD6-4AF8-A693-29970EDA7F21}"/>
            </c:ext>
          </c:extLst>
        </c:ser>
        <c:ser>
          <c:idx val="4"/>
          <c:order val="2"/>
          <c:tx>
            <c:strRef>
              <c:f>Model!$B$10</c:f>
              <c:strCache>
                <c:ptCount val="1"/>
                <c:pt idx="0">
                  <c:v>OEM &amp; Other </c:v>
                </c:pt>
              </c:strCache>
            </c:strRef>
          </c:tx>
          <c:spPr>
            <a:solidFill>
              <a:srgbClr val="95C674"/>
            </a:solidFill>
            <a:ln>
              <a:noFill/>
            </a:ln>
            <a:effectLst/>
          </c:spPr>
          <c:invertIfNegative val="0"/>
          <c:cat>
            <c:strRef>
              <c:f>Model!$AM$1:$BO$1</c:f>
              <c:strCache>
                <c:ptCount val="29"/>
                <c:pt idx="0">
                  <c:v>Q1 2018</c:v>
                </c:pt>
                <c:pt idx="4">
                  <c:v>Q1 2019</c:v>
                </c:pt>
                <c:pt idx="8">
                  <c:v>Q1 2020</c:v>
                </c:pt>
                <c:pt idx="12">
                  <c:v>Q1 2021</c:v>
                </c:pt>
                <c:pt idx="16">
                  <c:v>Q1 2022</c:v>
                </c:pt>
                <c:pt idx="20">
                  <c:v>Q1 2023</c:v>
                </c:pt>
                <c:pt idx="24">
                  <c:v>Q1 2024</c:v>
                </c:pt>
                <c:pt idx="28">
                  <c:v>Q1 2025</c:v>
                </c:pt>
              </c:strCache>
            </c:strRef>
          </c:cat>
          <c:val>
            <c:numRef>
              <c:f>Model!$AM$10:$BP$10</c:f>
              <c:numCache>
                <c:formatCode>General</c:formatCode>
                <c:ptCount val="30"/>
                <c:pt idx="0">
                  <c:v>387</c:v>
                </c:pt>
                <c:pt idx="1">
                  <c:v>116</c:v>
                </c:pt>
                <c:pt idx="2">
                  <c:v>148</c:v>
                </c:pt>
                <c:pt idx="3">
                  <c:v>116</c:v>
                </c:pt>
                <c:pt idx="4">
                  <c:v>99</c:v>
                </c:pt>
                <c:pt idx="5">
                  <c:v>111</c:v>
                </c:pt>
                <c:pt idx="6">
                  <c:v>143</c:v>
                </c:pt>
                <c:pt idx="7">
                  <c:v>152</c:v>
                </c:pt>
                <c:pt idx="8">
                  <c:v>138</c:v>
                </c:pt>
                <c:pt idx="9">
                  <c:v>146</c:v>
                </c:pt>
                <c:pt idx="10">
                  <c:v>194</c:v>
                </c:pt>
                <c:pt idx="11">
                  <c:v>153</c:v>
                </c:pt>
                <c:pt idx="12">
                  <c:v>327</c:v>
                </c:pt>
                <c:pt idx="13">
                  <c:v>409</c:v>
                </c:pt>
                <c:pt idx="14">
                  <c:v>234</c:v>
                </c:pt>
                <c:pt idx="15">
                  <c:v>192</c:v>
                </c:pt>
                <c:pt idx="16">
                  <c:v>158</c:v>
                </c:pt>
                <c:pt idx="17">
                  <c:v>140</c:v>
                </c:pt>
                <c:pt idx="18">
                  <c:v>73</c:v>
                </c:pt>
                <c:pt idx="19">
                  <c:v>84</c:v>
                </c:pt>
                <c:pt idx="20">
                  <c:v>77</c:v>
                </c:pt>
                <c:pt idx="21">
                  <c:v>66</c:v>
                </c:pt>
                <c:pt idx="22">
                  <c:v>73</c:v>
                </c:pt>
                <c:pt idx="23">
                  <c:v>90</c:v>
                </c:pt>
                <c:pt idx="24">
                  <c:v>78</c:v>
                </c:pt>
                <c:pt idx="25">
                  <c:v>88</c:v>
                </c:pt>
                <c:pt idx="26">
                  <c:v>97</c:v>
                </c:pt>
                <c:pt idx="27">
                  <c:v>126</c:v>
                </c:pt>
                <c:pt idx="28">
                  <c:v>111</c:v>
                </c:pt>
                <c:pt idx="29">
                  <c:v>173</c:v>
                </c:pt>
              </c:numCache>
            </c:numRef>
          </c:val>
          <c:extLst>
            <c:ext xmlns:c16="http://schemas.microsoft.com/office/drawing/2014/chart" uri="{C3380CC4-5D6E-409C-BE32-E72D297353CC}">
              <c16:uniqueId val="{00000004-8BD6-4AF8-A693-29970EDA7F21}"/>
            </c:ext>
          </c:extLst>
        </c:ser>
        <c:ser>
          <c:idx val="1"/>
          <c:order val="3"/>
          <c:tx>
            <c:strRef>
              <c:f>Model!$B$7</c:f>
              <c:strCache>
                <c:ptCount val="1"/>
                <c:pt idx="0">
                  <c:v>Gaming </c:v>
                </c:pt>
              </c:strCache>
            </c:strRef>
          </c:tx>
          <c:spPr>
            <a:solidFill>
              <a:srgbClr val="BBDAA6"/>
            </a:solidFill>
            <a:ln>
              <a:noFill/>
            </a:ln>
            <a:effectLst/>
          </c:spPr>
          <c:invertIfNegative val="0"/>
          <c:cat>
            <c:strRef>
              <c:f>Model!$AM$1:$BO$1</c:f>
              <c:strCache>
                <c:ptCount val="29"/>
                <c:pt idx="0">
                  <c:v>Q1 2018</c:v>
                </c:pt>
                <c:pt idx="4">
                  <c:v>Q1 2019</c:v>
                </c:pt>
                <c:pt idx="8">
                  <c:v>Q1 2020</c:v>
                </c:pt>
                <c:pt idx="12">
                  <c:v>Q1 2021</c:v>
                </c:pt>
                <c:pt idx="16">
                  <c:v>Q1 2022</c:v>
                </c:pt>
                <c:pt idx="20">
                  <c:v>Q1 2023</c:v>
                </c:pt>
                <c:pt idx="24">
                  <c:v>Q1 2024</c:v>
                </c:pt>
                <c:pt idx="28">
                  <c:v>Q1 2025</c:v>
                </c:pt>
              </c:strCache>
            </c:strRef>
          </c:cat>
          <c:val>
            <c:numRef>
              <c:f>Model!$AM$7:$BP$7</c:f>
              <c:numCache>
                <c:formatCode>General</c:formatCode>
                <c:ptCount val="30"/>
                <c:pt idx="0">
                  <c:v>251</c:v>
                </c:pt>
                <c:pt idx="1">
                  <c:v>281</c:v>
                </c:pt>
                <c:pt idx="2">
                  <c:v>305</c:v>
                </c:pt>
                <c:pt idx="3">
                  <c:v>293</c:v>
                </c:pt>
                <c:pt idx="4">
                  <c:v>266</c:v>
                </c:pt>
                <c:pt idx="5">
                  <c:v>291</c:v>
                </c:pt>
                <c:pt idx="6">
                  <c:v>324</c:v>
                </c:pt>
                <c:pt idx="7">
                  <c:v>331</c:v>
                </c:pt>
                <c:pt idx="8">
                  <c:v>1141</c:v>
                </c:pt>
                <c:pt idx="9">
                  <c:v>1752</c:v>
                </c:pt>
                <c:pt idx="10">
                  <c:v>1900</c:v>
                </c:pt>
                <c:pt idx="11">
                  <c:v>1903</c:v>
                </c:pt>
                <c:pt idx="12">
                  <c:v>2048</c:v>
                </c:pt>
                <c:pt idx="13">
                  <c:v>2366</c:v>
                </c:pt>
                <c:pt idx="14">
                  <c:v>3221</c:v>
                </c:pt>
                <c:pt idx="15">
                  <c:v>4827</c:v>
                </c:pt>
                <c:pt idx="16">
                  <c:v>3620</c:v>
                </c:pt>
                <c:pt idx="17">
                  <c:v>2042</c:v>
                </c:pt>
                <c:pt idx="18">
                  <c:v>1574</c:v>
                </c:pt>
                <c:pt idx="19">
                  <c:v>1831</c:v>
                </c:pt>
                <c:pt idx="20">
                  <c:v>2240</c:v>
                </c:pt>
                <c:pt idx="21">
                  <c:v>2486</c:v>
                </c:pt>
                <c:pt idx="22">
                  <c:v>2856</c:v>
                </c:pt>
                <c:pt idx="23">
                  <c:v>2865</c:v>
                </c:pt>
                <c:pt idx="24">
                  <c:v>2647</c:v>
                </c:pt>
                <c:pt idx="25">
                  <c:v>2880</c:v>
                </c:pt>
                <c:pt idx="26">
                  <c:v>3279</c:v>
                </c:pt>
                <c:pt idx="27">
                  <c:v>2544</c:v>
                </c:pt>
                <c:pt idx="28">
                  <c:v>3763</c:v>
                </c:pt>
                <c:pt idx="29">
                  <c:v>4287</c:v>
                </c:pt>
              </c:numCache>
            </c:numRef>
          </c:val>
          <c:extLst>
            <c:ext xmlns:c16="http://schemas.microsoft.com/office/drawing/2014/chart" uri="{C3380CC4-5D6E-409C-BE32-E72D297353CC}">
              <c16:uniqueId val="{00000001-8BD6-4AF8-A693-29970EDA7F21}"/>
            </c:ext>
          </c:extLst>
        </c:ser>
        <c:ser>
          <c:idx val="0"/>
          <c:order val="4"/>
          <c:tx>
            <c:strRef>
              <c:f>Model!$B$6</c:f>
              <c:strCache>
                <c:ptCount val="1"/>
                <c:pt idx="0">
                  <c:v>Data Center</c:v>
                </c:pt>
              </c:strCache>
            </c:strRef>
          </c:tx>
          <c:spPr>
            <a:solidFill>
              <a:srgbClr val="A7BCE3"/>
            </a:solidFill>
            <a:ln>
              <a:noFill/>
            </a:ln>
            <a:effectLst/>
          </c:spPr>
          <c:invertIfNegative val="0"/>
          <c:cat>
            <c:strRef>
              <c:f>Model!$AM$1:$BO$1</c:f>
              <c:strCache>
                <c:ptCount val="29"/>
                <c:pt idx="0">
                  <c:v>Q1 2018</c:v>
                </c:pt>
                <c:pt idx="4">
                  <c:v>Q1 2019</c:v>
                </c:pt>
                <c:pt idx="8">
                  <c:v>Q1 2020</c:v>
                </c:pt>
                <c:pt idx="12">
                  <c:v>Q1 2021</c:v>
                </c:pt>
                <c:pt idx="16">
                  <c:v>Q1 2022</c:v>
                </c:pt>
                <c:pt idx="20">
                  <c:v>Q1 2023</c:v>
                </c:pt>
                <c:pt idx="24">
                  <c:v>Q1 2024</c:v>
                </c:pt>
                <c:pt idx="28">
                  <c:v>Q1 2025</c:v>
                </c:pt>
              </c:strCache>
            </c:strRef>
          </c:cat>
          <c:val>
            <c:numRef>
              <c:f>Model!$AM$6:$BP$6</c:f>
              <c:numCache>
                <c:formatCode>General</c:formatCode>
                <c:ptCount val="30"/>
                <c:pt idx="0">
                  <c:v>1723</c:v>
                </c:pt>
                <c:pt idx="1">
                  <c:v>1805</c:v>
                </c:pt>
                <c:pt idx="2">
                  <c:v>1764</c:v>
                </c:pt>
                <c:pt idx="3">
                  <c:v>954</c:v>
                </c:pt>
                <c:pt idx="4">
                  <c:v>1055</c:v>
                </c:pt>
                <c:pt idx="5">
                  <c:v>1313</c:v>
                </c:pt>
                <c:pt idx="6">
                  <c:v>1659</c:v>
                </c:pt>
                <c:pt idx="7">
                  <c:v>1491</c:v>
                </c:pt>
                <c:pt idx="8">
                  <c:v>1339</c:v>
                </c:pt>
                <c:pt idx="9">
                  <c:v>1654</c:v>
                </c:pt>
                <c:pt idx="10">
                  <c:v>2271</c:v>
                </c:pt>
                <c:pt idx="11">
                  <c:v>2495</c:v>
                </c:pt>
                <c:pt idx="12">
                  <c:v>2760</c:v>
                </c:pt>
                <c:pt idx="13">
                  <c:v>3061</c:v>
                </c:pt>
                <c:pt idx="14">
                  <c:v>2936</c:v>
                </c:pt>
                <c:pt idx="15">
                  <c:v>1856</c:v>
                </c:pt>
                <c:pt idx="16">
                  <c:v>3750</c:v>
                </c:pt>
                <c:pt idx="17">
                  <c:v>3806</c:v>
                </c:pt>
                <c:pt idx="18">
                  <c:v>3833</c:v>
                </c:pt>
                <c:pt idx="19">
                  <c:v>3616</c:v>
                </c:pt>
                <c:pt idx="20">
                  <c:v>4284</c:v>
                </c:pt>
                <c:pt idx="21">
                  <c:v>10323</c:v>
                </c:pt>
                <c:pt idx="22">
                  <c:v>14514</c:v>
                </c:pt>
                <c:pt idx="23">
                  <c:v>18404</c:v>
                </c:pt>
                <c:pt idx="24">
                  <c:v>22563</c:v>
                </c:pt>
                <c:pt idx="25">
                  <c:v>26272</c:v>
                </c:pt>
                <c:pt idx="26">
                  <c:v>30771</c:v>
                </c:pt>
                <c:pt idx="27">
                  <c:v>35580</c:v>
                </c:pt>
                <c:pt idx="28">
                  <c:v>39112</c:v>
                </c:pt>
                <c:pt idx="29">
                  <c:v>41096</c:v>
                </c:pt>
              </c:numCache>
            </c:numRef>
          </c:val>
          <c:extLst>
            <c:ext xmlns:c16="http://schemas.microsoft.com/office/drawing/2014/chart" uri="{C3380CC4-5D6E-409C-BE32-E72D297353CC}">
              <c16:uniqueId val="{00000000-8BD6-4AF8-A693-29970EDA7F21}"/>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(NVDA)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strRef>
              <c:f>Model!$B$60</c:f>
              <c:strCache>
                <c:ptCount val="1"/>
                <c:pt idx="0">
                  <c:v>Net Income</c:v>
                </c:pt>
              </c:strCache>
            </c:strRef>
          </c:tx>
          <c:spPr>
            <a:solidFill>
              <a:srgbClr val="00B050"/>
            </a:solidFill>
            <a:ln>
              <a:no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Model!$AM$60:$BP$60</c:f>
              <c:numCache>
                <c:formatCode>General</c:formatCode>
                <c:ptCount val="30"/>
                <c:pt idx="0">
                  <c:v>1244</c:v>
                </c:pt>
                <c:pt idx="1">
                  <c:v>1101</c:v>
                </c:pt>
                <c:pt idx="2">
                  <c:v>1230</c:v>
                </c:pt>
                <c:pt idx="3">
                  <c:v>566</c:v>
                </c:pt>
                <c:pt idx="4">
                  <c:v>394</c:v>
                </c:pt>
                <c:pt idx="5">
                  <c:v>552</c:v>
                </c:pt>
                <c:pt idx="6">
                  <c:v>899</c:v>
                </c:pt>
                <c:pt idx="7">
                  <c:v>951</c:v>
                </c:pt>
                <c:pt idx="8">
                  <c:v>917</c:v>
                </c:pt>
                <c:pt idx="9">
                  <c:v>622</c:v>
                </c:pt>
                <c:pt idx="10">
                  <c:v>1336</c:v>
                </c:pt>
                <c:pt idx="11">
                  <c:v>1457</c:v>
                </c:pt>
                <c:pt idx="12">
                  <c:v>1912</c:v>
                </c:pt>
                <c:pt idx="13">
                  <c:v>2374</c:v>
                </c:pt>
                <c:pt idx="14">
                  <c:v>2464</c:v>
                </c:pt>
                <c:pt idx="15">
                  <c:v>3002</c:v>
                </c:pt>
                <c:pt idx="16">
                  <c:v>1618</c:v>
                </c:pt>
                <c:pt idx="17">
                  <c:v>656</c:v>
                </c:pt>
                <c:pt idx="18">
                  <c:v>680</c:v>
                </c:pt>
                <c:pt idx="19">
                  <c:v>1414</c:v>
                </c:pt>
                <c:pt idx="20">
                  <c:v>2043</c:v>
                </c:pt>
                <c:pt idx="21">
                  <c:v>6188</c:v>
                </c:pt>
                <c:pt idx="22">
                  <c:v>9243</c:v>
                </c:pt>
                <c:pt idx="23">
                  <c:v>12286</c:v>
                </c:pt>
                <c:pt idx="24">
                  <c:v>14881</c:v>
                </c:pt>
                <c:pt idx="25">
                  <c:v>16599</c:v>
                </c:pt>
                <c:pt idx="26">
                  <c:v>19309</c:v>
                </c:pt>
                <c:pt idx="27">
                  <c:v>22091</c:v>
                </c:pt>
                <c:pt idx="28">
                  <c:v>18775</c:v>
                </c:pt>
                <c:pt idx="29">
                  <c:v>26422</c:v>
                </c:pt>
              </c:numCache>
            </c:numRef>
          </c:val>
          <c:extLst>
            <c:ext xmlns:c16="http://schemas.microsoft.com/office/drawing/2014/chart" uri="{C3380CC4-5D6E-409C-BE32-E72D297353CC}">
              <c16:uniqueId val="{00000000-C553-4A9A-8CC2-ACEFE4A668A6}"/>
            </c:ext>
          </c:extLst>
        </c:ser>
        <c:ser>
          <c:idx val="2"/>
          <c:order val="2"/>
          <c:tx>
            <c:v>FCF</c:v>
          </c:tx>
          <c:spPr>
            <a:solidFill>
              <a:srgbClr val="FFC000"/>
            </a:solidFill>
            <a:ln>
              <a:no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Model!$AM$105:$BP$105</c:f>
              <c:numCache>
                <c:formatCode>0</c:formatCode>
                <c:ptCount val="30"/>
                <c:pt idx="0">
                  <c:v>1327</c:v>
                </c:pt>
                <c:pt idx="1">
                  <c:v>784</c:v>
                </c:pt>
                <c:pt idx="2">
                  <c:v>337</c:v>
                </c:pt>
                <c:pt idx="3">
                  <c:v>695</c:v>
                </c:pt>
                <c:pt idx="4">
                  <c:v>592</c:v>
                </c:pt>
                <c:pt idx="5">
                  <c:v>823</c:v>
                </c:pt>
                <c:pt idx="6">
                  <c:v>1537</c:v>
                </c:pt>
                <c:pt idx="7">
                  <c:v>1320</c:v>
                </c:pt>
                <c:pt idx="8">
                  <c:v>754</c:v>
                </c:pt>
                <c:pt idx="9">
                  <c:v>1350</c:v>
                </c:pt>
                <c:pt idx="10">
                  <c:v>806</c:v>
                </c:pt>
                <c:pt idx="11">
                  <c:v>1784</c:v>
                </c:pt>
                <c:pt idx="12">
                  <c:v>1576</c:v>
                </c:pt>
                <c:pt idx="13">
                  <c:v>2499</c:v>
                </c:pt>
                <c:pt idx="14">
                  <c:v>1297</c:v>
                </c:pt>
                <c:pt idx="15">
                  <c:v>2760</c:v>
                </c:pt>
                <c:pt idx="16">
                  <c:v>1370</c:v>
                </c:pt>
                <c:pt idx="17">
                  <c:v>837</c:v>
                </c:pt>
                <c:pt idx="18">
                  <c:v>-138</c:v>
                </c:pt>
                <c:pt idx="19">
                  <c:v>1739</c:v>
                </c:pt>
                <c:pt idx="20">
                  <c:v>2663</c:v>
                </c:pt>
                <c:pt idx="21">
                  <c:v>6059</c:v>
                </c:pt>
                <c:pt idx="22">
                  <c:v>7054</c:v>
                </c:pt>
                <c:pt idx="23">
                  <c:v>11245</c:v>
                </c:pt>
                <c:pt idx="24">
                  <c:v>14976</c:v>
                </c:pt>
                <c:pt idx="25">
                  <c:v>13511</c:v>
                </c:pt>
                <c:pt idx="26">
                  <c:v>16814</c:v>
                </c:pt>
                <c:pt idx="27">
                  <c:v>15552</c:v>
                </c:pt>
                <c:pt idx="28">
                  <c:v>26187</c:v>
                </c:pt>
                <c:pt idx="29">
                  <c:v>15888</c:v>
                </c:pt>
              </c:numCache>
            </c:numRef>
          </c:val>
          <c:extLst>
            <c:ext xmlns:c16="http://schemas.microsoft.com/office/drawing/2014/chart" uri="{C3380CC4-5D6E-409C-BE32-E72D297353CC}">
              <c16:uniqueId val="{00000001-C553-4A9A-8CC2-ACEFE4A668A6}"/>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5400"/>
          </c:spPr>
          <c:marker>
            <c:symbol val="none"/>
          </c:marker>
          <c:cat>
            <c:strRef>
              <c:f>Model!$AM$1:$BO$1</c:f>
              <c:strCache>
                <c:ptCount val="29"/>
                <c:pt idx="0">
                  <c:v>Q1 2018</c:v>
                </c:pt>
                <c:pt idx="4">
                  <c:v>Q1 2019</c:v>
                </c:pt>
                <c:pt idx="8">
                  <c:v>Q1 2020</c:v>
                </c:pt>
                <c:pt idx="12">
                  <c:v>Q1 2021</c:v>
                </c:pt>
                <c:pt idx="16">
                  <c:v>Q1 2022</c:v>
                </c:pt>
                <c:pt idx="20">
                  <c:v>Q1 2023</c:v>
                </c:pt>
                <c:pt idx="24">
                  <c:v>Q1 2024</c:v>
                </c:pt>
                <c:pt idx="28">
                  <c:v>Q1 2025</c:v>
                </c:pt>
              </c:strCache>
            </c:strRef>
          </c:cat>
          <c:val>
            <c:numRef>
              <c:f>Model!$AM$11:$BP$11</c:f>
              <c:numCache>
                <c:formatCode>General</c:formatCode>
                <c:ptCount val="30"/>
                <c:pt idx="0">
                  <c:v>3207</c:v>
                </c:pt>
                <c:pt idx="1">
                  <c:v>3123</c:v>
                </c:pt>
                <c:pt idx="2">
                  <c:v>3181</c:v>
                </c:pt>
                <c:pt idx="3">
                  <c:v>2205</c:v>
                </c:pt>
                <c:pt idx="4">
                  <c:v>2220</c:v>
                </c:pt>
                <c:pt idx="5">
                  <c:v>2579</c:v>
                </c:pt>
                <c:pt idx="6">
                  <c:v>3014</c:v>
                </c:pt>
                <c:pt idx="7">
                  <c:v>3105</c:v>
                </c:pt>
                <c:pt idx="8">
                  <c:v>3080</c:v>
                </c:pt>
                <c:pt idx="9">
                  <c:v>3866</c:v>
                </c:pt>
                <c:pt idx="10">
                  <c:v>4726</c:v>
                </c:pt>
                <c:pt idx="11">
                  <c:v>5003</c:v>
                </c:pt>
                <c:pt idx="12">
                  <c:v>5661</c:v>
                </c:pt>
                <c:pt idx="13">
                  <c:v>6507</c:v>
                </c:pt>
                <c:pt idx="14">
                  <c:v>7103</c:v>
                </c:pt>
                <c:pt idx="15">
                  <c:v>7643</c:v>
                </c:pt>
                <c:pt idx="16">
                  <c:v>8288</c:v>
                </c:pt>
                <c:pt idx="17">
                  <c:v>6704</c:v>
                </c:pt>
                <c:pt idx="18">
                  <c:v>5931</c:v>
                </c:pt>
                <c:pt idx="19">
                  <c:v>6051</c:v>
                </c:pt>
                <c:pt idx="20">
                  <c:v>7192</c:v>
                </c:pt>
                <c:pt idx="21">
                  <c:v>13507</c:v>
                </c:pt>
                <c:pt idx="22">
                  <c:v>18120</c:v>
                </c:pt>
                <c:pt idx="23">
                  <c:v>22103</c:v>
                </c:pt>
                <c:pt idx="24">
                  <c:v>26044</c:v>
                </c:pt>
                <c:pt idx="25">
                  <c:v>30040</c:v>
                </c:pt>
                <c:pt idx="26">
                  <c:v>35082</c:v>
                </c:pt>
                <c:pt idx="27">
                  <c:v>39331</c:v>
                </c:pt>
                <c:pt idx="28">
                  <c:v>44062</c:v>
                </c:pt>
                <c:pt idx="29">
                  <c:v>46743</c:v>
                </c:pt>
              </c:numCache>
            </c:numRef>
          </c:val>
          <c:smooth val="0"/>
          <c:extLst>
            <c:ext xmlns:c16="http://schemas.microsoft.com/office/drawing/2014/chart" uri="{C3380CC4-5D6E-409C-BE32-E72D297353CC}">
              <c16:uniqueId val="{00000002-C553-4A9A-8CC2-ACEFE4A668A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(NVDA) Annualized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solidFill>
                <a:srgbClr val="00B05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Model!$CE$60:$CT$60</c:f>
              <c:numCache>
                <c:formatCode>0</c:formatCode>
                <c:ptCount val="16"/>
                <c:pt idx="0">
                  <c:v>-68.099999999999824</c:v>
                </c:pt>
                <c:pt idx="1">
                  <c:v>253.19999999999996</c:v>
                </c:pt>
                <c:pt idx="2">
                  <c:v>581.1</c:v>
                </c:pt>
                <c:pt idx="3">
                  <c:v>562.49999999999989</c:v>
                </c:pt>
                <c:pt idx="4">
                  <c:v>439.79999999999995</c:v>
                </c:pt>
                <c:pt idx="5">
                  <c:v>631</c:v>
                </c:pt>
                <c:pt idx="6">
                  <c:v>614</c:v>
                </c:pt>
                <c:pt idx="7">
                  <c:v>1666</c:v>
                </c:pt>
                <c:pt idx="8">
                  <c:v>3047</c:v>
                </c:pt>
                <c:pt idx="9">
                  <c:v>4141</c:v>
                </c:pt>
                <c:pt idx="10">
                  <c:v>2796</c:v>
                </c:pt>
                <c:pt idx="11">
                  <c:v>4332</c:v>
                </c:pt>
                <c:pt idx="12">
                  <c:v>9752</c:v>
                </c:pt>
                <c:pt idx="13">
                  <c:v>4368</c:v>
                </c:pt>
                <c:pt idx="14">
                  <c:v>29760</c:v>
                </c:pt>
                <c:pt idx="15">
                  <c:v>72880</c:v>
                </c:pt>
              </c:numCache>
            </c:numRef>
          </c:val>
          <c:extLst>
            <c:ext xmlns:c16="http://schemas.microsoft.com/office/drawing/2014/chart" uri="{C3380CC4-5D6E-409C-BE32-E72D297353CC}">
              <c16:uniqueId val="{00000000-A6D6-49AA-91A4-B73965138D81}"/>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Model!$CE$105:$CT$105</c:f>
              <c:numCache>
                <c:formatCode>0</c:formatCode>
                <c:ptCount val="16"/>
                <c:pt idx="0">
                  <c:v>408</c:v>
                </c:pt>
                <c:pt idx="1">
                  <c:v>577</c:v>
                </c:pt>
                <c:pt idx="2">
                  <c:v>770</c:v>
                </c:pt>
                <c:pt idx="3">
                  <c:v>642</c:v>
                </c:pt>
                <c:pt idx="4">
                  <c:v>579.90000000000009</c:v>
                </c:pt>
                <c:pt idx="5">
                  <c:v>784</c:v>
                </c:pt>
                <c:pt idx="6">
                  <c:v>1089</c:v>
                </c:pt>
                <c:pt idx="7">
                  <c:v>1496</c:v>
                </c:pt>
                <c:pt idx="8">
                  <c:v>2909</c:v>
                </c:pt>
                <c:pt idx="9">
                  <c:v>3143</c:v>
                </c:pt>
                <c:pt idx="10">
                  <c:v>4272</c:v>
                </c:pt>
                <c:pt idx="11">
                  <c:v>4694</c:v>
                </c:pt>
                <c:pt idx="12">
                  <c:v>8132</c:v>
                </c:pt>
                <c:pt idx="13">
                  <c:v>3808</c:v>
                </c:pt>
                <c:pt idx="14">
                  <c:v>27021</c:v>
                </c:pt>
                <c:pt idx="15">
                  <c:v>60853</c:v>
                </c:pt>
              </c:numCache>
            </c:numRef>
          </c:val>
          <c:extLst>
            <c:ext xmlns:c16="http://schemas.microsoft.com/office/drawing/2014/chart" uri="{C3380CC4-5D6E-409C-BE32-E72D297353CC}">
              <c16:uniqueId val="{00000001-A6D6-49AA-91A4-B73965138D81}"/>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5400">
              <a:solidFill>
                <a:srgbClr val="00B0F0"/>
              </a:solidFill>
            </a:ln>
          </c:spPr>
          <c:marker>
            <c:symbol val="none"/>
          </c:marker>
          <c:cat>
            <c:numRef>
              <c:f>Model!$CE$3:$CT$3</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Model!$CE$48:$CT$48</c:f>
              <c:numCache>
                <c:formatCode>0</c:formatCode>
                <c:ptCount val="16"/>
                <c:pt idx="0">
                  <c:v>3326.4</c:v>
                </c:pt>
                <c:pt idx="1">
                  <c:v>3543.3</c:v>
                </c:pt>
                <c:pt idx="2">
                  <c:v>3997.8999999999996</c:v>
                </c:pt>
                <c:pt idx="3">
                  <c:v>4280.2</c:v>
                </c:pt>
                <c:pt idx="4">
                  <c:v>4130</c:v>
                </c:pt>
                <c:pt idx="5">
                  <c:v>4682</c:v>
                </c:pt>
                <c:pt idx="6">
                  <c:v>5010</c:v>
                </c:pt>
                <c:pt idx="7">
                  <c:v>6910</c:v>
                </c:pt>
                <c:pt idx="8">
                  <c:v>9714</c:v>
                </c:pt>
                <c:pt idx="9">
                  <c:v>11716</c:v>
                </c:pt>
                <c:pt idx="10">
                  <c:v>10918</c:v>
                </c:pt>
                <c:pt idx="11">
                  <c:v>16675</c:v>
                </c:pt>
                <c:pt idx="12">
                  <c:v>26914</c:v>
                </c:pt>
                <c:pt idx="13">
                  <c:v>26974</c:v>
                </c:pt>
                <c:pt idx="14">
                  <c:v>60922</c:v>
                </c:pt>
                <c:pt idx="15">
                  <c:v>130497</c:v>
                </c:pt>
              </c:numCache>
            </c:numRef>
          </c:val>
          <c:smooth val="0"/>
          <c:extLst>
            <c:ext xmlns:c16="http://schemas.microsoft.com/office/drawing/2014/chart" uri="{C3380CC4-5D6E-409C-BE32-E72D297353CC}">
              <c16:uniqueId val="{00000002-A6D6-49AA-91A4-B73965138D81}"/>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9.png"/><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image" Target="../media/image8.png"/><Relationship Id="rId5" Type="http://schemas.openxmlformats.org/officeDocument/2006/relationships/image" Target="../media/image5.png"/><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5</xdr:col>
      <xdr:colOff>11206</xdr:colOff>
      <xdr:row>2</xdr:row>
      <xdr:rowOff>11206</xdr:rowOff>
    </xdr:from>
    <xdr:to>
      <xdr:col>7</xdr:col>
      <xdr:colOff>593912</xdr:colOff>
      <xdr:row>9</xdr:row>
      <xdr:rowOff>0</xdr:rowOff>
    </xdr:to>
    <xdr:pic>
      <xdr:nvPicPr>
        <xdr:cNvPr id="2" name="Picture 1">
          <a:extLst>
            <a:ext uri="{FF2B5EF4-FFF2-40B4-BE49-F238E27FC236}">
              <a16:creationId xmlns:a16="http://schemas.microsoft.com/office/drawing/2014/main" id="{3C9C4928-12DC-1AC5-F173-143FA3FE69E8}"/>
            </a:ext>
          </a:extLst>
        </xdr:cNvPr>
        <xdr:cNvPicPr>
          <a:picLocks noChangeAspect="1"/>
        </xdr:cNvPicPr>
      </xdr:nvPicPr>
      <xdr:blipFill>
        <a:blip xmlns:r="http://schemas.openxmlformats.org/officeDocument/2006/relationships" r:embed="rId1"/>
        <a:stretch>
          <a:fillRect/>
        </a:stretch>
      </xdr:blipFill>
      <xdr:spPr>
        <a:xfrm>
          <a:off x="3160059" y="381000"/>
          <a:ext cx="1792941" cy="12438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68</xdr:col>
      <xdr:colOff>0</xdr:colOff>
      <xdr:row>0</xdr:row>
      <xdr:rowOff>0</xdr:rowOff>
    </xdr:from>
    <xdr:to>
      <xdr:col>68</xdr:col>
      <xdr:colOff>1</xdr:colOff>
      <xdr:row>149</xdr:row>
      <xdr:rowOff>33618</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flipH="1">
          <a:off x="43490029" y="0"/>
          <a:ext cx="1" cy="27835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0</xdr:colOff>
      <xdr:row>0</xdr:row>
      <xdr:rowOff>0</xdr:rowOff>
    </xdr:from>
    <xdr:to>
      <xdr:col>98</xdr:col>
      <xdr:colOff>0</xdr:colOff>
      <xdr:row>130</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170</xdr:row>
      <xdr:rowOff>0</xdr:rowOff>
    </xdr:from>
    <xdr:to>
      <xdr:col>23</xdr:col>
      <xdr:colOff>0</xdr:colOff>
      <xdr:row>198</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29</xdr:col>
      <xdr:colOff>9525</xdr:colOff>
      <xdr:row>2</xdr:row>
      <xdr:rowOff>9524</xdr:rowOff>
    </xdr:from>
    <xdr:to>
      <xdr:col>37</xdr:col>
      <xdr:colOff>0</xdr:colOff>
      <xdr:row>20</xdr:row>
      <xdr:rowOff>9722</xdr:rowOff>
    </xdr:to>
    <xdr:pic>
      <xdr:nvPicPr>
        <xdr:cNvPr id="5" name="Picture 4">
          <a:extLst>
            <a:ext uri="{FF2B5EF4-FFF2-40B4-BE49-F238E27FC236}">
              <a16:creationId xmlns:a16="http://schemas.microsoft.com/office/drawing/2014/main" id="{E5011FEB-1E85-CE0A-5F57-C28C94D2FB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68775" y="380999"/>
          <a:ext cx="4867275" cy="3267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36</xdr:row>
      <xdr:rowOff>0</xdr:rowOff>
    </xdr:from>
    <xdr:to>
      <xdr:col>17</xdr:col>
      <xdr:colOff>4826</xdr:colOff>
      <xdr:row>63</xdr:row>
      <xdr:rowOff>13608</xdr:rowOff>
    </xdr:to>
    <xdr:pic>
      <xdr:nvPicPr>
        <xdr:cNvPr id="7" name="Picture 6">
          <a:extLst>
            <a:ext uri="{FF2B5EF4-FFF2-40B4-BE49-F238E27FC236}">
              <a16:creationId xmlns:a16="http://schemas.microsoft.com/office/drawing/2014/main" id="{2A84012C-A962-4C57-95CC-D2213100AEB7}"/>
            </a:ext>
          </a:extLst>
        </xdr:cNvPr>
        <xdr:cNvPicPr>
          <a:picLocks noChangeAspect="1"/>
        </xdr:cNvPicPr>
      </xdr:nvPicPr>
      <xdr:blipFill>
        <a:blip xmlns:r="http://schemas.openxmlformats.org/officeDocument/2006/relationships" r:embed="rId3"/>
        <a:stretch>
          <a:fillRect/>
        </a:stretch>
      </xdr:blipFill>
      <xdr:spPr>
        <a:xfrm>
          <a:off x="4476750" y="6543675"/>
          <a:ext cx="5491226" cy="4905376"/>
        </a:xfrm>
        <a:prstGeom prst="rect">
          <a:avLst/>
        </a:prstGeom>
      </xdr:spPr>
    </xdr:pic>
    <xdr:clientData/>
  </xdr:twoCellAnchor>
  <xdr:twoCellAnchor editAs="oneCell">
    <xdr:from>
      <xdr:col>8</xdr:col>
      <xdr:colOff>9525</xdr:colOff>
      <xdr:row>2</xdr:row>
      <xdr:rowOff>19049</xdr:rowOff>
    </xdr:from>
    <xdr:to>
      <xdr:col>17</xdr:col>
      <xdr:colOff>47451</xdr:colOff>
      <xdr:row>26</xdr:row>
      <xdr:rowOff>1680</xdr:rowOff>
    </xdr:to>
    <xdr:pic>
      <xdr:nvPicPr>
        <xdr:cNvPr id="8" name="Picture 7">
          <a:extLst>
            <a:ext uri="{FF2B5EF4-FFF2-40B4-BE49-F238E27FC236}">
              <a16:creationId xmlns:a16="http://schemas.microsoft.com/office/drawing/2014/main" id="{1001EECB-13BB-E144-FEA7-93D425C736F9}"/>
            </a:ext>
          </a:extLst>
        </xdr:cNvPr>
        <xdr:cNvPicPr>
          <a:picLocks noChangeAspect="1"/>
        </xdr:cNvPicPr>
      </xdr:nvPicPr>
      <xdr:blipFill>
        <a:blip xmlns:r="http://schemas.openxmlformats.org/officeDocument/2006/relationships" r:embed="rId4"/>
        <a:stretch>
          <a:fillRect/>
        </a:stretch>
      </xdr:blipFill>
      <xdr:spPr>
        <a:xfrm>
          <a:off x="4486275" y="390524"/>
          <a:ext cx="5524326" cy="4333875"/>
        </a:xfrm>
        <a:prstGeom prst="rect">
          <a:avLst/>
        </a:prstGeom>
      </xdr:spPr>
    </xdr:pic>
    <xdr:clientData/>
  </xdr:twoCellAnchor>
  <xdr:twoCellAnchor editAs="oneCell">
    <xdr:from>
      <xdr:col>17</xdr:col>
      <xdr:colOff>9525</xdr:colOff>
      <xdr:row>2</xdr:row>
      <xdr:rowOff>9524</xdr:rowOff>
    </xdr:from>
    <xdr:to>
      <xdr:col>28</xdr:col>
      <xdr:colOff>0</xdr:colOff>
      <xdr:row>30</xdr:row>
      <xdr:rowOff>171450</xdr:rowOff>
    </xdr:to>
    <xdr:pic>
      <xdr:nvPicPr>
        <xdr:cNvPr id="9" name="Picture 8">
          <a:extLst>
            <a:ext uri="{FF2B5EF4-FFF2-40B4-BE49-F238E27FC236}">
              <a16:creationId xmlns:a16="http://schemas.microsoft.com/office/drawing/2014/main" id="{D3426AF0-227B-B03A-B616-7713E3C72A17}"/>
            </a:ext>
          </a:extLst>
        </xdr:cNvPr>
        <xdr:cNvPicPr>
          <a:picLocks noChangeAspect="1"/>
        </xdr:cNvPicPr>
      </xdr:nvPicPr>
      <xdr:blipFill>
        <a:blip xmlns:r="http://schemas.openxmlformats.org/officeDocument/2006/relationships" r:embed="rId5"/>
        <a:stretch>
          <a:fillRect/>
        </a:stretch>
      </xdr:blipFill>
      <xdr:spPr>
        <a:xfrm>
          <a:off x="9972675" y="380999"/>
          <a:ext cx="6696075" cy="5238751"/>
        </a:xfrm>
        <a:prstGeom prst="rect">
          <a:avLst/>
        </a:prstGeom>
      </xdr:spPr>
    </xdr:pic>
    <xdr:clientData/>
  </xdr:twoCellAnchor>
  <xdr:twoCellAnchor>
    <xdr:from>
      <xdr:col>8</xdr:col>
      <xdr:colOff>0</xdr:colOff>
      <xdr:row>68</xdr:row>
      <xdr:rowOff>0</xdr:rowOff>
    </xdr:from>
    <xdr:to>
      <xdr:col>23</xdr:col>
      <xdr:colOff>0</xdr:colOff>
      <xdr:row>99</xdr:row>
      <xdr:rowOff>0</xdr:rowOff>
    </xdr:to>
    <xdr:graphicFrame macro="">
      <xdr:nvGraphicFramePr>
        <xdr:cNvPr id="11" name="Chart 10">
          <a:extLst>
            <a:ext uri="{FF2B5EF4-FFF2-40B4-BE49-F238E27FC236}">
              <a16:creationId xmlns:a16="http://schemas.microsoft.com/office/drawing/2014/main" id="{5C298D77-96BA-4DCE-BF69-A69569237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104</xdr:row>
      <xdr:rowOff>0</xdr:rowOff>
    </xdr:from>
    <xdr:to>
      <xdr:col>23</xdr:col>
      <xdr:colOff>0</xdr:colOff>
      <xdr:row>132</xdr:row>
      <xdr:rowOff>0</xdr:rowOff>
    </xdr:to>
    <xdr:graphicFrame macro="">
      <xdr:nvGraphicFramePr>
        <xdr:cNvPr id="2" name="Chart 1">
          <a:extLst>
            <a:ext uri="{FF2B5EF4-FFF2-40B4-BE49-F238E27FC236}">
              <a16:creationId xmlns:a16="http://schemas.microsoft.com/office/drawing/2014/main" id="{8F9738B4-B77D-4023-9E30-A6658AA93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137</xdr:row>
      <xdr:rowOff>0</xdr:rowOff>
    </xdr:from>
    <xdr:to>
      <xdr:col>23</xdr:col>
      <xdr:colOff>0</xdr:colOff>
      <xdr:row>165</xdr:row>
      <xdr:rowOff>0</xdr:rowOff>
    </xdr:to>
    <xdr:graphicFrame macro="">
      <xdr:nvGraphicFramePr>
        <xdr:cNvPr id="6" name="Chart 5">
          <a:extLst>
            <a:ext uri="{FF2B5EF4-FFF2-40B4-BE49-F238E27FC236}">
              <a16:creationId xmlns:a16="http://schemas.microsoft.com/office/drawing/2014/main" id="{9F2F60A5-2E77-4AD3-9D42-162349D58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29</xdr:col>
      <xdr:colOff>11206</xdr:colOff>
      <xdr:row>37</xdr:row>
      <xdr:rowOff>11205</xdr:rowOff>
    </xdr:from>
    <xdr:to>
      <xdr:col>41</xdr:col>
      <xdr:colOff>1</xdr:colOff>
      <xdr:row>65</xdr:row>
      <xdr:rowOff>11205</xdr:rowOff>
    </xdr:to>
    <xdr:pic>
      <xdr:nvPicPr>
        <xdr:cNvPr id="12" name="Picture 11">
          <a:extLst>
            <a:ext uri="{FF2B5EF4-FFF2-40B4-BE49-F238E27FC236}">
              <a16:creationId xmlns:a16="http://schemas.microsoft.com/office/drawing/2014/main" id="{221C1B8D-FD11-8BCA-5594-0BF006740C25}"/>
            </a:ext>
          </a:extLst>
        </xdr:cNvPr>
        <xdr:cNvPicPr>
          <a:picLocks noChangeAspect="1"/>
        </xdr:cNvPicPr>
      </xdr:nvPicPr>
      <xdr:blipFill>
        <a:blip xmlns:r="http://schemas.openxmlformats.org/officeDocument/2006/relationships" r:embed="rId9"/>
        <a:stretch>
          <a:fillRect/>
        </a:stretch>
      </xdr:blipFill>
      <xdr:spPr>
        <a:xfrm>
          <a:off x="12516971" y="6880411"/>
          <a:ext cx="7250206" cy="5020235"/>
        </a:xfrm>
        <a:prstGeom prst="rect">
          <a:avLst/>
        </a:prstGeom>
      </xdr:spPr>
    </xdr:pic>
    <xdr:clientData/>
  </xdr:twoCellAnchor>
  <xdr:twoCellAnchor editAs="oneCell">
    <xdr:from>
      <xdr:col>29</xdr:col>
      <xdr:colOff>13607</xdr:colOff>
      <xdr:row>104</xdr:row>
      <xdr:rowOff>11206</xdr:rowOff>
    </xdr:from>
    <xdr:to>
      <xdr:col>41</xdr:col>
      <xdr:colOff>11206</xdr:colOff>
      <xdr:row>132</xdr:row>
      <xdr:rowOff>0</xdr:rowOff>
    </xdr:to>
    <xdr:pic>
      <xdr:nvPicPr>
        <xdr:cNvPr id="13" name="Picture 12">
          <a:extLst>
            <a:ext uri="{FF2B5EF4-FFF2-40B4-BE49-F238E27FC236}">
              <a16:creationId xmlns:a16="http://schemas.microsoft.com/office/drawing/2014/main" id="{22333D2A-B8B2-75FA-62DE-D92502DDFD58}"/>
            </a:ext>
          </a:extLst>
        </xdr:cNvPr>
        <xdr:cNvPicPr>
          <a:picLocks noChangeAspect="1"/>
        </xdr:cNvPicPr>
      </xdr:nvPicPr>
      <xdr:blipFill>
        <a:blip xmlns:r="http://schemas.openxmlformats.org/officeDocument/2006/relationships" r:embed="rId10"/>
        <a:stretch>
          <a:fillRect/>
        </a:stretch>
      </xdr:blipFill>
      <xdr:spPr>
        <a:xfrm>
          <a:off x="12654643" y="18489706"/>
          <a:ext cx="7345456" cy="4941794"/>
        </a:xfrm>
        <a:prstGeom prst="rect">
          <a:avLst/>
        </a:prstGeom>
      </xdr:spPr>
    </xdr:pic>
    <xdr:clientData/>
  </xdr:twoCellAnchor>
  <xdr:twoCellAnchor editAs="oneCell">
    <xdr:from>
      <xdr:col>41</xdr:col>
      <xdr:colOff>0</xdr:colOff>
      <xdr:row>104</xdr:row>
      <xdr:rowOff>11206</xdr:rowOff>
    </xdr:from>
    <xdr:to>
      <xdr:col>53</xdr:col>
      <xdr:colOff>0</xdr:colOff>
      <xdr:row>132</xdr:row>
      <xdr:rowOff>0</xdr:rowOff>
    </xdr:to>
    <xdr:pic>
      <xdr:nvPicPr>
        <xdr:cNvPr id="15" name="Picture 14">
          <a:extLst>
            <a:ext uri="{FF2B5EF4-FFF2-40B4-BE49-F238E27FC236}">
              <a16:creationId xmlns:a16="http://schemas.microsoft.com/office/drawing/2014/main" id="{47A79833-A088-FDBB-285C-BD2BE77997FE}"/>
            </a:ext>
          </a:extLst>
        </xdr:cNvPr>
        <xdr:cNvPicPr>
          <a:picLocks noChangeAspect="1"/>
        </xdr:cNvPicPr>
      </xdr:nvPicPr>
      <xdr:blipFill>
        <a:blip xmlns:r="http://schemas.openxmlformats.org/officeDocument/2006/relationships" r:embed="rId11"/>
        <a:stretch>
          <a:fillRect/>
        </a:stretch>
      </xdr:blipFill>
      <xdr:spPr>
        <a:xfrm>
          <a:off x="19988893" y="18489706"/>
          <a:ext cx="7347857" cy="4941794"/>
        </a:xfrm>
        <a:prstGeom prst="rect">
          <a:avLst/>
        </a:prstGeom>
      </xdr:spPr>
    </xdr:pic>
    <xdr:clientData/>
  </xdr:twoCellAnchor>
  <xdr:twoCellAnchor editAs="oneCell">
    <xdr:from>
      <xdr:col>29</xdr:col>
      <xdr:colOff>-1</xdr:colOff>
      <xdr:row>202</xdr:row>
      <xdr:rowOff>0</xdr:rowOff>
    </xdr:from>
    <xdr:to>
      <xdr:col>45</xdr:col>
      <xdr:colOff>13607</xdr:colOff>
      <xdr:row>238</xdr:row>
      <xdr:rowOff>0</xdr:rowOff>
    </xdr:to>
    <xdr:pic>
      <xdr:nvPicPr>
        <xdr:cNvPr id="3" name="Picture 2">
          <a:extLst>
            <a:ext uri="{FF2B5EF4-FFF2-40B4-BE49-F238E27FC236}">
              <a16:creationId xmlns:a16="http://schemas.microsoft.com/office/drawing/2014/main" id="{4D07DE53-AF1F-CE1F-CC29-2A9B62AB959E}"/>
            </a:ext>
          </a:extLst>
        </xdr:cNvPr>
        <xdr:cNvPicPr>
          <a:picLocks noChangeAspect="1"/>
        </xdr:cNvPicPr>
      </xdr:nvPicPr>
      <xdr:blipFill rotWithShape="1">
        <a:blip xmlns:r="http://schemas.openxmlformats.org/officeDocument/2006/relationships" r:embed="rId12"/>
        <a:srcRect t="10750"/>
        <a:stretch>
          <a:fillRect/>
        </a:stretch>
      </xdr:blipFill>
      <xdr:spPr>
        <a:xfrm>
          <a:off x="12641035" y="35868429"/>
          <a:ext cx="9810751" cy="68171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file:///C:\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Martin Shkreli" id="{4BF47AC7-EEB9-4471-BA81-EBC66F432121}" userId="9ffda80931a5727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BL141" dT="2025-08-27T14:48:54.19" personId="{4BF47AC7-EEB9-4471-BA81-EBC66F432121}" id="{EFF41ED5-5FF0-4F1C-A3A9-5413D00EBE46}">
    <text>Raised 6B Series B</text>
  </threadedComment>
  <threadedComment ref="BN141" dT="2025-08-27T14:48:39.95" personId="{4BF47AC7-EEB9-4471-BA81-EBC66F432121}" id="{DF25325D-8029-43D8-8102-EB216E9395A8}">
    <text>Raised 6B Series C</text>
  </threadedComment>
  <threadedComment ref="BP141" dT="2025-08-27T14:48:03.15" personId="{4BF47AC7-EEB9-4471-BA81-EBC66F432121}" id="{1314C9B3-496B-49B9-BECE-24EB778CD920}">
    <text>Raised 10.3B, 5.3B equity, 5.0B debt</text>
  </threadedComment>
  <threadedComment ref="BM142" dT="2025-08-27T14:50:27.29" personId="{4BF47AC7-EEB9-4471-BA81-EBC66F432121}" id="{5C7D43E5-969A-43E7-A322-B542796C8623}">
    <text>Raised $4B from Amazon</text>
  </threadedComment>
  <threadedComment ref="BN142" dT="2025-08-27T14:50:18.16" personId="{4BF47AC7-EEB9-4471-BA81-EBC66F432121}" id="{F8453695-D30F-4409-A257-6CE581EC32B1}">
    <text>Raised $1B from Google</text>
  </threadedComment>
  <threadedComment ref="BO142" dT="2025-08-27T14:50:00.47" personId="{4BF47AC7-EEB9-4471-BA81-EBC66F432121}" id="{39D2BA22-CF19-4FF2-A8AE-5A1C3212D9DD}">
    <text>Raised 6B: 3.5B Series E, 2.5B debt</text>
  </threadedComment>
  <threadedComment ref="BN146" dT="2025-08-27T14:51:50.60" personId="{4BF47AC7-EEB9-4471-BA81-EBC66F432121}" id="{A3E73D5B-0F86-42CB-BD41-CF7C93498DFC}">
    <text>Raised 10.6B in equity/debt</text>
  </threadedComment>
  <threadedComment ref="BO146" dT="2025-08-27T14:51:27.89" personId="{4BF47AC7-EEB9-4471-BA81-EBC66F432121}" id="{6A0E60A7-74E7-4212-9BA5-88E629B8E816}">
    <text>Raised 40B from SoftBank/others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google.com/search?rlz=1C1VDKB_enUS1035US1035&amp;cs=0&amp;sca_esv=a5069341141d07fa&amp;sxsrf=AE3TifMwyu4FwR7W60kSGbdPGtFxR0A_zA%3A1752817615349&amp;q=ir%40nvidia.com&amp;sa=X&amp;ved=2ahUKEwi56sS62sWOAxXoMlkFHYEJDlAQxccNegQIAhAB&amp;mstk=AUtExfBCMcIXEh1UwfOm6pPrEAHQmIzxzIBBqhSgoiw4ePc7-IPhGotfAnzhIt8fI4vMrH9Vr4E9BmD5GKyXLn5PY3Cq4o29WvJzwtaW28ivA7UFAvSc0vQbC57UmXpBSSPmL05XQVItYQedd2VmditsMgGS7lM43nQRV6KyPRgSGkoqVYE&amp;csui=3" TargetMode="External"/><Relationship Id="rId3" Type="http://schemas.openxmlformats.org/officeDocument/2006/relationships/hyperlink" Target="https://www.sec.gov/edgar/browse/?CIK=1045810&amp;owner=exclude" TargetMode="External"/><Relationship Id="rId7" Type="http://schemas.openxmlformats.org/officeDocument/2006/relationships/hyperlink" Target="https://www.gurufocus.com/term/wacc/NVDA" TargetMode="External"/><Relationship Id="rId2" Type="http://schemas.openxmlformats.org/officeDocument/2006/relationships/hyperlink" Target="https://www.youtube.com/watch?v=91kxRGeg9wQ" TargetMode="External"/><Relationship Id="rId1" Type="http://schemas.openxmlformats.org/officeDocument/2006/relationships/hyperlink" Target="https://app.godelterminal.com/" TargetMode="External"/><Relationship Id="rId6" Type="http://schemas.openxmlformats.org/officeDocument/2006/relationships/hyperlink" Target="https://www.macrotrends.net/stocks/charts/NVDA/nvidia/income-statement?freq=Q" TargetMode="External"/><Relationship Id="rId5" Type="http://schemas.openxmlformats.org/officeDocument/2006/relationships/hyperlink" Target="https://investor.nvidia.com/home/default.aspx" TargetMode="External"/><Relationship Id="rId10" Type="http://schemas.openxmlformats.org/officeDocument/2006/relationships/drawing" Target="../drawings/drawing1.xml"/><Relationship Id="rId4" Type="http://schemas.openxmlformats.org/officeDocument/2006/relationships/hyperlink" Target="https://www.nvidia.com/en-us/" TargetMode="External"/><Relationship Id="rId9" Type="http://schemas.openxmlformats.org/officeDocument/2006/relationships/hyperlink" Target="https://investor.nvidia.com/investor-resources/faqs/default.asp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98"/>
  <sheetViews>
    <sheetView topLeftCell="A54" zoomScale="85" zoomScaleNormal="85" workbookViewId="0">
      <selection activeCell="B44" sqref="B44"/>
    </sheetView>
  </sheetViews>
  <sheetFormatPr defaultColWidth="9.140625" defaultRowHeight="14.25"/>
  <cols>
    <col min="1" max="1" width="3.42578125" style="1" customWidth="1"/>
    <col min="2" max="4" width="11.5703125" style="1" customWidth="1"/>
    <col min="5" max="16384" width="9.140625" style="1"/>
  </cols>
  <sheetData>
    <row r="2" spans="2:19" ht="15">
      <c r="B2" s="2" t="s">
        <v>168</v>
      </c>
    </row>
    <row r="3" spans="2:19">
      <c r="B3" s="1" t="s">
        <v>0</v>
      </c>
      <c r="C3" s="47">
        <v>176.96</v>
      </c>
      <c r="D3" s="43" t="s">
        <v>1609</v>
      </c>
    </row>
    <row r="4" spans="2:19">
      <c r="B4" s="1" t="s">
        <v>142</v>
      </c>
      <c r="C4" s="45">
        <v>24300</v>
      </c>
      <c r="D4" s="1" t="s">
        <v>1604</v>
      </c>
    </row>
    <row r="5" spans="2:19">
      <c r="B5" s="1" t="s">
        <v>1</v>
      </c>
      <c r="C5" s="46">
        <f>C3*C4</f>
        <v>4300128</v>
      </c>
    </row>
    <row r="6" spans="2:19">
      <c r="B6" s="1" t="s">
        <v>2</v>
      </c>
      <c r="C6" s="46">
        <v>56791</v>
      </c>
      <c r="D6" s="1" t="s">
        <v>1604</v>
      </c>
    </row>
    <row r="7" spans="2:19">
      <c r="B7" s="1" t="s">
        <v>3</v>
      </c>
      <c r="C7" s="46">
        <v>8466</v>
      </c>
      <c r="D7" s="1" t="s">
        <v>1604</v>
      </c>
    </row>
    <row r="8" spans="2:19">
      <c r="B8" s="1" t="s">
        <v>4</v>
      </c>
      <c r="C8" s="46">
        <f>C5-C6+C7</f>
        <v>4251803</v>
      </c>
    </row>
    <row r="10" spans="2:19" ht="15">
      <c r="B10" s="2" t="s">
        <v>169</v>
      </c>
    </row>
    <row r="11" spans="2:19">
      <c r="O11" s="1" t="s">
        <v>6</v>
      </c>
      <c r="R11" s="44" t="s">
        <v>222</v>
      </c>
    </row>
    <row r="12" spans="2:19">
      <c r="B12" s="1" t="s">
        <v>239</v>
      </c>
      <c r="G12" s="1" t="s">
        <v>236</v>
      </c>
      <c r="O12" s="1" t="s">
        <v>223</v>
      </c>
      <c r="R12" s="44" t="s">
        <v>225</v>
      </c>
    </row>
    <row r="13" spans="2:19">
      <c r="B13" s="1" t="s">
        <v>233</v>
      </c>
      <c r="G13" s="1" t="s">
        <v>164</v>
      </c>
      <c r="H13" s="1" t="s">
        <v>237</v>
      </c>
      <c r="P13" s="1" t="s">
        <v>224</v>
      </c>
      <c r="S13" s="44" t="s">
        <v>228</v>
      </c>
    </row>
    <row r="14" spans="2:19">
      <c r="B14" s="1" t="s">
        <v>234</v>
      </c>
      <c r="G14" s="1" t="s">
        <v>5</v>
      </c>
      <c r="P14" s="1" t="s">
        <v>244</v>
      </c>
      <c r="S14" s="44" t="s">
        <v>243</v>
      </c>
    </row>
    <row r="15" spans="2:19">
      <c r="B15" s="1" t="s">
        <v>238</v>
      </c>
      <c r="G15" s="1" t="s">
        <v>165</v>
      </c>
      <c r="O15" s="1" t="s">
        <v>161</v>
      </c>
      <c r="R15" s="44" t="s">
        <v>229</v>
      </c>
    </row>
    <row r="16" spans="2:19">
      <c r="B16" s="1" t="s">
        <v>240</v>
      </c>
      <c r="G16" s="1" t="s">
        <v>158</v>
      </c>
      <c r="J16" s="1" t="s">
        <v>159</v>
      </c>
      <c r="K16" s="44" t="s">
        <v>235</v>
      </c>
      <c r="O16" s="1" t="s">
        <v>162</v>
      </c>
      <c r="R16" s="44" t="s">
        <v>230</v>
      </c>
    </row>
    <row r="17" spans="1:18">
      <c r="B17" s="1" t="s">
        <v>241</v>
      </c>
      <c r="O17" s="1" t="s">
        <v>226</v>
      </c>
      <c r="R17" s="44" t="s">
        <v>231</v>
      </c>
    </row>
    <row r="18" spans="1:18">
      <c r="B18" s="1" t="s">
        <v>242</v>
      </c>
      <c r="O18" s="1" t="s">
        <v>227</v>
      </c>
      <c r="R18" s="44" t="s">
        <v>232</v>
      </c>
    </row>
    <row r="19" spans="1:18">
      <c r="B19" s="1" t="s">
        <v>1608</v>
      </c>
      <c r="O19" s="1" t="s">
        <v>7</v>
      </c>
      <c r="R19" s="44" t="s">
        <v>163</v>
      </c>
    </row>
    <row r="20" spans="1:18" ht="15">
      <c r="N20" s="2"/>
    </row>
    <row r="21" spans="1:18" ht="15">
      <c r="A21" s="2" t="s">
        <v>8</v>
      </c>
    </row>
    <row r="22" spans="1:18" ht="15">
      <c r="B22" s="1" t="s">
        <v>171</v>
      </c>
    </row>
    <row r="23" spans="1:18">
      <c r="C23" s="1" t="s">
        <v>172</v>
      </c>
    </row>
    <row r="24" spans="1:18" ht="15">
      <c r="C24" s="1" t="s">
        <v>173</v>
      </c>
    </row>
    <row r="25" spans="1:18">
      <c r="D25" s="1" t="s">
        <v>183</v>
      </c>
    </row>
    <row r="26" spans="1:18">
      <c r="D26" s="1" t="s">
        <v>184</v>
      </c>
    </row>
    <row r="27" spans="1:18" ht="15">
      <c r="C27" s="2" t="s">
        <v>174</v>
      </c>
    </row>
    <row r="28" spans="1:18">
      <c r="D28" s="1" t="s">
        <v>175</v>
      </c>
    </row>
    <row r="29" spans="1:18">
      <c r="B29" s="1" t="s">
        <v>176</v>
      </c>
    </row>
    <row r="30" spans="1:18">
      <c r="C30" s="1" t="s">
        <v>177</v>
      </c>
    </row>
    <row r="31" spans="1:18">
      <c r="D31" s="1" t="s">
        <v>178</v>
      </c>
    </row>
    <row r="32" spans="1:18">
      <c r="B32" s="1" t="s">
        <v>179</v>
      </c>
    </row>
    <row r="33" spans="1:4">
      <c r="C33" s="1" t="s">
        <v>180</v>
      </c>
    </row>
    <row r="34" spans="1:4">
      <c r="C34" s="1" t="s">
        <v>181</v>
      </c>
    </row>
    <row r="35" spans="1:4">
      <c r="C35" s="1" t="s">
        <v>182</v>
      </c>
    </row>
    <row r="37" spans="1:4" ht="15">
      <c r="A37" s="2" t="s">
        <v>166</v>
      </c>
    </row>
    <row r="38" spans="1:4">
      <c r="B38" s="1" t="s">
        <v>186</v>
      </c>
    </row>
    <row r="39" spans="1:4">
      <c r="C39" s="1" t="s">
        <v>185</v>
      </c>
    </row>
    <row r="40" spans="1:4">
      <c r="D40" s="1" t="s">
        <v>187</v>
      </c>
    </row>
    <row r="41" spans="1:4">
      <c r="C41" s="1" t="s">
        <v>188</v>
      </c>
    </row>
    <row r="42" spans="1:4">
      <c r="D42" s="1" t="s">
        <v>189</v>
      </c>
    </row>
    <row r="43" spans="1:4">
      <c r="B43" s="1" t="s">
        <v>1611</v>
      </c>
    </row>
    <row r="44" spans="1:4">
      <c r="C44" s="1" t="s">
        <v>190</v>
      </c>
    </row>
    <row r="46" spans="1:4" ht="15">
      <c r="B46" s="2" t="s">
        <v>192</v>
      </c>
    </row>
    <row r="47" spans="1:4">
      <c r="C47" s="1" t="s">
        <v>193</v>
      </c>
    </row>
    <row r="48" spans="1:4">
      <c r="D48" s="1" t="s">
        <v>194</v>
      </c>
    </row>
    <row r="49" spans="3:5">
      <c r="C49" s="1" t="s">
        <v>195</v>
      </c>
    </row>
    <row r="50" spans="3:5">
      <c r="D50" s="1" t="s">
        <v>196</v>
      </c>
    </row>
    <row r="51" spans="3:5">
      <c r="C51" s="1" t="s">
        <v>197</v>
      </c>
    </row>
    <row r="52" spans="3:5">
      <c r="D52" s="1" t="s">
        <v>198</v>
      </c>
    </row>
    <row r="53" spans="3:5">
      <c r="D53" s="1" t="s">
        <v>199</v>
      </c>
    </row>
    <row r="54" spans="3:5">
      <c r="C54" s="1" t="s">
        <v>200</v>
      </c>
    </row>
    <row r="55" spans="3:5">
      <c r="D55" s="1" t="s">
        <v>201</v>
      </c>
    </row>
    <row r="56" spans="3:5">
      <c r="D56" s="1" t="s">
        <v>202</v>
      </c>
    </row>
    <row r="57" spans="3:5">
      <c r="D57" s="1" t="s">
        <v>203</v>
      </c>
    </row>
    <row r="58" spans="3:5">
      <c r="C58" s="1" t="s">
        <v>204</v>
      </c>
    </row>
    <row r="59" spans="3:5" ht="15">
      <c r="D59" s="1" t="s">
        <v>221</v>
      </c>
    </row>
    <row r="60" spans="3:5">
      <c r="D60" s="1" t="s">
        <v>205</v>
      </c>
    </row>
    <row r="61" spans="3:5">
      <c r="E61" s="1" t="s">
        <v>206</v>
      </c>
    </row>
    <row r="62" spans="3:5">
      <c r="D62" s="1" t="s">
        <v>207</v>
      </c>
    </row>
    <row r="63" spans="3:5">
      <c r="C63" s="1" t="s">
        <v>208</v>
      </c>
    </row>
    <row r="64" spans="3:5">
      <c r="C64" s="1" t="s">
        <v>209</v>
      </c>
    </row>
    <row r="65" spans="2:18">
      <c r="D65" s="1" t="s">
        <v>210</v>
      </c>
    </row>
    <row r="66" spans="2:18">
      <c r="C66" s="1" t="s">
        <v>211</v>
      </c>
    </row>
    <row r="67" spans="2:18">
      <c r="D67" s="1" t="s">
        <v>212</v>
      </c>
    </row>
    <row r="68" spans="2:18" ht="15">
      <c r="B68" s="2" t="s">
        <v>213</v>
      </c>
    </row>
    <row r="69" spans="2:18">
      <c r="C69" s="1" t="s">
        <v>214</v>
      </c>
    </row>
    <row r="70" spans="2:18">
      <c r="D70" s="1" t="s">
        <v>215</v>
      </c>
    </row>
    <row r="71" spans="2:18">
      <c r="C71" s="1" t="s">
        <v>216</v>
      </c>
    </row>
    <row r="72" spans="2:18">
      <c r="D72" s="1" t="s">
        <v>217</v>
      </c>
    </row>
    <row r="73" spans="2:18">
      <c r="D73" s="1" t="s">
        <v>218</v>
      </c>
    </row>
    <row r="74" spans="2:18">
      <c r="E74" s="1" t="s">
        <v>219</v>
      </c>
      <c r="R74" s="44" t="s">
        <v>220</v>
      </c>
    </row>
    <row r="75" spans="2:18">
      <c r="D75" s="1" t="s">
        <v>245</v>
      </c>
    </row>
    <row r="76" spans="2:18">
      <c r="D76" s="1" t="s">
        <v>246</v>
      </c>
    </row>
    <row r="77" spans="2:18">
      <c r="C77" s="1" t="s">
        <v>247</v>
      </c>
    </row>
    <row r="78" spans="2:18">
      <c r="C78" s="1" t="s">
        <v>248</v>
      </c>
    </row>
    <row r="79" spans="2:18">
      <c r="D79" s="1" t="s">
        <v>249</v>
      </c>
    </row>
    <row r="80" spans="2:18">
      <c r="D80" s="1" t="s">
        <v>250</v>
      </c>
    </row>
    <row r="81" spans="2:4" ht="15">
      <c r="B81" s="2" t="s">
        <v>251</v>
      </c>
    </row>
    <row r="82" spans="2:4">
      <c r="C82" s="1" t="s">
        <v>252</v>
      </c>
    </row>
    <row r="83" spans="2:4">
      <c r="D83" s="1" t="s">
        <v>253</v>
      </c>
    </row>
    <row r="84" spans="2:4">
      <c r="D84" s="1" t="s">
        <v>254</v>
      </c>
    </row>
    <row r="85" spans="2:4">
      <c r="D85" s="1" t="s">
        <v>255</v>
      </c>
    </row>
    <row r="86" spans="2:4">
      <c r="D86" s="1" t="s">
        <v>256</v>
      </c>
    </row>
    <row r="87" spans="2:4">
      <c r="C87" s="1" t="s">
        <v>257</v>
      </c>
    </row>
    <row r="88" spans="2:4">
      <c r="D88" s="1" t="s">
        <v>258</v>
      </c>
    </row>
    <row r="89" spans="2:4">
      <c r="C89" s="1" t="s">
        <v>259</v>
      </c>
    </row>
    <row r="90" spans="2:4">
      <c r="D90" s="1" t="s">
        <v>260</v>
      </c>
    </row>
    <row r="91" spans="2:4" ht="15">
      <c r="B91" s="2" t="s">
        <v>261</v>
      </c>
    </row>
    <row r="92" spans="2:4">
      <c r="C92" s="1" t="s">
        <v>262</v>
      </c>
    </row>
    <row r="93" spans="2:4">
      <c r="D93" s="1" t="s">
        <v>263</v>
      </c>
    </row>
    <row r="94" spans="2:4">
      <c r="C94" s="1" t="s">
        <v>264</v>
      </c>
    </row>
    <row r="95" spans="2:4">
      <c r="D95" s="1" t="s">
        <v>265</v>
      </c>
    </row>
    <row r="96" spans="2:4">
      <c r="D96" s="1" t="s">
        <v>266</v>
      </c>
    </row>
    <row r="97" spans="3:4">
      <c r="C97" s="1" t="s">
        <v>267</v>
      </c>
    </row>
    <row r="98" spans="3:4">
      <c r="D98" s="1" t="s">
        <v>268</v>
      </c>
    </row>
  </sheetData>
  <hyperlinks>
    <hyperlink ref="R19" r:id="rId1" xr:uid="{14375537-5C3D-4253-9650-337AB6789785}"/>
    <hyperlink ref="R74" r:id="rId2" xr:uid="{F918B2A7-D53A-4954-9AA3-6CEB64D1CC44}"/>
    <hyperlink ref="R11" r:id="rId3" xr:uid="{118B3E94-E38A-4457-BC6B-0A7BDB291A09}"/>
    <hyperlink ref="R12" r:id="rId4" xr:uid="{CC80261C-B0B7-4B09-A16D-E7B912A94A52}"/>
    <hyperlink ref="S13" r:id="rId5" xr:uid="{A249F454-D532-4BCB-8B53-540689F76D92}"/>
    <hyperlink ref="R17" r:id="rId6" xr:uid="{398B35F2-854C-4950-9C2E-CE264A469329}"/>
    <hyperlink ref="R18" r:id="rId7" xr:uid="{0221E954-08B3-4A50-BB96-4552ACDA7AB7}"/>
    <hyperlink ref="K16" r:id="rId8" display="https://www.google.com/search?rlz=1C1VDKB_enUS1035US1035&amp;cs=0&amp;sca_esv=a5069341141d07fa&amp;sxsrf=AE3TifMwyu4FwR7W60kSGbdPGtFxR0A_zA%3A1752817615349&amp;q=ir%40nvidia.com&amp;sa=X&amp;ved=2ahUKEwi56sS62sWOAxXoMlkFHYEJDlAQxccNegQIAhAB&amp;mstk=AUtExfBCMcIXEh1UwfOm6pPrEAHQmIzxzIBBqhSgoiw4ePc7-IPhGotfAnzhIt8fI4vMrH9Vr4E9BmD5GKyXLn5PY3Cq4o29WvJzwtaW28ivA7UFAvSc0vQbC57UmXpBSSPmL05XQVItYQedd2VmditsMgGS7lM43nQRV6KyPRgSGkoqVYE&amp;csui=3" xr:uid="{5DDCC758-8138-4101-A3BC-1192561B4083}"/>
    <hyperlink ref="S14" r:id="rId9" xr:uid="{FF94CDB2-DA15-4563-944E-A9054E282AA8}"/>
  </hyperlink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E149"/>
  <sheetViews>
    <sheetView tabSelected="1" zoomScale="85" zoomScaleNormal="85" workbookViewId="0">
      <pane xSplit="2" ySplit="3" topLeftCell="AT121" activePane="bottomRight" state="frozen"/>
      <selection pane="topRight" activeCell="C1" sqref="C1"/>
      <selection pane="bottomLeft" activeCell="A4" sqref="A4"/>
      <selection pane="bottomRight" activeCell="BO138" sqref="BO138"/>
    </sheetView>
  </sheetViews>
  <sheetFormatPr defaultColWidth="9.140625" defaultRowHeight="14.25"/>
  <cols>
    <col min="1" max="1" width="3.140625" style="1" customWidth="1"/>
    <col min="2" max="2" width="36.42578125" style="1" customWidth="1"/>
    <col min="3" max="18" width="9.42578125" style="1" bestFit="1" customWidth="1"/>
    <col min="19" max="67" width="9.28515625" style="1" bestFit="1" customWidth="1"/>
    <col min="68" max="68" width="9.140625" style="1"/>
    <col min="69" max="74" width="9.140625" style="35"/>
    <col min="75" max="98" width="9.140625" style="1"/>
    <col min="99" max="107" width="9.140625" style="35" customWidth="1"/>
    <col min="108" max="108" width="9.7109375" style="35" customWidth="1"/>
    <col min="109" max="109" width="9" style="35" customWidth="1"/>
    <col min="110" max="158" width="9.140625" style="35"/>
    <col min="159" max="16384" width="9.140625" style="1"/>
  </cols>
  <sheetData>
    <row r="1" spans="2:161" ht="15">
      <c r="B1" s="1" t="s">
        <v>115</v>
      </c>
      <c r="AM1" s="33" t="s">
        <v>79</v>
      </c>
      <c r="AQ1" s="33" t="s">
        <v>83</v>
      </c>
      <c r="AU1" s="33" t="s">
        <v>87</v>
      </c>
      <c r="AY1" s="33" t="s">
        <v>91</v>
      </c>
      <c r="BC1" s="33" t="s">
        <v>95</v>
      </c>
      <c r="BG1" s="33" t="s">
        <v>99</v>
      </c>
      <c r="BK1" s="33" t="s">
        <v>103</v>
      </c>
      <c r="BO1" s="33" t="s">
        <v>107</v>
      </c>
      <c r="BW1" s="35"/>
    </row>
    <row r="2" spans="2:161">
      <c r="B2" s="1" t="s">
        <v>116</v>
      </c>
      <c r="BW2" s="35"/>
    </row>
    <row r="3" spans="2:161" ht="15">
      <c r="B3" s="2" t="s">
        <v>1610</v>
      </c>
      <c r="C3" s="33" t="s">
        <v>43</v>
      </c>
      <c r="D3" s="33" t="s">
        <v>44</v>
      </c>
      <c r="E3" s="33" t="s">
        <v>45</v>
      </c>
      <c r="F3" s="33" t="s">
        <v>46</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33" t="s">
        <v>88</v>
      </c>
      <c r="AW3" s="33" t="s">
        <v>89</v>
      </c>
      <c r="AX3" s="33" t="s">
        <v>90</v>
      </c>
      <c r="AY3" s="33" t="s">
        <v>91</v>
      </c>
      <c r="AZ3" s="33" t="s">
        <v>92</v>
      </c>
      <c r="BA3" s="33" t="s">
        <v>93</v>
      </c>
      <c r="BB3" s="33" t="s">
        <v>94</v>
      </c>
      <c r="BC3" s="33" t="s">
        <v>95</v>
      </c>
      <c r="BD3" s="33" t="s">
        <v>96</v>
      </c>
      <c r="BE3" s="33" t="s">
        <v>97</v>
      </c>
      <c r="BF3" s="33" t="s">
        <v>98</v>
      </c>
      <c r="BG3" s="33" t="s">
        <v>99</v>
      </c>
      <c r="BH3" s="33" t="s">
        <v>100</v>
      </c>
      <c r="BI3" s="33" t="s">
        <v>101</v>
      </c>
      <c r="BJ3" s="33" t="s">
        <v>102</v>
      </c>
      <c r="BK3" s="33" t="s">
        <v>103</v>
      </c>
      <c r="BL3" s="33" t="s">
        <v>104</v>
      </c>
      <c r="BM3" s="33" t="s">
        <v>105</v>
      </c>
      <c r="BN3" s="33" t="s">
        <v>106</v>
      </c>
      <c r="BO3" s="33" t="s">
        <v>107</v>
      </c>
      <c r="BP3" s="2" t="s">
        <v>108</v>
      </c>
      <c r="BQ3" s="34" t="s">
        <v>109</v>
      </c>
      <c r="BR3" s="34" t="s">
        <v>110</v>
      </c>
      <c r="BS3" s="34" t="s">
        <v>111</v>
      </c>
      <c r="BT3" s="34" t="s">
        <v>112</v>
      </c>
      <c r="BU3" s="34" t="s">
        <v>113</v>
      </c>
      <c r="BV3" s="34" t="s">
        <v>114</v>
      </c>
      <c r="BW3" s="34" t="s">
        <v>114</v>
      </c>
      <c r="CE3" s="2">
        <v>2009</v>
      </c>
      <c r="CF3" s="2">
        <f t="shared" ref="CF3:EQ3" si="0">CE3+1</f>
        <v>2010</v>
      </c>
      <c r="CG3" s="2">
        <f t="shared" si="0"/>
        <v>2011</v>
      </c>
      <c r="CH3" s="2">
        <f t="shared" si="0"/>
        <v>2012</v>
      </c>
      <c r="CI3" s="2">
        <f t="shared" si="0"/>
        <v>2013</v>
      </c>
      <c r="CJ3" s="2">
        <f t="shared" si="0"/>
        <v>2014</v>
      </c>
      <c r="CK3" s="2">
        <f t="shared" si="0"/>
        <v>2015</v>
      </c>
      <c r="CL3" s="2">
        <f t="shared" si="0"/>
        <v>2016</v>
      </c>
      <c r="CM3" s="2">
        <f t="shared" si="0"/>
        <v>2017</v>
      </c>
      <c r="CN3" s="2">
        <f t="shared" si="0"/>
        <v>2018</v>
      </c>
      <c r="CO3" s="2">
        <f t="shared" si="0"/>
        <v>2019</v>
      </c>
      <c r="CP3" s="2">
        <f t="shared" si="0"/>
        <v>2020</v>
      </c>
      <c r="CQ3" s="2">
        <f t="shared" si="0"/>
        <v>2021</v>
      </c>
      <c r="CR3" s="2">
        <f t="shared" si="0"/>
        <v>2022</v>
      </c>
      <c r="CS3" s="2">
        <f t="shared" si="0"/>
        <v>2023</v>
      </c>
      <c r="CT3" s="2">
        <f t="shared" si="0"/>
        <v>2024</v>
      </c>
      <c r="CU3" s="34">
        <f t="shared" si="0"/>
        <v>2025</v>
      </c>
      <c r="CV3" s="34">
        <f t="shared" si="0"/>
        <v>2026</v>
      </c>
      <c r="CW3" s="34">
        <f t="shared" si="0"/>
        <v>2027</v>
      </c>
      <c r="CX3" s="34">
        <f t="shared" si="0"/>
        <v>2028</v>
      </c>
      <c r="CY3" s="34">
        <f t="shared" si="0"/>
        <v>2029</v>
      </c>
      <c r="CZ3" s="34">
        <f t="shared" si="0"/>
        <v>2030</v>
      </c>
      <c r="DA3" s="34">
        <f t="shared" si="0"/>
        <v>2031</v>
      </c>
      <c r="DB3" s="34">
        <f t="shared" si="0"/>
        <v>2032</v>
      </c>
      <c r="DC3" s="34">
        <f t="shared" si="0"/>
        <v>2033</v>
      </c>
      <c r="DD3" s="34">
        <f t="shared" si="0"/>
        <v>2034</v>
      </c>
      <c r="DE3" s="34">
        <f t="shared" si="0"/>
        <v>2035</v>
      </c>
      <c r="DF3" s="34">
        <f t="shared" si="0"/>
        <v>2036</v>
      </c>
      <c r="DG3" s="34">
        <f t="shared" si="0"/>
        <v>2037</v>
      </c>
      <c r="DH3" s="34">
        <f t="shared" si="0"/>
        <v>2038</v>
      </c>
      <c r="DI3" s="34">
        <f t="shared" si="0"/>
        <v>2039</v>
      </c>
      <c r="DJ3" s="34">
        <f t="shared" si="0"/>
        <v>2040</v>
      </c>
      <c r="DK3" s="34">
        <f t="shared" si="0"/>
        <v>2041</v>
      </c>
      <c r="DL3" s="34">
        <f t="shared" si="0"/>
        <v>2042</v>
      </c>
      <c r="DM3" s="34">
        <f t="shared" si="0"/>
        <v>2043</v>
      </c>
      <c r="DN3" s="34">
        <f t="shared" si="0"/>
        <v>2044</v>
      </c>
      <c r="DO3" s="34">
        <f t="shared" si="0"/>
        <v>2045</v>
      </c>
      <c r="DP3" s="34">
        <f t="shared" si="0"/>
        <v>2046</v>
      </c>
      <c r="DQ3" s="34">
        <f t="shared" si="0"/>
        <v>2047</v>
      </c>
      <c r="DR3" s="34">
        <f t="shared" si="0"/>
        <v>2048</v>
      </c>
      <c r="DS3" s="34">
        <f t="shared" si="0"/>
        <v>2049</v>
      </c>
      <c r="DT3" s="34">
        <f t="shared" si="0"/>
        <v>2050</v>
      </c>
      <c r="DU3" s="34">
        <f t="shared" si="0"/>
        <v>2051</v>
      </c>
      <c r="DV3" s="34">
        <f t="shared" si="0"/>
        <v>2052</v>
      </c>
      <c r="DW3" s="34">
        <f t="shared" si="0"/>
        <v>2053</v>
      </c>
      <c r="DX3" s="34">
        <f t="shared" si="0"/>
        <v>2054</v>
      </c>
      <c r="DY3" s="34">
        <f t="shared" si="0"/>
        <v>2055</v>
      </c>
      <c r="DZ3" s="34">
        <f t="shared" si="0"/>
        <v>2056</v>
      </c>
      <c r="EA3" s="34">
        <f t="shared" si="0"/>
        <v>2057</v>
      </c>
      <c r="EB3" s="34">
        <f t="shared" si="0"/>
        <v>2058</v>
      </c>
      <c r="EC3" s="34">
        <f t="shared" si="0"/>
        <v>2059</v>
      </c>
      <c r="ED3" s="34">
        <f t="shared" si="0"/>
        <v>2060</v>
      </c>
      <c r="EE3" s="34">
        <f t="shared" si="0"/>
        <v>2061</v>
      </c>
      <c r="EF3" s="34">
        <f t="shared" si="0"/>
        <v>2062</v>
      </c>
      <c r="EG3" s="34">
        <f t="shared" si="0"/>
        <v>2063</v>
      </c>
      <c r="EH3" s="34">
        <f t="shared" si="0"/>
        <v>2064</v>
      </c>
      <c r="EI3" s="34">
        <f t="shared" si="0"/>
        <v>2065</v>
      </c>
      <c r="EJ3" s="34">
        <f t="shared" si="0"/>
        <v>2066</v>
      </c>
      <c r="EK3" s="34">
        <f t="shared" si="0"/>
        <v>2067</v>
      </c>
      <c r="EL3" s="34">
        <f t="shared" si="0"/>
        <v>2068</v>
      </c>
      <c r="EM3" s="34">
        <f t="shared" si="0"/>
        <v>2069</v>
      </c>
      <c r="EN3" s="34">
        <f t="shared" si="0"/>
        <v>2070</v>
      </c>
      <c r="EO3" s="34">
        <f t="shared" si="0"/>
        <v>2071</v>
      </c>
      <c r="EP3" s="34">
        <f t="shared" si="0"/>
        <v>2072</v>
      </c>
      <c r="EQ3" s="34">
        <f t="shared" si="0"/>
        <v>2073</v>
      </c>
      <c r="ER3" s="34">
        <f t="shared" ref="ER3:FB3" si="1">EQ3+1</f>
        <v>2074</v>
      </c>
      <c r="ES3" s="34">
        <f t="shared" si="1"/>
        <v>2075</v>
      </c>
      <c r="ET3" s="34">
        <f t="shared" si="1"/>
        <v>2076</v>
      </c>
      <c r="EU3" s="34">
        <f t="shared" si="1"/>
        <v>2077</v>
      </c>
      <c r="EV3" s="34">
        <f t="shared" si="1"/>
        <v>2078</v>
      </c>
      <c r="EW3" s="34">
        <f t="shared" si="1"/>
        <v>2079</v>
      </c>
      <c r="EX3" s="34">
        <f t="shared" si="1"/>
        <v>2080</v>
      </c>
      <c r="EY3" s="34">
        <f t="shared" si="1"/>
        <v>2081</v>
      </c>
      <c r="EZ3" s="34">
        <f t="shared" si="1"/>
        <v>2082</v>
      </c>
      <c r="FA3" s="34">
        <f t="shared" si="1"/>
        <v>2083</v>
      </c>
      <c r="FB3" s="34">
        <f t="shared" si="1"/>
        <v>2084</v>
      </c>
      <c r="FC3" s="2"/>
      <c r="FD3" s="2"/>
      <c r="FE3" s="2"/>
    </row>
    <row r="4" spans="2:161">
      <c r="B4" s="36" t="s">
        <v>269</v>
      </c>
      <c r="BG4" s="1">
        <v>3357</v>
      </c>
      <c r="BH4" s="1">
        <v>8612</v>
      </c>
      <c r="BI4" s="1">
        <v>11908</v>
      </c>
      <c r="BJ4" s="1">
        <f>38950-SUM(BG4:BI4)</f>
        <v>15073</v>
      </c>
      <c r="BK4" s="1">
        <v>19392</v>
      </c>
      <c r="BL4" s="1">
        <v>22604</v>
      </c>
      <c r="BM4" s="1">
        <v>27644</v>
      </c>
      <c r="BN4" s="1">
        <f>102196-SUM(BK4:BM4)</f>
        <v>32556</v>
      </c>
      <c r="BO4" s="1">
        <v>34155</v>
      </c>
      <c r="BP4" s="1">
        <v>33844</v>
      </c>
      <c r="CS4" s="1">
        <f>SUM(BG4:BJ4)</f>
        <v>38950</v>
      </c>
      <c r="CT4" s="1">
        <f>SUM(BK4:BN4)</f>
        <v>102196</v>
      </c>
      <c r="CU4" s="35">
        <f>CT4*(1+CU13)</f>
        <v>177821.04</v>
      </c>
      <c r="CV4" s="35">
        <f t="shared" ref="CV4:DD4" si="2">CU4*(1+CV13)</f>
        <v>257840.508</v>
      </c>
      <c r="CW4" s="35">
        <f t="shared" si="2"/>
        <v>327457.44516</v>
      </c>
      <c r="CX4" s="35">
        <f t="shared" si="2"/>
        <v>399498.08309520001</v>
      </c>
      <c r="CY4" s="35">
        <f t="shared" si="2"/>
        <v>475402.71888328798</v>
      </c>
      <c r="CZ4" s="35">
        <f t="shared" si="2"/>
        <v>556221.18109344691</v>
      </c>
      <c r="DA4" s="35">
        <f t="shared" si="2"/>
        <v>645216.57006839837</v>
      </c>
      <c r="DB4" s="35">
        <f t="shared" si="2"/>
        <v>741999.05557865812</v>
      </c>
      <c r="DC4" s="35">
        <f t="shared" si="2"/>
        <v>845878.92335967033</v>
      </c>
      <c r="DD4" s="35">
        <f t="shared" si="2"/>
        <v>955843.18339642743</v>
      </c>
    </row>
    <row r="5" spans="2:161">
      <c r="B5" s="36" t="s">
        <v>270</v>
      </c>
      <c r="BG5" s="1">
        <v>927</v>
      </c>
      <c r="BH5" s="1">
        <v>1711</v>
      </c>
      <c r="BI5" s="1">
        <v>2606</v>
      </c>
      <c r="BJ5" s="1">
        <f>8575-SUM(BG5:BI5)</f>
        <v>3331</v>
      </c>
      <c r="BK5" s="1">
        <v>3171</v>
      </c>
      <c r="BL5" s="1">
        <v>3668</v>
      </c>
      <c r="BM5" s="1">
        <v>3127</v>
      </c>
      <c r="BN5" s="1">
        <f>12990-SUM(BK5:BM5)</f>
        <v>3024</v>
      </c>
      <c r="BO5" s="1">
        <v>4957</v>
      </c>
      <c r="BP5" s="1">
        <v>7252</v>
      </c>
      <c r="CS5" s="1">
        <f t="shared" ref="CS5:CS11" si="3">SUM(BG5:BJ5)</f>
        <v>8575</v>
      </c>
      <c r="CT5" s="1">
        <f t="shared" ref="CT5:CT11" si="4">SUM(BK5:BN5)</f>
        <v>12990</v>
      </c>
      <c r="CU5" s="59">
        <f>CT5*(1+CU14)</f>
        <v>19744.8</v>
      </c>
      <c r="CV5" s="59">
        <f t="shared" ref="CV5:DD5" si="5">CU5*(1+CV14)</f>
        <v>27247.823999999997</v>
      </c>
      <c r="CW5" s="59">
        <f t="shared" si="5"/>
        <v>32152.432319999996</v>
      </c>
      <c r="CX5" s="59">
        <f t="shared" si="5"/>
        <v>37296.821491199997</v>
      </c>
      <c r="CY5" s="59">
        <f t="shared" si="5"/>
        <v>42891.34471487999</v>
      </c>
      <c r="CZ5" s="59">
        <f t="shared" si="5"/>
        <v>48896.132974963191</v>
      </c>
      <c r="DA5" s="59">
        <f t="shared" si="5"/>
        <v>55252.6302617084</v>
      </c>
      <c r="DB5" s="59">
        <f t="shared" si="5"/>
        <v>61882.945893113414</v>
      </c>
      <c r="DC5" s="59">
        <f t="shared" si="5"/>
        <v>68690.06994135589</v>
      </c>
      <c r="DD5" s="59">
        <f t="shared" si="5"/>
        <v>75559.076935491481</v>
      </c>
    </row>
    <row r="6" spans="2:161" s="2" customFormat="1" ht="15">
      <c r="B6" s="33" t="s">
        <v>191</v>
      </c>
      <c r="AM6" s="2">
        <v>1723</v>
      </c>
      <c r="AN6" s="2">
        <v>1805</v>
      </c>
      <c r="AO6" s="2">
        <v>1764</v>
      </c>
      <c r="AP6" s="2">
        <f>6246-SUM(AM6:AO6)</f>
        <v>954</v>
      </c>
      <c r="AQ6" s="2">
        <v>1055</v>
      </c>
      <c r="AR6" s="2">
        <v>1313</v>
      </c>
      <c r="AS6" s="2">
        <v>1659</v>
      </c>
      <c r="AT6" s="2">
        <f>5518-SUM(AQ6:AS6)</f>
        <v>1491</v>
      </c>
      <c r="AU6" s="2">
        <v>1339</v>
      </c>
      <c r="AV6" s="2">
        <v>1654</v>
      </c>
      <c r="AW6" s="2">
        <v>2271</v>
      </c>
      <c r="AX6" s="2">
        <f>7759-SUM(AU6:AW6)</f>
        <v>2495</v>
      </c>
      <c r="AY6" s="2">
        <v>2760</v>
      </c>
      <c r="AZ6" s="2">
        <v>3061</v>
      </c>
      <c r="BA6" s="2">
        <v>2936</v>
      </c>
      <c r="BB6" s="2">
        <f>10613-SUM(AY6:BA6)</f>
        <v>1856</v>
      </c>
      <c r="BC6" s="2">
        <v>3750</v>
      </c>
      <c r="BD6" s="2">
        <v>3806</v>
      </c>
      <c r="BE6" s="2">
        <v>3833</v>
      </c>
      <c r="BF6" s="2">
        <f>15005-SUM(BC6:BE6)</f>
        <v>3616</v>
      </c>
      <c r="BG6" s="2">
        <f t="shared" ref="BG6:BP6" si="6">SUM(BG4:BG5)</f>
        <v>4284</v>
      </c>
      <c r="BH6" s="2">
        <f t="shared" si="6"/>
        <v>10323</v>
      </c>
      <c r="BI6" s="2">
        <f t="shared" si="6"/>
        <v>14514</v>
      </c>
      <c r="BJ6" s="2">
        <f t="shared" si="6"/>
        <v>18404</v>
      </c>
      <c r="BK6" s="2">
        <f t="shared" si="6"/>
        <v>22563</v>
      </c>
      <c r="BL6" s="2">
        <f t="shared" si="6"/>
        <v>26272</v>
      </c>
      <c r="BM6" s="2">
        <f t="shared" si="6"/>
        <v>30771</v>
      </c>
      <c r="BN6" s="2">
        <f t="shared" si="6"/>
        <v>35580</v>
      </c>
      <c r="BO6" s="2">
        <f t="shared" si="6"/>
        <v>39112</v>
      </c>
      <c r="BP6" s="2">
        <f t="shared" si="6"/>
        <v>41096</v>
      </c>
      <c r="BQ6" s="34"/>
      <c r="BR6" s="34"/>
      <c r="BS6" s="34"/>
      <c r="BT6" s="34"/>
      <c r="BU6" s="34"/>
      <c r="BV6" s="34"/>
      <c r="CN6" s="2">
        <f t="shared" ref="CN6:CN11" si="7">SUM(AM6:AP6)</f>
        <v>6246</v>
      </c>
      <c r="CO6" s="2">
        <f t="shared" ref="CO6:CO11" si="8">SUM(AQ6:AT6)</f>
        <v>5518</v>
      </c>
      <c r="CP6" s="2">
        <f t="shared" ref="CP6:CP11" si="9">SUM(AU6:AX6)</f>
        <v>7759</v>
      </c>
      <c r="CQ6" s="2">
        <f t="shared" ref="CQ6:CQ11" si="10">SUM(AY6:BB6)</f>
        <v>10613</v>
      </c>
      <c r="CR6" s="2">
        <f t="shared" ref="CR6:CR11" si="11">SUM(BC6:BF6)</f>
        <v>15005</v>
      </c>
      <c r="CS6" s="2">
        <f t="shared" si="3"/>
        <v>47525</v>
      </c>
      <c r="CT6" s="2">
        <f t="shared" si="4"/>
        <v>115186</v>
      </c>
      <c r="CU6" s="60">
        <f>CU4+CU5</f>
        <v>197565.84</v>
      </c>
      <c r="CV6" s="60">
        <f>CV4+CV5</f>
        <v>285088.33199999999</v>
      </c>
      <c r="CW6" s="60">
        <f t="shared" ref="CW6:DD6" si="12">CW4+CW5</f>
        <v>359609.87748000002</v>
      </c>
      <c r="CX6" s="60">
        <f t="shared" si="12"/>
        <v>436794.90458640002</v>
      </c>
      <c r="CY6" s="60">
        <f t="shared" si="12"/>
        <v>518294.06359816797</v>
      </c>
      <c r="CZ6" s="60">
        <f t="shared" si="12"/>
        <v>605117.31406841008</v>
      </c>
      <c r="DA6" s="60">
        <f t="shared" si="12"/>
        <v>700469.20033010677</v>
      </c>
      <c r="DB6" s="60">
        <f t="shared" si="12"/>
        <v>803882.00147177151</v>
      </c>
      <c r="DC6" s="60">
        <f t="shared" si="12"/>
        <v>914568.99330102617</v>
      </c>
      <c r="DD6" s="60">
        <f t="shared" si="12"/>
        <v>1031402.260331919</v>
      </c>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row>
    <row r="7" spans="2:161">
      <c r="B7" s="36" t="s">
        <v>271</v>
      </c>
      <c r="AM7" s="1">
        <v>251</v>
      </c>
      <c r="AN7" s="1">
        <v>281</v>
      </c>
      <c r="AO7" s="1">
        <v>305</v>
      </c>
      <c r="AP7" s="1">
        <f>1130-SUM(AM7:AO7)</f>
        <v>293</v>
      </c>
      <c r="AQ7" s="1">
        <v>266</v>
      </c>
      <c r="AR7" s="1">
        <v>291</v>
      </c>
      <c r="AS7" s="1">
        <v>324</v>
      </c>
      <c r="AT7" s="1">
        <f>1212-SUM(AQ7:AS7)</f>
        <v>331</v>
      </c>
      <c r="AU7" s="1">
        <v>1141</v>
      </c>
      <c r="AV7" s="1">
        <v>1752</v>
      </c>
      <c r="AW7" s="1">
        <v>1900</v>
      </c>
      <c r="AX7" s="1">
        <f>6696-SUM(AU7:AW7)</f>
        <v>1903</v>
      </c>
      <c r="AY7" s="1">
        <v>2048</v>
      </c>
      <c r="AZ7" s="1">
        <v>2366</v>
      </c>
      <c r="BA7" s="1">
        <v>3221</v>
      </c>
      <c r="BB7" s="1">
        <f>12462-SUM(AY7:BA7)</f>
        <v>4827</v>
      </c>
      <c r="BC7" s="1">
        <v>3620</v>
      </c>
      <c r="BD7" s="1">
        <v>2042</v>
      </c>
      <c r="BE7" s="1">
        <v>1574</v>
      </c>
      <c r="BF7" s="1">
        <f>9067-SUM(BC7:BE7)</f>
        <v>1831</v>
      </c>
      <c r="BG7" s="1">
        <v>2240</v>
      </c>
      <c r="BH7" s="1">
        <v>2486</v>
      </c>
      <c r="BI7" s="1">
        <v>2856</v>
      </c>
      <c r="BJ7" s="1">
        <f>10447-SUM(BG7:BI7)</f>
        <v>2865</v>
      </c>
      <c r="BK7" s="1">
        <v>2647</v>
      </c>
      <c r="BL7" s="1">
        <v>2880</v>
      </c>
      <c r="BM7" s="1">
        <v>3279</v>
      </c>
      <c r="BN7" s="1">
        <f>11350-SUM(BK7:BM7)</f>
        <v>2544</v>
      </c>
      <c r="BO7" s="1">
        <v>3763</v>
      </c>
      <c r="BP7" s="1">
        <v>4287</v>
      </c>
      <c r="CN7" s="1">
        <f t="shared" si="7"/>
        <v>1130</v>
      </c>
      <c r="CO7" s="1">
        <f t="shared" si="8"/>
        <v>1212</v>
      </c>
      <c r="CP7" s="1">
        <f t="shared" si="9"/>
        <v>6696</v>
      </c>
      <c r="CQ7" s="1">
        <f t="shared" si="10"/>
        <v>12462</v>
      </c>
      <c r="CR7" s="1">
        <f t="shared" si="11"/>
        <v>9067</v>
      </c>
      <c r="CS7" s="1">
        <f t="shared" si="3"/>
        <v>10447</v>
      </c>
      <c r="CT7" s="1">
        <f t="shared" si="4"/>
        <v>11350</v>
      </c>
      <c r="CU7" s="59">
        <f>CT7*(1+CU16)</f>
        <v>12428.25</v>
      </c>
      <c r="CV7" s="59">
        <f t="shared" ref="CV7:DD7" si="13">CU7*(1+CV16)</f>
        <v>13919.640000000001</v>
      </c>
      <c r="CW7" s="59">
        <f t="shared" si="13"/>
        <v>15450.800400000002</v>
      </c>
      <c r="CX7" s="59">
        <f t="shared" si="13"/>
        <v>17073.134442000002</v>
      </c>
      <c r="CY7" s="59">
        <f t="shared" si="13"/>
        <v>18780.447886200003</v>
      </c>
      <c r="CZ7" s="59">
        <f t="shared" si="13"/>
        <v>20470.688195958006</v>
      </c>
      <c r="DA7" s="59">
        <f t="shared" si="13"/>
        <v>22108.343251634647</v>
      </c>
      <c r="DB7" s="59">
        <f t="shared" si="13"/>
        <v>23434.843846732729</v>
      </c>
      <c r="DC7" s="59">
        <f t="shared" si="13"/>
        <v>24606.586039069367</v>
      </c>
      <c r="DD7" s="59">
        <f t="shared" si="13"/>
        <v>25590.849480632143</v>
      </c>
    </row>
    <row r="8" spans="2:161">
      <c r="B8" s="36" t="s">
        <v>272</v>
      </c>
      <c r="AM8" s="1">
        <v>701</v>
      </c>
      <c r="AN8" s="1">
        <v>760</v>
      </c>
      <c r="AO8" s="1">
        <v>792</v>
      </c>
      <c r="AP8" s="1">
        <f>2932-SUM(AM8:AO8)</f>
        <v>679</v>
      </c>
      <c r="AQ8" s="1">
        <v>634</v>
      </c>
      <c r="AR8" s="1">
        <v>655</v>
      </c>
      <c r="AS8" s="1">
        <v>726</v>
      </c>
      <c r="AT8" s="1">
        <f>2983-SUM(AQ8:AS8)</f>
        <v>968</v>
      </c>
      <c r="AU8" s="1">
        <v>307</v>
      </c>
      <c r="AV8" s="1">
        <v>203</v>
      </c>
      <c r="AW8" s="1">
        <v>236</v>
      </c>
      <c r="AX8" s="1">
        <f>1053-SUM(AU8:AW8)</f>
        <v>307</v>
      </c>
      <c r="AY8" s="1">
        <v>372</v>
      </c>
      <c r="AZ8" s="1">
        <v>519</v>
      </c>
      <c r="BA8" s="1">
        <v>577</v>
      </c>
      <c r="BB8" s="1">
        <f>2111-SUM(AY8:BA8)</f>
        <v>643</v>
      </c>
      <c r="BC8" s="1">
        <v>622</v>
      </c>
      <c r="BD8" s="1">
        <v>496</v>
      </c>
      <c r="BE8" s="1">
        <v>200</v>
      </c>
      <c r="BF8" s="1">
        <f>1544-SUM(BC8:BE8)</f>
        <v>226</v>
      </c>
      <c r="BG8" s="1">
        <v>295</v>
      </c>
      <c r="BH8" s="1">
        <v>379</v>
      </c>
      <c r="BI8" s="1">
        <v>416</v>
      </c>
      <c r="BJ8" s="1">
        <f>1553-SUM(BG8:BI8)</f>
        <v>463</v>
      </c>
      <c r="BK8" s="1">
        <v>427</v>
      </c>
      <c r="BL8" s="1">
        <v>454</v>
      </c>
      <c r="BM8" s="1">
        <v>486</v>
      </c>
      <c r="BN8" s="1">
        <f>1878-SUM(BK8:BM8)</f>
        <v>511</v>
      </c>
      <c r="BO8" s="1">
        <v>509</v>
      </c>
      <c r="BP8" s="1">
        <v>601</v>
      </c>
      <c r="CN8" s="1">
        <f t="shared" si="7"/>
        <v>2932</v>
      </c>
      <c r="CO8" s="1">
        <f t="shared" si="8"/>
        <v>2983</v>
      </c>
      <c r="CP8" s="1">
        <f t="shared" si="9"/>
        <v>1053</v>
      </c>
      <c r="CQ8" s="1">
        <f t="shared" si="10"/>
        <v>2111</v>
      </c>
      <c r="CR8" s="1">
        <f t="shared" si="11"/>
        <v>1544</v>
      </c>
      <c r="CS8" s="1">
        <f t="shared" si="3"/>
        <v>1553</v>
      </c>
      <c r="CT8" s="1">
        <f t="shared" si="4"/>
        <v>1878</v>
      </c>
      <c r="CU8" s="59">
        <f t="shared" ref="CU8:DD10" si="14">CT8*(1+CU17)</f>
        <v>2234.8199999999997</v>
      </c>
      <c r="CV8" s="59">
        <f t="shared" si="14"/>
        <v>2704.1321999999996</v>
      </c>
      <c r="CW8" s="59">
        <f t="shared" si="14"/>
        <v>3299.0412839999995</v>
      </c>
      <c r="CX8" s="59">
        <f t="shared" si="14"/>
        <v>3958.849540799999</v>
      </c>
      <c r="CY8" s="59">
        <f t="shared" si="14"/>
        <v>4671.4424581439989</v>
      </c>
      <c r="CZ8" s="59">
        <f t="shared" si="14"/>
        <v>5418.8732514470385</v>
      </c>
      <c r="DA8" s="59">
        <f t="shared" si="14"/>
        <v>6177.5155066496245</v>
      </c>
      <c r="DB8" s="59">
        <f t="shared" si="14"/>
        <v>6918.8173674475802</v>
      </c>
      <c r="DC8" s="59">
        <f t="shared" si="14"/>
        <v>7679.8872778668147</v>
      </c>
      <c r="DD8" s="59">
        <f t="shared" si="14"/>
        <v>8447.8760056534975</v>
      </c>
    </row>
    <row r="9" spans="2:161">
      <c r="B9" s="36" t="s">
        <v>273</v>
      </c>
      <c r="AM9" s="1">
        <v>145</v>
      </c>
      <c r="AN9" s="1">
        <v>161</v>
      </c>
      <c r="AO9" s="1">
        <v>172</v>
      </c>
      <c r="AP9" s="1">
        <f>641-SUM(AM9:AO9)</f>
        <v>163</v>
      </c>
      <c r="AQ9" s="1">
        <v>166</v>
      </c>
      <c r="AR9" s="1">
        <v>209</v>
      </c>
      <c r="AS9" s="1">
        <v>162</v>
      </c>
      <c r="AT9" s="1">
        <f>700-SUM(AQ9:AS9)</f>
        <v>163</v>
      </c>
      <c r="AU9" s="1">
        <v>155</v>
      </c>
      <c r="AV9" s="1">
        <v>111</v>
      </c>
      <c r="AW9" s="1">
        <v>125</v>
      </c>
      <c r="AX9" s="1">
        <f>536-SUM(AU9:AW9)</f>
        <v>145</v>
      </c>
      <c r="AY9" s="1">
        <v>154</v>
      </c>
      <c r="AZ9" s="1">
        <v>152</v>
      </c>
      <c r="BA9" s="1">
        <v>135</v>
      </c>
      <c r="BB9" s="1">
        <f>566-SUM(AY9:BA9)</f>
        <v>125</v>
      </c>
      <c r="BC9" s="1">
        <v>138</v>
      </c>
      <c r="BD9" s="1">
        <v>220</v>
      </c>
      <c r="BE9" s="1">
        <v>251</v>
      </c>
      <c r="BF9" s="1">
        <f>903-SUM(BC9:BE9)</f>
        <v>294</v>
      </c>
      <c r="BG9" s="1">
        <v>296</v>
      </c>
      <c r="BH9" s="1">
        <v>253</v>
      </c>
      <c r="BI9" s="1">
        <v>261</v>
      </c>
      <c r="BJ9" s="1">
        <f>1091-SUM(BG9:BI9)</f>
        <v>281</v>
      </c>
      <c r="BK9" s="1">
        <v>329</v>
      </c>
      <c r="BL9" s="1">
        <v>346</v>
      </c>
      <c r="BM9" s="1">
        <v>449</v>
      </c>
      <c r="BN9" s="1">
        <f>1694-SUM(BK9:BM9)</f>
        <v>570</v>
      </c>
      <c r="BO9" s="1">
        <v>567</v>
      </c>
      <c r="BP9" s="1">
        <v>586</v>
      </c>
      <c r="CN9" s="1">
        <f t="shared" si="7"/>
        <v>641</v>
      </c>
      <c r="CO9" s="1">
        <f t="shared" si="8"/>
        <v>700</v>
      </c>
      <c r="CP9" s="1">
        <f t="shared" si="9"/>
        <v>536</v>
      </c>
      <c r="CQ9" s="1">
        <f t="shared" si="10"/>
        <v>566</v>
      </c>
      <c r="CR9" s="1">
        <f t="shared" si="11"/>
        <v>903</v>
      </c>
      <c r="CS9" s="1">
        <f t="shared" si="3"/>
        <v>1091</v>
      </c>
      <c r="CT9" s="1">
        <f t="shared" si="4"/>
        <v>1694</v>
      </c>
      <c r="CU9" s="59">
        <f t="shared" si="14"/>
        <v>2795.1</v>
      </c>
      <c r="CV9" s="59">
        <f t="shared" si="14"/>
        <v>5031.18</v>
      </c>
      <c r="CW9" s="59">
        <f t="shared" si="14"/>
        <v>7546.77</v>
      </c>
      <c r="CX9" s="59">
        <f t="shared" si="14"/>
        <v>10942.816500000001</v>
      </c>
      <c r="CY9" s="59">
        <f t="shared" si="14"/>
        <v>15319.9431</v>
      </c>
      <c r="CZ9" s="59">
        <f t="shared" si="14"/>
        <v>19915.926030000002</v>
      </c>
      <c r="DA9" s="59">
        <f t="shared" si="14"/>
        <v>23899.111236000001</v>
      </c>
      <c r="DB9" s="59">
        <f t="shared" si="14"/>
        <v>28200.95125848</v>
      </c>
      <c r="DC9" s="59">
        <f t="shared" si="14"/>
        <v>32149.084434667202</v>
      </c>
      <c r="DD9" s="59">
        <f t="shared" si="14"/>
        <v>36006.974566827266</v>
      </c>
    </row>
    <row r="10" spans="2:161">
      <c r="B10" s="36" t="s">
        <v>1539</v>
      </c>
      <c r="AM10" s="1">
        <v>387</v>
      </c>
      <c r="AN10" s="1">
        <v>116</v>
      </c>
      <c r="AO10" s="1">
        <v>148</v>
      </c>
      <c r="AP10" s="1">
        <f>767-SUM(AM10:AO10)</f>
        <v>116</v>
      </c>
      <c r="AQ10" s="1">
        <v>99</v>
      </c>
      <c r="AR10" s="1">
        <v>111</v>
      </c>
      <c r="AS10" s="1">
        <v>143</v>
      </c>
      <c r="AT10" s="1">
        <f>505-SUM(AQ10:AS10)</f>
        <v>152</v>
      </c>
      <c r="AU10" s="1">
        <v>138</v>
      </c>
      <c r="AV10" s="1">
        <v>146</v>
      </c>
      <c r="AW10" s="1">
        <v>194</v>
      </c>
      <c r="AX10" s="1">
        <f>631-SUM(AU10:AW10)</f>
        <v>153</v>
      </c>
      <c r="AY10" s="1">
        <v>327</v>
      </c>
      <c r="AZ10" s="1">
        <v>409</v>
      </c>
      <c r="BA10" s="1">
        <v>234</v>
      </c>
      <c r="BB10" s="1">
        <f>1162-SUM(AY10:BA10)</f>
        <v>192</v>
      </c>
      <c r="BC10" s="1">
        <v>158</v>
      </c>
      <c r="BD10" s="1">
        <v>140</v>
      </c>
      <c r="BE10" s="1">
        <v>73</v>
      </c>
      <c r="BF10" s="1">
        <f>455-SUM(BC10:BE10)</f>
        <v>84</v>
      </c>
      <c r="BG10" s="1">
        <v>77</v>
      </c>
      <c r="BH10" s="1">
        <v>66</v>
      </c>
      <c r="BI10" s="1">
        <v>73</v>
      </c>
      <c r="BJ10" s="1">
        <f>306-SUM(BG10:BI10)</f>
        <v>90</v>
      </c>
      <c r="BK10" s="1">
        <v>78</v>
      </c>
      <c r="BL10" s="1">
        <v>88</v>
      </c>
      <c r="BM10" s="1">
        <v>97</v>
      </c>
      <c r="BN10" s="1">
        <f>389-SUM(BK10:BM10)</f>
        <v>126</v>
      </c>
      <c r="BO10" s="1">
        <v>111</v>
      </c>
      <c r="BP10" s="1">
        <v>173</v>
      </c>
      <c r="CN10" s="1">
        <f t="shared" si="7"/>
        <v>767</v>
      </c>
      <c r="CO10" s="1">
        <f t="shared" si="8"/>
        <v>505</v>
      </c>
      <c r="CP10" s="1">
        <f t="shared" si="9"/>
        <v>631</v>
      </c>
      <c r="CQ10" s="1">
        <f t="shared" si="10"/>
        <v>1162</v>
      </c>
      <c r="CR10" s="1">
        <f t="shared" si="11"/>
        <v>455</v>
      </c>
      <c r="CS10" s="1">
        <f t="shared" si="3"/>
        <v>306</v>
      </c>
      <c r="CT10" s="1">
        <f t="shared" si="4"/>
        <v>389</v>
      </c>
      <c r="CU10" s="59">
        <f t="shared" si="14"/>
        <v>494.51307189542479</v>
      </c>
      <c r="CV10" s="59">
        <f t="shared" si="14"/>
        <v>717.04395424836594</v>
      </c>
      <c r="CW10" s="59">
        <f t="shared" si="14"/>
        <v>1054.054612745098</v>
      </c>
      <c r="CX10" s="59">
        <f t="shared" si="14"/>
        <v>1528.379188480392</v>
      </c>
      <c r="CY10" s="59">
        <f t="shared" si="14"/>
        <v>1910.4739856004901</v>
      </c>
      <c r="CZ10" s="59">
        <f t="shared" si="14"/>
        <v>2330.7782624325978</v>
      </c>
      <c r="DA10" s="59">
        <f t="shared" si="14"/>
        <v>2796.9339149191173</v>
      </c>
      <c r="DB10" s="59">
        <f t="shared" si="14"/>
        <v>3300.3820196045581</v>
      </c>
      <c r="DC10" s="59">
        <f t="shared" si="14"/>
        <v>3828.4431427412869</v>
      </c>
      <c r="DD10" s="59">
        <f t="shared" si="14"/>
        <v>4364.4251827250673</v>
      </c>
    </row>
    <row r="11" spans="2:161" s="2" customFormat="1" ht="15">
      <c r="B11" s="33" t="s">
        <v>118</v>
      </c>
      <c r="AM11" s="2">
        <f>AM6+SUM(AM7:AM10)</f>
        <v>3207</v>
      </c>
      <c r="AN11" s="2">
        <f>AN6+SUM(AN7:AN10)</f>
        <v>3123</v>
      </c>
      <c r="AO11" s="2">
        <f>AO6+SUM(AO7:AO10)</f>
        <v>3181</v>
      </c>
      <c r="AP11" s="2">
        <f t="shared" ref="AP11:BL11" si="15">AP6+SUM(AP7:AP10)</f>
        <v>2205</v>
      </c>
      <c r="AQ11" s="2">
        <f>AQ6+SUM(AQ7:AQ10)</f>
        <v>2220</v>
      </c>
      <c r="AR11" s="2">
        <f>AR6+SUM(AR7:AR10)</f>
        <v>2579</v>
      </c>
      <c r="AS11" s="2">
        <f>AS6+SUM(AS7:AS10)</f>
        <v>3014</v>
      </c>
      <c r="AT11" s="2">
        <f t="shared" si="15"/>
        <v>3105</v>
      </c>
      <c r="AU11" s="2">
        <f t="shared" si="15"/>
        <v>3080</v>
      </c>
      <c r="AV11" s="2">
        <f t="shared" si="15"/>
        <v>3866</v>
      </c>
      <c r="AW11" s="2">
        <f t="shared" si="15"/>
        <v>4726</v>
      </c>
      <c r="AX11" s="2">
        <f t="shared" si="15"/>
        <v>5003</v>
      </c>
      <c r="AY11" s="2">
        <f t="shared" si="15"/>
        <v>5661</v>
      </c>
      <c r="AZ11" s="2">
        <f t="shared" si="15"/>
        <v>6507</v>
      </c>
      <c r="BA11" s="2">
        <f t="shared" si="15"/>
        <v>7103</v>
      </c>
      <c r="BB11" s="2">
        <f t="shared" si="15"/>
        <v>7643</v>
      </c>
      <c r="BC11" s="2">
        <f t="shared" si="15"/>
        <v>8288</v>
      </c>
      <c r="BD11" s="2">
        <f t="shared" si="15"/>
        <v>6704</v>
      </c>
      <c r="BE11" s="2">
        <f t="shared" si="15"/>
        <v>5931</v>
      </c>
      <c r="BF11" s="2">
        <f t="shared" si="15"/>
        <v>6051</v>
      </c>
      <c r="BG11" s="2">
        <f t="shared" si="15"/>
        <v>7192</v>
      </c>
      <c r="BH11" s="2">
        <f t="shared" si="15"/>
        <v>13507</v>
      </c>
      <c r="BI11" s="2">
        <f t="shared" si="15"/>
        <v>18120</v>
      </c>
      <c r="BJ11" s="2">
        <f t="shared" si="15"/>
        <v>22103</v>
      </c>
      <c r="BK11" s="2">
        <f t="shared" si="15"/>
        <v>26044</v>
      </c>
      <c r="BL11" s="2">
        <f t="shared" si="15"/>
        <v>30040</v>
      </c>
      <c r="BM11" s="2">
        <f>BM6+SUM(BM7:BM10)</f>
        <v>35082</v>
      </c>
      <c r="BN11" s="2">
        <f>BN6+SUM(BN7:BN10)</f>
        <v>39331</v>
      </c>
      <c r="BO11" s="2">
        <f>BO6+SUM(BO7:BO10)</f>
        <v>44062</v>
      </c>
      <c r="BP11" s="2">
        <f>BP6+SUM(BP7:BP10)</f>
        <v>46743</v>
      </c>
      <c r="BQ11" s="34"/>
      <c r="BR11" s="34"/>
      <c r="BS11" s="34"/>
      <c r="BT11" s="34"/>
      <c r="BU11" s="34"/>
      <c r="BV11" s="34"/>
      <c r="CN11" s="2">
        <f t="shared" si="7"/>
        <v>11716</v>
      </c>
      <c r="CO11" s="2">
        <f t="shared" si="8"/>
        <v>10918</v>
      </c>
      <c r="CP11" s="2">
        <f t="shared" si="9"/>
        <v>16675</v>
      </c>
      <c r="CQ11" s="2">
        <f t="shared" si="10"/>
        <v>26914</v>
      </c>
      <c r="CR11" s="2">
        <f t="shared" si="11"/>
        <v>26974</v>
      </c>
      <c r="CS11" s="2">
        <f t="shared" si="3"/>
        <v>60922</v>
      </c>
      <c r="CT11" s="2">
        <f t="shared" si="4"/>
        <v>130497</v>
      </c>
      <c r="CU11" s="61">
        <f>CU6+SUM(CU7:CU10)</f>
        <v>215518.52307189541</v>
      </c>
      <c r="CV11" s="61">
        <f t="shared" ref="CV11:DD11" si="16">CV6+SUM(CV7:CV10)</f>
        <v>307460.32815424836</v>
      </c>
      <c r="CW11" s="61">
        <f t="shared" si="16"/>
        <v>386960.54377674515</v>
      </c>
      <c r="CX11" s="61">
        <f t="shared" si="16"/>
        <v>470298.0842576804</v>
      </c>
      <c r="CY11" s="61">
        <f t="shared" si="16"/>
        <v>558976.37102811248</v>
      </c>
      <c r="CZ11" s="61">
        <f t="shared" si="16"/>
        <v>653253.57980824774</v>
      </c>
      <c r="DA11" s="61">
        <f t="shared" si="16"/>
        <v>755451.10423931014</v>
      </c>
      <c r="DB11" s="61">
        <f t="shared" si="16"/>
        <v>865736.99596403632</v>
      </c>
      <c r="DC11" s="61">
        <f t="shared" si="16"/>
        <v>982832.99419537082</v>
      </c>
      <c r="DD11" s="61">
        <f t="shared" si="16"/>
        <v>1105812.3855677568</v>
      </c>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row>
    <row r="12" spans="2:161">
      <c r="B12" s="36"/>
    </row>
    <row r="13" spans="2:161">
      <c r="B13" s="37" t="s">
        <v>1535</v>
      </c>
      <c r="BJ13" s="53"/>
      <c r="BK13" s="53">
        <f t="shared" ref="AR13:BP20" si="17">BK4/BG4-1</f>
        <v>4.7765862377122428</v>
      </c>
      <c r="BL13" s="53">
        <f t="shared" ref="BL13:BN14" si="18">BL4/BH4-1</f>
        <v>1.6247097073850441</v>
      </c>
      <c r="BM13" s="53">
        <f t="shared" si="18"/>
        <v>1.321464561639234</v>
      </c>
      <c r="BN13" s="53">
        <f t="shared" si="18"/>
        <v>1.1598885424268559</v>
      </c>
      <c r="BO13" s="53">
        <f t="shared" si="17"/>
        <v>0.76129331683168311</v>
      </c>
      <c r="BP13" s="53"/>
      <c r="CO13" s="53"/>
      <c r="CP13" s="53"/>
      <c r="CQ13" s="53"/>
      <c r="CR13" s="53"/>
      <c r="CS13" s="53"/>
      <c r="CT13" s="53">
        <f>CT4/CS4-1</f>
        <v>1.6237740693196407</v>
      </c>
      <c r="CU13" s="57">
        <v>0.74</v>
      </c>
      <c r="CV13" s="57">
        <v>0.45</v>
      </c>
      <c r="CW13" s="57">
        <v>0.27</v>
      </c>
      <c r="CX13" s="57">
        <v>0.22</v>
      </c>
      <c r="CY13" s="57">
        <v>0.19</v>
      </c>
      <c r="CZ13" s="57">
        <v>0.17</v>
      </c>
      <c r="DA13" s="57">
        <v>0.16</v>
      </c>
      <c r="DB13" s="57">
        <v>0.15</v>
      </c>
      <c r="DC13" s="57">
        <v>0.14000000000000001</v>
      </c>
      <c r="DD13" s="57">
        <v>0.13</v>
      </c>
    </row>
    <row r="14" spans="2:161">
      <c r="B14" s="37" t="s">
        <v>1542</v>
      </c>
      <c r="BJ14" s="53"/>
      <c r="BK14" s="53">
        <f t="shared" si="17"/>
        <v>2.4207119741100325</v>
      </c>
      <c r="BL14" s="53">
        <f t="shared" si="18"/>
        <v>1.1437755698421976</v>
      </c>
      <c r="BM14" s="53">
        <f t="shared" si="18"/>
        <v>0.19992325402916356</v>
      </c>
      <c r="BN14" s="53">
        <f t="shared" si="18"/>
        <v>-9.2164515160612415E-2</v>
      </c>
      <c r="BO14" s="53">
        <f t="shared" si="17"/>
        <v>0.56322926521602024</v>
      </c>
      <c r="BP14" s="53"/>
      <c r="CO14" s="53"/>
      <c r="CP14" s="53"/>
      <c r="CQ14" s="53"/>
      <c r="CR14" s="53"/>
      <c r="CS14" s="53"/>
      <c r="CT14" s="53">
        <f t="shared" ref="CT14:CT20" si="19">CT5/CS5-1</f>
        <v>0.51486880466472296</v>
      </c>
      <c r="CU14" s="57">
        <v>0.52</v>
      </c>
      <c r="CV14" s="57">
        <v>0.38</v>
      </c>
      <c r="CW14" s="57">
        <v>0.18</v>
      </c>
      <c r="CX14" s="57">
        <v>0.16</v>
      </c>
      <c r="CY14" s="57">
        <v>0.15</v>
      </c>
      <c r="CZ14" s="57">
        <v>0.14000000000000001</v>
      </c>
      <c r="DA14" s="57">
        <v>0.13</v>
      </c>
      <c r="DB14" s="57">
        <v>0.12</v>
      </c>
      <c r="DC14" s="57">
        <v>0.11</v>
      </c>
      <c r="DD14" s="57">
        <v>0.1</v>
      </c>
    </row>
    <row r="15" spans="2:161" s="2" customFormat="1" ht="15">
      <c r="B15" s="33" t="s">
        <v>1536</v>
      </c>
      <c r="AQ15" s="54">
        <f t="shared" ref="AQ15:AQ20" si="20">AQ6/AM6-1</f>
        <v>-0.38769587928032501</v>
      </c>
      <c r="AR15" s="54">
        <f t="shared" si="17"/>
        <v>-0.27257617728531858</v>
      </c>
      <c r="AS15" s="54">
        <f t="shared" si="17"/>
        <v>-5.9523809523809534E-2</v>
      </c>
      <c r="AT15" s="54">
        <f t="shared" si="17"/>
        <v>0.56289308176100628</v>
      </c>
      <c r="AU15" s="54">
        <f t="shared" si="17"/>
        <v>0.26919431279620842</v>
      </c>
      <c r="AV15" s="54">
        <f t="shared" si="17"/>
        <v>0.25971058644325962</v>
      </c>
      <c r="AW15" s="54">
        <f t="shared" si="17"/>
        <v>0.36889692585895117</v>
      </c>
      <c r="AX15" s="54">
        <f t="shared" si="17"/>
        <v>0.67337357478202553</v>
      </c>
      <c r="AY15" s="54">
        <f t="shared" si="17"/>
        <v>1.0612397311426438</v>
      </c>
      <c r="AZ15" s="54">
        <f t="shared" si="17"/>
        <v>0.85066505441354301</v>
      </c>
      <c r="BA15" s="54">
        <f t="shared" si="17"/>
        <v>0.29282254513430206</v>
      </c>
      <c r="BB15" s="54">
        <f t="shared" si="17"/>
        <v>-0.25611222444889781</v>
      </c>
      <c r="BC15" s="54">
        <f t="shared" si="17"/>
        <v>0.35869565217391308</v>
      </c>
      <c r="BD15" s="54">
        <f t="shared" si="17"/>
        <v>0.24338451486442336</v>
      </c>
      <c r="BE15" s="54">
        <f t="shared" si="17"/>
        <v>0.30551771117166204</v>
      </c>
      <c r="BF15" s="54">
        <f t="shared" si="17"/>
        <v>0.94827586206896552</v>
      </c>
      <c r="BG15" s="54">
        <f t="shared" si="17"/>
        <v>0.14240000000000008</v>
      </c>
      <c r="BH15" s="54">
        <f t="shared" si="17"/>
        <v>1.712296374146085</v>
      </c>
      <c r="BI15" s="54">
        <f t="shared" si="17"/>
        <v>2.7865901382728935</v>
      </c>
      <c r="BJ15" s="54">
        <f t="shared" si="17"/>
        <v>4.0896017699115044</v>
      </c>
      <c r="BK15" s="54">
        <f t="shared" si="17"/>
        <v>4.2668067226890756</v>
      </c>
      <c r="BL15" s="54">
        <f t="shared" si="17"/>
        <v>1.5449966095127388</v>
      </c>
      <c r="BM15" s="54">
        <f t="shared" si="17"/>
        <v>1.1200909466721787</v>
      </c>
      <c r="BN15" s="54">
        <f t="shared" si="17"/>
        <v>0.93327537491849588</v>
      </c>
      <c r="BO15" s="54">
        <f t="shared" si="17"/>
        <v>0.73345743030625354</v>
      </c>
      <c r="BP15" s="54">
        <f t="shared" si="17"/>
        <v>0.56425091352009749</v>
      </c>
      <c r="BQ15" s="34"/>
      <c r="BR15" s="34"/>
      <c r="BS15" s="34"/>
      <c r="BT15" s="34"/>
      <c r="BU15" s="34"/>
      <c r="BV15" s="34"/>
      <c r="CO15" s="54">
        <f t="shared" ref="CO15:CS20" si="21">CO6/CN6-1</f>
        <v>-0.11655459494076204</v>
      </c>
      <c r="CP15" s="54">
        <f t="shared" si="21"/>
        <v>0.40612540775643358</v>
      </c>
      <c r="CQ15" s="54">
        <f t="shared" si="21"/>
        <v>0.36783090604459345</v>
      </c>
      <c r="CR15" s="54">
        <f t="shared" si="21"/>
        <v>0.4138320927164798</v>
      </c>
      <c r="CS15" s="54">
        <f t="shared" si="21"/>
        <v>2.1672775741419525</v>
      </c>
      <c r="CT15" s="54">
        <f t="shared" si="19"/>
        <v>1.4236927932667016</v>
      </c>
      <c r="CU15" s="58">
        <f>CU6/CT6-1</f>
        <v>0.71518969319188086</v>
      </c>
      <c r="CV15" s="58">
        <f t="shared" ref="CV15:DD15" si="22">CV6/CU6-1</f>
        <v>0.44300417521571545</v>
      </c>
      <c r="CW15" s="58">
        <f t="shared" si="22"/>
        <v>0.26139809004880643</v>
      </c>
      <c r="CX15" s="58">
        <f t="shared" si="22"/>
        <v>0.21463544785610811</v>
      </c>
      <c r="CY15" s="58">
        <f t="shared" si="22"/>
        <v>0.18658450031357221</v>
      </c>
      <c r="CZ15" s="58">
        <f t="shared" si="22"/>
        <v>0.1675173546605695</v>
      </c>
      <c r="DA15" s="58">
        <f t="shared" si="22"/>
        <v>0.15757586842229565</v>
      </c>
      <c r="DB15" s="58">
        <f t="shared" si="22"/>
        <v>0.14763361628595506</v>
      </c>
      <c r="DC15" s="58">
        <f t="shared" si="22"/>
        <v>0.13769059591657173</v>
      </c>
      <c r="DD15" s="58">
        <f t="shared" si="22"/>
        <v>0.12774680520186599</v>
      </c>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row>
    <row r="16" spans="2:161">
      <c r="B16" s="37" t="s">
        <v>1537</v>
      </c>
      <c r="AQ16" s="53">
        <f t="shared" si="20"/>
        <v>5.9760956175298752E-2</v>
      </c>
      <c r="AR16" s="53">
        <f t="shared" si="17"/>
        <v>3.5587188612099752E-2</v>
      </c>
      <c r="AS16" s="53">
        <f t="shared" si="17"/>
        <v>6.2295081967213006E-2</v>
      </c>
      <c r="AT16" s="53">
        <f t="shared" si="17"/>
        <v>0.12969283276450505</v>
      </c>
      <c r="AU16" s="53">
        <f t="shared" si="17"/>
        <v>3.2894736842105265</v>
      </c>
      <c r="AV16" s="53">
        <f t="shared" si="17"/>
        <v>5.0206185567010309</v>
      </c>
      <c r="AW16" s="53">
        <f t="shared" si="17"/>
        <v>4.8641975308641978</v>
      </c>
      <c r="AX16" s="53">
        <f t="shared" si="17"/>
        <v>4.7492447129909365</v>
      </c>
      <c r="AY16" s="53">
        <f t="shared" si="17"/>
        <v>0.79491673970201582</v>
      </c>
      <c r="AZ16" s="53">
        <f t="shared" si="17"/>
        <v>0.35045662100456632</v>
      </c>
      <c r="BA16" s="53">
        <f t="shared" si="17"/>
        <v>0.69526315789473681</v>
      </c>
      <c r="BB16" s="53">
        <f t="shared" si="17"/>
        <v>1.5365212821860221</v>
      </c>
      <c r="BC16" s="53">
        <f t="shared" si="17"/>
        <v>0.767578125</v>
      </c>
      <c r="BD16" s="53">
        <f t="shared" si="17"/>
        <v>-0.13693998309382927</v>
      </c>
      <c r="BE16" s="53">
        <f t="shared" si="17"/>
        <v>-0.51133188450791678</v>
      </c>
      <c r="BF16" s="53">
        <f t="shared" si="17"/>
        <v>-0.62067536772322351</v>
      </c>
      <c r="BG16" s="53">
        <f t="shared" si="17"/>
        <v>-0.38121546961325969</v>
      </c>
      <c r="BH16" s="53">
        <f t="shared" si="17"/>
        <v>0.21743388834475996</v>
      </c>
      <c r="BI16" s="53">
        <f t="shared" si="17"/>
        <v>0.81448538754764921</v>
      </c>
      <c r="BJ16" s="53">
        <f t="shared" si="17"/>
        <v>0.5647187329328236</v>
      </c>
      <c r="BK16" s="53">
        <f t="shared" si="17"/>
        <v>0.18169642857142865</v>
      </c>
      <c r="BL16" s="53">
        <f t="shared" si="17"/>
        <v>0.15848753016894612</v>
      </c>
      <c r="BM16" s="53">
        <f t="shared" si="17"/>
        <v>0.14810924369747891</v>
      </c>
      <c r="BN16" s="53">
        <f t="shared" si="17"/>
        <v>-0.11204188481675392</v>
      </c>
      <c r="BO16" s="53">
        <f t="shared" si="17"/>
        <v>0.42160936909709101</v>
      </c>
      <c r="BP16" s="53">
        <f t="shared" si="17"/>
        <v>0.48854166666666665</v>
      </c>
      <c r="CO16" s="53">
        <f t="shared" si="21"/>
        <v>7.2566371681415998E-2</v>
      </c>
      <c r="CP16" s="53">
        <f t="shared" si="21"/>
        <v>4.5247524752475243</v>
      </c>
      <c r="CQ16" s="53">
        <f t="shared" si="21"/>
        <v>0.86111111111111116</v>
      </c>
      <c r="CR16" s="53">
        <f t="shared" si="21"/>
        <v>-0.27242818167228378</v>
      </c>
      <c r="CS16" s="53">
        <f t="shared" si="21"/>
        <v>0.15220028675416342</v>
      </c>
      <c r="CT16" s="53">
        <f t="shared" si="19"/>
        <v>8.643629750167503E-2</v>
      </c>
      <c r="CU16" s="57">
        <v>9.5000000000000001E-2</v>
      </c>
      <c r="CV16" s="57">
        <v>0.12</v>
      </c>
      <c r="CW16" s="57">
        <v>0.11</v>
      </c>
      <c r="CX16" s="57">
        <v>0.105</v>
      </c>
      <c r="CY16" s="57">
        <v>0.1</v>
      </c>
      <c r="CZ16" s="57">
        <v>0.09</v>
      </c>
      <c r="DA16" s="57">
        <v>0.08</v>
      </c>
      <c r="DB16" s="57">
        <v>0.06</v>
      </c>
      <c r="DC16" s="57">
        <v>0.05</v>
      </c>
      <c r="DD16" s="57">
        <v>0.04</v>
      </c>
    </row>
    <row r="17" spans="2:158">
      <c r="B17" s="37" t="s">
        <v>1545</v>
      </c>
      <c r="AQ17" s="53">
        <f t="shared" si="20"/>
        <v>-9.5577746077032844E-2</v>
      </c>
      <c r="AR17" s="53">
        <f t="shared" si="17"/>
        <v>-0.13815789473684215</v>
      </c>
      <c r="AS17" s="53">
        <f t="shared" si="17"/>
        <v>-8.333333333333337E-2</v>
      </c>
      <c r="AT17" s="53">
        <f t="shared" si="17"/>
        <v>0.42562592047128134</v>
      </c>
      <c r="AU17" s="53">
        <f t="shared" si="17"/>
        <v>-0.51577287066246058</v>
      </c>
      <c r="AV17" s="53">
        <f t="shared" si="17"/>
        <v>-0.69007633587786255</v>
      </c>
      <c r="AW17" s="53">
        <f t="shared" si="17"/>
        <v>-0.67493112947658407</v>
      </c>
      <c r="AX17" s="53">
        <f t="shared" si="17"/>
        <v>-0.68285123966942152</v>
      </c>
      <c r="AY17" s="53">
        <f t="shared" si="17"/>
        <v>0.21172638436482094</v>
      </c>
      <c r="AZ17" s="53">
        <f t="shared" si="17"/>
        <v>1.5566502463054186</v>
      </c>
      <c r="BA17" s="53">
        <f t="shared" si="17"/>
        <v>1.4449152542372881</v>
      </c>
      <c r="BB17" s="53">
        <f t="shared" si="17"/>
        <v>1.0944625407166124</v>
      </c>
      <c r="BC17" s="53">
        <f t="shared" si="17"/>
        <v>0.67204301075268824</v>
      </c>
      <c r="BD17" s="53">
        <f t="shared" si="17"/>
        <v>-4.4315992292870865E-2</v>
      </c>
      <c r="BE17" s="53">
        <f t="shared" si="17"/>
        <v>-0.65337954939341425</v>
      </c>
      <c r="BF17" s="53">
        <f t="shared" si="17"/>
        <v>-0.64852255054432351</v>
      </c>
      <c r="BG17" s="53">
        <f t="shared" si="17"/>
        <v>-0.52572347266881025</v>
      </c>
      <c r="BH17" s="53">
        <f t="shared" si="17"/>
        <v>-0.23588709677419351</v>
      </c>
      <c r="BI17" s="53">
        <f t="shared" si="17"/>
        <v>1.08</v>
      </c>
      <c r="BJ17" s="53">
        <f t="shared" si="17"/>
        <v>1.0486725663716814</v>
      </c>
      <c r="BK17" s="53">
        <f t="shared" si="17"/>
        <v>0.44745762711864412</v>
      </c>
      <c r="BL17" s="53">
        <f t="shared" si="17"/>
        <v>0.19788918205804751</v>
      </c>
      <c r="BM17" s="53">
        <f t="shared" si="17"/>
        <v>0.16826923076923084</v>
      </c>
      <c r="BN17" s="53">
        <f t="shared" si="17"/>
        <v>0.10367170626349886</v>
      </c>
      <c r="BO17" s="53">
        <f t="shared" si="17"/>
        <v>0.19203747072599531</v>
      </c>
      <c r="BP17" s="53">
        <f t="shared" si="17"/>
        <v>0.32378854625550657</v>
      </c>
      <c r="CO17" s="53">
        <f t="shared" si="21"/>
        <v>1.7394270122783162E-2</v>
      </c>
      <c r="CP17" s="53">
        <f t="shared" si="21"/>
        <v>-0.64699966476701309</v>
      </c>
      <c r="CQ17" s="53">
        <f t="shared" si="21"/>
        <v>1.0047483380816713</v>
      </c>
      <c r="CR17" s="53">
        <f t="shared" si="21"/>
        <v>-0.26859308384651825</v>
      </c>
      <c r="CS17" s="53">
        <f t="shared" si="21"/>
        <v>5.8290155440414715E-3</v>
      </c>
      <c r="CT17" s="53">
        <f t="shared" si="19"/>
        <v>0.20927237604636195</v>
      </c>
      <c r="CU17" s="57">
        <v>0.19</v>
      </c>
      <c r="CV17" s="57">
        <v>0.21</v>
      </c>
      <c r="CW17" s="57">
        <v>0.22</v>
      </c>
      <c r="CX17" s="57">
        <v>0.2</v>
      </c>
      <c r="CY17" s="57">
        <v>0.18</v>
      </c>
      <c r="CZ17" s="57">
        <v>0.16</v>
      </c>
      <c r="DA17" s="57">
        <v>0.14000000000000001</v>
      </c>
      <c r="DB17" s="57">
        <v>0.12</v>
      </c>
      <c r="DC17" s="57">
        <v>0.11</v>
      </c>
      <c r="DD17" s="57">
        <v>0.1</v>
      </c>
    </row>
    <row r="18" spans="2:158">
      <c r="B18" s="37" t="s">
        <v>1548</v>
      </c>
      <c r="AQ18" s="53">
        <f t="shared" si="20"/>
        <v>0.14482758620689662</v>
      </c>
      <c r="AR18" s="53">
        <f t="shared" si="17"/>
        <v>0.29813664596273282</v>
      </c>
      <c r="AS18" s="53">
        <f t="shared" si="17"/>
        <v>-5.8139534883720922E-2</v>
      </c>
      <c r="AT18" s="53">
        <f t="shared" si="17"/>
        <v>0</v>
      </c>
      <c r="AU18" s="53">
        <f t="shared" si="17"/>
        <v>-6.6265060240963902E-2</v>
      </c>
      <c r="AV18" s="53">
        <f t="shared" si="17"/>
        <v>-0.46889952153110048</v>
      </c>
      <c r="AW18" s="53">
        <f t="shared" si="17"/>
        <v>-0.22839506172839508</v>
      </c>
      <c r="AX18" s="53">
        <f t="shared" si="17"/>
        <v>-0.11042944785276076</v>
      </c>
      <c r="AY18" s="53">
        <f t="shared" si="17"/>
        <v>-6.4516129032258229E-3</v>
      </c>
      <c r="AZ18" s="53">
        <f t="shared" si="17"/>
        <v>0.36936936936936937</v>
      </c>
      <c r="BA18" s="53">
        <f t="shared" si="17"/>
        <v>8.0000000000000071E-2</v>
      </c>
      <c r="BB18" s="53">
        <f t="shared" si="17"/>
        <v>-0.13793103448275867</v>
      </c>
      <c r="BC18" s="53">
        <f t="shared" si="17"/>
        <v>-0.10389610389610393</v>
      </c>
      <c r="BD18" s="53">
        <f t="shared" si="17"/>
        <v>0.44736842105263164</v>
      </c>
      <c r="BE18" s="53">
        <f t="shared" si="17"/>
        <v>0.85925925925925917</v>
      </c>
      <c r="BF18" s="53">
        <f t="shared" si="17"/>
        <v>1.3519999999999999</v>
      </c>
      <c r="BG18" s="53">
        <f t="shared" si="17"/>
        <v>1.1449275362318843</v>
      </c>
      <c r="BH18" s="53">
        <f t="shared" si="17"/>
        <v>0.14999999999999991</v>
      </c>
      <c r="BI18" s="53">
        <f t="shared" si="17"/>
        <v>3.9840637450199168E-2</v>
      </c>
      <c r="BJ18" s="53">
        <f t="shared" si="17"/>
        <v>-4.4217687074829981E-2</v>
      </c>
      <c r="BK18" s="53">
        <f t="shared" si="17"/>
        <v>0.1114864864864864</v>
      </c>
      <c r="BL18" s="53">
        <f t="shared" si="17"/>
        <v>0.36758893280632421</v>
      </c>
      <c r="BM18" s="53">
        <f t="shared" si="17"/>
        <v>0.72030651340996177</v>
      </c>
      <c r="BN18" s="53">
        <f t="shared" si="17"/>
        <v>1.0284697508896796</v>
      </c>
      <c r="BO18" s="53">
        <f t="shared" si="17"/>
        <v>0.72340425531914887</v>
      </c>
      <c r="BP18" s="53">
        <f t="shared" si="17"/>
        <v>0.69364161849710992</v>
      </c>
      <c r="CO18" s="53">
        <f t="shared" si="21"/>
        <v>9.2043681747269845E-2</v>
      </c>
      <c r="CP18" s="53">
        <f t="shared" si="21"/>
        <v>-0.23428571428571432</v>
      </c>
      <c r="CQ18" s="53">
        <f t="shared" si="21"/>
        <v>5.5970149253731449E-2</v>
      </c>
      <c r="CR18" s="53">
        <f t="shared" si="21"/>
        <v>0.59540636042402828</v>
      </c>
      <c r="CS18" s="53">
        <f t="shared" si="21"/>
        <v>0.20819490586932443</v>
      </c>
      <c r="CT18" s="53">
        <f t="shared" si="19"/>
        <v>0.55270394133822176</v>
      </c>
      <c r="CU18" s="57">
        <v>0.65</v>
      </c>
      <c r="CV18" s="57">
        <v>0.8</v>
      </c>
      <c r="CW18" s="57">
        <v>0.5</v>
      </c>
      <c r="CX18" s="57">
        <v>0.45</v>
      </c>
      <c r="CY18" s="57">
        <v>0.4</v>
      </c>
      <c r="CZ18" s="57">
        <v>0.3</v>
      </c>
      <c r="DA18" s="57">
        <v>0.2</v>
      </c>
      <c r="DB18" s="57">
        <v>0.18</v>
      </c>
      <c r="DC18" s="57">
        <v>0.14000000000000001</v>
      </c>
      <c r="DD18" s="57">
        <v>0.12</v>
      </c>
    </row>
    <row r="19" spans="2:158">
      <c r="B19" s="37" t="s">
        <v>1538</v>
      </c>
      <c r="AQ19" s="53">
        <f t="shared" si="20"/>
        <v>-0.7441860465116279</v>
      </c>
      <c r="AR19" s="53">
        <f t="shared" si="17"/>
        <v>-4.31034482758621E-2</v>
      </c>
      <c r="AS19" s="53">
        <f t="shared" si="17"/>
        <v>-3.3783783783783772E-2</v>
      </c>
      <c r="AT19" s="53">
        <f t="shared" si="17"/>
        <v>0.31034482758620685</v>
      </c>
      <c r="AU19" s="53">
        <f t="shared" si="17"/>
        <v>0.39393939393939403</v>
      </c>
      <c r="AV19" s="53">
        <f t="shared" si="17"/>
        <v>0.31531531531531543</v>
      </c>
      <c r="AW19" s="53">
        <f t="shared" si="17"/>
        <v>0.35664335664335667</v>
      </c>
      <c r="AX19" s="53">
        <f t="shared" si="17"/>
        <v>6.5789473684210176E-3</v>
      </c>
      <c r="AY19" s="53">
        <f t="shared" si="17"/>
        <v>1.3695652173913042</v>
      </c>
      <c r="AZ19" s="53">
        <f t="shared" si="17"/>
        <v>1.8013698630136985</v>
      </c>
      <c r="BA19" s="53">
        <f t="shared" si="17"/>
        <v>0.20618556701030921</v>
      </c>
      <c r="BB19" s="53">
        <f t="shared" si="17"/>
        <v>0.25490196078431371</v>
      </c>
      <c r="BC19" s="53">
        <f t="shared" si="17"/>
        <v>-0.51681957186544336</v>
      </c>
      <c r="BD19" s="53">
        <f t="shared" si="17"/>
        <v>-0.65770171149144252</v>
      </c>
      <c r="BE19" s="53">
        <f t="shared" si="17"/>
        <v>-0.68803418803418803</v>
      </c>
      <c r="BF19" s="53">
        <f t="shared" si="17"/>
        <v>-0.5625</v>
      </c>
      <c r="BG19" s="53">
        <f t="shared" si="17"/>
        <v>-0.51265822784810133</v>
      </c>
      <c r="BH19" s="53">
        <f t="shared" si="17"/>
        <v>-0.52857142857142858</v>
      </c>
      <c r="BI19" s="53">
        <f t="shared" si="17"/>
        <v>0</v>
      </c>
      <c r="BJ19" s="53">
        <f t="shared" si="17"/>
        <v>7.1428571428571397E-2</v>
      </c>
      <c r="BK19" s="53">
        <f t="shared" si="17"/>
        <v>1.298701298701288E-2</v>
      </c>
      <c r="BL19" s="53">
        <f t="shared" si="17"/>
        <v>0.33333333333333326</v>
      </c>
      <c r="BM19" s="53">
        <f t="shared" si="17"/>
        <v>0.32876712328767121</v>
      </c>
      <c r="BN19" s="53">
        <f t="shared" si="17"/>
        <v>0.39999999999999991</v>
      </c>
      <c r="BO19" s="53">
        <f t="shared" si="17"/>
        <v>0.42307692307692313</v>
      </c>
      <c r="BP19" s="53">
        <f t="shared" si="17"/>
        <v>0.96590909090909083</v>
      </c>
      <c r="CO19" s="53">
        <f t="shared" si="21"/>
        <v>-0.34159061277705349</v>
      </c>
      <c r="CP19" s="53">
        <f t="shared" si="21"/>
        <v>0.2495049504950495</v>
      </c>
      <c r="CQ19" s="53">
        <f t="shared" si="21"/>
        <v>0.84152139461172748</v>
      </c>
      <c r="CR19" s="53">
        <f t="shared" si="21"/>
        <v>-0.60843373493975905</v>
      </c>
      <c r="CS19" s="53">
        <f t="shared" si="21"/>
        <v>-0.32747252747252742</v>
      </c>
      <c r="CT19" s="53">
        <f t="shared" si="19"/>
        <v>0.2712418300653594</v>
      </c>
      <c r="CU19" s="57">
        <v>0.2712418300653594</v>
      </c>
      <c r="CV19" s="57">
        <v>0.45</v>
      </c>
      <c r="CW19" s="57">
        <v>0.47</v>
      </c>
      <c r="CX19" s="57">
        <v>0.45</v>
      </c>
      <c r="CY19" s="57">
        <v>0.25</v>
      </c>
      <c r="CZ19" s="57">
        <v>0.22</v>
      </c>
      <c r="DA19" s="57">
        <v>0.2</v>
      </c>
      <c r="DB19" s="57">
        <v>0.18</v>
      </c>
      <c r="DC19" s="57">
        <v>0.16</v>
      </c>
      <c r="DD19" s="57">
        <v>0.14000000000000001</v>
      </c>
    </row>
    <row r="20" spans="2:158" s="2" customFormat="1" ht="15">
      <c r="B20" s="33" t="s">
        <v>1540</v>
      </c>
      <c r="AQ20" s="54">
        <f t="shared" si="20"/>
        <v>-0.3077642656688494</v>
      </c>
      <c r="AR20" s="54">
        <f t="shared" si="17"/>
        <v>-0.17419148254883121</v>
      </c>
      <c r="AS20" s="54">
        <f t="shared" si="17"/>
        <v>-5.2499214083621459E-2</v>
      </c>
      <c r="AT20" s="54">
        <f t="shared" si="17"/>
        <v>0.40816326530612246</v>
      </c>
      <c r="AU20" s="54">
        <f t="shared" si="17"/>
        <v>0.38738738738738743</v>
      </c>
      <c r="AV20" s="54">
        <f t="shared" si="17"/>
        <v>0.49903063202791786</v>
      </c>
      <c r="AW20" s="54">
        <f t="shared" si="17"/>
        <v>0.56801592568015935</v>
      </c>
      <c r="AX20" s="54">
        <f t="shared" si="17"/>
        <v>0.61127214170692423</v>
      </c>
      <c r="AY20" s="54">
        <f t="shared" si="17"/>
        <v>0.83798701298701306</v>
      </c>
      <c r="AZ20" s="54">
        <f t="shared" si="17"/>
        <v>0.68313502327987585</v>
      </c>
      <c r="BA20" s="54">
        <f t="shared" si="17"/>
        <v>0.50296233601354201</v>
      </c>
      <c r="BB20" s="54">
        <f t="shared" si="17"/>
        <v>0.52768338996602049</v>
      </c>
      <c r="BC20" s="54">
        <f t="shared" si="17"/>
        <v>0.46405228758169925</v>
      </c>
      <c r="BD20" s="54">
        <f t="shared" si="17"/>
        <v>3.0275088366374714E-2</v>
      </c>
      <c r="BE20" s="54">
        <f t="shared" si="17"/>
        <v>-0.16500070392791777</v>
      </c>
      <c r="BF20" s="54">
        <f t="shared" si="17"/>
        <v>-0.20829517205285886</v>
      </c>
      <c r="BG20" s="54">
        <f t="shared" si="17"/>
        <v>-0.13223938223938225</v>
      </c>
      <c r="BH20" s="54">
        <f t="shared" si="17"/>
        <v>1.0147673031026252</v>
      </c>
      <c r="BI20" s="54">
        <f t="shared" si="17"/>
        <v>2.0551340414769852</v>
      </c>
      <c r="BJ20" s="54">
        <f t="shared" si="17"/>
        <v>2.6527846636919516</v>
      </c>
      <c r="BK20" s="54">
        <f t="shared" si="17"/>
        <v>2.6212458286985538</v>
      </c>
      <c r="BL20" s="54">
        <f t="shared" si="17"/>
        <v>1.2240319834160065</v>
      </c>
      <c r="BM20" s="54">
        <f t="shared" si="17"/>
        <v>0.93609271523178816</v>
      </c>
      <c r="BN20" s="54">
        <f t="shared" si="17"/>
        <v>0.77944170474596208</v>
      </c>
      <c r="BO20" s="54">
        <f t="shared" si="17"/>
        <v>0.69182921210259551</v>
      </c>
      <c r="BP20" s="54">
        <f t="shared" si="17"/>
        <v>0.5560252996005326</v>
      </c>
      <c r="BQ20" s="34"/>
      <c r="BR20" s="34"/>
      <c r="BS20" s="34"/>
      <c r="BT20" s="34"/>
      <c r="BU20" s="34"/>
      <c r="BV20" s="34"/>
      <c r="CO20" s="54">
        <f t="shared" si="21"/>
        <v>-6.8111983612154314E-2</v>
      </c>
      <c r="CP20" s="54">
        <f t="shared" si="21"/>
        <v>0.52729437625938824</v>
      </c>
      <c r="CQ20" s="54">
        <f t="shared" si="21"/>
        <v>0.61403298350824587</v>
      </c>
      <c r="CR20" s="54">
        <f t="shared" si="21"/>
        <v>2.2293230289069932E-3</v>
      </c>
      <c r="CS20" s="54">
        <f t="shared" si="21"/>
        <v>1.2585452658115224</v>
      </c>
      <c r="CT20" s="54">
        <f t="shared" si="19"/>
        <v>1.1420340763599355</v>
      </c>
      <c r="CU20" s="58">
        <f>CU11/CT11-1</f>
        <v>0.65152090141455665</v>
      </c>
      <c r="CV20" s="58">
        <f t="shared" ref="CV20:DD20" si="23">CV11/CU11-1</f>
        <v>0.42660743852481686</v>
      </c>
      <c r="CW20" s="58">
        <f t="shared" si="23"/>
        <v>0.25857064584479561</v>
      </c>
      <c r="CX20" s="58">
        <f t="shared" si="23"/>
        <v>0.21536443914296433</v>
      </c>
      <c r="CY20" s="58">
        <f t="shared" si="23"/>
        <v>0.18855761853761766</v>
      </c>
      <c r="CZ20" s="58">
        <f t="shared" si="23"/>
        <v>0.1686604544781265</v>
      </c>
      <c r="DA20" s="58">
        <f t="shared" si="23"/>
        <v>0.15644387966624063</v>
      </c>
      <c r="DB20" s="58">
        <f t="shared" si="23"/>
        <v>0.14598680325681279</v>
      </c>
      <c r="DC20" s="58">
        <f t="shared" si="23"/>
        <v>0.13525585573589005</v>
      </c>
      <c r="DD20" s="58">
        <f t="shared" si="23"/>
        <v>0.12512745512076262</v>
      </c>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row>
    <row r="22" spans="2:158">
      <c r="B22" s="37" t="s">
        <v>1541</v>
      </c>
      <c r="AM22" s="53">
        <f>AM6/$AM$11</f>
        <v>0.53726223885251012</v>
      </c>
      <c r="AN22" s="53">
        <f>AN6/$AN$11</f>
        <v>0.57796990073647136</v>
      </c>
      <c r="AO22" s="53">
        <f>AO6/$AO$11</f>
        <v>0.55454259666771455</v>
      </c>
      <c r="AP22" s="53">
        <f>AP6/$AP$11</f>
        <v>0.43265306122448982</v>
      </c>
      <c r="AQ22" s="53">
        <f>AQ6/$AQ$11</f>
        <v>0.4752252252252252</v>
      </c>
      <c r="AR22" s="53">
        <f>AR6/$AR$11</f>
        <v>0.50911205893757272</v>
      </c>
      <c r="AS22" s="53">
        <f>AS6/$AS$11</f>
        <v>0.5504313205043132</v>
      </c>
      <c r="AT22" s="53">
        <f>AT6/$AT$11</f>
        <v>0.48019323671497582</v>
      </c>
      <c r="AU22" s="53">
        <f>AU6/$AU$11</f>
        <v>0.43474025974025976</v>
      </c>
      <c r="AV22" s="53">
        <f>AV6/$AV$11</f>
        <v>0.42783238489394726</v>
      </c>
      <c r="AW22" s="53">
        <f>AW6/$AW$11</f>
        <v>0.48053322048243757</v>
      </c>
      <c r="AX22" s="53">
        <f>AX6/$AX$11</f>
        <v>0.49870077953228065</v>
      </c>
      <c r="AY22" s="53">
        <f>AY6/$AY$11</f>
        <v>0.48754636989931105</v>
      </c>
      <c r="AZ22" s="53">
        <f>AZ6/$AZ$11</f>
        <v>0.47041647456585217</v>
      </c>
      <c r="BA22" s="53">
        <f>BA6/$BA$11</f>
        <v>0.41334647332113189</v>
      </c>
      <c r="BB22" s="53">
        <f>BB6/$BB$11</f>
        <v>0.24283658249378517</v>
      </c>
      <c r="BC22" s="53">
        <f>BC6/$BC$11</f>
        <v>0.45246138996138996</v>
      </c>
      <c r="BD22" s="53">
        <f>BD6/$BD$11</f>
        <v>0.56772076372315039</v>
      </c>
      <c r="BE22" s="53">
        <f>BE6/$BE$11</f>
        <v>0.64626538526386779</v>
      </c>
      <c r="BF22" s="53">
        <f>BF6/$BF$11</f>
        <v>0.59758717567344244</v>
      </c>
      <c r="BG22" s="53">
        <f>BG6/$BG$11</f>
        <v>0.59566184649610676</v>
      </c>
      <c r="BH22" s="53">
        <f>BH6/$BH$11</f>
        <v>0.76427037832235134</v>
      </c>
      <c r="BI22" s="53">
        <f>BI6/$BI$11</f>
        <v>0.80099337748344368</v>
      </c>
      <c r="BJ22" s="53">
        <f>BJ6/$BJ$11</f>
        <v>0.8326471519703208</v>
      </c>
      <c r="BK22" s="53">
        <f>BK6/$BK$11</f>
        <v>0.86634157579480875</v>
      </c>
      <c r="BL22" s="53">
        <f>BL6/$BL$11</f>
        <v>0.87456724367509986</v>
      </c>
      <c r="BM22" s="53">
        <f>BM6/$BM$11</f>
        <v>0.87711646998460746</v>
      </c>
      <c r="BN22" s="53">
        <f>BN6/$BN$11</f>
        <v>0.90462993567415018</v>
      </c>
      <c r="BO22" s="53">
        <f>BO6/$BO$11</f>
        <v>0.88765829966864873</v>
      </c>
      <c r="BP22" s="53">
        <f>BP6/$BO$11</f>
        <v>0.93268576097317413</v>
      </c>
      <c r="CN22" s="53">
        <f>CN6/$CN$11</f>
        <v>0.53311710481392971</v>
      </c>
      <c r="CO22" s="53">
        <f>CO6/$CO$11</f>
        <v>0.50540392013189228</v>
      </c>
      <c r="CP22" s="53">
        <f>CP6/$CP$11</f>
        <v>0.46530734632683657</v>
      </c>
      <c r="CQ22" s="53">
        <f>CQ6/$CQ$11</f>
        <v>0.39433008842981349</v>
      </c>
      <c r="CR22" s="53">
        <f>CR6/$CR$11</f>
        <v>0.55627641432490549</v>
      </c>
      <c r="CS22" s="53">
        <f>CS6/$CS$11</f>
        <v>0.78009586028035849</v>
      </c>
      <c r="CT22" s="53">
        <f>CT6/$CT$11</f>
        <v>0.88267163229806045</v>
      </c>
    </row>
    <row r="23" spans="2:158">
      <c r="B23" s="37" t="s">
        <v>1543</v>
      </c>
      <c r="AM23" s="53">
        <f>AM7/$AM$11</f>
        <v>7.8266292485188654E-2</v>
      </c>
      <c r="AN23" s="53">
        <f>AN7/$AN$11</f>
        <v>8.9977585654819087E-2</v>
      </c>
      <c r="AO23" s="53">
        <f>AO7/$AO$11</f>
        <v>9.5881798176673999E-2</v>
      </c>
      <c r="AP23" s="53">
        <f>AP7/$AP$11</f>
        <v>0.1328798185941043</v>
      </c>
      <c r="AQ23" s="53">
        <f>AQ7/$AQ$11</f>
        <v>0.11981981981981982</v>
      </c>
      <c r="AR23" s="53">
        <f>AR7/$AR$11</f>
        <v>0.11283443195036837</v>
      </c>
      <c r="AS23" s="53">
        <f>AS7/$AS$11</f>
        <v>0.10749834107498341</v>
      </c>
      <c r="AT23" s="53">
        <f>AT7/$AT$11</f>
        <v>0.10660225442834138</v>
      </c>
      <c r="AU23" s="53">
        <f>AU7/$AU$11</f>
        <v>0.37045454545454548</v>
      </c>
      <c r="AV23" s="53">
        <f>AV7/$AV$11</f>
        <v>0.45318158303155714</v>
      </c>
      <c r="AW23" s="53">
        <f>AW7/$AW$11</f>
        <v>0.40203131612357174</v>
      </c>
      <c r="AX23" s="53">
        <f>AX7/$AX$11</f>
        <v>0.38037177693383972</v>
      </c>
      <c r="AY23" s="53">
        <f>AY7/$AY$11</f>
        <v>0.3617735382441265</v>
      </c>
      <c r="AZ23" s="53">
        <f>AZ7/$AZ$11</f>
        <v>0.36360842169970803</v>
      </c>
      <c r="BA23" s="53">
        <f>BA7/$BA$11</f>
        <v>0.45347036463466139</v>
      </c>
      <c r="BB23" s="53">
        <f>BB7/$BB$11</f>
        <v>0.63155828863011909</v>
      </c>
      <c r="BC23" s="53">
        <f>BC7/$BC$11</f>
        <v>0.43677606177606176</v>
      </c>
      <c r="BD23" s="53">
        <f>BD7/$BD$11</f>
        <v>0.3045942720763723</v>
      </c>
      <c r="BE23" s="53">
        <f>BE7/$BE$11</f>
        <v>0.26538526386781319</v>
      </c>
      <c r="BF23" s="53">
        <f>BF7/$BF$11</f>
        <v>0.30259461246075031</v>
      </c>
      <c r="BG23" s="53">
        <f>BG7/$BG$11</f>
        <v>0.31145717463848721</v>
      </c>
      <c r="BH23" s="53">
        <f>BH7/$BH$11</f>
        <v>0.18405271340786258</v>
      </c>
      <c r="BI23" s="53">
        <f>BI7/$BI$11</f>
        <v>0.15761589403973511</v>
      </c>
      <c r="BJ23" s="53">
        <f>BJ7/$BJ$11</f>
        <v>0.12962041351852691</v>
      </c>
      <c r="BK23" s="53">
        <f>BK7/$BK$11</f>
        <v>0.10163569344186761</v>
      </c>
      <c r="BL23" s="53">
        <f>BL7/$BL$11</f>
        <v>9.5872170439414109E-2</v>
      </c>
      <c r="BM23" s="53">
        <f>BM7/$BM$11</f>
        <v>9.3466735077817678E-2</v>
      </c>
      <c r="BN23" s="53">
        <f>BN7/$BN$11</f>
        <v>6.4681803157814452E-2</v>
      </c>
      <c r="BO23" s="53">
        <f>BO7/$BO$11</f>
        <v>8.5402387544823211E-2</v>
      </c>
      <c r="BP23" s="53">
        <f>BP7/$BO$11</f>
        <v>9.7294721074849072E-2</v>
      </c>
      <c r="CN23" s="53">
        <f>CN7/$CN$11</f>
        <v>9.6449300102424029E-2</v>
      </c>
      <c r="CO23" s="53">
        <f>CO7/$CO$11</f>
        <v>0.11100934237039752</v>
      </c>
      <c r="CP23" s="53">
        <f>CP7/$CP$11</f>
        <v>0.40155922038980507</v>
      </c>
      <c r="CQ23" s="53">
        <f>CQ7/$CQ$11</f>
        <v>0.46303039310396077</v>
      </c>
      <c r="CR23" s="53">
        <f>CR7/$CR$11</f>
        <v>0.3361385037443464</v>
      </c>
      <c r="CS23" s="53">
        <f>CS7/$CS$11</f>
        <v>0.17148156659334887</v>
      </c>
      <c r="CT23" s="53">
        <f>CT7/$CT$11</f>
        <v>8.6975179506042291E-2</v>
      </c>
    </row>
    <row r="24" spans="2:158">
      <c r="B24" s="37" t="s">
        <v>1544</v>
      </c>
      <c r="AM24" s="53">
        <f>AM8/$AM$11</f>
        <v>0.21858434674150296</v>
      </c>
      <c r="AN24" s="53">
        <f>AN8/$AN$11</f>
        <v>0.24335574767851426</v>
      </c>
      <c r="AO24" s="53">
        <f>AO8/$AO$11</f>
        <v>0.24897830870795348</v>
      </c>
      <c r="AP24" s="53">
        <f>AP8/$AP$11</f>
        <v>0.30793650793650795</v>
      </c>
      <c r="AQ24" s="53">
        <f>AQ8/$AQ$11</f>
        <v>0.28558558558558561</v>
      </c>
      <c r="AR24" s="53">
        <f>AR8/$AR$11</f>
        <v>0.25397440868553706</v>
      </c>
      <c r="AS24" s="53">
        <f>AS8/$AS$11</f>
        <v>0.24087591240875914</v>
      </c>
      <c r="AT24" s="53">
        <f>AT8/$AT$11</f>
        <v>0.3117552334943639</v>
      </c>
      <c r="AU24" s="53">
        <f>AU8/$AU$11</f>
        <v>9.9675324675324681E-2</v>
      </c>
      <c r="AV24" s="53">
        <f>AV8/$AV$11</f>
        <v>5.2509053285049144E-2</v>
      </c>
      <c r="AW24" s="53">
        <f>AW8/$AW$11</f>
        <v>4.9936521371138382E-2</v>
      </c>
      <c r="AX24" s="53">
        <f>AX8/$AX$11</f>
        <v>6.1363182090745552E-2</v>
      </c>
      <c r="AY24" s="53">
        <f>AY8/$AY$11</f>
        <v>6.5712771595124536E-2</v>
      </c>
      <c r="AZ24" s="53">
        <f>AZ8/$AZ$11</f>
        <v>7.9760258183494692E-2</v>
      </c>
      <c r="BA24" s="53">
        <f>BA8/$BA$11</f>
        <v>8.1233281711952696E-2</v>
      </c>
      <c r="BB24" s="53">
        <f>BB8/$BB$11</f>
        <v>8.4129268611801644E-2</v>
      </c>
      <c r="BC24" s="53">
        <f>BC8/$BC$11</f>
        <v>7.5048262548262551E-2</v>
      </c>
      <c r="BD24" s="53">
        <f>BD8/$BD$11</f>
        <v>7.3985680190930783E-2</v>
      </c>
      <c r="BE24" s="53">
        <f>BE8/$BE$11</f>
        <v>3.3721126285617943E-2</v>
      </c>
      <c r="BF24" s="53">
        <f>BF8/$BF$11</f>
        <v>3.7349198479590152E-2</v>
      </c>
      <c r="BG24" s="53">
        <f>BG8/$BG$11</f>
        <v>4.1017797552836487E-2</v>
      </c>
      <c r="BH24" s="53">
        <f>BH8/$BH$11</f>
        <v>2.8059524690901016E-2</v>
      </c>
      <c r="BI24" s="53">
        <f>BI8/$BI$11</f>
        <v>2.2958057395143488E-2</v>
      </c>
      <c r="BJ24" s="53">
        <f>BJ8/$BJ$11</f>
        <v>2.0947382708229653E-2</v>
      </c>
      <c r="BK24" s="53">
        <f>BK8/$BK$11</f>
        <v>1.6395330978344339E-2</v>
      </c>
      <c r="BL24" s="53">
        <f>BL8/$BL$11</f>
        <v>1.511318242343542E-2</v>
      </c>
      <c r="BM24" s="53">
        <f>BM8/$BM$11</f>
        <v>1.3853258081067214E-2</v>
      </c>
      <c r="BN24" s="53">
        <f>BN8/$BN$11</f>
        <v>1.2992296153161628E-2</v>
      </c>
      <c r="BO24" s="53">
        <f t="shared" ref="BO24:BP26" si="24">BO8/$BO$11</f>
        <v>1.1551904135082385E-2</v>
      </c>
      <c r="BP24" s="53">
        <f t="shared" si="24"/>
        <v>1.3639871090735781E-2</v>
      </c>
      <c r="CN24" s="53">
        <f>CN8/$CN$11</f>
        <v>0.2502560600887675</v>
      </c>
      <c r="CO24" s="53">
        <f>CO8/$CO$11</f>
        <v>0.27321853819380837</v>
      </c>
      <c r="CP24" s="53">
        <f>CP8/$CP$11</f>
        <v>6.3148425787106444E-2</v>
      </c>
      <c r="CQ24" s="53">
        <f>CQ8/$CQ$11</f>
        <v>7.843501523370737E-2</v>
      </c>
      <c r="CR24" s="53">
        <f>CR8/$CR$11</f>
        <v>5.7240305479350488E-2</v>
      </c>
      <c r="CS24" s="53">
        <f>CS8/$CS$11</f>
        <v>2.5491612225468634E-2</v>
      </c>
      <c r="CT24" s="53">
        <f>CT8/$CT$11</f>
        <v>1.4391135428400653E-2</v>
      </c>
    </row>
    <row r="25" spans="2:158">
      <c r="B25" s="37" t="s">
        <v>1546</v>
      </c>
      <c r="AM25" s="53">
        <f>AM9/$AM$11</f>
        <v>4.5213595260367945E-2</v>
      </c>
      <c r="AN25" s="53">
        <f>AN9/$AN$11</f>
        <v>5.1552993916106307E-2</v>
      </c>
      <c r="AO25" s="53">
        <f>AO9/$AO$11</f>
        <v>5.4071046840616158E-2</v>
      </c>
      <c r="AP25" s="53">
        <f>AP9/$AP$11</f>
        <v>7.3922902494331061E-2</v>
      </c>
      <c r="AQ25" s="53">
        <f>AQ9/$AQ$11</f>
        <v>7.4774774774774774E-2</v>
      </c>
      <c r="AR25" s="53">
        <f>AR9/$AR$11</f>
        <v>8.1039162466072123E-2</v>
      </c>
      <c r="AS25" s="53">
        <f>AS9/$AS$11</f>
        <v>5.3749170537491703E-2</v>
      </c>
      <c r="AT25" s="53">
        <f>AT9/$AT$11</f>
        <v>5.2495974235104673E-2</v>
      </c>
      <c r="AU25" s="53">
        <f>AU9/$AU$11</f>
        <v>5.0324675324675328E-2</v>
      </c>
      <c r="AV25" s="53">
        <f>AV9/$AV$11</f>
        <v>2.8711846870150024E-2</v>
      </c>
      <c r="AW25" s="53">
        <f>AW9/$AW$11</f>
        <v>2.6449428692340245E-2</v>
      </c>
      <c r="AX25" s="53">
        <f>AX9/$AX$11</f>
        <v>2.8982610433739755E-2</v>
      </c>
      <c r="AY25" s="53">
        <f>AY9/$AY$11</f>
        <v>2.7203674262497791E-2</v>
      </c>
      <c r="AZ25" s="53">
        <f>AZ9/$AZ$11</f>
        <v>2.3359459044106346E-2</v>
      </c>
      <c r="BA25" s="53">
        <f>BA9/$BA$11</f>
        <v>1.9006053780092919E-2</v>
      </c>
      <c r="BB25" s="53">
        <f>BB9/$BB$11</f>
        <v>1.635483448907497E-2</v>
      </c>
      <c r="BC25" s="53">
        <f>BC9/$BC$11</f>
        <v>1.6650579150579152E-2</v>
      </c>
      <c r="BD25" s="53">
        <f>BD9/$BD$11</f>
        <v>3.2816229116945109E-2</v>
      </c>
      <c r="BE25" s="53">
        <f>BE9/$BE$11</f>
        <v>4.2320013488450513E-2</v>
      </c>
      <c r="BF25" s="53">
        <f>BF9/$BF$11</f>
        <v>4.8587010411502228E-2</v>
      </c>
      <c r="BG25" s="53">
        <f>BG9/$BG$11</f>
        <v>4.1156840934371525E-2</v>
      </c>
      <c r="BH25" s="53">
        <f>BH9/$BH$11</f>
        <v>1.8731028355667433E-2</v>
      </c>
      <c r="BI25" s="53">
        <f>BI9/$BI$11</f>
        <v>1.4403973509933774E-2</v>
      </c>
      <c r="BJ25" s="53">
        <f>BJ9/$BJ$11</f>
        <v>1.2713206352078904E-2</v>
      </c>
      <c r="BK25" s="53">
        <f>BK9/$BK$11</f>
        <v>1.2632468130855475E-2</v>
      </c>
      <c r="BL25" s="53">
        <f>BL9/$BL$11</f>
        <v>1.1517976031957391E-2</v>
      </c>
      <c r="BM25" s="53">
        <f>BM9/$BM$11</f>
        <v>1.2798586169545635E-2</v>
      </c>
      <c r="BN25" s="53">
        <f>BN9/$BN$11</f>
        <v>1.4492385141491444E-2</v>
      </c>
      <c r="BO25" s="53">
        <f t="shared" si="24"/>
        <v>1.2868231128863874E-2</v>
      </c>
      <c r="BP25" s="53">
        <f t="shared" si="24"/>
        <v>1.3299441695792292E-2</v>
      </c>
      <c r="CN25" s="53">
        <f>CN9/$CN$11</f>
        <v>5.4711505633321951E-2</v>
      </c>
      <c r="CO25" s="53">
        <f>CO9/$CO$11</f>
        <v>6.4114306649569519E-2</v>
      </c>
      <c r="CP25" s="53">
        <f>CP9/$CP$11</f>
        <v>3.2143928035982011E-2</v>
      </c>
      <c r="CQ25" s="53">
        <f>CQ9/$CQ$11</f>
        <v>2.1029947239354984E-2</v>
      </c>
      <c r="CR25" s="53">
        <f>CR9/$CR$11</f>
        <v>3.3476681248609773E-2</v>
      </c>
      <c r="CS25" s="53">
        <f>CS9/$CS$11</f>
        <v>1.7908144840944159E-2</v>
      </c>
      <c r="CT25" s="53">
        <f>CT9/$CT$11</f>
        <v>1.2981141328919438E-2</v>
      </c>
    </row>
    <row r="26" spans="2:158">
      <c r="B26" s="37" t="s">
        <v>1547</v>
      </c>
      <c r="AM26" s="53">
        <f>AM10/$AM$11</f>
        <v>0.12067352666043031</v>
      </c>
      <c r="AN26" s="53">
        <f>AN10/$AN$11</f>
        <v>3.714377201408902E-2</v>
      </c>
      <c r="AO26" s="53">
        <f>AO10/$AO$11</f>
        <v>4.6526249607041811E-2</v>
      </c>
      <c r="AP26" s="53">
        <f>AP10/$AP$11</f>
        <v>5.2607709750566896E-2</v>
      </c>
      <c r="AQ26" s="53">
        <f>AQ10/$AQ$11</f>
        <v>4.4594594594594597E-2</v>
      </c>
      <c r="AR26" s="53">
        <f>AR10/$AR$11</f>
        <v>4.3039937960449789E-2</v>
      </c>
      <c r="AS26" s="53">
        <f>AS10/$AS$11</f>
        <v>4.7445255474452552E-2</v>
      </c>
      <c r="AT26" s="53">
        <f>AT10/$AT$11</f>
        <v>4.8953301127214167E-2</v>
      </c>
      <c r="AU26" s="53">
        <f>AU10/$AU$11</f>
        <v>4.4805194805194806E-2</v>
      </c>
      <c r="AV26" s="53">
        <f>AV10/$AV$11</f>
        <v>3.7765131919296431E-2</v>
      </c>
      <c r="AW26" s="53">
        <f>AW10/$AW$11</f>
        <v>4.1049513330512058E-2</v>
      </c>
      <c r="AX26" s="53">
        <f>AX10/$AX$11</f>
        <v>3.0581651009394362E-2</v>
      </c>
      <c r="AY26" s="53">
        <f>AY10/$AY$11</f>
        <v>5.7763645998940114E-2</v>
      </c>
      <c r="AZ26" s="53">
        <f>AZ10/$AZ$11</f>
        <v>6.2855386506838792E-2</v>
      </c>
      <c r="BA26" s="53">
        <f>BA10/$BA$11</f>
        <v>3.2943826552161055E-2</v>
      </c>
      <c r="BB26" s="53">
        <f>BB10/$BB$11</f>
        <v>2.5121025775219154E-2</v>
      </c>
      <c r="BC26" s="53">
        <f>BC10/$BC$11</f>
        <v>1.9063706563706564E-2</v>
      </c>
      <c r="BD26" s="53">
        <f>BD10/$BD$11</f>
        <v>2.0883054892601432E-2</v>
      </c>
      <c r="BE26" s="53">
        <f>BE10/$BE$11</f>
        <v>1.2308211094250548E-2</v>
      </c>
      <c r="BF26" s="53">
        <f>BF10/$BF$11</f>
        <v>1.3882002974714923E-2</v>
      </c>
      <c r="BG26" s="53">
        <f>BG10/$BG$11</f>
        <v>1.0706340378197997E-2</v>
      </c>
      <c r="BH26" s="53">
        <f>BH10/$BH$11</f>
        <v>4.8863552232175905E-3</v>
      </c>
      <c r="BI26" s="53">
        <f>BI10/$BI$11</f>
        <v>4.0286975717439295E-3</v>
      </c>
      <c r="BJ26" s="53">
        <f>BJ10/$BJ$11</f>
        <v>4.0718454508437765E-3</v>
      </c>
      <c r="BK26" s="53">
        <f>BK10/$BK$11</f>
        <v>2.9949316541237904E-3</v>
      </c>
      <c r="BL26" s="53">
        <f>BL10/$BL$11</f>
        <v>2.9294274300932089E-3</v>
      </c>
      <c r="BM26" s="53">
        <f>BM10/$BM$11</f>
        <v>2.7649506869619747E-3</v>
      </c>
      <c r="BN26" s="53">
        <f>BN10/$BN$11</f>
        <v>3.2035798733823194E-3</v>
      </c>
      <c r="BO26" s="53">
        <f t="shared" si="24"/>
        <v>2.5191775225818164E-3</v>
      </c>
      <c r="BP26" s="53">
        <f t="shared" si="24"/>
        <v>3.9262856883482368E-3</v>
      </c>
      <c r="CN26" s="53">
        <f>CN10/$CN$11</f>
        <v>6.5466029361556849E-2</v>
      </c>
      <c r="CO26" s="53">
        <f>CO10/$CO$11</f>
        <v>4.6253892654332295E-2</v>
      </c>
      <c r="CP26" s="53">
        <f>CP10/$CP$11</f>
        <v>3.7841079460269864E-2</v>
      </c>
      <c r="CQ26" s="53">
        <f>CQ10/$CQ$11</f>
        <v>4.3174555993163409E-2</v>
      </c>
      <c r="CR26" s="53">
        <f>CR10/$CR$11</f>
        <v>1.6868095202787869E-2</v>
      </c>
      <c r="CS26" s="53">
        <f>CS10/$CS$11</f>
        <v>5.0228160598798461E-3</v>
      </c>
      <c r="CT26" s="53">
        <f>CT10/$CT$11</f>
        <v>2.9809114385771322E-3</v>
      </c>
    </row>
    <row r="28" spans="2:158">
      <c r="B28" s="1" t="s">
        <v>1550</v>
      </c>
      <c r="AM28" s="1">
        <v>434</v>
      </c>
      <c r="AN28" s="1">
        <v>413</v>
      </c>
      <c r="AO28" s="1">
        <v>407</v>
      </c>
      <c r="AP28" s="1">
        <f>1506-SUM(AM28:AO28)</f>
        <v>252</v>
      </c>
      <c r="AQ28" s="1">
        <v>165</v>
      </c>
      <c r="AR28" s="1">
        <v>188</v>
      </c>
      <c r="AS28" s="1">
        <v>236</v>
      </c>
      <c r="AT28" s="1">
        <f>886-SUM(AQ28:AS28)</f>
        <v>297</v>
      </c>
      <c r="AU28" s="1">
        <v>497</v>
      </c>
      <c r="AV28" s="1">
        <v>944</v>
      </c>
      <c r="AW28" s="1">
        <v>890</v>
      </c>
      <c r="AX28" s="1">
        <f>3214-SUM(AU28:AW28)</f>
        <v>883</v>
      </c>
      <c r="AY28" s="1">
        <v>768</v>
      </c>
      <c r="AZ28" s="1">
        <v>996</v>
      </c>
      <c r="BA28" s="1">
        <v>1126</v>
      </c>
      <c r="BB28" s="1">
        <f>4349-SUM(AY28:BA28)</f>
        <v>1459</v>
      </c>
      <c r="BC28" s="1">
        <v>1932</v>
      </c>
      <c r="BD28" s="1">
        <v>1988</v>
      </c>
      <c r="BE28" s="1">
        <v>2148</v>
      </c>
      <c r="BF28" s="1">
        <f>8292-SUM(BC28:BE28)</f>
        <v>2224</v>
      </c>
      <c r="BG28" s="1">
        <v>2385</v>
      </c>
      <c r="BH28" s="1">
        <v>6043</v>
      </c>
      <c r="BI28" s="1">
        <v>6302</v>
      </c>
      <c r="BJ28" s="1">
        <f>26966-SUM(BG28:BI28)</f>
        <v>12236</v>
      </c>
      <c r="BK28" s="1">
        <v>13496</v>
      </c>
      <c r="BL28" s="1">
        <v>13022</v>
      </c>
      <c r="BM28" s="1">
        <v>14800</v>
      </c>
      <c r="BN28" s="1">
        <f>61257-SUM(BK28:BM28)</f>
        <v>19939</v>
      </c>
      <c r="BO28" s="1">
        <v>20739</v>
      </c>
      <c r="BP28" s="1">
        <v>23470</v>
      </c>
      <c r="CN28" s="1">
        <f t="shared" ref="CN28:CN33" si="25">SUM(AM28:AP28)</f>
        <v>1506</v>
      </c>
      <c r="CO28" s="1">
        <f t="shared" ref="CO28:CO33" si="26">SUM(AQ28:AT28)</f>
        <v>886</v>
      </c>
      <c r="CP28" s="1">
        <f t="shared" ref="CP28:CP33" si="27">SUM(AU28:AX28)</f>
        <v>3214</v>
      </c>
      <c r="CQ28" s="1">
        <f t="shared" ref="CQ28:CQ33" si="28">SUM(AY28:BB28)</f>
        <v>4349</v>
      </c>
      <c r="CR28" s="1">
        <f t="shared" ref="CR28:CR33" si="29">SUM(BC28:BF28)</f>
        <v>8292</v>
      </c>
      <c r="CS28" s="1">
        <f t="shared" ref="CS28:CS33" si="30">SUM(BG28:BJ28)</f>
        <v>26966</v>
      </c>
      <c r="CT28" s="1">
        <f t="shared" ref="CT28:CT33" si="31">SUM(BK28:BN28)</f>
        <v>61257</v>
      </c>
    </row>
    <row r="29" spans="2:158">
      <c r="B29" s="1" t="s">
        <v>1549</v>
      </c>
      <c r="AM29" s="1">
        <v>0</v>
      </c>
      <c r="AN29" s="1">
        <v>0</v>
      </c>
      <c r="AO29" s="1">
        <v>0</v>
      </c>
      <c r="AP29" s="1">
        <f>0-SUM(AM29:AO29)</f>
        <v>0</v>
      </c>
      <c r="AQ29" s="1">
        <v>0</v>
      </c>
      <c r="AR29" s="1">
        <v>0</v>
      </c>
      <c r="AS29" s="1">
        <v>0</v>
      </c>
      <c r="AT29" s="1">
        <f>0-SUM(AQ29:AS29)</f>
        <v>0</v>
      </c>
      <c r="AU29" s="1">
        <v>0</v>
      </c>
      <c r="AV29" s="1">
        <v>0</v>
      </c>
      <c r="AW29" s="1">
        <v>0</v>
      </c>
      <c r="AX29" s="1">
        <f>0-SUM(AU29:AW29)</f>
        <v>0</v>
      </c>
      <c r="AY29" s="1">
        <v>0</v>
      </c>
      <c r="AZ29" s="1">
        <v>0</v>
      </c>
      <c r="BA29" s="1">
        <v>0</v>
      </c>
      <c r="BB29" s="1">
        <f>0-SUM(AY29:BA29)</f>
        <v>0</v>
      </c>
      <c r="BC29" s="1">
        <v>454</v>
      </c>
      <c r="BD29" s="1">
        <v>420</v>
      </c>
      <c r="BE29" s="1">
        <v>536</v>
      </c>
      <c r="BF29" s="1">
        <f>2288-SUM(BC29:BE29)</f>
        <v>878</v>
      </c>
      <c r="BG29" s="1">
        <v>762</v>
      </c>
      <c r="BH29" s="1">
        <v>2839</v>
      </c>
      <c r="BI29" s="1">
        <v>2702</v>
      </c>
      <c r="BJ29" s="1">
        <f>6831-SUM(BG29:BI29)</f>
        <v>528</v>
      </c>
      <c r="BK29" s="1">
        <v>4037</v>
      </c>
      <c r="BL29" s="1">
        <v>5740</v>
      </c>
      <c r="BM29" s="1">
        <v>7697</v>
      </c>
      <c r="BN29" s="1">
        <f>23684-SUM(BK29:BM29)</f>
        <v>6210</v>
      </c>
      <c r="BO29" s="1">
        <v>9017</v>
      </c>
      <c r="BP29" s="1">
        <v>10156</v>
      </c>
      <c r="CN29" s="1">
        <f t="shared" si="25"/>
        <v>0</v>
      </c>
      <c r="CO29" s="1">
        <f t="shared" si="26"/>
        <v>0</v>
      </c>
      <c r="CP29" s="1">
        <f t="shared" si="27"/>
        <v>0</v>
      </c>
      <c r="CQ29" s="1">
        <f t="shared" si="28"/>
        <v>0</v>
      </c>
      <c r="CR29" s="1">
        <f t="shared" si="29"/>
        <v>2288</v>
      </c>
      <c r="CS29" s="1">
        <f t="shared" si="30"/>
        <v>6831</v>
      </c>
      <c r="CT29" s="1">
        <f t="shared" si="31"/>
        <v>23684</v>
      </c>
    </row>
    <row r="30" spans="2:158">
      <c r="B30" s="1" t="s">
        <v>1551</v>
      </c>
      <c r="AM30" s="1">
        <v>967</v>
      </c>
      <c r="AN30" s="1">
        <v>843</v>
      </c>
      <c r="AO30" s="1">
        <v>929</v>
      </c>
      <c r="AP30" s="1">
        <f>3360-SUM(AM30:AO30)</f>
        <v>621</v>
      </c>
      <c r="AQ30" s="1">
        <v>698</v>
      </c>
      <c r="AR30" s="1">
        <v>635</v>
      </c>
      <c r="AS30" s="1">
        <v>838</v>
      </c>
      <c r="AT30" s="1">
        <f>3025-SUM(AQ30:AS30)</f>
        <v>854</v>
      </c>
      <c r="AU30" s="1">
        <v>813</v>
      </c>
      <c r="AV30" s="1">
        <v>954</v>
      </c>
      <c r="AW30" s="1">
        <v>1296</v>
      </c>
      <c r="AX30" s="1">
        <f>4531-SUM(AU30:AW30)</f>
        <v>1468</v>
      </c>
      <c r="AY30" s="1">
        <v>1784</v>
      </c>
      <c r="AZ30" s="1">
        <v>1961</v>
      </c>
      <c r="BA30" s="1">
        <v>2187</v>
      </c>
      <c r="BB30" s="1">
        <f>8544-SUM(AY30:BA30)</f>
        <v>2612</v>
      </c>
      <c r="BC30" s="1">
        <v>2777</v>
      </c>
      <c r="BD30" s="1">
        <v>1204</v>
      </c>
      <c r="BE30" s="1">
        <v>1153</v>
      </c>
      <c r="BF30" s="1">
        <f>6986-SUM(BC30:BE30)</f>
        <v>1852</v>
      </c>
      <c r="BG30" s="1">
        <v>1796</v>
      </c>
      <c r="BH30" s="1">
        <v>1042</v>
      </c>
      <c r="BI30" s="1">
        <v>4030</v>
      </c>
      <c r="BJ30" s="1">
        <f>13405-SUM(BG30:BI30)</f>
        <v>6537</v>
      </c>
      <c r="BK30" s="1">
        <v>4373</v>
      </c>
      <c r="BL30" s="1">
        <v>5622</v>
      </c>
      <c r="BM30" s="1">
        <v>5416</v>
      </c>
      <c r="BN30" s="1">
        <f>20573-SUM(BK30:BM30)</f>
        <v>5162</v>
      </c>
      <c r="BO30" s="1">
        <v>7158</v>
      </c>
      <c r="BP30" s="1">
        <v>8529</v>
      </c>
      <c r="CN30" s="1">
        <f t="shared" si="25"/>
        <v>3360</v>
      </c>
      <c r="CO30" s="1">
        <f t="shared" si="26"/>
        <v>3025</v>
      </c>
      <c r="CP30" s="1">
        <f t="shared" si="27"/>
        <v>4531</v>
      </c>
      <c r="CQ30" s="1">
        <f t="shared" si="28"/>
        <v>8544</v>
      </c>
      <c r="CR30" s="1">
        <f t="shared" si="29"/>
        <v>6986</v>
      </c>
      <c r="CS30" s="1">
        <f t="shared" si="30"/>
        <v>13405</v>
      </c>
      <c r="CT30" s="1">
        <f t="shared" si="31"/>
        <v>20573</v>
      </c>
    </row>
    <row r="31" spans="2:158">
      <c r="B31" s="1" t="s">
        <v>1552</v>
      </c>
      <c r="AM31" s="1">
        <v>754</v>
      </c>
      <c r="AN31" s="1">
        <v>760</v>
      </c>
      <c r="AO31" s="1">
        <v>704</v>
      </c>
      <c r="AP31" s="1">
        <f>2801-SUM(AM31:AO31)</f>
        <v>583</v>
      </c>
      <c r="AQ31" s="1">
        <v>553</v>
      </c>
      <c r="AR31" s="1">
        <v>583</v>
      </c>
      <c r="AS31" s="1">
        <v>758</v>
      </c>
      <c r="AT31" s="1">
        <f>2731-SUM(AQ31:AS31)</f>
        <v>837</v>
      </c>
      <c r="AU31" s="1">
        <v>758</v>
      </c>
      <c r="AV31" s="1">
        <v>855</v>
      </c>
      <c r="AW31" s="1">
        <v>1113</v>
      </c>
      <c r="AX31" s="1">
        <f>3886-SUM(AU31:AW31)</f>
        <v>1160</v>
      </c>
      <c r="AY31" s="1">
        <v>1391</v>
      </c>
      <c r="AZ31" s="1">
        <v>1720</v>
      </c>
      <c r="BA31" s="1">
        <v>2017</v>
      </c>
      <c r="BB31" s="1">
        <f>7111-SUM(AY31:BA31)</f>
        <v>1983</v>
      </c>
      <c r="BC31" s="1">
        <v>2081</v>
      </c>
      <c r="BD31" s="1">
        <v>1602</v>
      </c>
      <c r="BE31" s="1">
        <v>1148</v>
      </c>
      <c r="BF31" s="1">
        <f>5785-SUM(BC31:BE31)</f>
        <v>954</v>
      </c>
      <c r="BG31" s="1">
        <v>1590</v>
      </c>
      <c r="BH31" s="1">
        <v>2740</v>
      </c>
      <c r="BI31" s="1">
        <v>4333</v>
      </c>
      <c r="BJ31" s="1">
        <f>10306-SUM(BG31:BI31)</f>
        <v>1643</v>
      </c>
      <c r="BK31" s="1">
        <v>2491</v>
      </c>
      <c r="BL31" s="1">
        <v>3667</v>
      </c>
      <c r="BM31" s="1">
        <v>5153</v>
      </c>
      <c r="BN31" s="1">
        <f>17108-SUM(BK31:BM31)</f>
        <v>5797</v>
      </c>
      <c r="BO31" s="1">
        <v>5522</v>
      </c>
      <c r="BP31" s="1">
        <v>2769</v>
      </c>
      <c r="CN31" s="1">
        <f t="shared" si="25"/>
        <v>2801</v>
      </c>
      <c r="CO31" s="1">
        <f t="shared" si="26"/>
        <v>2731</v>
      </c>
      <c r="CP31" s="1">
        <f t="shared" si="27"/>
        <v>3886</v>
      </c>
      <c r="CQ31" s="1">
        <f t="shared" si="28"/>
        <v>7111</v>
      </c>
      <c r="CR31" s="1">
        <f t="shared" si="29"/>
        <v>5785</v>
      </c>
      <c r="CS31" s="1">
        <f t="shared" si="30"/>
        <v>10306</v>
      </c>
      <c r="CT31" s="1">
        <f t="shared" si="31"/>
        <v>17108</v>
      </c>
    </row>
    <row r="32" spans="2:158">
      <c r="B32" s="1" t="s">
        <v>1553</v>
      </c>
      <c r="AM32" s="1">
        <f>583+235+234</f>
        <v>1052</v>
      </c>
      <c r="AN32" s="1">
        <f>676+234+197</f>
        <v>1107</v>
      </c>
      <c r="AO32" s="1">
        <f>742+230+169</f>
        <v>1141</v>
      </c>
      <c r="AP32" s="1">
        <f>2368+914+767-SUM(AM32:AO32)</f>
        <v>749</v>
      </c>
      <c r="AQ32" s="1">
        <f>422+249+133</f>
        <v>804</v>
      </c>
      <c r="AR32" s="1">
        <f>756+288+129</f>
        <v>1173</v>
      </c>
      <c r="AS32" s="1">
        <f>805+216+161</f>
        <v>1182</v>
      </c>
      <c r="AT32" s="1">
        <f>4276-SUM(AQ32:AS32)</f>
        <v>1117</v>
      </c>
      <c r="AU32" s="1">
        <f>607+254+151</f>
        <v>1012</v>
      </c>
      <c r="AV32" s="1">
        <f>698+240+175</f>
        <v>1113</v>
      </c>
      <c r="AW32" s="1">
        <f>247+225+955</f>
        <v>1427</v>
      </c>
      <c r="AX32" s="1">
        <f>5044-SUM(AU32:AW32)</f>
        <v>1492</v>
      </c>
      <c r="AY32" s="1">
        <v>1718</v>
      </c>
      <c r="AZ32" s="1">
        <v>1830</v>
      </c>
      <c r="BA32" s="1">
        <v>1773</v>
      </c>
      <c r="BB32" s="1">
        <f>6910-SUM(AY32:BA32)</f>
        <v>1589</v>
      </c>
      <c r="BC32" s="1">
        <v>1044</v>
      </c>
      <c r="BD32" s="1">
        <v>1490</v>
      </c>
      <c r="BE32" s="1">
        <v>946</v>
      </c>
      <c r="BF32" s="1">
        <f>3623-SUM(BC32:BE32)</f>
        <v>143</v>
      </c>
      <c r="BG32" s="1">
        <v>659</v>
      </c>
      <c r="BH32" s="1">
        <v>843</v>
      </c>
      <c r="BI32" s="1">
        <v>753</v>
      </c>
      <c r="BJ32" s="1">
        <f>3414-SUM(BG32:BI32)</f>
        <v>1159</v>
      </c>
      <c r="BK32" s="1">
        <v>1647</v>
      </c>
      <c r="BL32" s="1">
        <v>1989</v>
      </c>
      <c r="BM32" s="1">
        <v>2016</v>
      </c>
      <c r="BN32" s="1">
        <f>7875-SUM(BK32:BM32)</f>
        <v>2223</v>
      </c>
      <c r="BO32" s="1">
        <v>1626</v>
      </c>
      <c r="BP32" s="1">
        <v>1819</v>
      </c>
      <c r="CN32" s="1">
        <f t="shared" si="25"/>
        <v>4049</v>
      </c>
      <c r="CO32" s="1">
        <f t="shared" si="26"/>
        <v>4276</v>
      </c>
      <c r="CP32" s="1">
        <f t="shared" si="27"/>
        <v>5044</v>
      </c>
      <c r="CQ32" s="1">
        <f t="shared" si="28"/>
        <v>6910</v>
      </c>
      <c r="CR32" s="1">
        <f t="shared" si="29"/>
        <v>3623</v>
      </c>
      <c r="CS32" s="1">
        <f t="shared" si="30"/>
        <v>3414</v>
      </c>
      <c r="CT32" s="1">
        <f t="shared" si="31"/>
        <v>7875</v>
      </c>
    </row>
    <row r="33" spans="2:158" s="2" customFormat="1" ht="15">
      <c r="B33" s="2" t="s">
        <v>118</v>
      </c>
      <c r="AM33" s="2">
        <f t="shared" ref="AM33:BN33" si="32">SUM(AM28:AM32)</f>
        <v>3207</v>
      </c>
      <c r="AN33" s="2">
        <f t="shared" si="32"/>
        <v>3123</v>
      </c>
      <c r="AO33" s="2">
        <f t="shared" si="32"/>
        <v>3181</v>
      </c>
      <c r="AP33" s="2">
        <f t="shared" si="32"/>
        <v>2205</v>
      </c>
      <c r="AQ33" s="2">
        <f t="shared" si="32"/>
        <v>2220</v>
      </c>
      <c r="AR33" s="2">
        <f t="shared" si="32"/>
        <v>2579</v>
      </c>
      <c r="AS33" s="2">
        <f t="shared" si="32"/>
        <v>3014</v>
      </c>
      <c r="AT33" s="2">
        <f t="shared" si="32"/>
        <v>3105</v>
      </c>
      <c r="AU33" s="2">
        <f t="shared" si="32"/>
        <v>3080</v>
      </c>
      <c r="AV33" s="2">
        <f t="shared" si="32"/>
        <v>3866</v>
      </c>
      <c r="AW33" s="2">
        <f t="shared" si="32"/>
        <v>4726</v>
      </c>
      <c r="AX33" s="2">
        <f t="shared" si="32"/>
        <v>5003</v>
      </c>
      <c r="AY33" s="2">
        <f t="shared" si="32"/>
        <v>5661</v>
      </c>
      <c r="AZ33" s="2">
        <f t="shared" si="32"/>
        <v>6507</v>
      </c>
      <c r="BA33" s="2">
        <f t="shared" si="32"/>
        <v>7103</v>
      </c>
      <c r="BB33" s="2">
        <f t="shared" si="32"/>
        <v>7643</v>
      </c>
      <c r="BC33" s="2">
        <f t="shared" si="32"/>
        <v>8288</v>
      </c>
      <c r="BD33" s="2">
        <f t="shared" si="32"/>
        <v>6704</v>
      </c>
      <c r="BE33" s="2">
        <f t="shared" si="32"/>
        <v>5931</v>
      </c>
      <c r="BF33" s="2">
        <f t="shared" si="32"/>
        <v>6051</v>
      </c>
      <c r="BG33" s="2">
        <f t="shared" si="32"/>
        <v>7192</v>
      </c>
      <c r="BH33" s="2">
        <f t="shared" si="32"/>
        <v>13507</v>
      </c>
      <c r="BI33" s="2">
        <f t="shared" si="32"/>
        <v>18120</v>
      </c>
      <c r="BJ33" s="2">
        <f t="shared" si="32"/>
        <v>22103</v>
      </c>
      <c r="BK33" s="2">
        <f t="shared" si="32"/>
        <v>26044</v>
      </c>
      <c r="BL33" s="2">
        <f t="shared" si="32"/>
        <v>30040</v>
      </c>
      <c r="BM33" s="2">
        <f t="shared" si="32"/>
        <v>35082</v>
      </c>
      <c r="BN33" s="2">
        <f t="shared" si="32"/>
        <v>39331</v>
      </c>
      <c r="BO33" s="2">
        <f>SUM(BO28:BO32)</f>
        <v>44062</v>
      </c>
      <c r="BP33" s="2">
        <f>SUM(BP28:BP32)</f>
        <v>46743</v>
      </c>
      <c r="BQ33" s="34"/>
      <c r="BR33" s="34"/>
      <c r="BS33" s="34"/>
      <c r="BT33" s="34"/>
      <c r="BU33" s="34"/>
      <c r="BV33" s="34"/>
      <c r="CN33" s="2">
        <f t="shared" si="25"/>
        <v>11716</v>
      </c>
      <c r="CO33" s="2">
        <f t="shared" si="26"/>
        <v>10918</v>
      </c>
      <c r="CP33" s="2">
        <f t="shared" si="27"/>
        <v>16675</v>
      </c>
      <c r="CQ33" s="2">
        <f t="shared" si="28"/>
        <v>26914</v>
      </c>
      <c r="CR33" s="2">
        <f t="shared" si="29"/>
        <v>26974</v>
      </c>
      <c r="CS33" s="2">
        <f t="shared" si="30"/>
        <v>60922</v>
      </c>
      <c r="CT33" s="2">
        <f t="shared" si="31"/>
        <v>130497</v>
      </c>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c r="EZ33" s="34"/>
      <c r="FA33" s="34"/>
      <c r="FB33" s="34"/>
    </row>
    <row r="35" spans="2:158">
      <c r="B35" s="1" t="s">
        <v>120</v>
      </c>
      <c r="AQ35" s="53">
        <f t="shared" ref="AQ35:BN40" si="33">AQ28/AM28-1</f>
        <v>-0.6198156682027649</v>
      </c>
      <c r="AR35" s="53">
        <f t="shared" si="33"/>
        <v>-0.5447941888619855</v>
      </c>
      <c r="AS35" s="53">
        <f t="shared" si="33"/>
        <v>-0.42014742014742013</v>
      </c>
      <c r="AT35" s="53">
        <f t="shared" si="33"/>
        <v>0.1785714285714286</v>
      </c>
      <c r="AU35" s="53">
        <f t="shared" si="33"/>
        <v>2.0121212121212122</v>
      </c>
      <c r="AV35" s="53">
        <f t="shared" si="33"/>
        <v>4.0212765957446805</v>
      </c>
      <c r="AW35" s="53">
        <f t="shared" si="33"/>
        <v>2.7711864406779663</v>
      </c>
      <c r="AX35" s="53">
        <f t="shared" si="33"/>
        <v>1.9730639730639732</v>
      </c>
      <c r="AY35" s="53">
        <f t="shared" si="33"/>
        <v>0.54527162977867194</v>
      </c>
      <c r="AZ35" s="53">
        <f t="shared" si="33"/>
        <v>5.508474576271194E-2</v>
      </c>
      <c r="BA35" s="53">
        <f t="shared" si="33"/>
        <v>0.26516853932584272</v>
      </c>
      <c r="BB35" s="53">
        <f t="shared" si="33"/>
        <v>0.6523216308040769</v>
      </c>
      <c r="BC35" s="53">
        <f t="shared" si="33"/>
        <v>1.515625</v>
      </c>
      <c r="BD35" s="53">
        <f t="shared" si="33"/>
        <v>0.99598393574297184</v>
      </c>
      <c r="BE35" s="53">
        <f t="shared" si="33"/>
        <v>0.90763765541740682</v>
      </c>
      <c r="BF35" s="53">
        <f t="shared" si="33"/>
        <v>0.52433173406442779</v>
      </c>
      <c r="BG35" s="53">
        <f t="shared" si="33"/>
        <v>0.23447204968944102</v>
      </c>
      <c r="BH35" s="53">
        <f t="shared" si="33"/>
        <v>2.0397384305835011</v>
      </c>
      <c r="BI35" s="53">
        <f t="shared" si="33"/>
        <v>1.9338919925512106</v>
      </c>
      <c r="BJ35" s="53">
        <f t="shared" si="33"/>
        <v>4.5017985611510793</v>
      </c>
      <c r="BK35" s="53">
        <f t="shared" si="33"/>
        <v>4.6587002096436061</v>
      </c>
      <c r="BL35" s="53">
        <f t="shared" si="33"/>
        <v>1.154889955320205</v>
      </c>
      <c r="BM35" s="53">
        <f t="shared" si="33"/>
        <v>1.3484608060933039</v>
      </c>
      <c r="BN35" s="53">
        <f t="shared" si="33"/>
        <v>0.62953579601176846</v>
      </c>
      <c r="BO35" s="53">
        <f>BO28/BK28-1</f>
        <v>0.53667753408417318</v>
      </c>
      <c r="BP35" s="53">
        <f>BP28/BL28-1</f>
        <v>0.80233451082782992</v>
      </c>
      <c r="CN35" s="53"/>
      <c r="CO35" s="53">
        <f t="shared" ref="CO35:CS40" si="34">CO28/CN28-1</f>
        <v>-0.41168658698539173</v>
      </c>
      <c r="CP35" s="53">
        <f t="shared" si="34"/>
        <v>2.6275395033860045</v>
      </c>
      <c r="CQ35" s="53">
        <f t="shared" si="34"/>
        <v>0.35314250155569393</v>
      </c>
      <c r="CR35" s="53">
        <f t="shared" si="34"/>
        <v>0.90664520579443542</v>
      </c>
      <c r="CS35" s="53">
        <f t="shared" si="34"/>
        <v>2.2520501688374335</v>
      </c>
      <c r="CT35" s="53">
        <f t="shared" ref="CT35:CT40" si="35">CT28/CS28-1</f>
        <v>1.2716383594155602</v>
      </c>
    </row>
    <row r="36" spans="2:158">
      <c r="B36" s="1" t="s">
        <v>1554</v>
      </c>
      <c r="AQ36" s="53"/>
      <c r="AR36" s="53"/>
      <c r="AS36" s="53"/>
      <c r="AT36" s="53"/>
      <c r="AU36" s="53"/>
      <c r="AV36" s="53"/>
      <c r="AW36" s="53"/>
      <c r="AX36" s="53"/>
      <c r="AY36" s="53"/>
      <c r="AZ36" s="53"/>
      <c r="BA36" s="53"/>
      <c r="BB36" s="53"/>
      <c r="BC36" s="53"/>
      <c r="BD36" s="53"/>
      <c r="BE36" s="53"/>
      <c r="BF36" s="53"/>
      <c r="BG36" s="53">
        <f t="shared" si="33"/>
        <v>0.6784140969162995</v>
      </c>
      <c r="BH36" s="53">
        <f t="shared" si="33"/>
        <v>5.7595238095238095</v>
      </c>
      <c r="BI36" s="53">
        <f t="shared" si="33"/>
        <v>4.0410447761194028</v>
      </c>
      <c r="BJ36" s="53">
        <f t="shared" si="33"/>
        <v>-0.39863325740318911</v>
      </c>
      <c r="BK36" s="53">
        <f t="shared" si="33"/>
        <v>4.2979002624671914</v>
      </c>
      <c r="BL36" s="53">
        <f t="shared" si="33"/>
        <v>1.0218386755899966</v>
      </c>
      <c r="BM36" s="53">
        <f t="shared" si="33"/>
        <v>1.8486306439674314</v>
      </c>
      <c r="BN36" s="53">
        <f t="shared" si="33"/>
        <v>10.761363636363637</v>
      </c>
      <c r="BO36" s="53">
        <f t="shared" ref="BO36:BP40" si="36">BO29/BK29-1</f>
        <v>1.2335892989843944</v>
      </c>
      <c r="BP36" s="53">
        <f t="shared" si="36"/>
        <v>0.76933797909407664</v>
      </c>
      <c r="CN36" s="53"/>
      <c r="CO36" s="53"/>
      <c r="CP36" s="53"/>
      <c r="CQ36" s="53"/>
      <c r="CR36" s="53"/>
      <c r="CS36" s="53">
        <f t="shared" si="34"/>
        <v>1.9855769230769229</v>
      </c>
      <c r="CT36" s="53">
        <f t="shared" si="35"/>
        <v>2.4671351193090323</v>
      </c>
    </row>
    <row r="37" spans="2:158">
      <c r="B37" s="1" t="s">
        <v>1555</v>
      </c>
      <c r="AQ37" s="53">
        <f t="shared" si="33"/>
        <v>-0.27817993795243023</v>
      </c>
      <c r="AR37" s="53">
        <f t="shared" si="33"/>
        <v>-0.24673784104389085</v>
      </c>
      <c r="AS37" s="53">
        <f t="shared" si="33"/>
        <v>-9.7954790096878352E-2</v>
      </c>
      <c r="AT37" s="53">
        <f t="shared" si="33"/>
        <v>0.3752012882447664</v>
      </c>
      <c r="AU37" s="53">
        <f t="shared" si="33"/>
        <v>0.16475644699140402</v>
      </c>
      <c r="AV37" s="53">
        <f t="shared" si="33"/>
        <v>0.5023622047244094</v>
      </c>
      <c r="AW37" s="53">
        <f t="shared" si="33"/>
        <v>0.54653937947494025</v>
      </c>
      <c r="AX37" s="53">
        <f t="shared" si="33"/>
        <v>0.71896955503512872</v>
      </c>
      <c r="AY37" s="53">
        <f t="shared" si="33"/>
        <v>1.1943419434194342</v>
      </c>
      <c r="AZ37" s="53">
        <f t="shared" si="33"/>
        <v>1.0555555555555554</v>
      </c>
      <c r="BA37" s="53">
        <f t="shared" si="33"/>
        <v>0.6875</v>
      </c>
      <c r="BB37" s="53">
        <f t="shared" si="33"/>
        <v>0.77929155313351495</v>
      </c>
      <c r="BC37" s="53">
        <f t="shared" si="33"/>
        <v>0.55661434977578472</v>
      </c>
      <c r="BD37" s="53">
        <f t="shared" si="33"/>
        <v>-0.38602753697093317</v>
      </c>
      <c r="BE37" s="53">
        <f t="shared" si="33"/>
        <v>-0.47279378143575679</v>
      </c>
      <c r="BF37" s="53">
        <f t="shared" si="33"/>
        <v>-0.29096477794793263</v>
      </c>
      <c r="BG37" s="53">
        <f t="shared" si="33"/>
        <v>-0.35325891249549879</v>
      </c>
      <c r="BH37" s="53">
        <f t="shared" si="33"/>
        <v>-0.13455149501661134</v>
      </c>
      <c r="BI37" s="53">
        <f t="shared" si="33"/>
        <v>2.4952298352124891</v>
      </c>
      <c r="BJ37" s="53">
        <f t="shared" si="33"/>
        <v>2.5296976241900646</v>
      </c>
      <c r="BK37" s="53">
        <f t="shared" si="33"/>
        <v>1.4348552338530065</v>
      </c>
      <c r="BL37" s="53">
        <f t="shared" si="33"/>
        <v>4.3953934740882916</v>
      </c>
      <c r="BM37" s="53">
        <f t="shared" si="33"/>
        <v>0.34392059553349874</v>
      </c>
      <c r="BN37" s="53">
        <f t="shared" si="33"/>
        <v>-0.21034113507725261</v>
      </c>
      <c r="BO37" s="53">
        <f t="shared" si="36"/>
        <v>0.6368625657443403</v>
      </c>
      <c r="BP37" s="53">
        <f t="shared" si="36"/>
        <v>0.51707577374599789</v>
      </c>
      <c r="CN37" s="53"/>
      <c r="CO37" s="53">
        <f t="shared" si="34"/>
        <v>-9.9702380952380931E-2</v>
      </c>
      <c r="CP37" s="53">
        <f t="shared" si="34"/>
        <v>0.49785123966942146</v>
      </c>
      <c r="CQ37" s="53">
        <f t="shared" si="34"/>
        <v>0.88567645111454429</v>
      </c>
      <c r="CR37" s="53">
        <f t="shared" si="34"/>
        <v>-0.18235018726591756</v>
      </c>
      <c r="CS37" s="53">
        <f t="shared" si="34"/>
        <v>0.91883767535070149</v>
      </c>
      <c r="CT37" s="53">
        <f t="shared" si="35"/>
        <v>0.53472584856396876</v>
      </c>
    </row>
    <row r="38" spans="2:158">
      <c r="B38" s="1" t="s">
        <v>1556</v>
      </c>
      <c r="AQ38" s="53">
        <f t="shared" si="33"/>
        <v>-0.26657824933687002</v>
      </c>
      <c r="AR38" s="53">
        <f t="shared" si="33"/>
        <v>-0.23289473684210527</v>
      </c>
      <c r="AS38" s="53">
        <f t="shared" si="33"/>
        <v>7.6704545454545414E-2</v>
      </c>
      <c r="AT38" s="53">
        <f t="shared" si="33"/>
        <v>0.4356775300171527</v>
      </c>
      <c r="AU38" s="53">
        <f t="shared" si="33"/>
        <v>0.37070524412296568</v>
      </c>
      <c r="AV38" s="53">
        <f t="shared" si="33"/>
        <v>0.4665523156089193</v>
      </c>
      <c r="AW38" s="53">
        <f t="shared" si="33"/>
        <v>0.4683377308707124</v>
      </c>
      <c r="AX38" s="53">
        <f t="shared" si="33"/>
        <v>0.38590203106332144</v>
      </c>
      <c r="AY38" s="53">
        <f t="shared" si="33"/>
        <v>0.83509234828496037</v>
      </c>
      <c r="AZ38" s="53">
        <f t="shared" si="33"/>
        <v>1.0116959064327484</v>
      </c>
      <c r="BA38" s="53">
        <f t="shared" si="33"/>
        <v>0.81221922731356688</v>
      </c>
      <c r="BB38" s="53">
        <f t="shared" si="33"/>
        <v>0.70948275862068955</v>
      </c>
      <c r="BC38" s="53">
        <f t="shared" si="33"/>
        <v>0.49604601006470173</v>
      </c>
      <c r="BD38" s="53">
        <f t="shared" si="33"/>
        <v>-6.8604651162790686E-2</v>
      </c>
      <c r="BE38" s="53">
        <f t="shared" si="33"/>
        <v>-0.43083787803668816</v>
      </c>
      <c r="BF38" s="53">
        <f t="shared" si="33"/>
        <v>-0.51891074130105896</v>
      </c>
      <c r="BG38" s="53">
        <f t="shared" si="33"/>
        <v>-0.2359442575684767</v>
      </c>
      <c r="BH38" s="53">
        <f t="shared" si="33"/>
        <v>0.71036204744069908</v>
      </c>
      <c r="BI38" s="53">
        <f t="shared" si="33"/>
        <v>2.774390243902439</v>
      </c>
      <c r="BJ38" s="53">
        <f t="shared" si="33"/>
        <v>0.72222222222222232</v>
      </c>
      <c r="BK38" s="53">
        <f t="shared" si="33"/>
        <v>0.56666666666666665</v>
      </c>
      <c r="BL38" s="53">
        <f t="shared" si="33"/>
        <v>0.33832116788321165</v>
      </c>
      <c r="BM38" s="53">
        <f t="shared" si="33"/>
        <v>0.18924532656358184</v>
      </c>
      <c r="BN38" s="53">
        <f t="shared" si="33"/>
        <v>2.5283018867924527</v>
      </c>
      <c r="BO38" s="53">
        <f t="shared" si="36"/>
        <v>1.2167804094741066</v>
      </c>
      <c r="BP38" s="53">
        <f t="shared" si="36"/>
        <v>-0.2448868284701391</v>
      </c>
      <c r="CN38" s="53"/>
      <c r="CO38" s="53">
        <f t="shared" si="34"/>
        <v>-2.4991074616208531E-2</v>
      </c>
      <c r="CP38" s="53">
        <f t="shared" si="34"/>
        <v>0.42292200659099222</v>
      </c>
      <c r="CQ38" s="53">
        <f t="shared" si="34"/>
        <v>0.82990221307256817</v>
      </c>
      <c r="CR38" s="53">
        <f t="shared" si="34"/>
        <v>-0.1864716636197441</v>
      </c>
      <c r="CS38" s="53">
        <f t="shared" si="34"/>
        <v>0.78150388936905801</v>
      </c>
      <c r="CT38" s="53">
        <f t="shared" si="35"/>
        <v>0.66000388123423259</v>
      </c>
    </row>
    <row r="39" spans="2:158">
      <c r="B39" s="1" t="s">
        <v>1557</v>
      </c>
      <c r="AQ39" s="53">
        <f t="shared" si="33"/>
        <v>-0.23574144486692017</v>
      </c>
      <c r="AR39" s="53">
        <f t="shared" si="33"/>
        <v>5.9620596205962162E-2</v>
      </c>
      <c r="AS39" s="53">
        <f t="shared" si="33"/>
        <v>3.5933391761612699E-2</v>
      </c>
      <c r="AT39" s="53">
        <f t="shared" si="33"/>
        <v>0.49132176234979963</v>
      </c>
      <c r="AU39" s="53">
        <f t="shared" si="33"/>
        <v>0.25870646766169147</v>
      </c>
      <c r="AV39" s="53">
        <f t="shared" si="33"/>
        <v>-5.1150895140664954E-2</v>
      </c>
      <c r="AW39" s="53">
        <f t="shared" si="33"/>
        <v>0.2072758037225042</v>
      </c>
      <c r="AX39" s="53">
        <f t="shared" si="33"/>
        <v>0.33572068039391234</v>
      </c>
      <c r="AY39" s="53">
        <f t="shared" si="33"/>
        <v>0.69762845849802368</v>
      </c>
      <c r="AZ39" s="53">
        <f t="shared" si="33"/>
        <v>0.64420485175202158</v>
      </c>
      <c r="BA39" s="53">
        <f t="shared" si="33"/>
        <v>0.24246671338472314</v>
      </c>
      <c r="BB39" s="53">
        <f t="shared" si="33"/>
        <v>6.5013404825737364E-2</v>
      </c>
      <c r="BC39" s="53">
        <f t="shared" si="33"/>
        <v>-0.39231664726426074</v>
      </c>
      <c r="BD39" s="53">
        <f t="shared" si="33"/>
        <v>-0.18579234972677594</v>
      </c>
      <c r="BE39" s="53">
        <f t="shared" si="33"/>
        <v>-0.4664410603496898</v>
      </c>
      <c r="BF39" s="53">
        <f t="shared" si="33"/>
        <v>-0.91000629326620519</v>
      </c>
      <c r="BG39" s="53">
        <f t="shared" si="33"/>
        <v>-0.36877394636015326</v>
      </c>
      <c r="BH39" s="53">
        <f t="shared" si="33"/>
        <v>-0.43422818791946305</v>
      </c>
      <c r="BI39" s="53">
        <f t="shared" si="33"/>
        <v>-0.20401691331923888</v>
      </c>
      <c r="BJ39" s="53">
        <f t="shared" si="33"/>
        <v>7.104895104895105</v>
      </c>
      <c r="BK39" s="53">
        <f t="shared" si="33"/>
        <v>1.4992412746585737</v>
      </c>
      <c r="BL39" s="53">
        <f t="shared" si="33"/>
        <v>1.3594306049822062</v>
      </c>
      <c r="BM39" s="53">
        <f t="shared" si="33"/>
        <v>1.6772908366533863</v>
      </c>
      <c r="BN39" s="53">
        <f t="shared" si="33"/>
        <v>0.91803278688524581</v>
      </c>
      <c r="BO39" s="53">
        <f t="shared" si="36"/>
        <v>-1.2750455373406244E-2</v>
      </c>
      <c r="BP39" s="53">
        <f t="shared" si="36"/>
        <v>-8.54700854700855E-2</v>
      </c>
      <c r="CN39" s="53"/>
      <c r="CO39" s="53">
        <f t="shared" si="34"/>
        <v>5.6063225487774648E-2</v>
      </c>
      <c r="CP39" s="53">
        <f t="shared" si="34"/>
        <v>0.17960710944808223</v>
      </c>
      <c r="CQ39" s="53">
        <f t="shared" si="34"/>
        <v>0.36994448850118955</v>
      </c>
      <c r="CR39" s="53">
        <f t="shared" si="34"/>
        <v>-0.47568740955137478</v>
      </c>
      <c r="CS39" s="53">
        <f t="shared" si="34"/>
        <v>-5.768699972398561E-2</v>
      </c>
      <c r="CT39" s="53">
        <f t="shared" si="35"/>
        <v>1.3066783831282951</v>
      </c>
    </row>
    <row r="40" spans="2:158" s="2" customFormat="1" ht="15">
      <c r="B40" s="2" t="s">
        <v>1558</v>
      </c>
      <c r="AQ40" s="54">
        <f t="shared" si="33"/>
        <v>-0.3077642656688494</v>
      </c>
      <c r="AR40" s="54">
        <f t="shared" si="33"/>
        <v>-0.17419148254883121</v>
      </c>
      <c r="AS40" s="54">
        <f t="shared" si="33"/>
        <v>-5.2499214083621459E-2</v>
      </c>
      <c r="AT40" s="54">
        <f t="shared" si="33"/>
        <v>0.40816326530612246</v>
      </c>
      <c r="AU40" s="54">
        <f t="shared" si="33"/>
        <v>0.38738738738738743</v>
      </c>
      <c r="AV40" s="54">
        <f t="shared" si="33"/>
        <v>0.49903063202791786</v>
      </c>
      <c r="AW40" s="54">
        <f t="shared" si="33"/>
        <v>0.56801592568015935</v>
      </c>
      <c r="AX40" s="54">
        <f t="shared" si="33"/>
        <v>0.61127214170692423</v>
      </c>
      <c r="AY40" s="54">
        <f t="shared" si="33"/>
        <v>0.83798701298701306</v>
      </c>
      <c r="AZ40" s="54">
        <f t="shared" si="33"/>
        <v>0.68313502327987585</v>
      </c>
      <c r="BA40" s="54">
        <f t="shared" si="33"/>
        <v>0.50296233601354201</v>
      </c>
      <c r="BB40" s="54">
        <f t="shared" si="33"/>
        <v>0.52768338996602049</v>
      </c>
      <c r="BC40" s="54">
        <f t="shared" si="33"/>
        <v>0.46405228758169925</v>
      </c>
      <c r="BD40" s="54">
        <f t="shared" si="33"/>
        <v>3.0275088366374714E-2</v>
      </c>
      <c r="BE40" s="54">
        <f t="shared" si="33"/>
        <v>-0.16500070392791777</v>
      </c>
      <c r="BF40" s="54">
        <f t="shared" si="33"/>
        <v>-0.20829517205285886</v>
      </c>
      <c r="BG40" s="54">
        <f t="shared" si="33"/>
        <v>-0.13223938223938225</v>
      </c>
      <c r="BH40" s="54">
        <f t="shared" si="33"/>
        <v>1.0147673031026252</v>
      </c>
      <c r="BI40" s="54">
        <f t="shared" si="33"/>
        <v>2.0551340414769852</v>
      </c>
      <c r="BJ40" s="54">
        <f t="shared" si="33"/>
        <v>2.6527846636919516</v>
      </c>
      <c r="BK40" s="54">
        <f t="shared" si="33"/>
        <v>2.6212458286985538</v>
      </c>
      <c r="BL40" s="54">
        <f t="shared" si="33"/>
        <v>1.2240319834160065</v>
      </c>
      <c r="BM40" s="54">
        <f t="shared" si="33"/>
        <v>0.93609271523178816</v>
      </c>
      <c r="BN40" s="54">
        <f t="shared" si="33"/>
        <v>0.77944170474596208</v>
      </c>
      <c r="BO40" s="54">
        <f t="shared" si="36"/>
        <v>0.69182921210259551</v>
      </c>
      <c r="BP40" s="54">
        <f t="shared" si="36"/>
        <v>0.5560252996005326</v>
      </c>
      <c r="BQ40" s="34"/>
      <c r="BR40" s="34"/>
      <c r="BS40" s="34"/>
      <c r="BT40" s="34"/>
      <c r="BU40" s="34"/>
      <c r="BV40" s="34"/>
      <c r="CN40" s="54"/>
      <c r="CO40" s="54">
        <f t="shared" si="34"/>
        <v>-6.8111983612154314E-2</v>
      </c>
      <c r="CP40" s="54">
        <f t="shared" si="34"/>
        <v>0.52729437625938824</v>
      </c>
      <c r="CQ40" s="54">
        <f t="shared" si="34"/>
        <v>0.61403298350824587</v>
      </c>
      <c r="CR40" s="54">
        <f t="shared" si="34"/>
        <v>2.2293230289069932E-3</v>
      </c>
      <c r="CS40" s="54">
        <f t="shared" si="34"/>
        <v>1.2585452658115224</v>
      </c>
      <c r="CT40" s="54">
        <f t="shared" si="35"/>
        <v>1.1420340763599355</v>
      </c>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row>
    <row r="41" spans="2:158">
      <c r="B41" s="1" t="s">
        <v>1559</v>
      </c>
    </row>
    <row r="42" spans="2:158">
      <c r="B42" s="38" t="s">
        <v>119</v>
      </c>
      <c r="AM42" s="53">
        <f>AM28/$AM$33</f>
        <v>0.13532896788275647</v>
      </c>
      <c r="AN42" s="53">
        <f>AN28/$AN$33</f>
        <v>0.13224463656740315</v>
      </c>
      <c r="AO42" s="53">
        <f>AO28/$AO$33</f>
        <v>0.12794718641936498</v>
      </c>
      <c r="AP42" s="53">
        <f>AP28/$AP$33</f>
        <v>0.11428571428571428</v>
      </c>
      <c r="AQ42" s="53">
        <f>AQ28/$AQ$33</f>
        <v>7.4324324324324328E-2</v>
      </c>
      <c r="AR42" s="53">
        <f>AR28/$AR$33</f>
        <v>7.2896471500581622E-2</v>
      </c>
      <c r="AS42" s="53">
        <f>AS28/$AS$33</f>
        <v>7.8301260783012611E-2</v>
      </c>
      <c r="AT42" s="53">
        <f>AT28/$AT$33</f>
        <v>9.5652173913043481E-2</v>
      </c>
      <c r="AU42" s="53">
        <f>AU28/$AU$33</f>
        <v>0.16136363636363638</v>
      </c>
      <c r="AV42" s="53">
        <f>AV28/$AV$33</f>
        <v>0.24418003103983446</v>
      </c>
      <c r="AW42" s="53">
        <f>AW28/$AW$33</f>
        <v>0.18831993228946256</v>
      </c>
      <c r="AX42" s="53">
        <f>AX28/$AX$33</f>
        <v>0.17649410353787728</v>
      </c>
      <c r="AY42" s="53">
        <f>AY28/$AY$33</f>
        <v>0.13566507684154744</v>
      </c>
      <c r="AZ42" s="53">
        <f>AZ28/$AZ$33</f>
        <v>0.15306592899953897</v>
      </c>
      <c r="BA42" s="53">
        <f>BA28/$BA$33</f>
        <v>0.15852456708433058</v>
      </c>
      <c r="BB42" s="53">
        <f>BB28/$BB$33</f>
        <v>0.19089362815648306</v>
      </c>
      <c r="BC42" s="53">
        <f>BC28/$BC$33</f>
        <v>0.23310810810810811</v>
      </c>
      <c r="BD42" s="53">
        <f>BD28/$BD$33</f>
        <v>0.29653937947494036</v>
      </c>
      <c r="BE42" s="53">
        <f>BE28/$BE$33</f>
        <v>0.36216489630753668</v>
      </c>
      <c r="BF42" s="53">
        <f>BF28/$BF$33</f>
        <v>0.36754255494959509</v>
      </c>
      <c r="BG42" s="53">
        <f>BG28/$BG$33</f>
        <v>0.33161846496106784</v>
      </c>
      <c r="BH42" s="53">
        <f>BH28/$BH$33</f>
        <v>0.44739764566521062</v>
      </c>
      <c r="BI42" s="53">
        <f>BI28/$BI$33</f>
        <v>0.34779249448123623</v>
      </c>
      <c r="BJ42" s="53">
        <f>BJ28/$BJ$33</f>
        <v>0.55359001040582723</v>
      </c>
      <c r="BK42" s="53">
        <f>BK28/$BK$33</f>
        <v>0.51819996928275225</v>
      </c>
      <c r="BL42" s="53">
        <f>BL28/$BL$33</f>
        <v>0.43348868175765648</v>
      </c>
      <c r="BM42" s="53">
        <f>BM28/$BM$33</f>
        <v>0.42186876460863121</v>
      </c>
      <c r="BN42" s="53">
        <f>BN28/$BN$33</f>
        <v>0.50695380234420684</v>
      </c>
      <c r="BO42" s="53">
        <f>BO28/$BO$33</f>
        <v>0.47067768144886751</v>
      </c>
      <c r="BP42" s="53">
        <f>BP28/$BO$33</f>
        <v>0.53265852662157864</v>
      </c>
      <c r="CN42" s="53">
        <f>CN28/$CN$33</f>
        <v>0.12854216456128373</v>
      </c>
      <c r="CO42" s="53">
        <f>CO28/$CO$33</f>
        <v>8.1150393845026564E-2</v>
      </c>
      <c r="CP42" s="53">
        <f>CP28/$CP$33</f>
        <v>0.19274362818590704</v>
      </c>
      <c r="CQ42" s="53">
        <f>CQ28/$CQ$33</f>
        <v>0.1615887642119343</v>
      </c>
      <c r="CR42" s="53">
        <f>CR28/$CR$33</f>
        <v>0.3074071327945429</v>
      </c>
      <c r="CS42" s="53">
        <f>CS28/$CS$33</f>
        <v>0.4426315616690194</v>
      </c>
      <c r="CT42" s="53">
        <f>CT28/$CT$33</f>
        <v>0.46941308995609093</v>
      </c>
    </row>
    <row r="43" spans="2:158">
      <c r="B43" s="1" t="s">
        <v>1561</v>
      </c>
      <c r="AM43" s="53">
        <f>AM29/$AM$33</f>
        <v>0</v>
      </c>
      <c r="AN43" s="53">
        <f>AN29/$AN$33</f>
        <v>0</v>
      </c>
      <c r="AO43" s="53">
        <f>AO29/$AO$33</f>
        <v>0</v>
      </c>
      <c r="AP43" s="53">
        <f>AP29/$AP$33</f>
        <v>0</v>
      </c>
      <c r="AQ43" s="53">
        <f>AQ29/$AQ$33</f>
        <v>0</v>
      </c>
      <c r="AR43" s="53">
        <f>AR29/$AR$33</f>
        <v>0</v>
      </c>
      <c r="AS43" s="53">
        <f>AS29/$AS$33</f>
        <v>0</v>
      </c>
      <c r="AT43" s="53">
        <f>AT29/$AT$33</f>
        <v>0</v>
      </c>
      <c r="AU43" s="53">
        <f>AU29/$AU$33</f>
        <v>0</v>
      </c>
      <c r="AV43" s="53">
        <f>AV29/$AV$33</f>
        <v>0</v>
      </c>
      <c r="AW43" s="53">
        <f>AW29/$AW$33</f>
        <v>0</v>
      </c>
      <c r="AX43" s="53">
        <f>AX29/$AX$33</f>
        <v>0</v>
      </c>
      <c r="AY43" s="53">
        <f>AY29/$AY$33</f>
        <v>0</v>
      </c>
      <c r="AZ43" s="53">
        <f>AZ29/$AZ$33</f>
        <v>0</v>
      </c>
      <c r="BA43" s="53">
        <f>BA29/$BA$33</f>
        <v>0</v>
      </c>
      <c r="BB43" s="53">
        <f>BB29/$BB$33</f>
        <v>0</v>
      </c>
      <c r="BC43" s="53">
        <f>BC29/$BC$33</f>
        <v>5.477799227799228E-2</v>
      </c>
      <c r="BD43" s="53">
        <f>BD29/$BD$33</f>
        <v>6.2649164677804292E-2</v>
      </c>
      <c r="BE43" s="53">
        <f>BE29/$BE$33</f>
        <v>9.0372618445456077E-2</v>
      </c>
      <c r="BF43" s="53">
        <f>BF29/$BF$33</f>
        <v>0.14509998347380598</v>
      </c>
      <c r="BG43" s="53">
        <f>BG29/$BG$33</f>
        <v>0.10595105672969966</v>
      </c>
      <c r="BH43" s="53">
        <f>BH29/$BH$33</f>
        <v>0.21018731028355667</v>
      </c>
      <c r="BI43" s="53">
        <f>BI29/$BI$33</f>
        <v>0.14911699779249449</v>
      </c>
      <c r="BJ43" s="53">
        <f>BJ29/$BJ$33</f>
        <v>2.3888159978283491E-2</v>
      </c>
      <c r="BK43" s="53">
        <f>BK29/$BK$33</f>
        <v>0.1550069113807403</v>
      </c>
      <c r="BL43" s="53">
        <f>BL29/$BL$33</f>
        <v>0.19107856191744341</v>
      </c>
      <c r="BM43" s="53">
        <f>BM29/$BM$33</f>
        <v>0.21940026224274556</v>
      </c>
      <c r="BN43" s="53">
        <f>BN29/$BN$33</f>
        <v>0.15789072233098575</v>
      </c>
      <c r="BO43" s="53">
        <f t="shared" ref="BO43:BP46" si="37">BO29/$BO$33</f>
        <v>0.20464345694702918</v>
      </c>
      <c r="BP43" s="53">
        <f t="shared" si="37"/>
        <v>0.23049339566973809</v>
      </c>
      <c r="CN43" s="53">
        <f>CN29/$CN$33</f>
        <v>0</v>
      </c>
      <c r="CO43" s="53">
        <f>CO29/$CO$33</f>
        <v>0</v>
      </c>
      <c r="CP43" s="53">
        <f>CP29/$CP$33</f>
        <v>0</v>
      </c>
      <c r="CQ43" s="53">
        <f>CQ29/$CQ$33</f>
        <v>0</v>
      </c>
      <c r="CR43" s="53">
        <f>CR29/$CR$33</f>
        <v>8.4822421591161865E-2</v>
      </c>
      <c r="CS43" s="53">
        <f>CS29/$CS$33</f>
        <v>0.11212698204261186</v>
      </c>
      <c r="CT43" s="53">
        <f>CT29/$CT$33</f>
        <v>0.18149076223974497</v>
      </c>
    </row>
    <row r="44" spans="2:158">
      <c r="B44" s="1" t="s">
        <v>1560</v>
      </c>
      <c r="AM44" s="53">
        <f>AM30/$AM$33</f>
        <v>0.30152790770190208</v>
      </c>
      <c r="AN44" s="53">
        <f>AN30/$AN$33</f>
        <v>0.26993275696445723</v>
      </c>
      <c r="AO44" s="53">
        <f>AO30/$AO$33</f>
        <v>0.29204652624960703</v>
      </c>
      <c r="AP44" s="53">
        <f>AP30/$AP$33</f>
        <v>0.28163265306122448</v>
      </c>
      <c r="AQ44" s="53">
        <f>AQ30/$AQ$33</f>
        <v>0.31441441441441442</v>
      </c>
      <c r="AR44" s="53">
        <f>AR30/$AR$33</f>
        <v>0.24621946490887942</v>
      </c>
      <c r="AS44" s="53">
        <f>AS30/$AS$33</f>
        <v>0.27803583278035832</v>
      </c>
      <c r="AT44" s="53">
        <f>AT30/$AT$33</f>
        <v>0.27504025764895329</v>
      </c>
      <c r="AU44" s="53">
        <f>AU30/$AU$33</f>
        <v>0.26396103896103895</v>
      </c>
      <c r="AV44" s="53">
        <f>AV30/$AV$33</f>
        <v>0.24676668391101914</v>
      </c>
      <c r="AW44" s="53">
        <f>AW30/$AW$33</f>
        <v>0.27422767668218367</v>
      </c>
      <c r="AX44" s="53">
        <f>AX30/$AX$33</f>
        <v>0.29342394563262042</v>
      </c>
      <c r="AY44" s="53">
        <f>AY30/$AY$33</f>
        <v>0.31513866807984453</v>
      </c>
      <c r="AZ44" s="53">
        <f>AZ30/$AZ$33</f>
        <v>0.30136775779929309</v>
      </c>
      <c r="BA44" s="53">
        <f>BA30/$BA$33</f>
        <v>0.30789807123750529</v>
      </c>
      <c r="BB44" s="53">
        <f>BB30/$BB$33</f>
        <v>0.3417506214837106</v>
      </c>
      <c r="BC44" s="53">
        <f>BC30/$BC$33</f>
        <v>0.33506274131274133</v>
      </c>
      <c r="BD44" s="53">
        <f>BD30/$BD$33</f>
        <v>0.17959427207637232</v>
      </c>
      <c r="BE44" s="53">
        <f>BE30/$BE$33</f>
        <v>0.19440229303658743</v>
      </c>
      <c r="BF44" s="53">
        <f>BF30/$BF$33</f>
        <v>0.30606511320442903</v>
      </c>
      <c r="BG44" s="53">
        <f>BG30/$BG$33</f>
        <v>0.24972191323692991</v>
      </c>
      <c r="BH44" s="53">
        <f>BH30/$BH$33</f>
        <v>7.7145183978677728E-2</v>
      </c>
      <c r="BI44" s="53">
        <f>BI30/$BI$33</f>
        <v>0.22240618101545254</v>
      </c>
      <c r="BJ44" s="53">
        <f>BJ30/$BJ$33</f>
        <v>0.29575170791295297</v>
      </c>
      <c r="BK44" s="53">
        <f>BK30/$BK$33</f>
        <v>0.16790815542927354</v>
      </c>
      <c r="BL44" s="53">
        <f>BL30/$BL$33</f>
        <v>0.18715046604527297</v>
      </c>
      <c r="BM44" s="53">
        <f>BM30/$BM$33</f>
        <v>0.15438116412975314</v>
      </c>
      <c r="BN44" s="53">
        <f>BN30/$BN$33</f>
        <v>0.13124507386031375</v>
      </c>
      <c r="BO44" s="53">
        <f t="shared" si="37"/>
        <v>0.16245290726703282</v>
      </c>
      <c r="BP44" s="53">
        <f t="shared" si="37"/>
        <v>0.19356815396486768</v>
      </c>
      <c r="CN44" s="53">
        <f>CN30/$CN$33</f>
        <v>0.28678729941959713</v>
      </c>
      <c r="CO44" s="53">
        <f>CO30/$CO$33</f>
        <v>0.27706539659278256</v>
      </c>
      <c r="CP44" s="53">
        <f>CP30/$CP$33</f>
        <v>0.2717241379310345</v>
      </c>
      <c r="CQ44" s="53">
        <f>CQ30/$CQ$33</f>
        <v>0.31745559931634093</v>
      </c>
      <c r="CR44" s="53">
        <f>CR30/$CR$33</f>
        <v>0.2589901386520353</v>
      </c>
      <c r="CS44" s="53">
        <f>CS30/$CS$33</f>
        <v>0.22003545517218739</v>
      </c>
      <c r="CT44" s="53">
        <f>CT30/$CT$33</f>
        <v>0.15765113374253814</v>
      </c>
    </row>
    <row r="45" spans="2:158">
      <c r="B45" s="1" t="s">
        <v>1562</v>
      </c>
      <c r="AM45" s="53">
        <f>AM31/$AM$33</f>
        <v>0.23511069535391332</v>
      </c>
      <c r="AN45" s="53">
        <f>AN31/$AN$33</f>
        <v>0.24335574767851426</v>
      </c>
      <c r="AO45" s="53">
        <f>AO31/$AO$33</f>
        <v>0.22131405218484754</v>
      </c>
      <c r="AP45" s="53">
        <f>AP31/$AP$33</f>
        <v>0.26439909297052155</v>
      </c>
      <c r="AQ45" s="53">
        <f>AQ31/$AQ$33</f>
        <v>0.24909909909909911</v>
      </c>
      <c r="AR45" s="53">
        <f>AR31/$AR$33</f>
        <v>0.22605661108956959</v>
      </c>
      <c r="AS45" s="53">
        <f>AS31/$AS$33</f>
        <v>0.25149303251493033</v>
      </c>
      <c r="AT45" s="53">
        <f>AT31/$AT$33</f>
        <v>0.26956521739130435</v>
      </c>
      <c r="AU45" s="53">
        <f>AU31/$AU$33</f>
        <v>0.2461038961038961</v>
      </c>
      <c r="AV45" s="53">
        <f>AV31/$AV$33</f>
        <v>0.22115882048629074</v>
      </c>
      <c r="AW45" s="53">
        <f>AW31/$AW$33</f>
        <v>0.23550571307659754</v>
      </c>
      <c r="AX45" s="53">
        <f>AX31/$AX$33</f>
        <v>0.23186088346991804</v>
      </c>
      <c r="AY45" s="53">
        <f>AY31/$AY$33</f>
        <v>0.24571630453983395</v>
      </c>
      <c r="AZ45" s="53">
        <f>AZ31/$AZ$33</f>
        <v>0.26433072076225606</v>
      </c>
      <c r="BA45" s="53">
        <f>BA31/$BA$33</f>
        <v>0.28396452203294381</v>
      </c>
      <c r="BB45" s="53">
        <f>BB31/$BB$33</f>
        <v>0.25945309433468533</v>
      </c>
      <c r="BC45" s="53">
        <f>BC31/$BC$33</f>
        <v>0.25108590733590735</v>
      </c>
      <c r="BD45" s="53">
        <f>BD31/$BD$33</f>
        <v>0.23896181384248211</v>
      </c>
      <c r="BE45" s="53">
        <f>BE31/$BE$33</f>
        <v>0.19355926487944697</v>
      </c>
      <c r="BF45" s="53">
        <f>BF31/$BF$33</f>
        <v>0.15765989092711949</v>
      </c>
      <c r="BG45" s="53">
        <f>BG31/$BG$33</f>
        <v>0.22107897664071191</v>
      </c>
      <c r="BH45" s="53">
        <f>BH31/$BH$33</f>
        <v>0.20285777744873029</v>
      </c>
      <c r="BI45" s="53">
        <f>BI31/$BI$33</f>
        <v>0.23912803532008831</v>
      </c>
      <c r="BJ45" s="53">
        <f>BJ31/$BJ$33</f>
        <v>7.4333800841514724E-2</v>
      </c>
      <c r="BK45" s="53">
        <f>BK31/$BK$33</f>
        <v>9.5645830133620033E-2</v>
      </c>
      <c r="BL45" s="53">
        <f>BL31/$BL$33</f>
        <v>0.12207057256990679</v>
      </c>
      <c r="BM45" s="53">
        <f>BM31/$BM$33</f>
        <v>0.14688444216407273</v>
      </c>
      <c r="BN45" s="53">
        <f>BN31/$BN$33</f>
        <v>0.14739009941267703</v>
      </c>
      <c r="BO45" s="53">
        <f t="shared" si="37"/>
        <v>0.12532340792519631</v>
      </c>
      <c r="BP45" s="53">
        <f t="shared" si="37"/>
        <v>6.2843266306568016E-2</v>
      </c>
      <c r="CN45" s="53">
        <f>CN31/$CN$33</f>
        <v>0.23907476954592011</v>
      </c>
      <c r="CO45" s="53">
        <f>CO31/$CO$33</f>
        <v>0.25013738779996336</v>
      </c>
      <c r="CP45" s="53">
        <f>CP31/$CP$33</f>
        <v>0.23304347826086957</v>
      </c>
      <c r="CQ45" s="53">
        <f>CQ31/$CQ$33</f>
        <v>0.26421193430928142</v>
      </c>
      <c r="CR45" s="53">
        <f>CR31/$CR$33</f>
        <v>0.21446578186401721</v>
      </c>
      <c r="CS45" s="53">
        <f>CS31/$CS$33</f>
        <v>0.16916713174222778</v>
      </c>
      <c r="CT45" s="53">
        <f>CT31/$CT$33</f>
        <v>0.131098799206112</v>
      </c>
    </row>
    <row r="46" spans="2:158">
      <c r="B46" s="1" t="s">
        <v>1563</v>
      </c>
      <c r="AM46" s="53">
        <f>AM32/$AM$33</f>
        <v>0.3280324290614281</v>
      </c>
      <c r="AN46" s="53">
        <f>AN32/$AN$33</f>
        <v>0.35446685878962536</v>
      </c>
      <c r="AO46" s="53">
        <f>AO32/$AO$33</f>
        <v>0.35869223514618043</v>
      </c>
      <c r="AP46" s="53">
        <f>AP32/$AP$33</f>
        <v>0.3396825396825397</v>
      </c>
      <c r="AQ46" s="53">
        <f>AQ32/$AQ$33</f>
        <v>0.36216216216216218</v>
      </c>
      <c r="AR46" s="53">
        <f>AR32/$AR$33</f>
        <v>0.45482745250096934</v>
      </c>
      <c r="AS46" s="53">
        <f>AS32/$AS$33</f>
        <v>0.39216987392169872</v>
      </c>
      <c r="AT46" s="53">
        <f>AT32/$AT$33</f>
        <v>0.35974235104669888</v>
      </c>
      <c r="AU46" s="53">
        <f>AU32/$AU$33</f>
        <v>0.32857142857142857</v>
      </c>
      <c r="AV46" s="53">
        <f>AV32/$AV$33</f>
        <v>0.28789446456285567</v>
      </c>
      <c r="AW46" s="53">
        <f>AW32/$AW$33</f>
        <v>0.30194667795175623</v>
      </c>
      <c r="AX46" s="53">
        <f>AX32/$AX$33</f>
        <v>0.29822106735958426</v>
      </c>
      <c r="AY46" s="53">
        <f>AY32/$AY$33</f>
        <v>0.30347995053877408</v>
      </c>
      <c r="AZ46" s="53">
        <f>AZ32/$AZ$33</f>
        <v>0.28123559243891194</v>
      </c>
      <c r="BA46" s="53">
        <f>BA32/$BA$33</f>
        <v>0.24961283964522032</v>
      </c>
      <c r="BB46" s="53">
        <f>BB32/$BB$33</f>
        <v>0.20790265602512104</v>
      </c>
      <c r="BC46" s="53">
        <f>BC32/$BC$33</f>
        <v>0.12596525096525096</v>
      </c>
      <c r="BD46" s="53">
        <f>BD32/$BD$33</f>
        <v>0.22225536992840095</v>
      </c>
      <c r="BE46" s="53">
        <f>BE32/$BE$33</f>
        <v>0.15950092733097285</v>
      </c>
      <c r="BF46" s="53">
        <f>BF32/$BF$33</f>
        <v>2.3632457445050405E-2</v>
      </c>
      <c r="BG46" s="53">
        <f>BG32/$BG$33</f>
        <v>9.162958843159065E-2</v>
      </c>
      <c r="BH46" s="53">
        <f>BH32/$BH$33</f>
        <v>6.241208262382468E-2</v>
      </c>
      <c r="BI46" s="53">
        <f>BI32/$BI$33</f>
        <v>4.1556291390728479E-2</v>
      </c>
      <c r="BJ46" s="53">
        <f>BJ32/$BJ$33</f>
        <v>5.2436320861421526E-2</v>
      </c>
      <c r="BK46" s="53">
        <f>BK32/$BK$33</f>
        <v>6.3239133773613884E-2</v>
      </c>
      <c r="BL46" s="53">
        <f>BL32/$BL$33</f>
        <v>6.6211717709720369E-2</v>
      </c>
      <c r="BM46" s="53">
        <f>BM32/$BM$33</f>
        <v>5.7465366854797334E-2</v>
      </c>
      <c r="BN46" s="53">
        <f>BN32/$BN$33</f>
        <v>5.6520302051816636E-2</v>
      </c>
      <c r="BO46" s="53">
        <f t="shared" si="37"/>
        <v>3.6902546411874175E-2</v>
      </c>
      <c r="BP46" s="53">
        <f t="shared" si="37"/>
        <v>4.1282737960147066E-2</v>
      </c>
      <c r="CN46" s="53">
        <f>CN32/$CN$33</f>
        <v>0.34559576647319906</v>
      </c>
      <c r="CO46" s="53">
        <f>CO32/$CO$33</f>
        <v>0.39164682176222754</v>
      </c>
      <c r="CP46" s="53">
        <f>CP32/$CP$33</f>
        <v>0.30248875562218891</v>
      </c>
      <c r="CQ46" s="53">
        <f>CQ32/$CQ$33</f>
        <v>0.25674370216244335</v>
      </c>
      <c r="CR46" s="53">
        <f>CR32/$CR$33</f>
        <v>0.13431452509824277</v>
      </c>
      <c r="CS46" s="53">
        <f>CS32/$CS$33</f>
        <v>5.6038869373953581E-2</v>
      </c>
      <c r="CT46" s="53">
        <f>CT32/$CT$33</f>
        <v>6.0346214855513919E-2</v>
      </c>
    </row>
    <row r="48" spans="2:158" s="2" customFormat="1" ht="15">
      <c r="B48" s="2" t="s">
        <v>117</v>
      </c>
      <c r="C48" s="56">
        <v>664.2</v>
      </c>
      <c r="D48" s="56">
        <v>776.5</v>
      </c>
      <c r="E48" s="56">
        <v>903.2</v>
      </c>
      <c r="F48" s="56">
        <v>982.5</v>
      </c>
      <c r="G48" s="56">
        <v>1001.8</v>
      </c>
      <c r="H48" s="56">
        <v>811.2</v>
      </c>
      <c r="I48" s="56">
        <v>843.9</v>
      </c>
      <c r="J48" s="56">
        <v>886.4</v>
      </c>
      <c r="K48" s="56">
        <v>962</v>
      </c>
      <c r="L48" s="56">
        <v>1016.5</v>
      </c>
      <c r="M48" s="56">
        <v>1066.2</v>
      </c>
      <c r="N48" s="56">
        <v>953.2</v>
      </c>
      <c r="O48" s="56">
        <v>924.9</v>
      </c>
      <c r="P48" s="56">
        <v>1044.3</v>
      </c>
      <c r="Q48" s="56">
        <v>1204.0999999999999</v>
      </c>
      <c r="R48" s="56">
        <v>1106.9000000000001</v>
      </c>
      <c r="S48" s="56">
        <v>954.7</v>
      </c>
      <c r="T48" s="56">
        <v>977.2</v>
      </c>
      <c r="U48" s="56">
        <v>1054</v>
      </c>
      <c r="V48" s="56">
        <v>1144.0999999999999</v>
      </c>
      <c r="W48" s="56">
        <v>1103</v>
      </c>
      <c r="X48" s="56">
        <v>1103</v>
      </c>
      <c r="Y48" s="56">
        <v>1225</v>
      </c>
      <c r="Z48" s="56">
        <v>1251</v>
      </c>
      <c r="AA48" s="56">
        <v>1151</v>
      </c>
      <c r="AB48" s="56">
        <v>1153</v>
      </c>
      <c r="AC48" s="56">
        <v>1305</v>
      </c>
      <c r="AD48" s="56">
        <v>1401</v>
      </c>
      <c r="AE48" s="56">
        <v>1305</v>
      </c>
      <c r="AF48" s="56">
        <v>1428</v>
      </c>
      <c r="AG48" s="56">
        <v>2004</v>
      </c>
      <c r="AH48" s="56">
        <v>2173</v>
      </c>
      <c r="AI48" s="56">
        <v>1937</v>
      </c>
      <c r="AJ48" s="56">
        <v>2230</v>
      </c>
      <c r="AK48" s="56">
        <v>2636</v>
      </c>
      <c r="AL48" s="56">
        <v>2911</v>
      </c>
      <c r="AM48" s="2">
        <f t="shared" ref="AM48:BO48" si="38">AM11</f>
        <v>3207</v>
      </c>
      <c r="AN48" s="2">
        <f t="shared" si="38"/>
        <v>3123</v>
      </c>
      <c r="AO48" s="2">
        <f t="shared" si="38"/>
        <v>3181</v>
      </c>
      <c r="AP48" s="2">
        <f t="shared" si="38"/>
        <v>2205</v>
      </c>
      <c r="AQ48" s="2">
        <f t="shared" si="38"/>
        <v>2220</v>
      </c>
      <c r="AR48" s="2">
        <f t="shared" si="38"/>
        <v>2579</v>
      </c>
      <c r="AS48" s="2">
        <f t="shared" si="38"/>
        <v>3014</v>
      </c>
      <c r="AT48" s="2">
        <f t="shared" si="38"/>
        <v>3105</v>
      </c>
      <c r="AU48" s="2">
        <f t="shared" si="38"/>
        <v>3080</v>
      </c>
      <c r="AV48" s="2">
        <f t="shared" si="38"/>
        <v>3866</v>
      </c>
      <c r="AW48" s="2">
        <f t="shared" si="38"/>
        <v>4726</v>
      </c>
      <c r="AX48" s="2">
        <f t="shared" si="38"/>
        <v>5003</v>
      </c>
      <c r="AY48" s="2">
        <f t="shared" si="38"/>
        <v>5661</v>
      </c>
      <c r="AZ48" s="2">
        <f t="shared" si="38"/>
        <v>6507</v>
      </c>
      <c r="BA48" s="2">
        <f t="shared" si="38"/>
        <v>7103</v>
      </c>
      <c r="BB48" s="2">
        <f t="shared" si="38"/>
        <v>7643</v>
      </c>
      <c r="BC48" s="2">
        <f t="shared" si="38"/>
        <v>8288</v>
      </c>
      <c r="BD48" s="2">
        <f t="shared" si="38"/>
        <v>6704</v>
      </c>
      <c r="BE48" s="2">
        <f t="shared" si="38"/>
        <v>5931</v>
      </c>
      <c r="BF48" s="2">
        <f t="shared" si="38"/>
        <v>6051</v>
      </c>
      <c r="BG48" s="2">
        <f t="shared" si="38"/>
        <v>7192</v>
      </c>
      <c r="BH48" s="2">
        <f t="shared" si="38"/>
        <v>13507</v>
      </c>
      <c r="BI48" s="2">
        <f t="shared" si="38"/>
        <v>18120</v>
      </c>
      <c r="BJ48" s="2">
        <f t="shared" si="38"/>
        <v>22103</v>
      </c>
      <c r="BK48" s="2">
        <f t="shared" si="38"/>
        <v>26044</v>
      </c>
      <c r="BL48" s="2">
        <f t="shared" si="38"/>
        <v>30040</v>
      </c>
      <c r="BM48" s="2">
        <f t="shared" si="38"/>
        <v>35082</v>
      </c>
      <c r="BN48" s="2">
        <f t="shared" si="38"/>
        <v>39331</v>
      </c>
      <c r="BO48" s="2">
        <f t="shared" si="38"/>
        <v>44062</v>
      </c>
      <c r="BP48" s="2">
        <f>BP11</f>
        <v>46743</v>
      </c>
      <c r="BQ48" s="34"/>
      <c r="BR48" s="34"/>
      <c r="BS48" s="34"/>
      <c r="BT48" s="34"/>
      <c r="BU48" s="34"/>
      <c r="BV48" s="34"/>
      <c r="CE48" s="56">
        <f t="shared" ref="CE48:CE62" si="39">SUM(C48:F48)</f>
        <v>3326.4</v>
      </c>
      <c r="CF48" s="56">
        <f t="shared" ref="CF48:CF62" si="40">SUM(G48:J48)</f>
        <v>3543.3</v>
      </c>
      <c r="CG48" s="56">
        <f t="shared" ref="CG48:CG62" si="41">SUM(K48:N48)</f>
        <v>3997.8999999999996</v>
      </c>
      <c r="CH48" s="56">
        <f t="shared" ref="CH48:CH62" si="42">SUM(O48:R48)</f>
        <v>4280.2</v>
      </c>
      <c r="CI48" s="56">
        <f t="shared" ref="CI48:CI62" si="43">SUM(S48:V48)</f>
        <v>4130</v>
      </c>
      <c r="CJ48" s="56">
        <f t="shared" ref="CJ48:CJ62" si="44">SUM(W48:Z48)</f>
        <v>4682</v>
      </c>
      <c r="CK48" s="56">
        <f t="shared" ref="CK48:CK62" si="45">SUM(AA48:AD48)</f>
        <v>5010</v>
      </c>
      <c r="CL48" s="56">
        <f t="shared" ref="CL48:CL62" si="46">SUM(AE48:AH48)</f>
        <v>6910</v>
      </c>
      <c r="CM48" s="56">
        <f t="shared" ref="CM48:CM62" si="47">SUM(AI48:AL48)</f>
        <v>9714</v>
      </c>
      <c r="CN48" s="56">
        <f t="shared" ref="CN48:CN62" si="48">SUM(AM48:AP48)</f>
        <v>11716</v>
      </c>
      <c r="CO48" s="56">
        <f t="shared" ref="CO48:CO62" si="49">SUM(AQ48:AT48)</f>
        <v>10918</v>
      </c>
      <c r="CP48" s="56">
        <f t="shared" ref="CP48:CP62" si="50">SUM(AU48:AX48)</f>
        <v>16675</v>
      </c>
      <c r="CQ48" s="56">
        <f t="shared" ref="CQ48:CQ62" si="51">SUM(AY48:BB48)</f>
        <v>26914</v>
      </c>
      <c r="CR48" s="56">
        <f t="shared" ref="CR48:CR62" si="52">SUM(BC48:BF48)</f>
        <v>26974</v>
      </c>
      <c r="CS48" s="56">
        <f t="shared" ref="CS48:CS62" si="53">SUM(BG48:BJ48)</f>
        <v>60922</v>
      </c>
      <c r="CT48" s="56">
        <f t="shared" ref="CT48:CT62" si="54">SUM(BK48:BN48)</f>
        <v>130497</v>
      </c>
      <c r="CU48" s="61">
        <f>CU11</f>
        <v>215518.52307189541</v>
      </c>
      <c r="CV48" s="61">
        <f t="shared" ref="CV48:DD48" si="55">CV11</f>
        <v>307460.32815424836</v>
      </c>
      <c r="CW48" s="61">
        <f t="shared" si="55"/>
        <v>386960.54377674515</v>
      </c>
      <c r="CX48" s="61">
        <f t="shared" si="55"/>
        <v>470298.0842576804</v>
      </c>
      <c r="CY48" s="61">
        <f t="shared" si="55"/>
        <v>558976.37102811248</v>
      </c>
      <c r="CZ48" s="61">
        <f t="shared" si="55"/>
        <v>653253.57980824774</v>
      </c>
      <c r="DA48" s="61">
        <f t="shared" si="55"/>
        <v>755451.10423931014</v>
      </c>
      <c r="DB48" s="61">
        <f t="shared" si="55"/>
        <v>865736.99596403632</v>
      </c>
      <c r="DC48" s="61">
        <f t="shared" si="55"/>
        <v>982832.99419537082</v>
      </c>
      <c r="DD48" s="61">
        <f t="shared" si="55"/>
        <v>1105812.3855677568</v>
      </c>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c r="EJ48" s="34"/>
      <c r="EK48" s="34"/>
      <c r="EL48" s="34"/>
      <c r="EM48" s="34"/>
      <c r="EN48" s="34"/>
      <c r="EO48" s="34"/>
      <c r="EP48" s="34"/>
      <c r="EQ48" s="34"/>
      <c r="ER48" s="34"/>
      <c r="ES48" s="34"/>
      <c r="ET48" s="34"/>
      <c r="EU48" s="34"/>
      <c r="EV48" s="34"/>
      <c r="EW48" s="34"/>
      <c r="EX48" s="34"/>
      <c r="EY48" s="34"/>
      <c r="EZ48" s="34"/>
      <c r="FA48" s="34"/>
      <c r="FB48" s="34"/>
    </row>
    <row r="49" spans="2:158">
      <c r="B49" s="1" t="s">
        <v>121</v>
      </c>
      <c r="C49" s="55">
        <v>474.5</v>
      </c>
      <c r="D49" s="55">
        <v>619.79999999999995</v>
      </c>
      <c r="E49" s="55">
        <v>511.4</v>
      </c>
      <c r="F49" s="55">
        <v>543.79999999999995</v>
      </c>
      <c r="G49" s="55">
        <v>545.4</v>
      </c>
      <c r="H49" s="55">
        <v>676.9</v>
      </c>
      <c r="I49" s="55">
        <v>451.8</v>
      </c>
      <c r="J49" s="55">
        <v>460</v>
      </c>
      <c r="K49" s="55">
        <v>477.5</v>
      </c>
      <c r="L49" s="55">
        <v>491.2</v>
      </c>
      <c r="M49" s="55">
        <v>509.5</v>
      </c>
      <c r="N49" s="55">
        <v>463.2</v>
      </c>
      <c r="O49" s="55">
        <v>461.5</v>
      </c>
      <c r="P49" s="55">
        <v>503.6</v>
      </c>
      <c r="Q49" s="55">
        <v>567.5</v>
      </c>
      <c r="R49" s="55">
        <v>521.29999999999995</v>
      </c>
      <c r="S49" s="55">
        <v>436.2</v>
      </c>
      <c r="T49" s="55">
        <v>431.7</v>
      </c>
      <c r="U49" s="55">
        <v>469.6</v>
      </c>
      <c r="V49" s="55">
        <v>524.6</v>
      </c>
      <c r="W49" s="55">
        <v>499</v>
      </c>
      <c r="X49" s="55">
        <v>484</v>
      </c>
      <c r="Y49" s="55">
        <v>549</v>
      </c>
      <c r="Z49" s="55">
        <v>551</v>
      </c>
      <c r="AA49" s="55">
        <v>498</v>
      </c>
      <c r="AB49" s="55">
        <v>519</v>
      </c>
      <c r="AC49" s="55">
        <v>571</v>
      </c>
      <c r="AD49" s="55">
        <v>611</v>
      </c>
      <c r="AE49" s="55">
        <v>554</v>
      </c>
      <c r="AF49" s="55">
        <v>602</v>
      </c>
      <c r="AG49" s="55">
        <v>821</v>
      </c>
      <c r="AH49" s="55">
        <v>870</v>
      </c>
      <c r="AI49" s="55">
        <v>787</v>
      </c>
      <c r="AJ49" s="55">
        <v>928</v>
      </c>
      <c r="AK49" s="55">
        <v>1067</v>
      </c>
      <c r="AL49" s="55">
        <v>1110</v>
      </c>
      <c r="AM49" s="1">
        <v>1139</v>
      </c>
      <c r="AN49" s="1">
        <v>1148</v>
      </c>
      <c r="AO49" s="1">
        <v>1260</v>
      </c>
      <c r="AP49" s="1">
        <f>4545-SUM(AM49:AO49)</f>
        <v>998</v>
      </c>
      <c r="AQ49" s="1">
        <v>924</v>
      </c>
      <c r="AR49" s="1">
        <v>1038</v>
      </c>
      <c r="AS49" s="1">
        <v>1098</v>
      </c>
      <c r="AT49" s="1">
        <f>4150-SUM(AQ49:AS49)</f>
        <v>1090</v>
      </c>
      <c r="AU49" s="1">
        <v>1076</v>
      </c>
      <c r="AV49" s="1">
        <v>1591</v>
      </c>
      <c r="AW49" s="1">
        <v>1766</v>
      </c>
      <c r="AX49" s="1">
        <f>6279-SUM(AU49:AW49)</f>
        <v>1846</v>
      </c>
      <c r="AY49" s="1">
        <v>2032</v>
      </c>
      <c r="AZ49" s="1">
        <v>2292</v>
      </c>
      <c r="BA49" s="1">
        <v>2472</v>
      </c>
      <c r="BB49" s="1">
        <f>9439-SUM(AY49:BA49)</f>
        <v>2643</v>
      </c>
      <c r="BC49" s="1">
        <v>2857</v>
      </c>
      <c r="BD49" s="1">
        <v>3789</v>
      </c>
      <c r="BE49" s="1">
        <v>2754</v>
      </c>
      <c r="BF49" s="1">
        <f>11618-SUM(BC49:BE49)</f>
        <v>2218</v>
      </c>
      <c r="BG49" s="1">
        <v>2544</v>
      </c>
      <c r="BH49" s="1">
        <v>4045</v>
      </c>
      <c r="BI49" s="1">
        <v>4720</v>
      </c>
      <c r="BJ49" s="1">
        <f>16621-SUM(BG49:BI49)</f>
        <v>5312</v>
      </c>
      <c r="BK49" s="1">
        <v>5638</v>
      </c>
      <c r="BL49" s="1">
        <v>7466</v>
      </c>
      <c r="BM49" s="1">
        <v>8926</v>
      </c>
      <c r="BN49" s="1">
        <f>32639-SUM(BK49:BM49)</f>
        <v>10609</v>
      </c>
      <c r="BO49" s="1">
        <v>17394</v>
      </c>
      <c r="BP49" s="1">
        <v>12890</v>
      </c>
      <c r="CE49" s="55">
        <f t="shared" si="39"/>
        <v>2149.5</v>
      </c>
      <c r="CF49" s="55">
        <f t="shared" si="40"/>
        <v>2134.1</v>
      </c>
      <c r="CG49" s="55">
        <f t="shared" si="41"/>
        <v>1941.4</v>
      </c>
      <c r="CH49" s="55">
        <f t="shared" si="42"/>
        <v>2053.8999999999996</v>
      </c>
      <c r="CI49" s="55">
        <f t="shared" si="43"/>
        <v>1862.1</v>
      </c>
      <c r="CJ49" s="55">
        <f t="shared" si="44"/>
        <v>2083</v>
      </c>
      <c r="CK49" s="55">
        <f t="shared" si="45"/>
        <v>2199</v>
      </c>
      <c r="CL49" s="55">
        <f t="shared" si="46"/>
        <v>2847</v>
      </c>
      <c r="CM49" s="55">
        <f t="shared" si="47"/>
        <v>3892</v>
      </c>
      <c r="CN49" s="55">
        <f t="shared" si="48"/>
        <v>4545</v>
      </c>
      <c r="CO49" s="55">
        <f t="shared" si="49"/>
        <v>4150</v>
      </c>
      <c r="CP49" s="55">
        <f t="shared" si="50"/>
        <v>6279</v>
      </c>
      <c r="CQ49" s="55">
        <f t="shared" si="51"/>
        <v>9439</v>
      </c>
      <c r="CR49" s="55">
        <f t="shared" si="52"/>
        <v>11618</v>
      </c>
      <c r="CS49" s="55">
        <f t="shared" si="53"/>
        <v>16621</v>
      </c>
      <c r="CT49" s="55">
        <f t="shared" si="54"/>
        <v>32639</v>
      </c>
      <c r="CU49" s="59">
        <f>CU48*(1-CU64)</f>
        <v>58190.001229411762</v>
      </c>
      <c r="CV49" s="59">
        <f t="shared" ref="CV49:DD49" si="56">CV48*(1-CV64)</f>
        <v>76250.161382253587</v>
      </c>
      <c r="CW49" s="59">
        <f t="shared" si="56"/>
        <v>94805.333225302558</v>
      </c>
      <c r="CX49" s="59">
        <f t="shared" si="56"/>
        <v>114047.28543248752</v>
      </c>
      <c r="CY49" s="59">
        <f t="shared" si="56"/>
        <v>134154.32904674698</v>
      </c>
      <c r="CZ49" s="59">
        <f t="shared" si="56"/>
        <v>155147.72520445887</v>
      </c>
      <c r="DA49" s="59">
        <f t="shared" si="56"/>
        <v>177531.00949623788</v>
      </c>
      <c r="DB49" s="59">
        <f t="shared" si="56"/>
        <v>201283.85156163847</v>
      </c>
      <c r="DC49" s="59">
        <f t="shared" si="56"/>
        <v>226051.58866493526</v>
      </c>
      <c r="DD49" s="59">
        <f t="shared" si="56"/>
        <v>254336.84868058405</v>
      </c>
    </row>
    <row r="50" spans="2:158">
      <c r="B50" s="1" t="s">
        <v>122</v>
      </c>
      <c r="C50" s="55">
        <f t="shared" ref="C50:BJ50" si="57">C48-C49</f>
        <v>189.70000000000005</v>
      </c>
      <c r="D50" s="55">
        <f t="shared" si="57"/>
        <v>156.70000000000005</v>
      </c>
      <c r="E50" s="55">
        <f t="shared" si="57"/>
        <v>391.80000000000007</v>
      </c>
      <c r="F50" s="55">
        <f t="shared" si="57"/>
        <v>438.70000000000005</v>
      </c>
      <c r="G50" s="55">
        <f t="shared" si="57"/>
        <v>456.4</v>
      </c>
      <c r="H50" s="55">
        <f t="shared" si="57"/>
        <v>134.30000000000007</v>
      </c>
      <c r="I50" s="55">
        <f t="shared" si="57"/>
        <v>392.09999999999997</v>
      </c>
      <c r="J50" s="55">
        <f t="shared" si="57"/>
        <v>426.4</v>
      </c>
      <c r="K50" s="55">
        <f t="shared" si="57"/>
        <v>484.5</v>
      </c>
      <c r="L50" s="55">
        <f t="shared" si="57"/>
        <v>525.29999999999995</v>
      </c>
      <c r="M50" s="55">
        <f t="shared" si="57"/>
        <v>556.70000000000005</v>
      </c>
      <c r="N50" s="55">
        <f t="shared" si="57"/>
        <v>490.00000000000006</v>
      </c>
      <c r="O50" s="55">
        <f t="shared" si="57"/>
        <v>463.4</v>
      </c>
      <c r="P50" s="55">
        <f t="shared" si="57"/>
        <v>540.69999999999993</v>
      </c>
      <c r="Q50" s="55">
        <f t="shared" si="57"/>
        <v>636.59999999999991</v>
      </c>
      <c r="R50" s="55">
        <f t="shared" si="57"/>
        <v>585.60000000000014</v>
      </c>
      <c r="S50" s="55">
        <f t="shared" si="57"/>
        <v>518.5</v>
      </c>
      <c r="T50" s="55">
        <f t="shared" si="57"/>
        <v>545.5</v>
      </c>
      <c r="U50" s="55">
        <f t="shared" si="57"/>
        <v>584.4</v>
      </c>
      <c r="V50" s="55">
        <f t="shared" si="57"/>
        <v>619.49999999999989</v>
      </c>
      <c r="W50" s="55">
        <f t="shared" si="57"/>
        <v>604</v>
      </c>
      <c r="X50" s="55">
        <f t="shared" si="57"/>
        <v>619</v>
      </c>
      <c r="Y50" s="55">
        <f t="shared" si="57"/>
        <v>676</v>
      </c>
      <c r="Z50" s="55">
        <f t="shared" si="57"/>
        <v>700</v>
      </c>
      <c r="AA50" s="55">
        <f t="shared" si="57"/>
        <v>653</v>
      </c>
      <c r="AB50" s="55">
        <f t="shared" si="57"/>
        <v>634</v>
      </c>
      <c r="AC50" s="55">
        <f t="shared" si="57"/>
        <v>734</v>
      </c>
      <c r="AD50" s="55">
        <f t="shared" si="57"/>
        <v>790</v>
      </c>
      <c r="AE50" s="55">
        <f t="shared" si="57"/>
        <v>751</v>
      </c>
      <c r="AF50" s="55">
        <f t="shared" si="57"/>
        <v>826</v>
      </c>
      <c r="AG50" s="55">
        <f t="shared" si="57"/>
        <v>1183</v>
      </c>
      <c r="AH50" s="55">
        <f t="shared" si="57"/>
        <v>1303</v>
      </c>
      <c r="AI50" s="55">
        <f t="shared" si="57"/>
        <v>1150</v>
      </c>
      <c r="AJ50" s="55">
        <f t="shared" si="57"/>
        <v>1302</v>
      </c>
      <c r="AK50" s="55">
        <f t="shared" si="57"/>
        <v>1569</v>
      </c>
      <c r="AL50" s="55">
        <f t="shared" si="57"/>
        <v>1801</v>
      </c>
      <c r="AM50" s="1">
        <f t="shared" si="57"/>
        <v>2068</v>
      </c>
      <c r="AN50" s="1">
        <f t="shared" si="57"/>
        <v>1975</v>
      </c>
      <c r="AO50" s="1">
        <f t="shared" si="57"/>
        <v>1921</v>
      </c>
      <c r="AP50" s="1">
        <f t="shared" si="57"/>
        <v>1207</v>
      </c>
      <c r="AQ50" s="1">
        <f t="shared" si="57"/>
        <v>1296</v>
      </c>
      <c r="AR50" s="1">
        <f t="shared" si="57"/>
        <v>1541</v>
      </c>
      <c r="AS50" s="1">
        <f t="shared" si="57"/>
        <v>1916</v>
      </c>
      <c r="AT50" s="1">
        <f t="shared" si="57"/>
        <v>2015</v>
      </c>
      <c r="AU50" s="1">
        <f t="shared" si="57"/>
        <v>2004</v>
      </c>
      <c r="AV50" s="1">
        <f t="shared" si="57"/>
        <v>2275</v>
      </c>
      <c r="AW50" s="1">
        <f t="shared" si="57"/>
        <v>2960</v>
      </c>
      <c r="AX50" s="1">
        <f t="shared" si="57"/>
        <v>3157</v>
      </c>
      <c r="AY50" s="1">
        <f t="shared" si="57"/>
        <v>3629</v>
      </c>
      <c r="AZ50" s="1">
        <f t="shared" si="57"/>
        <v>4215</v>
      </c>
      <c r="BA50" s="1">
        <f t="shared" si="57"/>
        <v>4631</v>
      </c>
      <c r="BB50" s="1">
        <f t="shared" si="57"/>
        <v>5000</v>
      </c>
      <c r="BC50" s="1">
        <f t="shared" si="57"/>
        <v>5431</v>
      </c>
      <c r="BD50" s="1">
        <f t="shared" si="57"/>
        <v>2915</v>
      </c>
      <c r="BE50" s="1">
        <f t="shared" si="57"/>
        <v>3177</v>
      </c>
      <c r="BF50" s="1">
        <f t="shared" si="57"/>
        <v>3833</v>
      </c>
      <c r="BG50" s="1">
        <f t="shared" si="57"/>
        <v>4648</v>
      </c>
      <c r="BH50" s="1">
        <f t="shared" si="57"/>
        <v>9462</v>
      </c>
      <c r="BI50" s="1">
        <f t="shared" si="57"/>
        <v>13400</v>
      </c>
      <c r="BJ50" s="1">
        <f t="shared" si="57"/>
        <v>16791</v>
      </c>
      <c r="BK50" s="1">
        <f t="shared" ref="BK50:BP50" si="58">BK48-BK49</f>
        <v>20406</v>
      </c>
      <c r="BL50" s="1">
        <f t="shared" si="58"/>
        <v>22574</v>
      </c>
      <c r="BM50" s="1">
        <f t="shared" si="58"/>
        <v>26156</v>
      </c>
      <c r="BN50" s="1">
        <f t="shared" si="58"/>
        <v>28722</v>
      </c>
      <c r="BO50" s="1">
        <f t="shared" si="58"/>
        <v>26668</v>
      </c>
      <c r="BP50" s="1">
        <f t="shared" si="58"/>
        <v>33853</v>
      </c>
      <c r="CE50" s="55">
        <f t="shared" si="39"/>
        <v>1176.9000000000001</v>
      </c>
      <c r="CF50" s="55">
        <f t="shared" si="40"/>
        <v>1409.1999999999998</v>
      </c>
      <c r="CG50" s="55">
        <f t="shared" si="41"/>
        <v>2056.5</v>
      </c>
      <c r="CH50" s="55">
        <f t="shared" si="42"/>
        <v>2226.3000000000002</v>
      </c>
      <c r="CI50" s="55">
        <f t="shared" si="43"/>
        <v>2267.9</v>
      </c>
      <c r="CJ50" s="55">
        <f t="shared" si="44"/>
        <v>2599</v>
      </c>
      <c r="CK50" s="55">
        <f t="shared" si="45"/>
        <v>2811</v>
      </c>
      <c r="CL50" s="55">
        <f t="shared" si="46"/>
        <v>4063</v>
      </c>
      <c r="CM50" s="55">
        <f t="shared" si="47"/>
        <v>5822</v>
      </c>
      <c r="CN50" s="55">
        <f t="shared" si="48"/>
        <v>7171</v>
      </c>
      <c r="CO50" s="55">
        <f t="shared" si="49"/>
        <v>6768</v>
      </c>
      <c r="CP50" s="55">
        <f t="shared" si="50"/>
        <v>10396</v>
      </c>
      <c r="CQ50" s="55">
        <f t="shared" si="51"/>
        <v>17475</v>
      </c>
      <c r="CR50" s="55">
        <f t="shared" si="52"/>
        <v>15356</v>
      </c>
      <c r="CS50" s="55">
        <f t="shared" si="53"/>
        <v>44301</v>
      </c>
      <c r="CT50" s="55">
        <f t="shared" si="54"/>
        <v>97858</v>
      </c>
      <c r="CU50" s="59">
        <f>CU48-CU49</f>
        <v>157328.52184248366</v>
      </c>
      <c r="CV50" s="59">
        <f t="shared" ref="CV50:DD50" si="59">CV48-CV49</f>
        <v>231210.16677199479</v>
      </c>
      <c r="CW50" s="59">
        <f t="shared" si="59"/>
        <v>292155.21055144258</v>
      </c>
      <c r="CX50" s="59">
        <f t="shared" si="59"/>
        <v>356250.79882519285</v>
      </c>
      <c r="CY50" s="59">
        <f t="shared" si="59"/>
        <v>424822.04198136553</v>
      </c>
      <c r="CZ50" s="59">
        <f t="shared" si="59"/>
        <v>498105.85460378887</v>
      </c>
      <c r="DA50" s="59">
        <f t="shared" si="59"/>
        <v>577920.09474307229</v>
      </c>
      <c r="DB50" s="59">
        <f t="shared" si="59"/>
        <v>664453.1444023978</v>
      </c>
      <c r="DC50" s="59">
        <f t="shared" si="59"/>
        <v>756781.4055304355</v>
      </c>
      <c r="DD50" s="59">
        <f t="shared" si="59"/>
        <v>851475.53688717284</v>
      </c>
    </row>
    <row r="51" spans="2:158">
      <c r="B51" s="1" t="s">
        <v>1564</v>
      </c>
      <c r="C51" s="55">
        <v>301.8</v>
      </c>
      <c r="D51" s="55">
        <v>192.9</v>
      </c>
      <c r="E51" s="55">
        <v>197.9</v>
      </c>
      <c r="F51" s="55">
        <v>216.3</v>
      </c>
      <c r="G51" s="55">
        <v>218.1</v>
      </c>
      <c r="H51" s="55">
        <v>210.6</v>
      </c>
      <c r="I51" s="55">
        <v>204.5</v>
      </c>
      <c r="J51" s="55">
        <v>215.6</v>
      </c>
      <c r="K51" s="55">
        <v>231.5</v>
      </c>
      <c r="L51" s="55">
        <v>247.7</v>
      </c>
      <c r="M51" s="55">
        <v>256.5</v>
      </c>
      <c r="N51" s="55">
        <v>266.89999999999998</v>
      </c>
      <c r="O51" s="55">
        <v>283.89999999999998</v>
      </c>
      <c r="P51" s="55">
        <v>281.2</v>
      </c>
      <c r="Q51" s="55">
        <v>284.2</v>
      </c>
      <c r="R51" s="55">
        <v>298</v>
      </c>
      <c r="S51" s="55">
        <v>327.2</v>
      </c>
      <c r="T51" s="55">
        <v>331.7</v>
      </c>
      <c r="U51" s="55">
        <v>340.3</v>
      </c>
      <c r="V51" s="55">
        <v>336.8</v>
      </c>
      <c r="W51" s="55">
        <v>334</v>
      </c>
      <c r="X51" s="55">
        <v>337</v>
      </c>
      <c r="Y51" s="55">
        <v>340</v>
      </c>
      <c r="Z51" s="55">
        <v>349</v>
      </c>
      <c r="AA51" s="55">
        <v>339</v>
      </c>
      <c r="AB51" s="55">
        <v>320</v>
      </c>
      <c r="AC51" s="55">
        <v>329</v>
      </c>
      <c r="AD51" s="55">
        <v>343</v>
      </c>
      <c r="AE51" s="55">
        <v>346</v>
      </c>
      <c r="AF51" s="55">
        <v>350</v>
      </c>
      <c r="AG51" s="55">
        <v>373</v>
      </c>
      <c r="AH51" s="55">
        <v>394</v>
      </c>
      <c r="AI51" s="55">
        <v>411</v>
      </c>
      <c r="AJ51" s="55">
        <v>416</v>
      </c>
      <c r="AK51" s="55">
        <v>462</v>
      </c>
      <c r="AL51" s="55">
        <v>508</v>
      </c>
      <c r="AM51" s="1">
        <v>542</v>
      </c>
      <c r="AN51" s="1">
        <v>581</v>
      </c>
      <c r="AO51" s="1">
        <v>605</v>
      </c>
      <c r="AP51" s="1">
        <f>2376-SUM(AM51:AO51)</f>
        <v>648</v>
      </c>
      <c r="AQ51" s="1">
        <v>674</v>
      </c>
      <c r="AR51" s="1">
        <v>704</v>
      </c>
      <c r="AS51" s="1">
        <v>712</v>
      </c>
      <c r="AT51" s="1">
        <f>2829-SUM(AQ51:AS51)</f>
        <v>739</v>
      </c>
      <c r="AU51" s="1">
        <v>735</v>
      </c>
      <c r="AV51" s="1">
        <v>997</v>
      </c>
      <c r="AW51" s="1">
        <v>1047</v>
      </c>
      <c r="AX51" s="1">
        <f>3924-SUM(AU51:AW51)</f>
        <v>1145</v>
      </c>
      <c r="AY51" s="1">
        <v>1153</v>
      </c>
      <c r="AZ51" s="1">
        <v>1245</v>
      </c>
      <c r="BA51" s="1">
        <v>1403</v>
      </c>
      <c r="BB51" s="1">
        <f>5268-SUM(AY51:BA51)</f>
        <v>1467</v>
      </c>
      <c r="BC51" s="1">
        <v>1618</v>
      </c>
      <c r="BD51" s="1">
        <v>1824</v>
      </c>
      <c r="BE51" s="1">
        <v>1945</v>
      </c>
      <c r="BF51" s="1">
        <f>7339-SUM(BC51:BE51)</f>
        <v>1952</v>
      </c>
      <c r="BG51" s="1">
        <v>1875</v>
      </c>
      <c r="BH51" s="1">
        <v>2040</v>
      </c>
      <c r="BI51" s="1">
        <v>2294</v>
      </c>
      <c r="BJ51" s="1">
        <f>8675-SUM(BG51:BI51)</f>
        <v>2466</v>
      </c>
      <c r="BK51" s="1">
        <v>2720</v>
      </c>
      <c r="BL51" s="1">
        <v>3090</v>
      </c>
      <c r="BM51" s="1">
        <v>3390</v>
      </c>
      <c r="BN51" s="1">
        <f>12914-SUM(BK51:BM51)</f>
        <v>3714</v>
      </c>
      <c r="BO51" s="1">
        <v>3989</v>
      </c>
      <c r="BP51" s="1">
        <v>4291</v>
      </c>
      <c r="CE51" s="55">
        <f t="shared" si="39"/>
        <v>908.90000000000009</v>
      </c>
      <c r="CF51" s="55">
        <f t="shared" si="40"/>
        <v>848.80000000000007</v>
      </c>
      <c r="CG51" s="55">
        <f t="shared" si="41"/>
        <v>1002.6</v>
      </c>
      <c r="CH51" s="55">
        <f t="shared" si="42"/>
        <v>1147.3</v>
      </c>
      <c r="CI51" s="55">
        <f t="shared" si="43"/>
        <v>1336</v>
      </c>
      <c r="CJ51" s="55">
        <f t="shared" si="44"/>
        <v>1360</v>
      </c>
      <c r="CK51" s="55">
        <f t="shared" si="45"/>
        <v>1331</v>
      </c>
      <c r="CL51" s="55">
        <f t="shared" si="46"/>
        <v>1463</v>
      </c>
      <c r="CM51" s="55">
        <f t="shared" si="47"/>
        <v>1797</v>
      </c>
      <c r="CN51" s="55">
        <f t="shared" si="48"/>
        <v>2376</v>
      </c>
      <c r="CO51" s="55">
        <f t="shared" si="49"/>
        <v>2829</v>
      </c>
      <c r="CP51" s="55">
        <f t="shared" si="50"/>
        <v>3924</v>
      </c>
      <c r="CQ51" s="55">
        <f t="shared" si="51"/>
        <v>5268</v>
      </c>
      <c r="CR51" s="55">
        <f t="shared" si="52"/>
        <v>7339</v>
      </c>
      <c r="CS51" s="55">
        <f t="shared" si="53"/>
        <v>8675</v>
      </c>
      <c r="CT51" s="55">
        <f t="shared" si="54"/>
        <v>12914</v>
      </c>
      <c r="CU51" s="59">
        <f>CU48*CU65</f>
        <v>20474.259691830066</v>
      </c>
      <c r="CV51" s="59">
        <f t="shared" ref="CV51:DD51" si="60">CV48*CV65</f>
        <v>28286.350190190849</v>
      </c>
      <c r="CW51" s="59">
        <f t="shared" si="60"/>
        <v>34826.448939907059</v>
      </c>
      <c r="CX51" s="59">
        <f t="shared" si="60"/>
        <v>41151.082372547033</v>
      </c>
      <c r="CY51" s="59">
        <f t="shared" si="60"/>
        <v>47512.991537389564</v>
      </c>
      <c r="CZ51" s="59">
        <f t="shared" si="60"/>
        <v>78390.429576989729</v>
      </c>
      <c r="DA51" s="59">
        <f t="shared" si="60"/>
        <v>90654.132508717215</v>
      </c>
      <c r="DB51" s="59">
        <f t="shared" si="60"/>
        <v>103888.43951568435</v>
      </c>
      <c r="DC51" s="59">
        <f t="shared" si="60"/>
        <v>117939.9593034445</v>
      </c>
      <c r="DD51" s="59">
        <f t="shared" si="60"/>
        <v>132697.48626813083</v>
      </c>
    </row>
    <row r="52" spans="2:158">
      <c r="B52" s="1" t="s">
        <v>1565</v>
      </c>
      <c r="C52" s="55">
        <v>118.9</v>
      </c>
      <c r="D52" s="55">
        <v>74</v>
      </c>
      <c r="E52" s="55">
        <v>86</v>
      </c>
      <c r="F52" s="55">
        <v>88.2</v>
      </c>
      <c r="G52" s="55">
        <v>90.9</v>
      </c>
      <c r="H52" s="55">
        <v>98.9</v>
      </c>
      <c r="I52" s="55">
        <v>83.8</v>
      </c>
      <c r="J52" s="55">
        <v>88</v>
      </c>
      <c r="K52" s="55">
        <v>98.1</v>
      </c>
      <c r="L52" s="55">
        <v>103.5</v>
      </c>
      <c r="M52" s="55">
        <v>103.1</v>
      </c>
      <c r="N52" s="55">
        <v>100.8</v>
      </c>
      <c r="O52" s="55">
        <v>106.6</v>
      </c>
      <c r="P52" s="55">
        <v>119.9</v>
      </c>
      <c r="Q52" s="55">
        <v>100.3</v>
      </c>
      <c r="R52" s="55">
        <v>104</v>
      </c>
      <c r="S52" s="55">
        <v>108.6</v>
      </c>
      <c r="T52" s="55">
        <v>108.3</v>
      </c>
      <c r="U52" s="55">
        <v>103.1</v>
      </c>
      <c r="V52" s="55">
        <v>116</v>
      </c>
      <c r="W52" s="55">
        <v>119</v>
      </c>
      <c r="X52" s="55">
        <v>119</v>
      </c>
      <c r="Y52" s="55">
        <v>123</v>
      </c>
      <c r="Z52" s="55">
        <v>119</v>
      </c>
      <c r="AA52" s="55">
        <v>138</v>
      </c>
      <c r="AB52" s="55">
        <v>149</v>
      </c>
      <c r="AC52" s="55">
        <v>152</v>
      </c>
      <c r="AD52" s="55">
        <v>163</v>
      </c>
      <c r="AE52" s="55">
        <v>159</v>
      </c>
      <c r="AF52" s="55">
        <v>157</v>
      </c>
      <c r="AG52" s="55">
        <v>171</v>
      </c>
      <c r="AH52" s="55">
        <v>176</v>
      </c>
      <c r="AI52" s="55">
        <v>185</v>
      </c>
      <c r="AJ52" s="55">
        <v>198</v>
      </c>
      <c r="AK52" s="55">
        <v>212</v>
      </c>
      <c r="AL52" s="55">
        <v>220</v>
      </c>
      <c r="AM52" s="1">
        <v>231</v>
      </c>
      <c r="AN52" s="1">
        <v>237</v>
      </c>
      <c r="AO52" s="1">
        <v>258</v>
      </c>
      <c r="AP52" s="1">
        <f>991-SUM(AM52:AO52)</f>
        <v>265</v>
      </c>
      <c r="AQ52" s="1">
        <v>264</v>
      </c>
      <c r="AR52" s="1">
        <v>266</v>
      </c>
      <c r="AS52" s="1">
        <v>277</v>
      </c>
      <c r="AT52" s="1">
        <f>1093-SUM(AQ52:AS52)</f>
        <v>286</v>
      </c>
      <c r="AU52" s="1">
        <v>293</v>
      </c>
      <c r="AV52" s="1">
        <v>627</v>
      </c>
      <c r="AW52" s="1">
        <v>515</v>
      </c>
      <c r="AX52" s="1">
        <f>1940-SUM(AU52:AW52)</f>
        <v>505</v>
      </c>
      <c r="AY52" s="1">
        <v>520</v>
      </c>
      <c r="AZ52" s="1">
        <v>526</v>
      </c>
      <c r="BA52" s="1">
        <v>557</v>
      </c>
      <c r="BB52" s="1">
        <f>2166-SUM(AY52:BA52)</f>
        <v>563</v>
      </c>
      <c r="BC52" s="1">
        <v>592</v>
      </c>
      <c r="BD52" s="1">
        <v>592</v>
      </c>
      <c r="BE52" s="1">
        <v>631</v>
      </c>
      <c r="BF52" s="1">
        <f>2440-SUM(BC52:BE52)</f>
        <v>625</v>
      </c>
      <c r="BG52" s="1">
        <v>633</v>
      </c>
      <c r="BH52" s="1">
        <v>622</v>
      </c>
      <c r="BI52" s="1">
        <v>689</v>
      </c>
      <c r="BJ52" s="1">
        <f>2654-SUM(BG52:BI52)</f>
        <v>710</v>
      </c>
      <c r="BK52" s="1">
        <v>777</v>
      </c>
      <c r="BL52" s="1">
        <v>842</v>
      </c>
      <c r="BM52" s="1">
        <v>897</v>
      </c>
      <c r="BN52" s="1">
        <f>3491-SUM(BK52:BM52)</f>
        <v>975</v>
      </c>
      <c r="BO52" s="1">
        <v>1041</v>
      </c>
      <c r="BP52" s="1">
        <v>1122</v>
      </c>
      <c r="CE52" s="55">
        <f t="shared" si="39"/>
        <v>367.09999999999997</v>
      </c>
      <c r="CF52" s="55">
        <f t="shared" si="40"/>
        <v>361.6</v>
      </c>
      <c r="CG52" s="55">
        <f t="shared" si="41"/>
        <v>405.5</v>
      </c>
      <c r="CH52" s="55">
        <f t="shared" si="42"/>
        <v>430.8</v>
      </c>
      <c r="CI52" s="55">
        <f t="shared" si="43"/>
        <v>436</v>
      </c>
      <c r="CJ52" s="55">
        <f t="shared" si="44"/>
        <v>480</v>
      </c>
      <c r="CK52" s="55">
        <f t="shared" si="45"/>
        <v>602</v>
      </c>
      <c r="CL52" s="55">
        <f t="shared" si="46"/>
        <v>663</v>
      </c>
      <c r="CM52" s="55">
        <f t="shared" si="47"/>
        <v>815</v>
      </c>
      <c r="CN52" s="55">
        <f t="shared" si="48"/>
        <v>991</v>
      </c>
      <c r="CO52" s="55">
        <f t="shared" si="49"/>
        <v>1093</v>
      </c>
      <c r="CP52" s="55">
        <f t="shared" si="50"/>
        <v>1940</v>
      </c>
      <c r="CQ52" s="55">
        <f t="shared" si="51"/>
        <v>2166</v>
      </c>
      <c r="CR52" s="55">
        <f t="shared" si="52"/>
        <v>2440</v>
      </c>
      <c r="CS52" s="55">
        <f t="shared" si="53"/>
        <v>2654</v>
      </c>
      <c r="CT52" s="55">
        <f t="shared" si="54"/>
        <v>3491</v>
      </c>
      <c r="CU52" s="59">
        <f>CU48*CU66</f>
        <v>5387.9630767973858</v>
      </c>
      <c r="CV52" s="59">
        <f t="shared" ref="CV52:DD52" si="61">CV48*CV66</f>
        <v>9223.8098446274507</v>
      </c>
      <c r="CW52" s="59">
        <f t="shared" si="61"/>
        <v>11608.816313302354</v>
      </c>
      <c r="CX52" s="59">
        <f t="shared" si="61"/>
        <v>14108.942527730411</v>
      </c>
      <c r="CY52" s="59">
        <f t="shared" si="61"/>
        <v>16769.291130843372</v>
      </c>
      <c r="CZ52" s="59">
        <f t="shared" si="61"/>
        <v>19597.607394247432</v>
      </c>
      <c r="DA52" s="59">
        <f t="shared" si="61"/>
        <v>22663.533127179304</v>
      </c>
      <c r="DB52" s="59">
        <f t="shared" si="61"/>
        <v>25972.109878921088</v>
      </c>
      <c r="DC52" s="59">
        <f t="shared" si="61"/>
        <v>29484.989825861125</v>
      </c>
      <c r="DD52" s="59">
        <f t="shared" si="61"/>
        <v>33174.371567032707</v>
      </c>
    </row>
    <row r="53" spans="2:158">
      <c r="B53" s="1" t="s">
        <v>1591</v>
      </c>
      <c r="C53" s="55">
        <v>0</v>
      </c>
      <c r="D53" s="55">
        <v>0</v>
      </c>
      <c r="E53" s="55">
        <v>0</v>
      </c>
      <c r="F53" s="55">
        <v>0</v>
      </c>
      <c r="G53" s="55">
        <v>0</v>
      </c>
      <c r="H53" s="55">
        <v>0</v>
      </c>
      <c r="I53" s="55">
        <v>0</v>
      </c>
      <c r="J53" s="55">
        <f>246.6-SUM(J51:J52)</f>
        <v>-57.000000000000028</v>
      </c>
      <c r="K53" s="55">
        <v>0</v>
      </c>
      <c r="L53" s="55">
        <v>0</v>
      </c>
      <c r="M53" s="55">
        <v>0</v>
      </c>
      <c r="N53" s="55">
        <v>0</v>
      </c>
      <c r="O53" s="55">
        <v>0</v>
      </c>
      <c r="P53" s="55">
        <v>0</v>
      </c>
      <c r="Q53" s="55">
        <v>0</v>
      </c>
      <c r="R53" s="55">
        <v>0</v>
      </c>
      <c r="S53" s="55">
        <v>0</v>
      </c>
      <c r="T53" s="55">
        <v>0</v>
      </c>
      <c r="U53" s="55">
        <v>0</v>
      </c>
      <c r="V53" s="55">
        <v>0</v>
      </c>
      <c r="W53" s="55">
        <v>0</v>
      </c>
      <c r="X53" s="55">
        <v>0</v>
      </c>
      <c r="Y53" s="55">
        <v>0</v>
      </c>
      <c r="Z53" s="55">
        <v>0</v>
      </c>
      <c r="AA53" s="55">
        <v>0</v>
      </c>
      <c r="AB53" s="55">
        <f>558-SUM(AB51:AB52)</f>
        <v>89</v>
      </c>
      <c r="AC53" s="55">
        <f>489-SUM(AC51:AC52)</f>
        <v>8</v>
      </c>
      <c r="AD53" s="55">
        <f>540-SUM(AD51:AD52)</f>
        <v>34</v>
      </c>
      <c r="AE53" s="55">
        <v>1</v>
      </c>
      <c r="AF53" s="55">
        <v>2</v>
      </c>
      <c r="AG53" s="55">
        <v>0</v>
      </c>
      <c r="AH53" s="55">
        <v>0</v>
      </c>
      <c r="AI53" s="55">
        <v>0</v>
      </c>
      <c r="AJ53" s="55">
        <v>0</v>
      </c>
      <c r="AK53" s="55">
        <v>0</v>
      </c>
      <c r="AL53" s="55">
        <v>0</v>
      </c>
      <c r="AM53" s="1">
        <v>0</v>
      </c>
      <c r="AN53" s="1">
        <v>0</v>
      </c>
      <c r="AO53" s="1">
        <v>0</v>
      </c>
      <c r="AP53" s="1">
        <f>0-SUM(AM53:AO53)</f>
        <v>0</v>
      </c>
      <c r="AQ53" s="1">
        <v>0</v>
      </c>
      <c r="AR53" s="1">
        <v>0</v>
      </c>
      <c r="AS53" s="1">
        <v>0</v>
      </c>
      <c r="AT53" s="1">
        <f>0-SUM(AQ53:AS53)</f>
        <v>0</v>
      </c>
      <c r="AU53" s="1">
        <v>0</v>
      </c>
      <c r="AV53" s="1">
        <v>0</v>
      </c>
      <c r="AW53" s="1">
        <v>0</v>
      </c>
      <c r="AX53" s="1">
        <f>0-SUM(AU53:AW53)</f>
        <v>0</v>
      </c>
      <c r="AY53" s="1">
        <v>0</v>
      </c>
      <c r="AZ53" s="1">
        <v>0</v>
      </c>
      <c r="BA53" s="1">
        <v>0</v>
      </c>
      <c r="BB53" s="1">
        <f>0-SUM(AY53:BA53)</f>
        <v>0</v>
      </c>
      <c r="BC53" s="1">
        <v>1353</v>
      </c>
      <c r="BD53" s="1">
        <v>0</v>
      </c>
      <c r="BE53" s="1">
        <v>0</v>
      </c>
      <c r="BF53" s="1">
        <f>1353-SUM(BC53:BE53)</f>
        <v>0</v>
      </c>
      <c r="BG53" s="1">
        <v>0</v>
      </c>
      <c r="BH53" s="1">
        <v>0</v>
      </c>
      <c r="BI53" s="1">
        <v>0</v>
      </c>
      <c r="BJ53" s="1">
        <f>0-SUM(BG53:BI53)</f>
        <v>0</v>
      </c>
      <c r="BK53" s="1">
        <v>0</v>
      </c>
      <c r="BL53" s="1">
        <v>0</v>
      </c>
      <c r="BM53" s="1">
        <v>0</v>
      </c>
      <c r="BN53" s="1">
        <v>0</v>
      </c>
      <c r="BO53" s="1">
        <v>0</v>
      </c>
      <c r="BP53" s="1">
        <v>0</v>
      </c>
      <c r="CE53" s="55">
        <f t="shared" si="39"/>
        <v>0</v>
      </c>
      <c r="CF53" s="55">
        <f t="shared" si="40"/>
        <v>-57.000000000000028</v>
      </c>
      <c r="CG53" s="55">
        <f t="shared" si="41"/>
        <v>0</v>
      </c>
      <c r="CH53" s="55">
        <f t="shared" si="42"/>
        <v>0</v>
      </c>
      <c r="CI53" s="55">
        <f t="shared" si="43"/>
        <v>0</v>
      </c>
      <c r="CJ53" s="55">
        <f t="shared" si="44"/>
        <v>0</v>
      </c>
      <c r="CK53" s="55">
        <f t="shared" si="45"/>
        <v>131</v>
      </c>
      <c r="CL53" s="55">
        <f t="shared" si="46"/>
        <v>3</v>
      </c>
      <c r="CM53" s="55">
        <f t="shared" si="47"/>
        <v>0</v>
      </c>
      <c r="CN53" s="55">
        <f t="shared" si="48"/>
        <v>0</v>
      </c>
      <c r="CO53" s="55">
        <f t="shared" si="49"/>
        <v>0</v>
      </c>
      <c r="CP53" s="55">
        <f t="shared" si="50"/>
        <v>0</v>
      </c>
      <c r="CQ53" s="55">
        <f t="shared" si="51"/>
        <v>0</v>
      </c>
      <c r="CR53" s="55">
        <f t="shared" si="52"/>
        <v>1353</v>
      </c>
      <c r="CS53" s="55">
        <f t="shared" si="53"/>
        <v>0</v>
      </c>
      <c r="CT53" s="55">
        <f t="shared" si="54"/>
        <v>0</v>
      </c>
      <c r="CU53" s="35">
        <v>0</v>
      </c>
      <c r="CV53" s="35">
        <v>0</v>
      </c>
      <c r="CW53" s="35">
        <v>0</v>
      </c>
      <c r="CX53" s="35">
        <v>0</v>
      </c>
      <c r="CY53" s="35">
        <v>0</v>
      </c>
      <c r="CZ53" s="35">
        <v>0</v>
      </c>
      <c r="DA53" s="35">
        <v>0</v>
      </c>
      <c r="DB53" s="35">
        <v>0</v>
      </c>
      <c r="DC53" s="35">
        <v>0</v>
      </c>
      <c r="DD53" s="35">
        <v>0</v>
      </c>
    </row>
    <row r="54" spans="2:158">
      <c r="B54" s="1" t="s">
        <v>1566</v>
      </c>
      <c r="C54" s="55">
        <f t="shared" ref="C54:BJ54" si="62">C50-SUM(C51:C53)</f>
        <v>-231</v>
      </c>
      <c r="D54" s="55">
        <f t="shared" si="62"/>
        <v>-110.19999999999993</v>
      </c>
      <c r="E54" s="55">
        <f t="shared" si="62"/>
        <v>107.90000000000009</v>
      </c>
      <c r="F54" s="55">
        <f t="shared" si="62"/>
        <v>134.20000000000005</v>
      </c>
      <c r="G54" s="55">
        <f t="shared" si="62"/>
        <v>147.39999999999998</v>
      </c>
      <c r="H54" s="55">
        <f t="shared" si="62"/>
        <v>-175.19999999999993</v>
      </c>
      <c r="I54" s="55">
        <f t="shared" si="62"/>
        <v>103.79999999999995</v>
      </c>
      <c r="J54" s="55">
        <f t="shared" si="62"/>
        <v>179.79999999999998</v>
      </c>
      <c r="K54" s="55">
        <f t="shared" si="62"/>
        <v>154.89999999999998</v>
      </c>
      <c r="L54" s="55">
        <f t="shared" si="62"/>
        <v>174.09999999999997</v>
      </c>
      <c r="M54" s="55">
        <f t="shared" si="62"/>
        <v>197.10000000000002</v>
      </c>
      <c r="N54" s="55">
        <f t="shared" si="62"/>
        <v>122.30000000000007</v>
      </c>
      <c r="O54" s="55">
        <f t="shared" si="62"/>
        <v>72.899999999999977</v>
      </c>
      <c r="P54" s="55">
        <f t="shared" si="62"/>
        <v>139.59999999999991</v>
      </c>
      <c r="Q54" s="55">
        <f t="shared" si="62"/>
        <v>252.09999999999991</v>
      </c>
      <c r="R54" s="55">
        <f t="shared" si="62"/>
        <v>183.60000000000014</v>
      </c>
      <c r="S54" s="55">
        <f t="shared" si="62"/>
        <v>82.700000000000045</v>
      </c>
      <c r="T54" s="55">
        <f t="shared" si="62"/>
        <v>105.5</v>
      </c>
      <c r="U54" s="55">
        <f t="shared" si="62"/>
        <v>141</v>
      </c>
      <c r="V54" s="55">
        <f t="shared" si="62"/>
        <v>166.69999999999987</v>
      </c>
      <c r="W54" s="55">
        <f t="shared" si="62"/>
        <v>151</v>
      </c>
      <c r="X54" s="55">
        <f t="shared" si="62"/>
        <v>163</v>
      </c>
      <c r="Y54" s="55">
        <f t="shared" si="62"/>
        <v>213</v>
      </c>
      <c r="Z54" s="55">
        <f t="shared" si="62"/>
        <v>232</v>
      </c>
      <c r="AA54" s="55">
        <f t="shared" si="62"/>
        <v>176</v>
      </c>
      <c r="AB54" s="55">
        <f t="shared" si="62"/>
        <v>76</v>
      </c>
      <c r="AC54" s="55">
        <f t="shared" si="62"/>
        <v>245</v>
      </c>
      <c r="AD54" s="55">
        <f t="shared" si="62"/>
        <v>250</v>
      </c>
      <c r="AE54" s="55">
        <f t="shared" si="62"/>
        <v>245</v>
      </c>
      <c r="AF54" s="55">
        <f t="shared" si="62"/>
        <v>317</v>
      </c>
      <c r="AG54" s="55">
        <f t="shared" si="62"/>
        <v>639</v>
      </c>
      <c r="AH54" s="55">
        <f t="shared" si="62"/>
        <v>733</v>
      </c>
      <c r="AI54" s="55">
        <f t="shared" si="62"/>
        <v>554</v>
      </c>
      <c r="AJ54" s="55">
        <f t="shared" si="62"/>
        <v>688</v>
      </c>
      <c r="AK54" s="55">
        <f t="shared" si="62"/>
        <v>895</v>
      </c>
      <c r="AL54" s="55">
        <f t="shared" si="62"/>
        <v>1073</v>
      </c>
      <c r="AM54" s="1">
        <f t="shared" si="62"/>
        <v>1295</v>
      </c>
      <c r="AN54" s="1">
        <f t="shared" si="62"/>
        <v>1157</v>
      </c>
      <c r="AO54" s="1">
        <f t="shared" si="62"/>
        <v>1058</v>
      </c>
      <c r="AP54" s="1">
        <f t="shared" si="62"/>
        <v>294</v>
      </c>
      <c r="AQ54" s="1">
        <f t="shared" si="62"/>
        <v>358</v>
      </c>
      <c r="AR54" s="1">
        <f t="shared" si="62"/>
        <v>571</v>
      </c>
      <c r="AS54" s="1">
        <f t="shared" si="62"/>
        <v>927</v>
      </c>
      <c r="AT54" s="1">
        <f t="shared" si="62"/>
        <v>990</v>
      </c>
      <c r="AU54" s="1">
        <f t="shared" si="62"/>
        <v>976</v>
      </c>
      <c r="AV54" s="1">
        <f t="shared" si="62"/>
        <v>651</v>
      </c>
      <c r="AW54" s="1">
        <f t="shared" si="62"/>
        <v>1398</v>
      </c>
      <c r="AX54" s="1">
        <f t="shared" si="62"/>
        <v>1507</v>
      </c>
      <c r="AY54" s="1">
        <f t="shared" si="62"/>
        <v>1956</v>
      </c>
      <c r="AZ54" s="1">
        <f t="shared" si="62"/>
        <v>2444</v>
      </c>
      <c r="BA54" s="1">
        <f t="shared" si="62"/>
        <v>2671</v>
      </c>
      <c r="BB54" s="1">
        <f t="shared" si="62"/>
        <v>2970</v>
      </c>
      <c r="BC54" s="1">
        <f t="shared" si="62"/>
        <v>1868</v>
      </c>
      <c r="BD54" s="1">
        <f t="shared" si="62"/>
        <v>499</v>
      </c>
      <c r="BE54" s="1">
        <f t="shared" si="62"/>
        <v>601</v>
      </c>
      <c r="BF54" s="1">
        <f t="shared" si="62"/>
        <v>1256</v>
      </c>
      <c r="BG54" s="1">
        <f t="shared" si="62"/>
        <v>2140</v>
      </c>
      <c r="BH54" s="1">
        <f t="shared" si="62"/>
        <v>6800</v>
      </c>
      <c r="BI54" s="1">
        <f t="shared" si="62"/>
        <v>10417</v>
      </c>
      <c r="BJ54" s="1">
        <f t="shared" si="62"/>
        <v>13615</v>
      </c>
      <c r="BK54" s="1">
        <f t="shared" ref="BK54:BP54" si="63">BK50-SUM(BK51:BK53)</f>
        <v>16909</v>
      </c>
      <c r="BL54" s="1">
        <f t="shared" si="63"/>
        <v>18642</v>
      </c>
      <c r="BM54" s="1">
        <f t="shared" si="63"/>
        <v>21869</v>
      </c>
      <c r="BN54" s="1">
        <f t="shared" si="63"/>
        <v>24033</v>
      </c>
      <c r="BO54" s="1">
        <f t="shared" si="63"/>
        <v>21638</v>
      </c>
      <c r="BP54" s="1">
        <f t="shared" si="63"/>
        <v>28440</v>
      </c>
      <c r="CE54" s="55">
        <f t="shared" si="39"/>
        <v>-99.099999999999795</v>
      </c>
      <c r="CF54" s="55">
        <f t="shared" si="40"/>
        <v>255.79999999999998</v>
      </c>
      <c r="CG54" s="55">
        <f t="shared" si="41"/>
        <v>648.4</v>
      </c>
      <c r="CH54" s="55">
        <f t="shared" si="42"/>
        <v>648.19999999999993</v>
      </c>
      <c r="CI54" s="55">
        <f t="shared" si="43"/>
        <v>495.89999999999992</v>
      </c>
      <c r="CJ54" s="55">
        <f t="shared" si="44"/>
        <v>759</v>
      </c>
      <c r="CK54" s="55">
        <f t="shared" si="45"/>
        <v>747</v>
      </c>
      <c r="CL54" s="55">
        <f t="shared" si="46"/>
        <v>1934</v>
      </c>
      <c r="CM54" s="55">
        <f t="shared" si="47"/>
        <v>3210</v>
      </c>
      <c r="CN54" s="55">
        <f t="shared" si="48"/>
        <v>3804</v>
      </c>
      <c r="CO54" s="55">
        <f t="shared" si="49"/>
        <v>2846</v>
      </c>
      <c r="CP54" s="55">
        <f t="shared" si="50"/>
        <v>4532</v>
      </c>
      <c r="CQ54" s="55">
        <f t="shared" si="51"/>
        <v>10041</v>
      </c>
      <c r="CR54" s="55">
        <f t="shared" si="52"/>
        <v>4224</v>
      </c>
      <c r="CS54" s="55">
        <f t="shared" si="53"/>
        <v>32972</v>
      </c>
      <c r="CT54" s="55">
        <f t="shared" si="54"/>
        <v>81453</v>
      </c>
      <c r="CU54" s="59">
        <f>CU50-SUM(CU51:CU53)</f>
        <v>131466.29907385621</v>
      </c>
      <c r="CV54" s="59">
        <f t="shared" ref="CV54:DD54" si="64">CV50-SUM(CV51:CV53)</f>
        <v>193700.0067371765</v>
      </c>
      <c r="CW54" s="59">
        <f t="shared" si="64"/>
        <v>245719.94529823316</v>
      </c>
      <c r="CX54" s="59">
        <f t="shared" si="64"/>
        <v>300990.77392491541</v>
      </c>
      <c r="CY54" s="59">
        <f t="shared" si="64"/>
        <v>360539.75931313261</v>
      </c>
      <c r="CZ54" s="59">
        <f t="shared" si="64"/>
        <v>400117.81763255171</v>
      </c>
      <c r="DA54" s="59">
        <f t="shared" si="64"/>
        <v>464602.42910717579</v>
      </c>
      <c r="DB54" s="59">
        <f t="shared" si="64"/>
        <v>534592.59500779235</v>
      </c>
      <c r="DC54" s="59">
        <f t="shared" si="64"/>
        <v>609356.45640112984</v>
      </c>
      <c r="DD54" s="59">
        <f t="shared" si="64"/>
        <v>685603.67905200925</v>
      </c>
    </row>
    <row r="55" spans="2:158">
      <c r="B55" s="1" t="s">
        <v>1567</v>
      </c>
      <c r="C55" s="55">
        <v>0</v>
      </c>
      <c r="D55" s="55">
        <v>0</v>
      </c>
      <c r="E55" s="55">
        <v>0</v>
      </c>
      <c r="F55" s="55">
        <v>0</v>
      </c>
      <c r="G55" s="55">
        <v>0</v>
      </c>
      <c r="H55" s="55">
        <v>0</v>
      </c>
      <c r="I55" s="55">
        <v>0</v>
      </c>
      <c r="J55" s="55">
        <v>0</v>
      </c>
      <c r="K55" s="55">
        <v>0</v>
      </c>
      <c r="L55" s="55">
        <v>0</v>
      </c>
      <c r="M55" s="55">
        <v>0</v>
      </c>
      <c r="N55" s="55">
        <v>0</v>
      </c>
      <c r="O55" s="55">
        <v>0</v>
      </c>
      <c r="P55" s="55">
        <v>0</v>
      </c>
      <c r="Q55" s="55">
        <v>0</v>
      </c>
      <c r="R55" s="55">
        <v>0</v>
      </c>
      <c r="S55" s="55">
        <v>0</v>
      </c>
      <c r="T55" s="55">
        <v>0</v>
      </c>
      <c r="U55" s="55">
        <v>0</v>
      </c>
      <c r="V55" s="55">
        <v>0</v>
      </c>
      <c r="W55" s="55">
        <v>0</v>
      </c>
      <c r="X55" s="55">
        <v>0</v>
      </c>
      <c r="Y55" s="55">
        <v>0</v>
      </c>
      <c r="Z55" s="55">
        <v>0</v>
      </c>
      <c r="AA55" s="55">
        <v>0</v>
      </c>
      <c r="AB55" s="55">
        <v>0</v>
      </c>
      <c r="AC55" s="55">
        <v>0</v>
      </c>
      <c r="AD55" s="55">
        <v>0</v>
      </c>
      <c r="AE55" s="55">
        <v>0</v>
      </c>
      <c r="AF55" s="55">
        <v>0</v>
      </c>
      <c r="AG55" s="55">
        <v>0</v>
      </c>
      <c r="AH55" s="55">
        <v>0</v>
      </c>
      <c r="AI55" s="55">
        <v>0</v>
      </c>
      <c r="AJ55" s="55">
        <v>0</v>
      </c>
      <c r="AK55" s="55">
        <v>0</v>
      </c>
      <c r="AL55" s="55">
        <v>0</v>
      </c>
      <c r="AM55" s="1">
        <v>25</v>
      </c>
      <c r="AN55" s="1">
        <v>32</v>
      </c>
      <c r="AO55" s="1">
        <v>37</v>
      </c>
      <c r="AP55" s="1">
        <f>136-SUM(AM55:AO55)</f>
        <v>42</v>
      </c>
      <c r="AQ55" s="1">
        <v>44</v>
      </c>
      <c r="AR55" s="1">
        <v>47</v>
      </c>
      <c r="AS55" s="1">
        <v>45</v>
      </c>
      <c r="AT55" s="1">
        <f>178-SUM(AQ55:AS55)</f>
        <v>42</v>
      </c>
      <c r="AU55" s="1">
        <v>31</v>
      </c>
      <c r="AV55" s="1">
        <v>13</v>
      </c>
      <c r="AW55" s="1">
        <v>7</v>
      </c>
      <c r="AX55" s="1">
        <f>57-SUM(AU55:AW55)</f>
        <v>6</v>
      </c>
      <c r="AY55" s="1">
        <v>6</v>
      </c>
      <c r="AZ55" s="1">
        <v>6</v>
      </c>
      <c r="BA55" s="1">
        <v>7</v>
      </c>
      <c r="BB55" s="1">
        <f>29-SUM(AY55:BA55)</f>
        <v>10</v>
      </c>
      <c r="BC55" s="1">
        <v>18</v>
      </c>
      <c r="BD55" s="1">
        <v>46</v>
      </c>
      <c r="BE55" s="1">
        <v>88</v>
      </c>
      <c r="BF55" s="1">
        <f>267-SUM(BC55:BE55)</f>
        <v>115</v>
      </c>
      <c r="BG55" s="1">
        <v>150</v>
      </c>
      <c r="BH55" s="1">
        <v>187</v>
      </c>
      <c r="BI55" s="1">
        <v>234</v>
      </c>
      <c r="BJ55" s="1">
        <f>866-SUM(BG55:BI55)</f>
        <v>295</v>
      </c>
      <c r="BK55" s="1">
        <v>359</v>
      </c>
      <c r="BL55" s="1">
        <v>444</v>
      </c>
      <c r="BM55" s="1">
        <v>472</v>
      </c>
      <c r="BN55" s="1">
        <f>1786-SUM(BK55:BM55)</f>
        <v>511</v>
      </c>
      <c r="BO55" s="1">
        <v>515</v>
      </c>
      <c r="BP55" s="1">
        <v>592</v>
      </c>
      <c r="CE55" s="55">
        <f t="shared" si="39"/>
        <v>0</v>
      </c>
      <c r="CF55" s="55">
        <f t="shared" si="40"/>
        <v>0</v>
      </c>
      <c r="CG55" s="55">
        <f t="shared" si="41"/>
        <v>0</v>
      </c>
      <c r="CH55" s="55">
        <f t="shared" si="42"/>
        <v>0</v>
      </c>
      <c r="CI55" s="55">
        <f t="shared" si="43"/>
        <v>0</v>
      </c>
      <c r="CJ55" s="55">
        <f t="shared" si="44"/>
        <v>0</v>
      </c>
      <c r="CK55" s="55">
        <f t="shared" si="45"/>
        <v>0</v>
      </c>
      <c r="CL55" s="55">
        <f t="shared" si="46"/>
        <v>0</v>
      </c>
      <c r="CM55" s="55">
        <f t="shared" si="47"/>
        <v>0</v>
      </c>
      <c r="CN55" s="55">
        <f t="shared" si="48"/>
        <v>136</v>
      </c>
      <c r="CO55" s="55">
        <f t="shared" si="49"/>
        <v>178</v>
      </c>
      <c r="CP55" s="55">
        <f t="shared" si="50"/>
        <v>57</v>
      </c>
      <c r="CQ55" s="55">
        <f t="shared" si="51"/>
        <v>29</v>
      </c>
      <c r="CR55" s="55">
        <f t="shared" si="52"/>
        <v>267</v>
      </c>
      <c r="CS55" s="55">
        <f t="shared" si="53"/>
        <v>866</v>
      </c>
      <c r="CT55" s="55">
        <f t="shared" si="54"/>
        <v>1786</v>
      </c>
      <c r="CU55" s="59">
        <f>CT71*DD73</f>
        <v>2426.3924999999999</v>
      </c>
      <c r="CV55" s="59">
        <f t="shared" ref="CV55:DD55" si="65">CU71*$DD$73</f>
        <v>34892.61283536836</v>
      </c>
      <c r="CW55" s="59">
        <f t="shared" si="65"/>
        <v>90363.030223893133</v>
      </c>
      <c r="CX55" s="59">
        <f t="shared" si="65"/>
        <v>171944.92161353747</v>
      </c>
      <c r="CY55" s="59">
        <f t="shared" si="65"/>
        <v>286771.70795547555</v>
      </c>
      <c r="CZ55" s="59">
        <f t="shared" si="65"/>
        <v>443959.44099479838</v>
      </c>
      <c r="DA55" s="59">
        <f t="shared" si="65"/>
        <v>648947.59364804835</v>
      </c>
      <c r="DB55" s="59">
        <f t="shared" si="65"/>
        <v>919400.13347965188</v>
      </c>
      <c r="DC55" s="59">
        <f t="shared" si="65"/>
        <v>1272559.0067590596</v>
      </c>
      <c r="DD55" s="59">
        <f t="shared" si="65"/>
        <v>1729677.2754218797</v>
      </c>
    </row>
    <row r="56" spans="2:158">
      <c r="B56" s="1" t="s">
        <v>1568</v>
      </c>
      <c r="C56" s="55">
        <v>0</v>
      </c>
      <c r="D56" s="55">
        <v>0</v>
      </c>
      <c r="E56" s="55">
        <v>0</v>
      </c>
      <c r="F56" s="55">
        <v>0</v>
      </c>
      <c r="G56" s="55">
        <v>0</v>
      </c>
      <c r="H56" s="55">
        <v>0</v>
      </c>
      <c r="I56" s="55">
        <v>0</v>
      </c>
      <c r="J56" s="55">
        <v>0</v>
      </c>
      <c r="K56" s="55">
        <v>0</v>
      </c>
      <c r="L56" s="55">
        <v>0</v>
      </c>
      <c r="M56" s="55">
        <v>0</v>
      </c>
      <c r="N56" s="55">
        <v>0</v>
      </c>
      <c r="O56" s="55">
        <v>0</v>
      </c>
      <c r="P56" s="55">
        <v>0</v>
      </c>
      <c r="Q56" s="55">
        <v>0</v>
      </c>
      <c r="R56" s="55">
        <v>0</v>
      </c>
      <c r="S56" s="55">
        <v>0</v>
      </c>
      <c r="T56" s="55">
        <v>0</v>
      </c>
      <c r="U56" s="55">
        <v>0</v>
      </c>
      <c r="V56" s="55">
        <v>0</v>
      </c>
      <c r="W56" s="55">
        <v>0</v>
      </c>
      <c r="X56" s="55">
        <v>0</v>
      </c>
      <c r="Y56" s="55">
        <v>0</v>
      </c>
      <c r="Z56" s="55">
        <v>0</v>
      </c>
      <c r="AA56" s="55">
        <v>0</v>
      </c>
      <c r="AB56" s="55">
        <v>0</v>
      </c>
      <c r="AC56" s="55">
        <v>0</v>
      </c>
      <c r="AD56" s="55">
        <v>0</v>
      </c>
      <c r="AE56" s="55">
        <v>0</v>
      </c>
      <c r="AF56" s="55">
        <v>0</v>
      </c>
      <c r="AG56" s="55">
        <v>0</v>
      </c>
      <c r="AH56" s="55">
        <v>0</v>
      </c>
      <c r="AI56" s="55">
        <v>0</v>
      </c>
      <c r="AJ56" s="55">
        <v>0</v>
      </c>
      <c r="AK56" s="55">
        <v>0</v>
      </c>
      <c r="AL56" s="55">
        <v>0</v>
      </c>
      <c r="AM56" s="1">
        <v>-15</v>
      </c>
      <c r="AN56" s="1">
        <v>-14</v>
      </c>
      <c r="AO56" s="1">
        <v>-15</v>
      </c>
      <c r="AP56" s="1">
        <f>-58-SUM(AM56:AO56)</f>
        <v>-14</v>
      </c>
      <c r="AQ56" s="1">
        <v>-13</v>
      </c>
      <c r="AR56" s="1">
        <v>-13</v>
      </c>
      <c r="AS56" s="1">
        <v>-13</v>
      </c>
      <c r="AT56" s="1">
        <f>-52-SUM(AQ56:AS56)</f>
        <v>-13</v>
      </c>
      <c r="AU56" s="1">
        <v>-25</v>
      </c>
      <c r="AV56" s="1">
        <v>-54</v>
      </c>
      <c r="AW56" s="1">
        <v>-53</v>
      </c>
      <c r="AX56" s="1">
        <f>-184-SUM(AU56:AW56)</f>
        <v>-52</v>
      </c>
      <c r="AY56" s="1">
        <v>-53</v>
      </c>
      <c r="AZ56" s="1">
        <v>-60</v>
      </c>
      <c r="BA56" s="1">
        <v>-62</v>
      </c>
      <c r="BB56" s="1">
        <f>-236-SUM(AY56:BA56)</f>
        <v>-61</v>
      </c>
      <c r="BC56" s="1">
        <v>-68</v>
      </c>
      <c r="BD56" s="1">
        <v>-65</v>
      </c>
      <c r="BE56" s="1">
        <v>-65</v>
      </c>
      <c r="BF56" s="1">
        <f>-262-SUM(BC56:BE56)</f>
        <v>-64</v>
      </c>
      <c r="BG56" s="1">
        <v>-66</v>
      </c>
      <c r="BH56" s="1">
        <v>-65</v>
      </c>
      <c r="BI56" s="1">
        <v>-63</v>
      </c>
      <c r="BJ56" s="1">
        <f>-257-SUM(BG56:BI56)</f>
        <v>-63</v>
      </c>
      <c r="BK56" s="1">
        <v>-64</v>
      </c>
      <c r="BL56" s="1">
        <v>-61</v>
      </c>
      <c r="BM56" s="1">
        <v>-61</v>
      </c>
      <c r="BN56" s="1">
        <f>-247-SUM(BK56:BM56)</f>
        <v>-61</v>
      </c>
      <c r="BO56" s="1">
        <v>-63</v>
      </c>
      <c r="BP56" s="1">
        <v>-62</v>
      </c>
      <c r="CE56" s="55">
        <f t="shared" si="39"/>
        <v>0</v>
      </c>
      <c r="CF56" s="55">
        <f t="shared" si="40"/>
        <v>0</v>
      </c>
      <c r="CG56" s="55">
        <f t="shared" si="41"/>
        <v>0</v>
      </c>
      <c r="CH56" s="55">
        <f t="shared" si="42"/>
        <v>0</v>
      </c>
      <c r="CI56" s="55">
        <f t="shared" si="43"/>
        <v>0</v>
      </c>
      <c r="CJ56" s="55">
        <f t="shared" si="44"/>
        <v>0</v>
      </c>
      <c r="CK56" s="55">
        <f t="shared" si="45"/>
        <v>0</v>
      </c>
      <c r="CL56" s="55">
        <f t="shared" si="46"/>
        <v>0</v>
      </c>
      <c r="CM56" s="55">
        <f t="shared" si="47"/>
        <v>0</v>
      </c>
      <c r="CN56" s="55">
        <f t="shared" si="48"/>
        <v>-58</v>
      </c>
      <c r="CO56" s="55">
        <f t="shared" si="49"/>
        <v>-52</v>
      </c>
      <c r="CP56" s="55">
        <f t="shared" si="50"/>
        <v>-184</v>
      </c>
      <c r="CQ56" s="55">
        <f t="shared" si="51"/>
        <v>-236</v>
      </c>
      <c r="CR56" s="55">
        <f t="shared" si="52"/>
        <v>-262</v>
      </c>
      <c r="CS56" s="55">
        <f t="shared" si="53"/>
        <v>-257</v>
      </c>
      <c r="CT56" s="55">
        <f t="shared" si="54"/>
        <v>-247</v>
      </c>
      <c r="CU56" s="59">
        <f>CT56*1.05</f>
        <v>-259.35000000000002</v>
      </c>
      <c r="CV56" s="59">
        <f t="shared" ref="CV56:DD56" si="66">CU56*1.05</f>
        <v>-272.31750000000005</v>
      </c>
      <c r="CW56" s="59">
        <f t="shared" si="66"/>
        <v>-285.93337500000007</v>
      </c>
      <c r="CX56" s="59">
        <f t="shared" si="66"/>
        <v>-300.23004375000011</v>
      </c>
      <c r="CY56" s="59">
        <f t="shared" si="66"/>
        <v>-315.24154593750012</v>
      </c>
      <c r="CZ56" s="59">
        <f t="shared" si="66"/>
        <v>-331.00362323437514</v>
      </c>
      <c r="DA56" s="59">
        <f t="shared" si="66"/>
        <v>-347.55380439609394</v>
      </c>
      <c r="DB56" s="59">
        <f t="shared" si="66"/>
        <v>-364.93149461589866</v>
      </c>
      <c r="DC56" s="59">
        <f t="shared" si="66"/>
        <v>-383.17806934669363</v>
      </c>
      <c r="DD56" s="59">
        <f t="shared" si="66"/>
        <v>-402.33697281402834</v>
      </c>
    </row>
    <row r="57" spans="2:158">
      <c r="B57" s="1" t="s">
        <v>1569</v>
      </c>
      <c r="C57" s="55">
        <v>6.1</v>
      </c>
      <c r="D57" s="55">
        <v>3</v>
      </c>
      <c r="E57" s="55">
        <v>2.4</v>
      </c>
      <c r="F57" s="55">
        <v>5.0999999999999996</v>
      </c>
      <c r="G57" s="55">
        <v>3.3</v>
      </c>
      <c r="H57" s="55">
        <v>6.2</v>
      </c>
      <c r="I57" s="55">
        <v>-0.2</v>
      </c>
      <c r="J57" s="55">
        <v>6.1</v>
      </c>
      <c r="K57" s="55">
        <v>1.6</v>
      </c>
      <c r="L57" s="55">
        <v>3.5</v>
      </c>
      <c r="M57" s="55">
        <v>7.7</v>
      </c>
      <c r="N57" s="55">
        <v>2.2999999999999998</v>
      </c>
      <c r="O57" s="55">
        <v>4.3</v>
      </c>
      <c r="P57" s="55">
        <v>5.6</v>
      </c>
      <c r="Q57" s="55">
        <v>1.4</v>
      </c>
      <c r="R57" s="55">
        <v>2.5</v>
      </c>
      <c r="S57" s="55">
        <v>5.3</v>
      </c>
      <c r="T57" s="55">
        <v>6.3</v>
      </c>
      <c r="U57" s="55">
        <v>0.5</v>
      </c>
      <c r="V57" s="55">
        <v>1.9</v>
      </c>
      <c r="W57" s="55">
        <v>12</v>
      </c>
      <c r="X57" s="55">
        <v>-8</v>
      </c>
      <c r="Y57" s="55">
        <v>-4</v>
      </c>
      <c r="Z57" s="55">
        <v>-4</v>
      </c>
      <c r="AA57" s="55">
        <v>-4</v>
      </c>
      <c r="AB57" s="55">
        <v>-4</v>
      </c>
      <c r="AC57" s="55">
        <v>0</v>
      </c>
      <c r="AD57" s="55">
        <v>4</v>
      </c>
      <c r="AE57" s="55">
        <v>-4</v>
      </c>
      <c r="AF57" s="55">
        <v>0</v>
      </c>
      <c r="AG57" s="55">
        <v>-18</v>
      </c>
      <c r="AH57" s="55">
        <v>-7</v>
      </c>
      <c r="AI57" s="55">
        <v>-18</v>
      </c>
      <c r="AJ57" s="55">
        <v>-4</v>
      </c>
      <c r="AK57" s="55">
        <v>1</v>
      </c>
      <c r="AL57" s="55">
        <v>7</v>
      </c>
      <c r="AM57" s="1">
        <v>6</v>
      </c>
      <c r="AN57" s="1">
        <v>5</v>
      </c>
      <c r="AO57" s="1">
        <v>1</v>
      </c>
      <c r="AP57" s="1">
        <f>14-SUM(AM57:AO57)</f>
        <v>2</v>
      </c>
      <c r="AQ57" s="1">
        <v>0</v>
      </c>
      <c r="AR57" s="1">
        <v>1</v>
      </c>
      <c r="AS57" s="1">
        <v>0</v>
      </c>
      <c r="AT57" s="1">
        <f>-2-SUM(AQ57:AS57)</f>
        <v>-3</v>
      </c>
      <c r="AU57" s="1">
        <v>-1</v>
      </c>
      <c r="AV57" s="1">
        <v>-1</v>
      </c>
      <c r="AW57" s="1">
        <v>-4</v>
      </c>
      <c r="AX57" s="1">
        <f>4-SUM(AU57:AW57)</f>
        <v>10</v>
      </c>
      <c r="AY57" s="1">
        <v>135</v>
      </c>
      <c r="AZ57" s="1">
        <v>4</v>
      </c>
      <c r="BA57" s="1">
        <v>22</v>
      </c>
      <c r="BB57" s="1">
        <f>107-SUM(AY57:BA57)</f>
        <v>-54</v>
      </c>
      <c r="BC57" s="1">
        <v>-13</v>
      </c>
      <c r="BD57" s="1">
        <v>-5</v>
      </c>
      <c r="BE57" s="1">
        <v>-11</v>
      </c>
      <c r="BF57" s="1">
        <f>-48-SUM(BC57:BE57)</f>
        <v>-19</v>
      </c>
      <c r="BG57" s="1">
        <v>-15</v>
      </c>
      <c r="BH57" s="1">
        <v>59</v>
      </c>
      <c r="BI57" s="1">
        <v>-66</v>
      </c>
      <c r="BJ57" s="1">
        <f>237-SUM(BG57:BI57)</f>
        <v>259</v>
      </c>
      <c r="BK57" s="1">
        <v>75</v>
      </c>
      <c r="BL57" s="1">
        <v>189</v>
      </c>
      <c r="BM57" s="1">
        <v>36</v>
      </c>
      <c r="BN57" s="1">
        <f>1034-SUM(BK57:BM57)</f>
        <v>734</v>
      </c>
      <c r="BO57" s="1">
        <v>-180</v>
      </c>
      <c r="BP57" s="1">
        <v>2236</v>
      </c>
      <c r="CE57" s="55">
        <f t="shared" si="39"/>
        <v>16.600000000000001</v>
      </c>
      <c r="CF57" s="55">
        <f t="shared" si="40"/>
        <v>15.4</v>
      </c>
      <c r="CG57" s="55">
        <f t="shared" si="41"/>
        <v>15.100000000000001</v>
      </c>
      <c r="CH57" s="55">
        <f t="shared" si="42"/>
        <v>13.799999999999999</v>
      </c>
      <c r="CI57" s="55">
        <f t="shared" si="43"/>
        <v>14</v>
      </c>
      <c r="CJ57" s="55">
        <f t="shared" si="44"/>
        <v>-4</v>
      </c>
      <c r="CK57" s="55">
        <f t="shared" si="45"/>
        <v>-4</v>
      </c>
      <c r="CL57" s="55">
        <f t="shared" si="46"/>
        <v>-29</v>
      </c>
      <c r="CM57" s="55">
        <f t="shared" si="47"/>
        <v>-14</v>
      </c>
      <c r="CN57" s="55">
        <f t="shared" si="48"/>
        <v>14</v>
      </c>
      <c r="CO57" s="55">
        <f t="shared" si="49"/>
        <v>-2</v>
      </c>
      <c r="CP57" s="55">
        <f t="shared" si="50"/>
        <v>4</v>
      </c>
      <c r="CQ57" s="55">
        <f t="shared" si="51"/>
        <v>107</v>
      </c>
      <c r="CR57" s="55">
        <f t="shared" si="52"/>
        <v>-48</v>
      </c>
      <c r="CS57" s="55">
        <f t="shared" si="53"/>
        <v>237</v>
      </c>
      <c r="CT57" s="55">
        <f t="shared" si="54"/>
        <v>1034</v>
      </c>
      <c r="CU57" s="35">
        <v>0</v>
      </c>
      <c r="CV57" s="35">
        <v>0</v>
      </c>
      <c r="CW57" s="35">
        <v>0</v>
      </c>
      <c r="CX57" s="35">
        <v>0</v>
      </c>
      <c r="CY57" s="35">
        <v>0</v>
      </c>
      <c r="CZ57" s="35">
        <v>0</v>
      </c>
      <c r="DA57" s="35">
        <v>0</v>
      </c>
      <c r="DB57" s="35">
        <v>0</v>
      </c>
      <c r="DC57" s="35">
        <v>0</v>
      </c>
      <c r="DD57" s="35">
        <v>0</v>
      </c>
    </row>
    <row r="58" spans="2:158">
      <c r="B58" s="1" t="s">
        <v>1570</v>
      </c>
      <c r="C58" s="55">
        <f t="shared" ref="C58:AL58" si="67">C54+SUM(C55:C57)</f>
        <v>-224.9</v>
      </c>
      <c r="D58" s="55">
        <f t="shared" si="67"/>
        <v>-107.19999999999993</v>
      </c>
      <c r="E58" s="55">
        <f t="shared" si="67"/>
        <v>110.3000000000001</v>
      </c>
      <c r="F58" s="55">
        <f t="shared" si="67"/>
        <v>139.30000000000004</v>
      </c>
      <c r="G58" s="55">
        <f t="shared" si="67"/>
        <v>150.69999999999999</v>
      </c>
      <c r="H58" s="55">
        <f t="shared" si="67"/>
        <v>-168.99999999999994</v>
      </c>
      <c r="I58" s="55">
        <f t="shared" si="67"/>
        <v>103.59999999999995</v>
      </c>
      <c r="J58" s="55">
        <f t="shared" si="67"/>
        <v>185.89999999999998</v>
      </c>
      <c r="K58" s="55">
        <f t="shared" si="67"/>
        <v>156.49999999999997</v>
      </c>
      <c r="L58" s="55">
        <f t="shared" si="67"/>
        <v>177.59999999999997</v>
      </c>
      <c r="M58" s="55">
        <f t="shared" si="67"/>
        <v>204.8</v>
      </c>
      <c r="N58" s="55">
        <f t="shared" si="67"/>
        <v>124.60000000000007</v>
      </c>
      <c r="O58" s="55">
        <f t="shared" si="67"/>
        <v>77.199999999999974</v>
      </c>
      <c r="P58" s="55">
        <f t="shared" si="67"/>
        <v>145.1999999999999</v>
      </c>
      <c r="Q58" s="55">
        <f t="shared" si="67"/>
        <v>253.49999999999991</v>
      </c>
      <c r="R58" s="55">
        <f t="shared" si="67"/>
        <v>186.10000000000014</v>
      </c>
      <c r="S58" s="55">
        <f t="shared" si="67"/>
        <v>88.000000000000043</v>
      </c>
      <c r="T58" s="55">
        <f t="shared" si="67"/>
        <v>111.8</v>
      </c>
      <c r="U58" s="55">
        <f t="shared" si="67"/>
        <v>141.5</v>
      </c>
      <c r="V58" s="55">
        <f t="shared" si="67"/>
        <v>168.59999999999988</v>
      </c>
      <c r="W58" s="55">
        <f t="shared" si="67"/>
        <v>163</v>
      </c>
      <c r="X58" s="55">
        <f t="shared" si="67"/>
        <v>155</v>
      </c>
      <c r="Y58" s="55">
        <f t="shared" si="67"/>
        <v>209</v>
      </c>
      <c r="Z58" s="55">
        <f t="shared" si="67"/>
        <v>228</v>
      </c>
      <c r="AA58" s="55">
        <f t="shared" si="67"/>
        <v>172</v>
      </c>
      <c r="AB58" s="55">
        <f t="shared" si="67"/>
        <v>72</v>
      </c>
      <c r="AC58" s="55">
        <f t="shared" si="67"/>
        <v>245</v>
      </c>
      <c r="AD58" s="55">
        <f t="shared" si="67"/>
        <v>254</v>
      </c>
      <c r="AE58" s="55">
        <f t="shared" si="67"/>
        <v>241</v>
      </c>
      <c r="AF58" s="55">
        <f t="shared" si="67"/>
        <v>317</v>
      </c>
      <c r="AG58" s="55">
        <f t="shared" si="67"/>
        <v>621</v>
      </c>
      <c r="AH58" s="55">
        <f t="shared" si="67"/>
        <v>726</v>
      </c>
      <c r="AI58" s="55">
        <f t="shared" si="67"/>
        <v>536</v>
      </c>
      <c r="AJ58" s="55">
        <f t="shared" si="67"/>
        <v>684</v>
      </c>
      <c r="AK58" s="55">
        <f t="shared" si="67"/>
        <v>896</v>
      </c>
      <c r="AL58" s="55">
        <f t="shared" si="67"/>
        <v>1080</v>
      </c>
      <c r="AM58" s="1">
        <f t="shared" ref="AM58:BJ58" si="68">AM54+SUM(AM55:AM57)</f>
        <v>1311</v>
      </c>
      <c r="AN58" s="1">
        <f t="shared" si="68"/>
        <v>1180</v>
      </c>
      <c r="AO58" s="1">
        <f t="shared" si="68"/>
        <v>1081</v>
      </c>
      <c r="AP58" s="1">
        <f t="shared" si="68"/>
        <v>324</v>
      </c>
      <c r="AQ58" s="1">
        <f t="shared" si="68"/>
        <v>389</v>
      </c>
      <c r="AR58" s="1">
        <f t="shared" si="68"/>
        <v>606</v>
      </c>
      <c r="AS58" s="1">
        <f t="shared" si="68"/>
        <v>959</v>
      </c>
      <c r="AT58" s="1">
        <f t="shared" si="68"/>
        <v>1016</v>
      </c>
      <c r="AU58" s="1">
        <f t="shared" si="68"/>
        <v>981</v>
      </c>
      <c r="AV58" s="1">
        <f t="shared" si="68"/>
        <v>609</v>
      </c>
      <c r="AW58" s="1">
        <f t="shared" si="68"/>
        <v>1348</v>
      </c>
      <c r="AX58" s="1">
        <f t="shared" si="68"/>
        <v>1471</v>
      </c>
      <c r="AY58" s="1">
        <f t="shared" si="68"/>
        <v>2044</v>
      </c>
      <c r="AZ58" s="1">
        <f t="shared" si="68"/>
        <v>2394</v>
      </c>
      <c r="BA58" s="1">
        <f t="shared" si="68"/>
        <v>2638</v>
      </c>
      <c r="BB58" s="1">
        <f t="shared" si="68"/>
        <v>2865</v>
      </c>
      <c r="BC58" s="1">
        <f t="shared" si="68"/>
        <v>1805</v>
      </c>
      <c r="BD58" s="1">
        <f t="shared" si="68"/>
        <v>475</v>
      </c>
      <c r="BE58" s="1">
        <f t="shared" si="68"/>
        <v>613</v>
      </c>
      <c r="BF58" s="1">
        <f t="shared" si="68"/>
        <v>1288</v>
      </c>
      <c r="BG58" s="1">
        <f t="shared" si="68"/>
        <v>2209</v>
      </c>
      <c r="BH58" s="1">
        <f t="shared" si="68"/>
        <v>6981</v>
      </c>
      <c r="BI58" s="1">
        <f t="shared" si="68"/>
        <v>10522</v>
      </c>
      <c r="BJ58" s="1">
        <f t="shared" si="68"/>
        <v>14106</v>
      </c>
      <c r="BK58" s="1">
        <f t="shared" ref="BK58:BP58" si="69">BK54+SUM(BK55:BK57)</f>
        <v>17279</v>
      </c>
      <c r="BL58" s="1">
        <f t="shared" si="69"/>
        <v>19214</v>
      </c>
      <c r="BM58" s="1">
        <f t="shared" si="69"/>
        <v>22316</v>
      </c>
      <c r="BN58" s="1">
        <f t="shared" si="69"/>
        <v>25217</v>
      </c>
      <c r="BO58" s="1">
        <f t="shared" si="69"/>
        <v>21910</v>
      </c>
      <c r="BP58" s="1">
        <f t="shared" si="69"/>
        <v>31206</v>
      </c>
      <c r="CE58" s="55">
        <f t="shared" si="39"/>
        <v>-82.499999999999773</v>
      </c>
      <c r="CF58" s="55">
        <f t="shared" si="40"/>
        <v>271.2</v>
      </c>
      <c r="CG58" s="55">
        <f t="shared" si="41"/>
        <v>663.49999999999989</v>
      </c>
      <c r="CH58" s="55">
        <f t="shared" si="42"/>
        <v>661.99999999999989</v>
      </c>
      <c r="CI58" s="55">
        <f t="shared" si="43"/>
        <v>509.9</v>
      </c>
      <c r="CJ58" s="55">
        <f t="shared" si="44"/>
        <v>755</v>
      </c>
      <c r="CK58" s="55">
        <f t="shared" si="45"/>
        <v>743</v>
      </c>
      <c r="CL58" s="55">
        <f t="shared" si="46"/>
        <v>1905</v>
      </c>
      <c r="CM58" s="55">
        <f t="shared" si="47"/>
        <v>3196</v>
      </c>
      <c r="CN58" s="55">
        <f t="shared" si="48"/>
        <v>3896</v>
      </c>
      <c r="CO58" s="55">
        <f t="shared" si="49"/>
        <v>2970</v>
      </c>
      <c r="CP58" s="55">
        <f t="shared" si="50"/>
        <v>4409</v>
      </c>
      <c r="CQ58" s="55">
        <f t="shared" si="51"/>
        <v>9941</v>
      </c>
      <c r="CR58" s="55">
        <f t="shared" si="52"/>
        <v>4181</v>
      </c>
      <c r="CS58" s="55">
        <f t="shared" si="53"/>
        <v>33818</v>
      </c>
      <c r="CT58" s="55">
        <f t="shared" si="54"/>
        <v>84026</v>
      </c>
      <c r="CU58" s="59">
        <f>CU54+SUM(CU55:CU57)</f>
        <v>133633.34157385622</v>
      </c>
      <c r="CV58" s="59">
        <f t="shared" ref="CV58:DD58" si="70">CV54+SUM(CV55:CV57)</f>
        <v>228320.30207254487</v>
      </c>
      <c r="CW58" s="59">
        <f t="shared" si="70"/>
        <v>335797.04214712628</v>
      </c>
      <c r="CX58" s="59">
        <f t="shared" si="70"/>
        <v>472635.46549470292</v>
      </c>
      <c r="CY58" s="59">
        <f t="shared" si="70"/>
        <v>646996.22572267067</v>
      </c>
      <c r="CZ58" s="59">
        <f t="shared" si="70"/>
        <v>843746.25500411564</v>
      </c>
      <c r="DA58" s="59">
        <f t="shared" si="70"/>
        <v>1113202.4689508281</v>
      </c>
      <c r="DB58" s="59">
        <f t="shared" si="70"/>
        <v>1453627.7969928284</v>
      </c>
      <c r="DC58" s="59">
        <f t="shared" si="70"/>
        <v>1881532.2850908427</v>
      </c>
      <c r="DD58" s="59">
        <f t="shared" si="70"/>
        <v>2414878.6175010749</v>
      </c>
    </row>
    <row r="59" spans="2:158">
      <c r="B59" s="1" t="s">
        <v>1571</v>
      </c>
      <c r="C59" s="55">
        <v>-23.5</v>
      </c>
      <c r="D59" s="55">
        <v>-1.8</v>
      </c>
      <c r="E59" s="55">
        <v>2.6</v>
      </c>
      <c r="F59" s="55">
        <v>8.3000000000000007</v>
      </c>
      <c r="G59" s="55">
        <v>13.1</v>
      </c>
      <c r="H59" s="55">
        <v>-28.1</v>
      </c>
      <c r="I59" s="55">
        <v>18.7</v>
      </c>
      <c r="J59" s="55">
        <v>14.3</v>
      </c>
      <c r="K59" s="55">
        <v>21.3</v>
      </c>
      <c r="L59" s="55">
        <v>26</v>
      </c>
      <c r="M59" s="55">
        <v>26.5</v>
      </c>
      <c r="N59" s="55">
        <v>8.6</v>
      </c>
      <c r="O59" s="55">
        <v>16.7</v>
      </c>
      <c r="P59" s="55">
        <v>26.2</v>
      </c>
      <c r="Q59" s="55">
        <v>44.5</v>
      </c>
      <c r="R59" s="55">
        <v>12.1</v>
      </c>
      <c r="S59" s="55">
        <v>10.199999999999999</v>
      </c>
      <c r="T59" s="55">
        <v>15.4</v>
      </c>
      <c r="U59" s="55">
        <v>22.8</v>
      </c>
      <c r="V59" s="55">
        <v>21.7</v>
      </c>
      <c r="W59" s="55">
        <v>26</v>
      </c>
      <c r="X59" s="55">
        <v>27</v>
      </c>
      <c r="Y59" s="55">
        <v>36</v>
      </c>
      <c r="Z59" s="55">
        <v>35</v>
      </c>
      <c r="AA59" s="55">
        <v>38</v>
      </c>
      <c r="AB59" s="55">
        <v>46</v>
      </c>
      <c r="AC59" s="55">
        <v>-1</v>
      </c>
      <c r="AD59" s="55">
        <v>46</v>
      </c>
      <c r="AE59" s="55">
        <v>33</v>
      </c>
      <c r="AF59" s="55">
        <v>56</v>
      </c>
      <c r="AG59" s="55">
        <v>79</v>
      </c>
      <c r="AH59" s="55">
        <v>71</v>
      </c>
      <c r="AI59" s="55">
        <v>29</v>
      </c>
      <c r="AJ59" s="55">
        <v>101</v>
      </c>
      <c r="AK59" s="55">
        <v>58</v>
      </c>
      <c r="AL59" s="55">
        <v>-39</v>
      </c>
      <c r="AM59" s="1">
        <v>67</v>
      </c>
      <c r="AN59" s="1">
        <v>79</v>
      </c>
      <c r="AO59" s="1">
        <v>-149</v>
      </c>
      <c r="AP59" s="1">
        <f>-245-SUM(AM59:AO59)</f>
        <v>-242</v>
      </c>
      <c r="AQ59" s="1">
        <v>-5</v>
      </c>
      <c r="AR59" s="1">
        <v>54</v>
      </c>
      <c r="AS59" s="1">
        <v>60</v>
      </c>
      <c r="AT59" s="1">
        <f>174-SUM(AQ59:AS59)</f>
        <v>65</v>
      </c>
      <c r="AU59" s="1">
        <v>64</v>
      </c>
      <c r="AV59" s="1">
        <v>-13</v>
      </c>
      <c r="AW59" s="1">
        <v>12</v>
      </c>
      <c r="AX59" s="1">
        <f>77-SUM(AU59:AW59)</f>
        <v>14</v>
      </c>
      <c r="AY59" s="1">
        <v>132</v>
      </c>
      <c r="AZ59" s="1">
        <v>20</v>
      </c>
      <c r="BA59" s="1">
        <v>174</v>
      </c>
      <c r="BB59" s="1">
        <f>189-SUM(AY59:BA59)</f>
        <v>-137</v>
      </c>
      <c r="BC59" s="1">
        <v>187</v>
      </c>
      <c r="BD59" s="1">
        <v>-181</v>
      </c>
      <c r="BE59" s="1">
        <v>-67</v>
      </c>
      <c r="BF59" s="1">
        <f>-187-SUM(BC59:BE59)</f>
        <v>-126</v>
      </c>
      <c r="BG59" s="1">
        <v>166</v>
      </c>
      <c r="BH59" s="1">
        <v>793</v>
      </c>
      <c r="BI59" s="1">
        <v>1279</v>
      </c>
      <c r="BJ59" s="1">
        <f>4058-SUM(BG59:BI59)</f>
        <v>1820</v>
      </c>
      <c r="BK59" s="1">
        <v>2398</v>
      </c>
      <c r="BL59" s="1">
        <v>2615</v>
      </c>
      <c r="BM59" s="1">
        <v>3007</v>
      </c>
      <c r="BN59" s="1">
        <f>11146-SUM(BK59:BM59)</f>
        <v>3126</v>
      </c>
      <c r="BO59" s="1">
        <v>3135</v>
      </c>
      <c r="BP59" s="1">
        <v>4784</v>
      </c>
      <c r="CE59" s="55">
        <f t="shared" si="39"/>
        <v>-14.399999999999999</v>
      </c>
      <c r="CF59" s="55">
        <f t="shared" si="40"/>
        <v>18</v>
      </c>
      <c r="CG59" s="55">
        <f t="shared" si="41"/>
        <v>82.399999999999991</v>
      </c>
      <c r="CH59" s="55">
        <f t="shared" si="42"/>
        <v>99.5</v>
      </c>
      <c r="CI59" s="55">
        <f t="shared" si="43"/>
        <v>70.100000000000009</v>
      </c>
      <c r="CJ59" s="55">
        <f t="shared" si="44"/>
        <v>124</v>
      </c>
      <c r="CK59" s="55">
        <f t="shared" si="45"/>
        <v>129</v>
      </c>
      <c r="CL59" s="55">
        <f t="shared" si="46"/>
        <v>239</v>
      </c>
      <c r="CM59" s="55">
        <f t="shared" si="47"/>
        <v>149</v>
      </c>
      <c r="CN59" s="55">
        <f t="shared" si="48"/>
        <v>-245</v>
      </c>
      <c r="CO59" s="55">
        <f t="shared" si="49"/>
        <v>174</v>
      </c>
      <c r="CP59" s="55">
        <f t="shared" si="50"/>
        <v>77</v>
      </c>
      <c r="CQ59" s="55">
        <f t="shared" si="51"/>
        <v>189</v>
      </c>
      <c r="CR59" s="55">
        <f t="shared" si="52"/>
        <v>-187</v>
      </c>
      <c r="CS59" s="55">
        <f t="shared" si="53"/>
        <v>4058</v>
      </c>
      <c r="CT59" s="55">
        <f t="shared" si="54"/>
        <v>11146</v>
      </c>
      <c r="CU59" s="59">
        <f>CU58*CU68</f>
        <v>18708.667820339873</v>
      </c>
      <c r="CV59" s="59">
        <f t="shared" ref="CV59:DD59" si="71">CV58*CV68</f>
        <v>31964.842290156284</v>
      </c>
      <c r="CW59" s="59">
        <f t="shared" si="71"/>
        <v>47011.585900597682</v>
      </c>
      <c r="CX59" s="59">
        <f t="shared" si="71"/>
        <v>66168.965169258416</v>
      </c>
      <c r="CY59" s="59">
        <f t="shared" si="71"/>
        <v>90579.471601173907</v>
      </c>
      <c r="CZ59" s="59">
        <f t="shared" si="71"/>
        <v>118124.47570057619</v>
      </c>
      <c r="DA59" s="59">
        <f t="shared" si="71"/>
        <v>155848.34565311595</v>
      </c>
      <c r="DB59" s="59">
        <f t="shared" si="71"/>
        <v>203507.891578996</v>
      </c>
      <c r="DC59" s="59">
        <f t="shared" si="71"/>
        <v>263414.51991271804</v>
      </c>
      <c r="DD59" s="59">
        <f t="shared" si="71"/>
        <v>338083.00645015051</v>
      </c>
    </row>
    <row r="60" spans="2:158" s="2" customFormat="1" ht="15">
      <c r="B60" s="2" t="s">
        <v>138</v>
      </c>
      <c r="C60" s="56">
        <f t="shared" ref="C60:AL60" si="72">C58-C59</f>
        <v>-201.4</v>
      </c>
      <c r="D60" s="56">
        <f t="shared" si="72"/>
        <v>-105.39999999999993</v>
      </c>
      <c r="E60" s="56">
        <f t="shared" si="72"/>
        <v>107.7000000000001</v>
      </c>
      <c r="F60" s="56">
        <f t="shared" si="72"/>
        <v>131.00000000000003</v>
      </c>
      <c r="G60" s="56">
        <f t="shared" si="72"/>
        <v>137.6</v>
      </c>
      <c r="H60" s="56">
        <f t="shared" si="72"/>
        <v>-140.89999999999995</v>
      </c>
      <c r="I60" s="56">
        <f t="shared" si="72"/>
        <v>84.899999999999949</v>
      </c>
      <c r="J60" s="56">
        <f t="shared" si="72"/>
        <v>171.59999999999997</v>
      </c>
      <c r="K60" s="56">
        <f t="shared" si="72"/>
        <v>135.19999999999996</v>
      </c>
      <c r="L60" s="56">
        <f t="shared" si="72"/>
        <v>151.59999999999997</v>
      </c>
      <c r="M60" s="56">
        <f t="shared" si="72"/>
        <v>178.3</v>
      </c>
      <c r="N60" s="56">
        <f t="shared" si="72"/>
        <v>116.00000000000007</v>
      </c>
      <c r="O60" s="56">
        <f t="shared" si="72"/>
        <v>60.499999999999972</v>
      </c>
      <c r="P60" s="56">
        <f t="shared" si="72"/>
        <v>118.9999999999999</v>
      </c>
      <c r="Q60" s="56">
        <f t="shared" si="72"/>
        <v>208.99999999999991</v>
      </c>
      <c r="R60" s="56">
        <f t="shared" si="72"/>
        <v>174.00000000000014</v>
      </c>
      <c r="S60" s="56">
        <f t="shared" si="72"/>
        <v>77.80000000000004</v>
      </c>
      <c r="T60" s="56">
        <f t="shared" si="72"/>
        <v>96.399999999999991</v>
      </c>
      <c r="U60" s="56">
        <f t="shared" si="72"/>
        <v>118.7</v>
      </c>
      <c r="V60" s="56">
        <f t="shared" si="72"/>
        <v>146.89999999999989</v>
      </c>
      <c r="W60" s="56">
        <f t="shared" si="72"/>
        <v>137</v>
      </c>
      <c r="X60" s="56">
        <f t="shared" si="72"/>
        <v>128</v>
      </c>
      <c r="Y60" s="56">
        <f t="shared" si="72"/>
        <v>173</v>
      </c>
      <c r="Z60" s="56">
        <f t="shared" si="72"/>
        <v>193</v>
      </c>
      <c r="AA60" s="56">
        <f t="shared" si="72"/>
        <v>134</v>
      </c>
      <c r="AB60" s="56">
        <f t="shared" si="72"/>
        <v>26</v>
      </c>
      <c r="AC60" s="56">
        <f t="shared" si="72"/>
        <v>246</v>
      </c>
      <c r="AD60" s="56">
        <f t="shared" si="72"/>
        <v>208</v>
      </c>
      <c r="AE60" s="56">
        <f t="shared" si="72"/>
        <v>208</v>
      </c>
      <c r="AF60" s="56">
        <f t="shared" si="72"/>
        <v>261</v>
      </c>
      <c r="AG60" s="56">
        <f t="shared" si="72"/>
        <v>542</v>
      </c>
      <c r="AH60" s="56">
        <f t="shared" si="72"/>
        <v>655</v>
      </c>
      <c r="AI60" s="56">
        <f t="shared" si="72"/>
        <v>507</v>
      </c>
      <c r="AJ60" s="56">
        <f t="shared" si="72"/>
        <v>583</v>
      </c>
      <c r="AK60" s="56">
        <f t="shared" si="72"/>
        <v>838</v>
      </c>
      <c r="AL60" s="56">
        <f t="shared" si="72"/>
        <v>1119</v>
      </c>
      <c r="AM60" s="2">
        <f t="shared" ref="AM60:BJ60" si="73">AM58-AM59</f>
        <v>1244</v>
      </c>
      <c r="AN60" s="2">
        <f t="shared" si="73"/>
        <v>1101</v>
      </c>
      <c r="AO60" s="2">
        <f t="shared" si="73"/>
        <v>1230</v>
      </c>
      <c r="AP60" s="2">
        <f t="shared" si="73"/>
        <v>566</v>
      </c>
      <c r="AQ60" s="2">
        <f t="shared" si="73"/>
        <v>394</v>
      </c>
      <c r="AR60" s="2">
        <f t="shared" si="73"/>
        <v>552</v>
      </c>
      <c r="AS60" s="2">
        <f t="shared" si="73"/>
        <v>899</v>
      </c>
      <c r="AT60" s="2">
        <f t="shared" si="73"/>
        <v>951</v>
      </c>
      <c r="AU60" s="2">
        <f t="shared" si="73"/>
        <v>917</v>
      </c>
      <c r="AV60" s="2">
        <f t="shared" si="73"/>
        <v>622</v>
      </c>
      <c r="AW60" s="2">
        <f t="shared" si="73"/>
        <v>1336</v>
      </c>
      <c r="AX60" s="2">
        <f t="shared" si="73"/>
        <v>1457</v>
      </c>
      <c r="AY60" s="2">
        <f t="shared" si="73"/>
        <v>1912</v>
      </c>
      <c r="AZ60" s="2">
        <f t="shared" si="73"/>
        <v>2374</v>
      </c>
      <c r="BA60" s="2">
        <f t="shared" si="73"/>
        <v>2464</v>
      </c>
      <c r="BB60" s="2">
        <f t="shared" si="73"/>
        <v>3002</v>
      </c>
      <c r="BC60" s="2">
        <f t="shared" si="73"/>
        <v>1618</v>
      </c>
      <c r="BD60" s="2">
        <f t="shared" si="73"/>
        <v>656</v>
      </c>
      <c r="BE60" s="2">
        <f t="shared" si="73"/>
        <v>680</v>
      </c>
      <c r="BF60" s="2">
        <f t="shared" si="73"/>
        <v>1414</v>
      </c>
      <c r="BG60" s="2">
        <f t="shared" si="73"/>
        <v>2043</v>
      </c>
      <c r="BH60" s="2">
        <f t="shared" si="73"/>
        <v>6188</v>
      </c>
      <c r="BI60" s="2">
        <f t="shared" si="73"/>
        <v>9243</v>
      </c>
      <c r="BJ60" s="2">
        <f t="shared" si="73"/>
        <v>12286</v>
      </c>
      <c r="BK60" s="2">
        <f t="shared" ref="BK60:BP60" si="74">BK58-BK59</f>
        <v>14881</v>
      </c>
      <c r="BL60" s="2">
        <f t="shared" si="74"/>
        <v>16599</v>
      </c>
      <c r="BM60" s="2">
        <f t="shared" si="74"/>
        <v>19309</v>
      </c>
      <c r="BN60" s="2">
        <f t="shared" si="74"/>
        <v>22091</v>
      </c>
      <c r="BO60" s="2">
        <f t="shared" si="74"/>
        <v>18775</v>
      </c>
      <c r="BP60" s="2">
        <f t="shared" si="74"/>
        <v>26422</v>
      </c>
      <c r="BQ60" s="34"/>
      <c r="BR60" s="34"/>
      <c r="BS60" s="34"/>
      <c r="BT60" s="34"/>
      <c r="BU60" s="34"/>
      <c r="BV60" s="34"/>
      <c r="CE60" s="56">
        <f t="shared" si="39"/>
        <v>-68.099999999999824</v>
      </c>
      <c r="CF60" s="56">
        <f t="shared" si="40"/>
        <v>253.19999999999996</v>
      </c>
      <c r="CG60" s="56">
        <f t="shared" si="41"/>
        <v>581.1</v>
      </c>
      <c r="CH60" s="56">
        <f t="shared" si="42"/>
        <v>562.49999999999989</v>
      </c>
      <c r="CI60" s="56">
        <f t="shared" si="43"/>
        <v>439.79999999999995</v>
      </c>
      <c r="CJ60" s="56">
        <f t="shared" si="44"/>
        <v>631</v>
      </c>
      <c r="CK60" s="56">
        <f t="shared" si="45"/>
        <v>614</v>
      </c>
      <c r="CL60" s="56">
        <f t="shared" si="46"/>
        <v>1666</v>
      </c>
      <c r="CM60" s="56">
        <f t="shared" si="47"/>
        <v>3047</v>
      </c>
      <c r="CN60" s="56">
        <f t="shared" si="48"/>
        <v>4141</v>
      </c>
      <c r="CO60" s="56">
        <f t="shared" si="49"/>
        <v>2796</v>
      </c>
      <c r="CP60" s="56">
        <f t="shared" si="50"/>
        <v>4332</v>
      </c>
      <c r="CQ60" s="56">
        <f t="shared" si="51"/>
        <v>9752</v>
      </c>
      <c r="CR60" s="56">
        <f t="shared" si="52"/>
        <v>4368</v>
      </c>
      <c r="CS60" s="56">
        <f t="shared" si="53"/>
        <v>29760</v>
      </c>
      <c r="CT60" s="56">
        <f t="shared" si="54"/>
        <v>72880</v>
      </c>
      <c r="CU60" s="61">
        <f>CU58-CU59</f>
        <v>114924.67375351634</v>
      </c>
      <c r="CV60" s="61">
        <f t="shared" ref="CV60:DD60" si="75">CV58-CV59</f>
        <v>196355.45978238859</v>
      </c>
      <c r="CW60" s="61">
        <f t="shared" si="75"/>
        <v>288785.4562465286</v>
      </c>
      <c r="CX60" s="61">
        <f t="shared" si="75"/>
        <v>406466.5003254445</v>
      </c>
      <c r="CY60" s="61">
        <f t="shared" si="75"/>
        <v>556416.75412149681</v>
      </c>
      <c r="CZ60" s="61">
        <f t="shared" si="75"/>
        <v>725621.77930353943</v>
      </c>
      <c r="DA60" s="61">
        <f t="shared" si="75"/>
        <v>957354.12329771207</v>
      </c>
      <c r="DB60" s="61">
        <f t="shared" si="75"/>
        <v>1250119.9054138323</v>
      </c>
      <c r="DC60" s="61">
        <f t="shared" si="75"/>
        <v>1618117.7651781247</v>
      </c>
      <c r="DD60" s="61">
        <f t="shared" si="75"/>
        <v>2076795.6110509243</v>
      </c>
      <c r="DE60" s="34">
        <f>DD60*(1+$DD$74)</f>
        <v>2118331.523271943</v>
      </c>
      <c r="DF60" s="34">
        <f t="shared" ref="DF60:FB60" si="76">DE60*(1+$DD$74)</f>
        <v>2160698.153737382</v>
      </c>
      <c r="DG60" s="34">
        <f t="shared" si="76"/>
        <v>2203912.1168121295</v>
      </c>
      <c r="DH60" s="34">
        <f t="shared" si="76"/>
        <v>2247990.359148372</v>
      </c>
      <c r="DI60" s="34">
        <f t="shared" si="76"/>
        <v>2292950.1663313396</v>
      </c>
      <c r="DJ60" s="34">
        <f t="shared" si="76"/>
        <v>2338809.1696579666</v>
      </c>
      <c r="DK60" s="34">
        <f t="shared" si="76"/>
        <v>2385585.353051126</v>
      </c>
      <c r="DL60" s="34">
        <f t="shared" si="76"/>
        <v>2433297.0601121485</v>
      </c>
      <c r="DM60" s="34">
        <f t="shared" si="76"/>
        <v>2481963.0013143914</v>
      </c>
      <c r="DN60" s="34">
        <f t="shared" si="76"/>
        <v>2531602.2613406791</v>
      </c>
      <c r="DO60" s="34">
        <f t="shared" si="76"/>
        <v>2582234.3065674929</v>
      </c>
      <c r="DP60" s="34">
        <f t="shared" si="76"/>
        <v>2633878.9926988427</v>
      </c>
      <c r="DQ60" s="34">
        <f t="shared" si="76"/>
        <v>2686556.5725528197</v>
      </c>
      <c r="DR60" s="34">
        <f t="shared" si="76"/>
        <v>2740287.7040038761</v>
      </c>
      <c r="DS60" s="34">
        <f t="shared" si="76"/>
        <v>2795093.4580839537</v>
      </c>
      <c r="DT60" s="34">
        <f t="shared" si="76"/>
        <v>2850995.3272456327</v>
      </c>
      <c r="DU60" s="34">
        <f t="shared" si="76"/>
        <v>2908015.2337905453</v>
      </c>
      <c r="DV60" s="34">
        <f t="shared" si="76"/>
        <v>2966175.5384663562</v>
      </c>
      <c r="DW60" s="34">
        <f t="shared" si="76"/>
        <v>3025499.0492356834</v>
      </c>
      <c r="DX60" s="34">
        <f t="shared" si="76"/>
        <v>3086009.0302203973</v>
      </c>
      <c r="DY60" s="34">
        <f t="shared" si="76"/>
        <v>3147729.2108248053</v>
      </c>
      <c r="DZ60" s="34">
        <f t="shared" si="76"/>
        <v>3210683.7950413013</v>
      </c>
      <c r="EA60" s="34">
        <f t="shared" si="76"/>
        <v>3274897.4709421275</v>
      </c>
      <c r="EB60" s="34">
        <f t="shared" si="76"/>
        <v>3340395.4203609703</v>
      </c>
      <c r="EC60" s="34">
        <f t="shared" si="76"/>
        <v>3407203.32876819</v>
      </c>
      <c r="ED60" s="34">
        <f t="shared" si="76"/>
        <v>3475347.3953435537</v>
      </c>
      <c r="EE60" s="34">
        <f t="shared" si="76"/>
        <v>3544854.3432504251</v>
      </c>
      <c r="EF60" s="34">
        <f t="shared" si="76"/>
        <v>3615751.4301154334</v>
      </c>
      <c r="EG60" s="34">
        <f t="shared" si="76"/>
        <v>3688066.458717742</v>
      </c>
      <c r="EH60" s="34">
        <f t="shared" si="76"/>
        <v>3761827.7878920971</v>
      </c>
      <c r="EI60" s="34">
        <f t="shared" si="76"/>
        <v>3837064.3436499392</v>
      </c>
      <c r="EJ60" s="34">
        <f t="shared" si="76"/>
        <v>3913805.630522938</v>
      </c>
      <c r="EK60" s="34">
        <f t="shared" si="76"/>
        <v>3992081.7431333968</v>
      </c>
      <c r="EL60" s="34">
        <f t="shared" si="76"/>
        <v>4071923.3779960647</v>
      </c>
      <c r="EM60" s="34">
        <f t="shared" si="76"/>
        <v>4153361.8455559863</v>
      </c>
      <c r="EN60" s="34">
        <f t="shared" si="76"/>
        <v>4236429.0824671062</v>
      </c>
      <c r="EO60" s="34">
        <f t="shared" si="76"/>
        <v>4321157.6641164487</v>
      </c>
      <c r="EP60" s="34">
        <f t="shared" si="76"/>
        <v>4407580.8173987782</v>
      </c>
      <c r="EQ60" s="34">
        <f t="shared" si="76"/>
        <v>4495732.4337467542</v>
      </c>
      <c r="ER60" s="34">
        <f t="shared" si="76"/>
        <v>4585647.0824216893</v>
      </c>
      <c r="ES60" s="34">
        <f t="shared" si="76"/>
        <v>4677360.0240701232</v>
      </c>
      <c r="ET60" s="34">
        <f t="shared" si="76"/>
        <v>4770907.2245515259</v>
      </c>
      <c r="EU60" s="34">
        <f t="shared" si="76"/>
        <v>4866325.3690425567</v>
      </c>
      <c r="EV60" s="34">
        <f t="shared" si="76"/>
        <v>4963651.8764234083</v>
      </c>
      <c r="EW60" s="34">
        <f t="shared" si="76"/>
        <v>5062924.9139518766</v>
      </c>
      <c r="EX60" s="34">
        <f t="shared" si="76"/>
        <v>5164183.4122309145</v>
      </c>
      <c r="EY60" s="34">
        <f t="shared" si="76"/>
        <v>5267467.0804755324</v>
      </c>
      <c r="EZ60" s="34">
        <f t="shared" si="76"/>
        <v>5372816.422085043</v>
      </c>
      <c r="FA60" s="34">
        <f t="shared" si="76"/>
        <v>5480272.7505267439</v>
      </c>
      <c r="FB60" s="34">
        <f t="shared" si="76"/>
        <v>5589878.2055372791</v>
      </c>
    </row>
    <row r="61" spans="2:158">
      <c r="B61" s="1" t="s">
        <v>142</v>
      </c>
      <c r="C61" s="55">
        <v>21692</v>
      </c>
      <c r="D61" s="55">
        <v>21866</v>
      </c>
      <c r="E61" s="55">
        <v>22051</v>
      </c>
      <c r="F61" s="55">
        <v>21983</v>
      </c>
      <c r="G61" s="55">
        <v>22687</v>
      </c>
      <c r="H61" s="55">
        <v>22911</v>
      </c>
      <c r="I61" s="55">
        <v>23093</v>
      </c>
      <c r="J61" s="55">
        <v>23007</v>
      </c>
      <c r="K61" s="55">
        <v>23792</v>
      </c>
      <c r="L61" s="55">
        <v>24054</v>
      </c>
      <c r="M61" s="55">
        <v>24283</v>
      </c>
      <c r="N61" s="55">
        <v>24146</v>
      </c>
      <c r="O61" s="55">
        <v>24631</v>
      </c>
      <c r="P61" s="55">
        <v>24760</v>
      </c>
      <c r="Q61" s="55">
        <v>24894</v>
      </c>
      <c r="R61" s="55">
        <v>24773</v>
      </c>
      <c r="S61" s="55">
        <v>24675</v>
      </c>
      <c r="T61" s="55">
        <v>23414</v>
      </c>
      <c r="U61" s="55">
        <v>23235</v>
      </c>
      <c r="V61" s="55">
        <v>23520</v>
      </c>
      <c r="W61" s="55">
        <v>22360</v>
      </c>
      <c r="X61" s="55">
        <v>22320</v>
      </c>
      <c r="Y61" s="55">
        <v>21920</v>
      </c>
      <c r="Z61" s="55">
        <v>22080</v>
      </c>
      <c r="AA61" s="55">
        <v>21960</v>
      </c>
      <c r="AB61" s="55">
        <v>21640</v>
      </c>
      <c r="AC61" s="55">
        <v>21680</v>
      </c>
      <c r="AD61" s="55">
        <v>21720</v>
      </c>
      <c r="AE61" s="55">
        <v>21480</v>
      </c>
      <c r="AF61" s="55">
        <v>21360</v>
      </c>
      <c r="AG61" s="55">
        <v>21520</v>
      </c>
      <c r="AH61" s="55">
        <v>21640</v>
      </c>
      <c r="AI61" s="55">
        <v>23680</v>
      </c>
      <c r="AJ61" s="55">
        <v>23880</v>
      </c>
      <c r="AK61" s="55">
        <v>24120</v>
      </c>
      <c r="AL61" s="55">
        <v>23960</v>
      </c>
      <c r="AM61" s="1">
        <v>605</v>
      </c>
      <c r="AN61" s="1">
        <v>607</v>
      </c>
      <c r="AO61" s="1">
        <v>609</v>
      </c>
      <c r="AP61" s="1">
        <v>608</v>
      </c>
      <c r="AQ61" s="1">
        <v>607</v>
      </c>
      <c r="AR61" s="1">
        <v>609</v>
      </c>
      <c r="AS61" s="1">
        <v>610</v>
      </c>
      <c r="AT61" s="1">
        <v>610</v>
      </c>
      <c r="AU61" s="1">
        <v>614</v>
      </c>
      <c r="AV61" s="1">
        <v>2464</v>
      </c>
      <c r="AW61" s="1">
        <v>2472</v>
      </c>
      <c r="AX61" s="1">
        <v>2467</v>
      </c>
      <c r="AY61" s="1">
        <v>2484</v>
      </c>
      <c r="AZ61" s="1">
        <v>2493</v>
      </c>
      <c r="BA61" s="1">
        <v>2499</v>
      </c>
      <c r="BB61" s="1">
        <v>2496</v>
      </c>
      <c r="BC61" s="1">
        <v>2506</v>
      </c>
      <c r="BD61" s="1">
        <v>2495</v>
      </c>
      <c r="BE61" s="1">
        <v>2483</v>
      </c>
      <c r="BF61" s="1">
        <v>2487</v>
      </c>
      <c r="BG61" s="1">
        <v>2470</v>
      </c>
      <c r="BH61" s="1">
        <v>24729</v>
      </c>
      <c r="BI61" s="1">
        <v>24680</v>
      </c>
      <c r="BJ61" s="1">
        <v>24690</v>
      </c>
      <c r="BK61" s="1">
        <v>24620</v>
      </c>
      <c r="BL61" s="1">
        <v>24578</v>
      </c>
      <c r="BM61" s="1">
        <v>24533</v>
      </c>
      <c r="BN61" s="1">
        <v>24555</v>
      </c>
      <c r="BO61" s="1">
        <v>24441</v>
      </c>
      <c r="BP61" s="1">
        <v>24366</v>
      </c>
      <c r="CE61" s="55">
        <f>AVERAGE(C61:F61)</f>
        <v>21898</v>
      </c>
      <c r="CF61" s="55">
        <f>AVERAGE(G61:J61)</f>
        <v>22924.5</v>
      </c>
      <c r="CG61" s="55">
        <f>AVERAGE(K61:N61)</f>
        <v>24068.75</v>
      </c>
      <c r="CH61" s="55">
        <f>AVERAGE(O61:R61)</f>
        <v>24764.5</v>
      </c>
      <c r="CI61" s="55">
        <f>AVERAGE(S61:V61)</f>
        <v>23711</v>
      </c>
      <c r="CJ61" s="55">
        <f>AVERAGE(W61:Z61)</f>
        <v>22170</v>
      </c>
      <c r="CK61" s="55">
        <f>AVERAGE(AA61:AD61)</f>
        <v>21750</v>
      </c>
      <c r="CL61" s="55">
        <f>AVERAGE(AE61:AH61)</f>
        <v>21500</v>
      </c>
      <c r="CM61" s="55">
        <f>AVERAGE(AI61:AL61)</f>
        <v>23910</v>
      </c>
      <c r="CN61" s="55">
        <f>AVERAGE(AM61:AP61)</f>
        <v>607.25</v>
      </c>
      <c r="CO61" s="55">
        <f>AVERAGE(AQ61:AT61)</f>
        <v>609</v>
      </c>
      <c r="CP61" s="55">
        <f>AVERAGE(AU61:AX61)</f>
        <v>2004.25</v>
      </c>
      <c r="CQ61" s="55">
        <f>AVERAGE(AY61:BB61)</f>
        <v>2493</v>
      </c>
      <c r="CR61" s="55">
        <f>AVERAGE(BC61:BF61)</f>
        <v>2492.75</v>
      </c>
      <c r="CS61" s="55">
        <f>AVERAGE(BG61:BJ61)</f>
        <v>19142.25</v>
      </c>
      <c r="CT61" s="55">
        <f>AVERAGE(BK61:BN61)</f>
        <v>24571.5</v>
      </c>
    </row>
    <row r="62" spans="2:158">
      <c r="B62" s="1" t="s">
        <v>1572</v>
      </c>
      <c r="C62" s="40">
        <f t="shared" ref="C62:AL62" si="77">C60/C61</f>
        <v>-9.2845288585653701E-3</v>
      </c>
      <c r="D62" s="40">
        <f t="shared" si="77"/>
        <v>-4.8202689106375167E-3</v>
      </c>
      <c r="E62" s="40">
        <f t="shared" si="77"/>
        <v>4.8841322389007345E-3</v>
      </c>
      <c r="F62" s="40">
        <f t="shared" si="77"/>
        <v>5.9591502524678173E-3</v>
      </c>
      <c r="G62" s="40">
        <f t="shared" si="77"/>
        <v>6.065147441265923E-3</v>
      </c>
      <c r="H62" s="40">
        <f t="shared" si="77"/>
        <v>-6.14988433503557E-3</v>
      </c>
      <c r="I62" s="40">
        <f t="shared" si="77"/>
        <v>3.6764387476724528E-3</v>
      </c>
      <c r="J62" s="40">
        <f t="shared" si="77"/>
        <v>7.4585995566566685E-3</v>
      </c>
      <c r="K62" s="40">
        <f t="shared" si="77"/>
        <v>5.6825823806321432E-3</v>
      </c>
      <c r="L62" s="40">
        <f t="shared" si="77"/>
        <v>6.30248607300241E-3</v>
      </c>
      <c r="M62" s="40">
        <f t="shared" si="77"/>
        <v>7.3425853477741632E-3</v>
      </c>
      <c r="N62" s="40">
        <f t="shared" si="77"/>
        <v>4.8041083409260362E-3</v>
      </c>
      <c r="O62" s="40">
        <f t="shared" si="77"/>
        <v>2.4562543136697648E-3</v>
      </c>
      <c r="P62" s="40">
        <f t="shared" si="77"/>
        <v>4.8061389337641317E-3</v>
      </c>
      <c r="Q62" s="40">
        <f t="shared" si="77"/>
        <v>8.3955973326906054E-3</v>
      </c>
      <c r="R62" s="40">
        <f t="shared" si="77"/>
        <v>7.0237758850361341E-3</v>
      </c>
      <c r="S62" s="40">
        <f t="shared" si="77"/>
        <v>3.1529888551165165E-3</v>
      </c>
      <c r="T62" s="40">
        <f t="shared" si="77"/>
        <v>4.1171948406936018E-3</v>
      </c>
      <c r="U62" s="40">
        <f t="shared" si="77"/>
        <v>5.1086722616741987E-3</v>
      </c>
      <c r="V62" s="40">
        <f t="shared" si="77"/>
        <v>6.2457482993197233E-3</v>
      </c>
      <c r="W62" s="40">
        <f t="shared" si="77"/>
        <v>6.1270125223613593E-3</v>
      </c>
      <c r="X62" s="40">
        <f t="shared" si="77"/>
        <v>5.7347670250896057E-3</v>
      </c>
      <c r="Y62" s="40">
        <f t="shared" si="77"/>
        <v>7.8923357664233574E-3</v>
      </c>
      <c r="Z62" s="40">
        <f t="shared" si="77"/>
        <v>8.7409420289855065E-3</v>
      </c>
      <c r="AA62" s="40">
        <f t="shared" si="77"/>
        <v>6.1020036429872493E-3</v>
      </c>
      <c r="AB62" s="40">
        <f t="shared" si="77"/>
        <v>1.2014787430683919E-3</v>
      </c>
      <c r="AC62" s="40">
        <f t="shared" si="77"/>
        <v>1.1346863468634687E-2</v>
      </c>
      <c r="AD62" s="40">
        <f t="shared" si="77"/>
        <v>9.5764272559852662E-3</v>
      </c>
      <c r="AE62" s="40">
        <f t="shared" si="77"/>
        <v>9.6834264432029797E-3</v>
      </c>
      <c r="AF62" s="40">
        <f t="shared" si="77"/>
        <v>1.2219101123595505E-2</v>
      </c>
      <c r="AG62" s="40">
        <f t="shared" si="77"/>
        <v>2.5185873605947956E-2</v>
      </c>
      <c r="AH62" s="40">
        <f t="shared" si="77"/>
        <v>3.0268022181146027E-2</v>
      </c>
      <c r="AI62" s="40">
        <f t="shared" si="77"/>
        <v>2.1410472972972973E-2</v>
      </c>
      <c r="AJ62" s="40">
        <f t="shared" si="77"/>
        <v>2.4413735343383584E-2</v>
      </c>
      <c r="AK62" s="40">
        <f t="shared" si="77"/>
        <v>3.474295190713101E-2</v>
      </c>
      <c r="AL62" s="40">
        <f t="shared" si="77"/>
        <v>4.6702838063439063E-2</v>
      </c>
      <c r="AM62" s="40">
        <f t="shared" ref="AM62:BJ62" si="78">AM60/AM61</f>
        <v>2.0561983471074381</v>
      </c>
      <c r="AN62" s="40">
        <f t="shared" si="78"/>
        <v>1.813838550247117</v>
      </c>
      <c r="AO62" s="40">
        <f t="shared" si="78"/>
        <v>2.0197044334975369</v>
      </c>
      <c r="AP62" s="40">
        <f t="shared" si="78"/>
        <v>0.93092105263157898</v>
      </c>
      <c r="AQ62" s="40">
        <f t="shared" si="78"/>
        <v>0.64909390444810544</v>
      </c>
      <c r="AR62" s="40">
        <f t="shared" si="78"/>
        <v>0.90640394088669951</v>
      </c>
      <c r="AS62" s="40">
        <f t="shared" si="78"/>
        <v>1.4737704918032788</v>
      </c>
      <c r="AT62" s="40">
        <f t="shared" si="78"/>
        <v>1.5590163934426229</v>
      </c>
      <c r="AU62" s="40">
        <f t="shared" si="78"/>
        <v>1.493485342019544</v>
      </c>
      <c r="AV62" s="40">
        <f t="shared" si="78"/>
        <v>0.25243506493506496</v>
      </c>
      <c r="AW62" s="40">
        <f t="shared" si="78"/>
        <v>0.54045307443365698</v>
      </c>
      <c r="AX62" s="40">
        <f t="shared" si="78"/>
        <v>0.59059586542359144</v>
      </c>
      <c r="AY62" s="40">
        <f t="shared" si="78"/>
        <v>0.76972624798711753</v>
      </c>
      <c r="AZ62" s="40">
        <f t="shared" si="78"/>
        <v>0.95226634576815083</v>
      </c>
      <c r="BA62" s="40">
        <f t="shared" si="78"/>
        <v>0.98599439775910369</v>
      </c>
      <c r="BB62" s="40">
        <f t="shared" si="78"/>
        <v>1.202724358974359</v>
      </c>
      <c r="BC62" s="40">
        <f t="shared" si="78"/>
        <v>0.64565043894652829</v>
      </c>
      <c r="BD62" s="40">
        <f t="shared" si="78"/>
        <v>0.26292585170340682</v>
      </c>
      <c r="BE62" s="40">
        <f t="shared" si="78"/>
        <v>0.27386226339105918</v>
      </c>
      <c r="BF62" s="40">
        <f t="shared" si="78"/>
        <v>0.56855649376759143</v>
      </c>
      <c r="BG62" s="40">
        <f t="shared" si="78"/>
        <v>0.82712550607287449</v>
      </c>
      <c r="BH62" s="40">
        <f t="shared" si="78"/>
        <v>0.25023252052246353</v>
      </c>
      <c r="BI62" s="40">
        <f t="shared" si="78"/>
        <v>0.37451377633711508</v>
      </c>
      <c r="BJ62" s="40">
        <f t="shared" si="78"/>
        <v>0.49761036857027136</v>
      </c>
      <c r="BK62" s="40">
        <f t="shared" ref="BK62:BP62" si="79">BK60/BK61</f>
        <v>0.60442729488220959</v>
      </c>
      <c r="BL62" s="40">
        <f t="shared" si="79"/>
        <v>0.67536007811864274</v>
      </c>
      <c r="BM62" s="40">
        <f t="shared" si="79"/>
        <v>0.78706232421636169</v>
      </c>
      <c r="BN62" s="40">
        <f t="shared" si="79"/>
        <v>0.89965383832213397</v>
      </c>
      <c r="BO62" s="40">
        <f t="shared" si="79"/>
        <v>0.76817642485986659</v>
      </c>
      <c r="BP62" s="40">
        <f t="shared" si="79"/>
        <v>1.0843798735943528</v>
      </c>
      <c r="CE62" s="40">
        <f t="shared" si="39"/>
        <v>-3.261515277834335E-3</v>
      </c>
      <c r="CF62" s="40">
        <f t="shared" si="40"/>
        <v>1.1050301410559474E-2</v>
      </c>
      <c r="CG62" s="40">
        <f t="shared" si="41"/>
        <v>2.4131762142334753E-2</v>
      </c>
      <c r="CH62" s="40">
        <f t="shared" si="42"/>
        <v>2.2681766465160635E-2</v>
      </c>
      <c r="CI62" s="40">
        <f t="shared" si="43"/>
        <v>1.8624604256804039E-2</v>
      </c>
      <c r="CJ62" s="40">
        <f t="shared" si="44"/>
        <v>2.8495057342859832E-2</v>
      </c>
      <c r="CK62" s="40">
        <f t="shared" si="45"/>
        <v>2.8226773110675594E-2</v>
      </c>
      <c r="CL62" s="40">
        <f t="shared" si="46"/>
        <v>7.7356423353892478E-2</v>
      </c>
      <c r="CM62" s="40">
        <f t="shared" si="47"/>
        <v>0.12726999828692662</v>
      </c>
      <c r="CN62" s="40">
        <f t="shared" si="48"/>
        <v>6.8206623834836702</v>
      </c>
      <c r="CO62" s="40">
        <f t="shared" si="49"/>
        <v>4.5882847305807068</v>
      </c>
      <c r="CP62" s="40">
        <f t="shared" si="50"/>
        <v>2.8769693468118573</v>
      </c>
      <c r="CQ62" s="40">
        <f t="shared" si="51"/>
        <v>3.910711350488731</v>
      </c>
      <c r="CR62" s="40">
        <f t="shared" si="52"/>
        <v>1.7509950478085856</v>
      </c>
      <c r="CS62" s="40">
        <f t="shared" si="53"/>
        <v>1.9494821715027244</v>
      </c>
      <c r="CT62" s="40">
        <f t="shared" si="54"/>
        <v>2.9665035355393483</v>
      </c>
    </row>
    <row r="64" spans="2:158">
      <c r="B64" s="37" t="s">
        <v>123</v>
      </c>
      <c r="C64" s="53">
        <f t="shared" ref="C64:AL64" si="80">C50/C48</f>
        <v>0.28560674495633848</v>
      </c>
      <c r="D64" s="53">
        <f t="shared" si="80"/>
        <v>0.20180296200901487</v>
      </c>
      <c r="E64" s="53">
        <f t="shared" si="80"/>
        <v>0.43379096545615592</v>
      </c>
      <c r="F64" s="53">
        <f t="shared" si="80"/>
        <v>0.44651399491094151</v>
      </c>
      <c r="G64" s="53">
        <f t="shared" si="80"/>
        <v>0.45557995607905771</v>
      </c>
      <c r="H64" s="53">
        <f t="shared" si="80"/>
        <v>0.16555719921104545</v>
      </c>
      <c r="I64" s="53">
        <f t="shared" si="80"/>
        <v>0.46462851048702453</v>
      </c>
      <c r="J64" s="53">
        <f t="shared" si="80"/>
        <v>0.48104693140794225</v>
      </c>
      <c r="K64" s="53">
        <f t="shared" si="80"/>
        <v>0.50363825363825365</v>
      </c>
      <c r="L64" s="53">
        <f t="shared" si="80"/>
        <v>0.51677324151500237</v>
      </c>
      <c r="M64" s="53">
        <f t="shared" si="80"/>
        <v>0.52213468392421691</v>
      </c>
      <c r="N64" s="53">
        <f t="shared" si="80"/>
        <v>0.51405791019723046</v>
      </c>
      <c r="O64" s="53">
        <f t="shared" si="80"/>
        <v>0.50102713806898047</v>
      </c>
      <c r="P64" s="53">
        <f t="shared" si="80"/>
        <v>0.51776309489610262</v>
      </c>
      <c r="Q64" s="53">
        <f t="shared" si="80"/>
        <v>0.52869363009716797</v>
      </c>
      <c r="R64" s="53">
        <f t="shared" si="80"/>
        <v>0.52904508085644597</v>
      </c>
      <c r="S64" s="53">
        <f t="shared" si="80"/>
        <v>0.54310254530218915</v>
      </c>
      <c r="T64" s="53">
        <f t="shared" si="80"/>
        <v>0.55822758902988123</v>
      </c>
      <c r="U64" s="53">
        <f t="shared" si="80"/>
        <v>0.55445920303605312</v>
      </c>
      <c r="V64" s="53">
        <f t="shared" si="80"/>
        <v>0.54147364740844328</v>
      </c>
      <c r="W64" s="53">
        <f t="shared" si="80"/>
        <v>0.54759746146872168</v>
      </c>
      <c r="X64" s="53">
        <f t="shared" si="80"/>
        <v>0.56119673617407073</v>
      </c>
      <c r="Y64" s="53">
        <f t="shared" si="80"/>
        <v>0.55183673469387751</v>
      </c>
      <c r="Z64" s="53">
        <f t="shared" si="80"/>
        <v>0.55955235811350923</v>
      </c>
      <c r="AA64" s="53">
        <f t="shared" si="80"/>
        <v>0.56733275412684625</v>
      </c>
      <c r="AB64" s="53">
        <f t="shared" si="80"/>
        <v>0.54986990459670426</v>
      </c>
      <c r="AC64" s="53">
        <f t="shared" si="80"/>
        <v>0.56245210727969353</v>
      </c>
      <c r="AD64" s="53">
        <f t="shared" si="80"/>
        <v>0.56388294075660239</v>
      </c>
      <c r="AE64" s="53">
        <f t="shared" si="80"/>
        <v>0.57547892720306515</v>
      </c>
      <c r="AF64" s="53">
        <f t="shared" si="80"/>
        <v>0.57843137254901966</v>
      </c>
      <c r="AG64" s="53">
        <f t="shared" si="80"/>
        <v>0.59031936127744511</v>
      </c>
      <c r="AH64" s="53">
        <f t="shared" si="80"/>
        <v>0.59963184537505754</v>
      </c>
      <c r="AI64" s="53">
        <f t="shared" si="80"/>
        <v>0.59370160041300979</v>
      </c>
      <c r="AJ64" s="53">
        <f t="shared" si="80"/>
        <v>0.58385650224215246</v>
      </c>
      <c r="AK64" s="53">
        <f t="shared" si="80"/>
        <v>0.59522003034901361</v>
      </c>
      <c r="AL64" s="53">
        <f t="shared" si="80"/>
        <v>0.61868773617313633</v>
      </c>
      <c r="AM64" s="53">
        <f t="shared" ref="AM64:BN64" si="81">AM50/AM48</f>
        <v>0.6448394137823511</v>
      </c>
      <c r="AN64" s="53">
        <f t="shared" si="81"/>
        <v>0.63240473903298111</v>
      </c>
      <c r="AO64" s="53">
        <f t="shared" si="81"/>
        <v>0.60389814523734675</v>
      </c>
      <c r="AP64" s="53">
        <f t="shared" si="81"/>
        <v>0.54739229024943314</v>
      </c>
      <c r="AQ64" s="53">
        <f t="shared" si="81"/>
        <v>0.58378378378378382</v>
      </c>
      <c r="AR64" s="53">
        <f t="shared" si="81"/>
        <v>0.59751841799146954</v>
      </c>
      <c r="AS64" s="53">
        <f t="shared" si="81"/>
        <v>0.63570006635700071</v>
      </c>
      <c r="AT64" s="53">
        <f t="shared" si="81"/>
        <v>0.64895330112721417</v>
      </c>
      <c r="AU64" s="53">
        <f t="shared" si="81"/>
        <v>0.6506493506493507</v>
      </c>
      <c r="AV64" s="53">
        <f t="shared" si="81"/>
        <v>0.58846352819451631</v>
      </c>
      <c r="AW64" s="53">
        <f t="shared" si="81"/>
        <v>0.62632247143461706</v>
      </c>
      <c r="AX64" s="53">
        <f t="shared" si="81"/>
        <v>0.6310213871676994</v>
      </c>
      <c r="AY64" s="53">
        <f t="shared" si="81"/>
        <v>0.6410528175234057</v>
      </c>
      <c r="AZ64" s="53">
        <f t="shared" si="81"/>
        <v>0.64776394651913327</v>
      </c>
      <c r="BA64" s="53">
        <f t="shared" si="81"/>
        <v>0.65197803744896521</v>
      </c>
      <c r="BB64" s="53">
        <f t="shared" si="81"/>
        <v>0.65419337956299883</v>
      </c>
      <c r="BC64" s="53">
        <f t="shared" si="81"/>
        <v>0.65528474903474898</v>
      </c>
      <c r="BD64" s="53">
        <f t="shared" si="81"/>
        <v>0.43481503579952269</v>
      </c>
      <c r="BE64" s="53">
        <f t="shared" si="81"/>
        <v>0.53566009104704093</v>
      </c>
      <c r="BF64" s="53">
        <f t="shared" si="81"/>
        <v>0.63344901669145592</v>
      </c>
      <c r="BG64" s="53">
        <f t="shared" si="81"/>
        <v>0.64627363737486099</v>
      </c>
      <c r="BH64" s="53">
        <f t="shared" si="81"/>
        <v>0.7005256533649219</v>
      </c>
      <c r="BI64" s="53">
        <f t="shared" si="81"/>
        <v>0.73951434878587197</v>
      </c>
      <c r="BJ64" s="53">
        <f t="shared" si="81"/>
        <v>0.75967063294575399</v>
      </c>
      <c r="BK64" s="53">
        <f t="shared" si="81"/>
        <v>0.78352019659038552</v>
      </c>
      <c r="BL64" s="53">
        <f t="shared" si="81"/>
        <v>0.75146471371504664</v>
      </c>
      <c r="BM64" s="53">
        <f t="shared" si="81"/>
        <v>0.74556752750698363</v>
      </c>
      <c r="BN64" s="53">
        <f t="shared" si="81"/>
        <v>0.73026365970862683</v>
      </c>
      <c r="BO64" s="53">
        <f>BO50/BO48</f>
        <v>0.60523807362353044</v>
      </c>
      <c r="BP64" s="53">
        <f>BP50/BP48</f>
        <v>0.72423678411740799</v>
      </c>
      <c r="CE64" s="53">
        <f t="shared" ref="CE64:CT64" si="82">CE50/CE48</f>
        <v>0.35380591630591635</v>
      </c>
      <c r="CF64" s="53">
        <f t="shared" si="82"/>
        <v>0.39770835097225743</v>
      </c>
      <c r="CG64" s="53">
        <f t="shared" si="82"/>
        <v>0.51439505740513769</v>
      </c>
      <c r="CH64" s="53">
        <f t="shared" si="82"/>
        <v>0.52013924582963422</v>
      </c>
      <c r="CI64" s="53">
        <f t="shared" si="82"/>
        <v>0.54912832929782085</v>
      </c>
      <c r="CJ64" s="53">
        <f t="shared" si="82"/>
        <v>0.55510465612985904</v>
      </c>
      <c r="CK64" s="53">
        <f t="shared" si="82"/>
        <v>0.56107784431137719</v>
      </c>
      <c r="CL64" s="53">
        <f t="shared" si="82"/>
        <v>0.58798842257597683</v>
      </c>
      <c r="CM64" s="53">
        <f t="shared" si="82"/>
        <v>0.59934115709285563</v>
      </c>
      <c r="CN64" s="53">
        <f t="shared" si="82"/>
        <v>0.61206896551724133</v>
      </c>
      <c r="CO64" s="53">
        <f t="shared" si="82"/>
        <v>0.61989375343469499</v>
      </c>
      <c r="CP64" s="53">
        <f t="shared" si="82"/>
        <v>0.62344827586206897</v>
      </c>
      <c r="CQ64" s="53">
        <f t="shared" si="82"/>
        <v>0.64929033216913135</v>
      </c>
      <c r="CR64" s="53">
        <f t="shared" si="82"/>
        <v>0.56928894490991322</v>
      </c>
      <c r="CS64" s="53">
        <f t="shared" si="82"/>
        <v>0.72717573290436954</v>
      </c>
      <c r="CT64" s="53">
        <f t="shared" si="82"/>
        <v>0.74988697058169917</v>
      </c>
      <c r="CU64" s="57">
        <v>0.73</v>
      </c>
      <c r="CV64" s="57">
        <v>0.752</v>
      </c>
      <c r="CW64" s="57">
        <v>0.755</v>
      </c>
      <c r="CX64" s="57">
        <v>0.75749999999999995</v>
      </c>
      <c r="CY64" s="57">
        <v>0.76</v>
      </c>
      <c r="CZ64" s="57">
        <v>0.76249999999999996</v>
      </c>
      <c r="DA64" s="57">
        <v>0.76500000000000001</v>
      </c>
      <c r="DB64" s="57">
        <v>0.76749999999999996</v>
      </c>
      <c r="DC64" s="57">
        <v>0.77</v>
      </c>
      <c r="DD64" s="57">
        <v>0.77</v>
      </c>
    </row>
    <row r="65" spans="2:109">
      <c r="B65" s="37" t="s">
        <v>124</v>
      </c>
      <c r="C65" s="53">
        <f t="shared" ref="C65:AL65" si="83">C51/C48</f>
        <v>0.45438121047877145</v>
      </c>
      <c r="D65" s="53">
        <f t="shared" si="83"/>
        <v>0.24842240824211204</v>
      </c>
      <c r="E65" s="53">
        <f t="shared" si="83"/>
        <v>0.2191098317094774</v>
      </c>
      <c r="F65" s="53">
        <f t="shared" si="83"/>
        <v>0.2201526717557252</v>
      </c>
      <c r="G65" s="53">
        <f t="shared" si="83"/>
        <v>0.21770812537432621</v>
      </c>
      <c r="H65" s="53">
        <f t="shared" si="83"/>
        <v>0.25961538461538458</v>
      </c>
      <c r="I65" s="53">
        <f t="shared" si="83"/>
        <v>0.2423272899632658</v>
      </c>
      <c r="J65" s="53">
        <f t="shared" si="83"/>
        <v>0.24323104693140793</v>
      </c>
      <c r="K65" s="53">
        <f t="shared" si="83"/>
        <v>0.24064449064449064</v>
      </c>
      <c r="L65" s="53">
        <f t="shared" si="83"/>
        <v>0.24367929168716182</v>
      </c>
      <c r="M65" s="53">
        <f t="shared" si="83"/>
        <v>0.2405740011254924</v>
      </c>
      <c r="N65" s="53">
        <f t="shared" si="83"/>
        <v>0.28000419639110363</v>
      </c>
      <c r="O65" s="53">
        <f t="shared" si="83"/>
        <v>0.30695210293004649</v>
      </c>
      <c r="P65" s="53">
        <f t="shared" si="83"/>
        <v>0.26927128219860191</v>
      </c>
      <c r="Q65" s="53">
        <f t="shared" si="83"/>
        <v>0.23602690806411428</v>
      </c>
      <c r="R65" s="53">
        <f t="shared" si="83"/>
        <v>0.26922034510795917</v>
      </c>
      <c r="S65" s="53">
        <f t="shared" si="83"/>
        <v>0.34272546349638627</v>
      </c>
      <c r="T65" s="53">
        <f t="shared" si="83"/>
        <v>0.33943921408104788</v>
      </c>
      <c r="U65" s="53">
        <f t="shared" si="83"/>
        <v>0.322865275142315</v>
      </c>
      <c r="V65" s="53">
        <f t="shared" si="83"/>
        <v>0.29437986190018356</v>
      </c>
      <c r="W65" s="53">
        <f t="shared" si="83"/>
        <v>0.30281051677243881</v>
      </c>
      <c r="X65" s="53">
        <f t="shared" si="83"/>
        <v>0.30553037171350861</v>
      </c>
      <c r="Y65" s="53">
        <f t="shared" si="83"/>
        <v>0.27755102040816326</v>
      </c>
      <c r="Z65" s="53">
        <f t="shared" si="83"/>
        <v>0.27897681854516387</v>
      </c>
      <c r="AA65" s="53">
        <f t="shared" si="83"/>
        <v>0.29452649869678538</v>
      </c>
      <c r="AB65" s="53">
        <f t="shared" si="83"/>
        <v>0.27753686036426711</v>
      </c>
      <c r="AC65" s="53">
        <f t="shared" si="83"/>
        <v>0.25210727969348656</v>
      </c>
      <c r="AD65" s="53">
        <f t="shared" si="83"/>
        <v>0.24482512491077801</v>
      </c>
      <c r="AE65" s="53">
        <f t="shared" si="83"/>
        <v>0.26513409961685824</v>
      </c>
      <c r="AF65" s="53">
        <f t="shared" si="83"/>
        <v>0.24509803921568626</v>
      </c>
      <c r="AG65" s="53">
        <f t="shared" si="83"/>
        <v>0.18612774451097805</v>
      </c>
      <c r="AH65" s="53">
        <f t="shared" si="83"/>
        <v>0.18131615278416935</v>
      </c>
      <c r="AI65" s="53">
        <f t="shared" si="83"/>
        <v>0.2121837893649974</v>
      </c>
      <c r="AJ65" s="53">
        <f t="shared" si="83"/>
        <v>0.18654708520179372</v>
      </c>
      <c r="AK65" s="53">
        <f t="shared" si="83"/>
        <v>0.17526555386949924</v>
      </c>
      <c r="AL65" s="53">
        <f t="shared" si="83"/>
        <v>0.1745104774991412</v>
      </c>
      <c r="AM65" s="53">
        <f t="shared" ref="AM65:BN65" si="84">AM51/AM48</f>
        <v>0.1690053009042719</v>
      </c>
      <c r="AN65" s="53">
        <f t="shared" si="84"/>
        <v>0.18603906500160103</v>
      </c>
      <c r="AO65" s="53">
        <f t="shared" si="84"/>
        <v>0.19019176359635334</v>
      </c>
      <c r="AP65" s="53">
        <f t="shared" si="84"/>
        <v>0.29387755102040819</v>
      </c>
      <c r="AQ65" s="53">
        <f t="shared" si="84"/>
        <v>0.30360360360360361</v>
      </c>
      <c r="AR65" s="53">
        <f t="shared" si="84"/>
        <v>0.27297402093834822</v>
      </c>
      <c r="AS65" s="53">
        <f t="shared" si="84"/>
        <v>0.23623092236230922</v>
      </c>
      <c r="AT65" s="53">
        <f t="shared" si="84"/>
        <v>0.23800322061191626</v>
      </c>
      <c r="AU65" s="53">
        <f t="shared" si="84"/>
        <v>0.23863636363636365</v>
      </c>
      <c r="AV65" s="53">
        <f t="shared" si="84"/>
        <v>0.2578892912571133</v>
      </c>
      <c r="AW65" s="53">
        <f t="shared" si="84"/>
        <v>0.22154041472704189</v>
      </c>
      <c r="AX65" s="53">
        <f t="shared" si="84"/>
        <v>0.22886268239056565</v>
      </c>
      <c r="AY65" s="53">
        <f t="shared" si="84"/>
        <v>0.20367426249779191</v>
      </c>
      <c r="AZ65" s="53">
        <f t="shared" si="84"/>
        <v>0.19133241124942368</v>
      </c>
      <c r="BA65" s="53">
        <f t="shared" si="84"/>
        <v>0.19752217372941011</v>
      </c>
      <c r="BB65" s="53">
        <f t="shared" si="84"/>
        <v>0.19194033756378384</v>
      </c>
      <c r="BC65" s="53">
        <f t="shared" si="84"/>
        <v>0.19522200772200773</v>
      </c>
      <c r="BD65" s="53">
        <f t="shared" si="84"/>
        <v>0.27207637231503579</v>
      </c>
      <c r="BE65" s="53">
        <f t="shared" si="84"/>
        <v>0.32793795312763446</v>
      </c>
      <c r="BF65" s="53">
        <f t="shared" si="84"/>
        <v>0.32259130722194679</v>
      </c>
      <c r="BG65" s="53">
        <f t="shared" si="84"/>
        <v>0.26070634037819801</v>
      </c>
      <c r="BH65" s="53">
        <f t="shared" si="84"/>
        <v>0.15103279780854373</v>
      </c>
      <c r="BI65" s="53">
        <f t="shared" si="84"/>
        <v>0.12660044150110375</v>
      </c>
      <c r="BJ65" s="53">
        <f t="shared" si="84"/>
        <v>0.11156856535311949</v>
      </c>
      <c r="BK65" s="53">
        <f t="shared" si="84"/>
        <v>0.10443864229765012</v>
      </c>
      <c r="BL65" s="53">
        <f t="shared" si="84"/>
        <v>0.10286284953395473</v>
      </c>
      <c r="BM65" s="53">
        <f t="shared" si="84"/>
        <v>9.6630750812382413E-2</v>
      </c>
      <c r="BN65" s="53">
        <f t="shared" si="84"/>
        <v>9.4429330553507412E-2</v>
      </c>
      <c r="BO65" s="53">
        <f>BO51/BO48</f>
        <v>9.0531523761971766E-2</v>
      </c>
      <c r="BP65" s="53">
        <f>BP51/BP48</f>
        <v>9.1799841687525405E-2</v>
      </c>
      <c r="CE65" s="53">
        <f t="shared" ref="CE65:CT65" si="85">CE51/CE48</f>
        <v>0.27323833573833578</v>
      </c>
      <c r="CF65" s="53">
        <f t="shared" si="85"/>
        <v>0.23955070132362488</v>
      </c>
      <c r="CG65" s="53">
        <f t="shared" si="85"/>
        <v>0.25078166037169519</v>
      </c>
      <c r="CH65" s="53">
        <f t="shared" si="85"/>
        <v>0.26804822204569878</v>
      </c>
      <c r="CI65" s="53">
        <f t="shared" si="85"/>
        <v>0.32348668280871673</v>
      </c>
      <c r="CJ65" s="53">
        <f t="shared" si="85"/>
        <v>0.29047415634344298</v>
      </c>
      <c r="CK65" s="53">
        <f t="shared" si="85"/>
        <v>0.26566866267465072</v>
      </c>
      <c r="CL65" s="53">
        <f t="shared" si="85"/>
        <v>0.21172214182344429</v>
      </c>
      <c r="CM65" s="53">
        <f t="shared" si="85"/>
        <v>0.18499073502161828</v>
      </c>
      <c r="CN65" s="53">
        <f t="shared" si="85"/>
        <v>0.20279959030385797</v>
      </c>
      <c r="CO65" s="53">
        <f t="shared" si="85"/>
        <v>0.25911339073090311</v>
      </c>
      <c r="CP65" s="53">
        <f t="shared" si="85"/>
        <v>0.2353223388305847</v>
      </c>
      <c r="CQ65" s="53">
        <f t="shared" si="85"/>
        <v>0.19573456193802483</v>
      </c>
      <c r="CR65" s="53">
        <f t="shared" si="85"/>
        <v>0.27207681471046191</v>
      </c>
      <c r="CS65" s="53">
        <f t="shared" si="85"/>
        <v>0.14239519385443683</v>
      </c>
      <c r="CT65" s="53">
        <f t="shared" si="85"/>
        <v>9.8960129351632606E-2</v>
      </c>
      <c r="CU65" s="57">
        <v>9.5000000000000001E-2</v>
      </c>
      <c r="CV65" s="57">
        <v>9.1999999999999998E-2</v>
      </c>
      <c r="CW65" s="57">
        <v>0.09</v>
      </c>
      <c r="CX65" s="57">
        <v>8.7499999999999994E-2</v>
      </c>
      <c r="CY65" s="57">
        <v>8.5000000000000006E-2</v>
      </c>
      <c r="CZ65" s="57">
        <v>0.12</v>
      </c>
      <c r="DA65" s="57">
        <v>0.12</v>
      </c>
      <c r="DB65" s="57">
        <v>0.12</v>
      </c>
      <c r="DC65" s="57">
        <v>0.12</v>
      </c>
      <c r="DD65" s="57">
        <v>0.12</v>
      </c>
    </row>
    <row r="66" spans="2:109">
      <c r="B66" s="37" t="s">
        <v>125</v>
      </c>
      <c r="C66" s="53">
        <f t="shared" ref="C66:AL66" si="86">C52/C48</f>
        <v>0.17901234567901234</v>
      </c>
      <c r="D66" s="53">
        <f t="shared" si="86"/>
        <v>9.5299420476497101E-2</v>
      </c>
      <c r="E66" s="53">
        <f t="shared" si="86"/>
        <v>9.5217006200177146E-2</v>
      </c>
      <c r="F66" s="53">
        <f t="shared" si="86"/>
        <v>8.9770992366412214E-2</v>
      </c>
      <c r="G66" s="53">
        <f t="shared" si="86"/>
        <v>9.0736673986823724E-2</v>
      </c>
      <c r="H66" s="53">
        <f t="shared" si="86"/>
        <v>0.12191814595660749</v>
      </c>
      <c r="I66" s="53">
        <f t="shared" si="86"/>
        <v>9.9300865031401828E-2</v>
      </c>
      <c r="J66" s="53">
        <f t="shared" si="86"/>
        <v>9.927797833935019E-2</v>
      </c>
      <c r="K66" s="53">
        <f t="shared" si="86"/>
        <v>0.10197505197505197</v>
      </c>
      <c r="L66" s="53">
        <f t="shared" si="86"/>
        <v>0.10181997048696508</v>
      </c>
      <c r="M66" s="53">
        <f t="shared" si="86"/>
        <v>9.6698555618082896E-2</v>
      </c>
      <c r="N66" s="53">
        <f t="shared" si="86"/>
        <v>0.10574905581200167</v>
      </c>
      <c r="O66" s="53">
        <f t="shared" si="86"/>
        <v>0.11525570331927776</v>
      </c>
      <c r="P66" s="53">
        <f t="shared" si="86"/>
        <v>0.11481375083788184</v>
      </c>
      <c r="Q66" s="53">
        <f t="shared" si="86"/>
        <v>8.3298729341416827E-2</v>
      </c>
      <c r="R66" s="53">
        <f t="shared" si="86"/>
        <v>9.3956093594723997E-2</v>
      </c>
      <c r="S66" s="53">
        <f t="shared" si="86"/>
        <v>0.11375301141719911</v>
      </c>
      <c r="T66" s="53">
        <f t="shared" si="86"/>
        <v>0.11082685223086368</v>
      </c>
      <c r="U66" s="53">
        <f t="shared" si="86"/>
        <v>9.7817836812144204E-2</v>
      </c>
      <c r="V66" s="53">
        <f t="shared" si="86"/>
        <v>0.10138973865920813</v>
      </c>
      <c r="W66" s="53">
        <f t="shared" si="86"/>
        <v>0.10788757932910245</v>
      </c>
      <c r="X66" s="53">
        <f t="shared" si="86"/>
        <v>0.10788757932910245</v>
      </c>
      <c r="Y66" s="53">
        <f t="shared" si="86"/>
        <v>0.10040816326530612</v>
      </c>
      <c r="Z66" s="53">
        <f t="shared" si="86"/>
        <v>9.5123900879296563E-2</v>
      </c>
      <c r="AA66" s="53">
        <f t="shared" si="86"/>
        <v>0.11989574283231973</v>
      </c>
      <c r="AB66" s="53">
        <f t="shared" si="86"/>
        <v>0.12922810060711187</v>
      </c>
      <c r="AC66" s="53">
        <f t="shared" si="86"/>
        <v>0.11647509578544062</v>
      </c>
      <c r="AD66" s="53">
        <f t="shared" si="86"/>
        <v>0.11634546752319772</v>
      </c>
      <c r="AE66" s="53">
        <f t="shared" si="86"/>
        <v>0.12183908045977011</v>
      </c>
      <c r="AF66" s="53">
        <f t="shared" si="86"/>
        <v>0.10994397759103641</v>
      </c>
      <c r="AG66" s="53">
        <f t="shared" si="86"/>
        <v>8.5329341317365276E-2</v>
      </c>
      <c r="AH66" s="53">
        <f t="shared" si="86"/>
        <v>8.099401748734468E-2</v>
      </c>
      <c r="AI66" s="53">
        <f t="shared" si="86"/>
        <v>9.5508518327310277E-2</v>
      </c>
      <c r="AJ66" s="53">
        <f t="shared" si="86"/>
        <v>8.8789237668161436E-2</v>
      </c>
      <c r="AK66" s="53">
        <f t="shared" si="86"/>
        <v>8.042488619119878E-2</v>
      </c>
      <c r="AL66" s="53">
        <f t="shared" si="86"/>
        <v>7.5575403641360353E-2</v>
      </c>
      <c r="AM66" s="53">
        <f t="shared" ref="AM66:BN66" si="87">AM52/AM48</f>
        <v>7.2029934518241343E-2</v>
      </c>
      <c r="AN66" s="53">
        <f t="shared" si="87"/>
        <v>7.5888568683957727E-2</v>
      </c>
      <c r="AO66" s="53">
        <f t="shared" si="87"/>
        <v>8.1106570260924243E-2</v>
      </c>
      <c r="AP66" s="53">
        <f t="shared" si="87"/>
        <v>0.12018140589569161</v>
      </c>
      <c r="AQ66" s="53">
        <f t="shared" si="87"/>
        <v>0.11891891891891893</v>
      </c>
      <c r="AR66" s="53">
        <f t="shared" si="87"/>
        <v>0.10314075222954634</v>
      </c>
      <c r="AS66" s="53">
        <f t="shared" si="87"/>
        <v>9.1904445919044453E-2</v>
      </c>
      <c r="AT66" s="53">
        <f t="shared" si="87"/>
        <v>9.2109500805152983E-2</v>
      </c>
      <c r="AU66" s="53">
        <f t="shared" si="87"/>
        <v>9.5129870129870134E-2</v>
      </c>
      <c r="AV66" s="53">
        <f t="shared" si="87"/>
        <v>0.16218313502327988</v>
      </c>
      <c r="AW66" s="53">
        <f t="shared" si="87"/>
        <v>0.10897164621244181</v>
      </c>
      <c r="AX66" s="53">
        <f t="shared" si="87"/>
        <v>0.10093943633819707</v>
      </c>
      <c r="AY66" s="53">
        <f t="shared" si="87"/>
        <v>9.1856562444797743E-2</v>
      </c>
      <c r="AZ66" s="53">
        <f t="shared" si="87"/>
        <v>8.0836022744736433E-2</v>
      </c>
      <c r="BA66" s="53">
        <f t="shared" si="87"/>
        <v>7.8417570040827819E-2</v>
      </c>
      <c r="BB66" s="53">
        <f t="shared" si="87"/>
        <v>7.3662174538793673E-2</v>
      </c>
      <c r="BC66" s="53">
        <f t="shared" si="87"/>
        <v>7.1428571428571425E-2</v>
      </c>
      <c r="BD66" s="53">
        <f t="shared" si="87"/>
        <v>8.83054892601432E-2</v>
      </c>
      <c r="BE66" s="53">
        <f t="shared" si="87"/>
        <v>0.1063901534311246</v>
      </c>
      <c r="BF66" s="53">
        <f t="shared" si="87"/>
        <v>0.10328871260948604</v>
      </c>
      <c r="BG66" s="53">
        <f t="shared" si="87"/>
        <v>8.8014460511679646E-2</v>
      </c>
      <c r="BH66" s="53">
        <f t="shared" si="87"/>
        <v>4.6050196194565782E-2</v>
      </c>
      <c r="BI66" s="53">
        <f t="shared" si="87"/>
        <v>3.8024282560706404E-2</v>
      </c>
      <c r="BJ66" s="53">
        <f t="shared" si="87"/>
        <v>3.2122336334434239E-2</v>
      </c>
      <c r="BK66" s="53">
        <f t="shared" si="87"/>
        <v>2.9834126862233145E-2</v>
      </c>
      <c r="BL66" s="53">
        <f t="shared" si="87"/>
        <v>2.8029294274300932E-2</v>
      </c>
      <c r="BM66" s="53">
        <f t="shared" si="87"/>
        <v>2.5568667692833932E-2</v>
      </c>
      <c r="BN66" s="53">
        <f t="shared" si="87"/>
        <v>2.478960616307747E-2</v>
      </c>
      <c r="BO66" s="53">
        <f>BO52/BO48</f>
        <v>2.3625800009078116E-2</v>
      </c>
      <c r="BP66" s="53">
        <f>BP52/BP48</f>
        <v>2.4003594121044861E-2</v>
      </c>
      <c r="CE66" s="53">
        <f t="shared" ref="CE66:CT66" si="88">CE52/CE48</f>
        <v>0.11035954785954785</v>
      </c>
      <c r="CF66" s="53">
        <f t="shared" si="88"/>
        <v>0.10205175965907487</v>
      </c>
      <c r="CG66" s="53">
        <f t="shared" si="88"/>
        <v>0.10142824983116137</v>
      </c>
      <c r="CH66" s="53">
        <f t="shared" si="88"/>
        <v>0.10064950235970282</v>
      </c>
      <c r="CI66" s="53">
        <f t="shared" si="88"/>
        <v>0.10556900726392252</v>
      </c>
      <c r="CJ66" s="53">
        <f t="shared" si="88"/>
        <v>0.10252029047415634</v>
      </c>
      <c r="CK66" s="53">
        <f t="shared" si="88"/>
        <v>0.12015968063872255</v>
      </c>
      <c r="CL66" s="53">
        <f t="shared" si="88"/>
        <v>9.5947901591895798E-2</v>
      </c>
      <c r="CM66" s="53">
        <f t="shared" si="88"/>
        <v>8.3899526456660489E-2</v>
      </c>
      <c r="CN66" s="53">
        <f t="shared" si="88"/>
        <v>8.4585182656196647E-2</v>
      </c>
      <c r="CO66" s="53">
        <f t="shared" si="88"/>
        <v>0.10010991023997069</v>
      </c>
      <c r="CP66" s="53">
        <f t="shared" si="88"/>
        <v>0.11634182908545727</v>
      </c>
      <c r="CQ66" s="53">
        <f t="shared" si="88"/>
        <v>8.0478561343538674E-2</v>
      </c>
      <c r="CR66" s="53">
        <f t="shared" si="88"/>
        <v>9.0457477570994288E-2</v>
      </c>
      <c r="CS66" s="53">
        <f t="shared" si="88"/>
        <v>4.3563901382095135E-2</v>
      </c>
      <c r="CT66" s="53">
        <f t="shared" si="88"/>
        <v>2.6751572833091947E-2</v>
      </c>
      <c r="CU66" s="57">
        <v>2.5000000000000001E-2</v>
      </c>
      <c r="CV66" s="57">
        <v>0.03</v>
      </c>
      <c r="CW66" s="57">
        <v>0.03</v>
      </c>
      <c r="CX66" s="57">
        <v>0.03</v>
      </c>
      <c r="CY66" s="57">
        <v>0.03</v>
      </c>
      <c r="CZ66" s="57">
        <v>0.03</v>
      </c>
      <c r="DA66" s="57">
        <v>0.03</v>
      </c>
      <c r="DB66" s="57">
        <v>0.03</v>
      </c>
      <c r="DC66" s="57">
        <v>0.03</v>
      </c>
      <c r="DD66" s="57">
        <v>0.03</v>
      </c>
    </row>
    <row r="67" spans="2:109">
      <c r="B67" s="37" t="s">
        <v>126</v>
      </c>
      <c r="C67" s="53">
        <f t="shared" ref="C67:AL67" si="89">C54/C48</f>
        <v>-0.34778681120144533</v>
      </c>
      <c r="D67" s="53">
        <f t="shared" si="89"/>
        <v>-0.14191886670959425</v>
      </c>
      <c r="E67" s="53">
        <f t="shared" si="89"/>
        <v>0.11946412754650142</v>
      </c>
      <c r="F67" s="53">
        <f t="shared" si="89"/>
        <v>0.13659033078880412</v>
      </c>
      <c r="G67" s="53">
        <f t="shared" si="89"/>
        <v>0.14713515671790775</v>
      </c>
      <c r="H67" s="53">
        <f t="shared" si="89"/>
        <v>-0.21597633136094666</v>
      </c>
      <c r="I67" s="53">
        <f t="shared" si="89"/>
        <v>0.12300035549235687</v>
      </c>
      <c r="J67" s="53">
        <f t="shared" si="89"/>
        <v>0.20284296028880866</v>
      </c>
      <c r="K67" s="53">
        <f t="shared" si="89"/>
        <v>0.16101871101871099</v>
      </c>
      <c r="L67" s="53">
        <f t="shared" si="89"/>
        <v>0.17127397934087552</v>
      </c>
      <c r="M67" s="53">
        <f t="shared" si="89"/>
        <v>0.18486212718064154</v>
      </c>
      <c r="N67" s="53">
        <f t="shared" si="89"/>
        <v>0.1283046579941251</v>
      </c>
      <c r="O67" s="53">
        <f t="shared" si="89"/>
        <v>7.8819331819656155E-2</v>
      </c>
      <c r="P67" s="53">
        <f t="shared" si="89"/>
        <v>0.13367806185961881</v>
      </c>
      <c r="Q67" s="53">
        <f t="shared" si="89"/>
        <v>0.20936799269163683</v>
      </c>
      <c r="R67" s="53">
        <f t="shared" si="89"/>
        <v>0.16586864215376287</v>
      </c>
      <c r="S67" s="53">
        <f t="shared" si="89"/>
        <v>8.6624070388603799E-2</v>
      </c>
      <c r="T67" s="53">
        <f t="shared" si="89"/>
        <v>0.1079615227179697</v>
      </c>
      <c r="U67" s="53">
        <f t="shared" si="89"/>
        <v>0.13377609108159394</v>
      </c>
      <c r="V67" s="53">
        <f t="shared" si="89"/>
        <v>0.14570404684905156</v>
      </c>
      <c r="W67" s="53">
        <f t="shared" si="89"/>
        <v>0.13689936536718042</v>
      </c>
      <c r="X67" s="53">
        <f t="shared" si="89"/>
        <v>0.14777878513145964</v>
      </c>
      <c r="Y67" s="53">
        <f t="shared" si="89"/>
        <v>0.17387755102040817</v>
      </c>
      <c r="Z67" s="53">
        <f t="shared" si="89"/>
        <v>0.18545163868904876</v>
      </c>
      <c r="AA67" s="53">
        <f t="shared" si="89"/>
        <v>0.15291051259774111</v>
      </c>
      <c r="AB67" s="53">
        <f t="shared" si="89"/>
        <v>6.5915004336513441E-2</v>
      </c>
      <c r="AC67" s="53">
        <f t="shared" si="89"/>
        <v>0.18773946360153257</v>
      </c>
      <c r="AD67" s="53">
        <f t="shared" si="89"/>
        <v>0.17844396859386152</v>
      </c>
      <c r="AE67" s="53">
        <f t="shared" si="89"/>
        <v>0.18773946360153257</v>
      </c>
      <c r="AF67" s="53">
        <f t="shared" si="89"/>
        <v>0.22198879551820727</v>
      </c>
      <c r="AG67" s="53">
        <f t="shared" si="89"/>
        <v>0.31886227544910178</v>
      </c>
      <c r="AH67" s="53">
        <f t="shared" si="89"/>
        <v>0.33732167510354349</v>
      </c>
      <c r="AI67" s="53">
        <f t="shared" si="89"/>
        <v>0.28600929272070214</v>
      </c>
      <c r="AJ67" s="53">
        <f t="shared" si="89"/>
        <v>0.30852017937219733</v>
      </c>
      <c r="AK67" s="53">
        <f t="shared" si="89"/>
        <v>0.33952959028831564</v>
      </c>
      <c r="AL67" s="53">
        <f t="shared" si="89"/>
        <v>0.36860185503263482</v>
      </c>
      <c r="AM67" s="53">
        <f t="shared" ref="AM67:BN67" si="90">AM54/AM48</f>
        <v>0.40380417835983784</v>
      </c>
      <c r="AN67" s="53">
        <f t="shared" si="90"/>
        <v>0.37047710534742234</v>
      </c>
      <c r="AO67" s="53">
        <f t="shared" si="90"/>
        <v>0.33259981138006917</v>
      </c>
      <c r="AP67" s="53">
        <f t="shared" si="90"/>
        <v>0.13333333333333333</v>
      </c>
      <c r="AQ67" s="53">
        <f t="shared" si="90"/>
        <v>0.16126126126126125</v>
      </c>
      <c r="AR67" s="53">
        <f t="shared" si="90"/>
        <v>0.22140364482357502</v>
      </c>
      <c r="AS67" s="53">
        <f t="shared" si="90"/>
        <v>0.30756469807564696</v>
      </c>
      <c r="AT67" s="53">
        <f t="shared" si="90"/>
        <v>0.3188405797101449</v>
      </c>
      <c r="AU67" s="53">
        <f t="shared" si="90"/>
        <v>0.31688311688311688</v>
      </c>
      <c r="AV67" s="53">
        <f t="shared" si="90"/>
        <v>0.16839110191412313</v>
      </c>
      <c r="AW67" s="53">
        <f t="shared" si="90"/>
        <v>0.29581041049513329</v>
      </c>
      <c r="AX67" s="53">
        <f t="shared" si="90"/>
        <v>0.30121926843893665</v>
      </c>
      <c r="AY67" s="53">
        <f t="shared" si="90"/>
        <v>0.34552199258081612</v>
      </c>
      <c r="AZ67" s="53">
        <f t="shared" si="90"/>
        <v>0.37559551252497309</v>
      </c>
      <c r="BA67" s="53">
        <f t="shared" si="90"/>
        <v>0.37603829367872732</v>
      </c>
      <c r="BB67" s="53">
        <f t="shared" si="90"/>
        <v>0.38859086746042132</v>
      </c>
      <c r="BC67" s="53">
        <f t="shared" si="90"/>
        <v>0.22538610038610038</v>
      </c>
      <c r="BD67" s="53">
        <f t="shared" si="90"/>
        <v>7.4433174224343673E-2</v>
      </c>
      <c r="BE67" s="53">
        <f t="shared" si="90"/>
        <v>0.10133198448828191</v>
      </c>
      <c r="BF67" s="53">
        <f t="shared" si="90"/>
        <v>0.20756899686002314</v>
      </c>
      <c r="BG67" s="53">
        <f t="shared" si="90"/>
        <v>0.29755283648498332</v>
      </c>
      <c r="BH67" s="53">
        <f t="shared" si="90"/>
        <v>0.50344265936181243</v>
      </c>
      <c r="BI67" s="53">
        <f t="shared" si="90"/>
        <v>0.5748896247240618</v>
      </c>
      <c r="BJ67" s="53">
        <f t="shared" si="90"/>
        <v>0.61597973125820027</v>
      </c>
      <c r="BK67" s="53">
        <f t="shared" si="90"/>
        <v>0.64924742743050223</v>
      </c>
      <c r="BL67" s="53">
        <f t="shared" si="90"/>
        <v>0.62057256990679099</v>
      </c>
      <c r="BM67" s="53">
        <f t="shared" si="90"/>
        <v>0.62336810900176731</v>
      </c>
      <c r="BN67" s="53">
        <f t="shared" si="90"/>
        <v>0.61104472299204193</v>
      </c>
      <c r="BO67" s="53">
        <f>BO54/BO48</f>
        <v>0.49108074985248057</v>
      </c>
      <c r="BP67" s="53">
        <f>BP54/BP48</f>
        <v>0.60843334830883766</v>
      </c>
      <c r="CE67" s="53">
        <f t="shared" ref="CE67:CT67" si="91">CE54/CE48</f>
        <v>-2.9791967291967231E-2</v>
      </c>
      <c r="CF67" s="53">
        <f t="shared" si="91"/>
        <v>7.2192588829622095E-2</v>
      </c>
      <c r="CG67" s="53">
        <f t="shared" si="91"/>
        <v>0.16218514720228119</v>
      </c>
      <c r="CH67" s="53">
        <f t="shared" si="91"/>
        <v>0.15144152142423251</v>
      </c>
      <c r="CI67" s="53">
        <f t="shared" si="91"/>
        <v>0.12007263922518158</v>
      </c>
      <c r="CJ67" s="53">
        <f t="shared" si="91"/>
        <v>0.16211020931225972</v>
      </c>
      <c r="CK67" s="53">
        <f t="shared" si="91"/>
        <v>0.14910179640718563</v>
      </c>
      <c r="CL67" s="53">
        <f t="shared" si="91"/>
        <v>0.27988422575976846</v>
      </c>
      <c r="CM67" s="53">
        <f t="shared" si="91"/>
        <v>0.33045089561457691</v>
      </c>
      <c r="CN67" s="53">
        <f t="shared" si="91"/>
        <v>0.32468419255718678</v>
      </c>
      <c r="CO67" s="53">
        <f t="shared" si="91"/>
        <v>0.2606704524638212</v>
      </c>
      <c r="CP67" s="53">
        <f t="shared" si="91"/>
        <v>0.27178410794602698</v>
      </c>
      <c r="CQ67" s="53">
        <f t="shared" si="91"/>
        <v>0.37307720888756779</v>
      </c>
      <c r="CR67" s="53">
        <f t="shared" si="91"/>
        <v>0.1565952398606065</v>
      </c>
      <c r="CS67" s="53">
        <f t="shared" si="91"/>
        <v>0.54121663766783756</v>
      </c>
      <c r="CT67" s="53">
        <f t="shared" si="91"/>
        <v>0.62417526839697468</v>
      </c>
      <c r="CU67" s="57">
        <f>CU54/CU48</f>
        <v>0.61</v>
      </c>
      <c r="CV67" s="57">
        <f t="shared" ref="CV67:DD67" si="92">CV54/CV48</f>
        <v>0.63000000000000012</v>
      </c>
      <c r="CW67" s="57">
        <f t="shared" si="92"/>
        <v>0.63500000000000001</v>
      </c>
      <c r="CX67" s="57">
        <f t="shared" si="92"/>
        <v>0.6399999999999999</v>
      </c>
      <c r="CY67" s="57">
        <f t="shared" si="92"/>
        <v>0.64500000000000013</v>
      </c>
      <c r="CZ67" s="57">
        <f t="shared" si="92"/>
        <v>0.61249999999999993</v>
      </c>
      <c r="DA67" s="57">
        <f t="shared" si="92"/>
        <v>0.6150000000000001</v>
      </c>
      <c r="DB67" s="57">
        <f t="shared" si="92"/>
        <v>0.61749999999999994</v>
      </c>
      <c r="DC67" s="57">
        <f t="shared" si="92"/>
        <v>0.61999999999999988</v>
      </c>
      <c r="DD67" s="57">
        <f t="shared" si="92"/>
        <v>0.62</v>
      </c>
    </row>
    <row r="68" spans="2:109">
      <c r="B68" s="37" t="s">
        <v>127</v>
      </c>
      <c r="C68" s="53">
        <f t="shared" ref="C68:AL68" si="93">C59/C58</f>
        <v>0.10449088483770565</v>
      </c>
      <c r="D68" s="53">
        <f t="shared" si="93"/>
        <v>1.6791044776119413E-2</v>
      </c>
      <c r="E68" s="53">
        <f t="shared" si="93"/>
        <v>2.3572076155938329E-2</v>
      </c>
      <c r="F68" s="53">
        <f t="shared" si="93"/>
        <v>5.9583632447954046E-2</v>
      </c>
      <c r="G68" s="53">
        <f t="shared" si="93"/>
        <v>8.6927670869276719E-2</v>
      </c>
      <c r="H68" s="53">
        <f t="shared" si="93"/>
        <v>0.1662721893491125</v>
      </c>
      <c r="I68" s="53">
        <f t="shared" si="93"/>
        <v>0.18050193050193059</v>
      </c>
      <c r="J68" s="53">
        <f t="shared" si="93"/>
        <v>7.6923076923076941E-2</v>
      </c>
      <c r="K68" s="53">
        <f t="shared" si="93"/>
        <v>0.13610223642172528</v>
      </c>
      <c r="L68" s="53">
        <f t="shared" si="93"/>
        <v>0.14639639639639643</v>
      </c>
      <c r="M68" s="53">
        <f t="shared" si="93"/>
        <v>0.12939453125</v>
      </c>
      <c r="N68" s="53">
        <f t="shared" si="93"/>
        <v>6.9020866773675721E-2</v>
      </c>
      <c r="O68" s="53">
        <f t="shared" si="93"/>
        <v>0.21632124352331614</v>
      </c>
      <c r="P68" s="53">
        <f t="shared" si="93"/>
        <v>0.18044077134986236</v>
      </c>
      <c r="Q68" s="53">
        <f t="shared" si="93"/>
        <v>0.17554240631163714</v>
      </c>
      <c r="R68" s="53">
        <f t="shared" si="93"/>
        <v>6.501880709296072E-2</v>
      </c>
      <c r="S68" s="53">
        <f t="shared" si="93"/>
        <v>0.11590909090909085</v>
      </c>
      <c r="T68" s="53">
        <f t="shared" si="93"/>
        <v>0.13774597495527729</v>
      </c>
      <c r="U68" s="53">
        <f t="shared" si="93"/>
        <v>0.16113074204946998</v>
      </c>
      <c r="V68" s="53">
        <f t="shared" si="93"/>
        <v>0.12870699881376046</v>
      </c>
      <c r="W68" s="53">
        <f t="shared" si="93"/>
        <v>0.15950920245398773</v>
      </c>
      <c r="X68" s="53">
        <f t="shared" si="93"/>
        <v>0.17419354838709677</v>
      </c>
      <c r="Y68" s="53">
        <f t="shared" si="93"/>
        <v>0.17224880382775121</v>
      </c>
      <c r="Z68" s="53">
        <f t="shared" si="93"/>
        <v>0.15350877192982457</v>
      </c>
      <c r="AA68" s="53">
        <f t="shared" si="93"/>
        <v>0.22093023255813954</v>
      </c>
      <c r="AB68" s="53">
        <f t="shared" si="93"/>
        <v>0.63888888888888884</v>
      </c>
      <c r="AC68" s="53">
        <f t="shared" si="93"/>
        <v>-4.0816326530612249E-3</v>
      </c>
      <c r="AD68" s="53">
        <f t="shared" si="93"/>
        <v>0.18110236220472442</v>
      </c>
      <c r="AE68" s="53">
        <f t="shared" si="93"/>
        <v>0.13692946058091288</v>
      </c>
      <c r="AF68" s="53">
        <f t="shared" si="93"/>
        <v>0.17665615141955837</v>
      </c>
      <c r="AG68" s="53">
        <f t="shared" si="93"/>
        <v>0.12721417069243157</v>
      </c>
      <c r="AH68" s="53">
        <f t="shared" si="93"/>
        <v>9.7796143250688708E-2</v>
      </c>
      <c r="AI68" s="53">
        <f t="shared" si="93"/>
        <v>5.4104477611940295E-2</v>
      </c>
      <c r="AJ68" s="53">
        <f t="shared" si="93"/>
        <v>0.1476608187134503</v>
      </c>
      <c r="AK68" s="53">
        <f t="shared" si="93"/>
        <v>6.4732142857142863E-2</v>
      </c>
      <c r="AL68" s="53">
        <f t="shared" si="93"/>
        <v>-3.6111111111111108E-2</v>
      </c>
      <c r="AM68" s="53">
        <f t="shared" ref="AM68:BN68" si="94">AM59/AM58</f>
        <v>5.1106025934401222E-2</v>
      </c>
      <c r="AN68" s="53">
        <f t="shared" si="94"/>
        <v>6.6949152542372881E-2</v>
      </c>
      <c r="AO68" s="53">
        <f t="shared" si="94"/>
        <v>-0.13783533765032377</v>
      </c>
      <c r="AP68" s="53">
        <f t="shared" si="94"/>
        <v>-0.74691358024691357</v>
      </c>
      <c r="AQ68" s="53">
        <f t="shared" si="94"/>
        <v>-1.2853470437017995E-2</v>
      </c>
      <c r="AR68" s="53">
        <f t="shared" si="94"/>
        <v>8.9108910891089105E-2</v>
      </c>
      <c r="AS68" s="53">
        <f t="shared" si="94"/>
        <v>6.2565172054223156E-2</v>
      </c>
      <c r="AT68" s="53">
        <f t="shared" si="94"/>
        <v>6.3976377952755903E-2</v>
      </c>
      <c r="AU68" s="53">
        <f t="shared" si="94"/>
        <v>6.5239551478083593E-2</v>
      </c>
      <c r="AV68" s="53">
        <f t="shared" si="94"/>
        <v>-2.1346469622331693E-2</v>
      </c>
      <c r="AW68" s="53">
        <f t="shared" si="94"/>
        <v>8.9020771513353119E-3</v>
      </c>
      <c r="AX68" s="53">
        <f t="shared" si="94"/>
        <v>9.5173351461590762E-3</v>
      </c>
      <c r="AY68" s="53">
        <f t="shared" si="94"/>
        <v>6.4579256360078274E-2</v>
      </c>
      <c r="AZ68" s="53">
        <f t="shared" si="94"/>
        <v>8.3542188805346695E-3</v>
      </c>
      <c r="BA68" s="53">
        <f t="shared" si="94"/>
        <v>6.5959059893858987E-2</v>
      </c>
      <c r="BB68" s="53">
        <f t="shared" si="94"/>
        <v>-4.7818499127399654E-2</v>
      </c>
      <c r="BC68" s="53">
        <f t="shared" si="94"/>
        <v>0.10360110803324099</v>
      </c>
      <c r="BD68" s="53">
        <f t="shared" si="94"/>
        <v>-0.38105263157894737</v>
      </c>
      <c r="BE68" s="53">
        <f t="shared" si="94"/>
        <v>-0.10929853181076672</v>
      </c>
      <c r="BF68" s="53">
        <f t="shared" si="94"/>
        <v>-9.7826086956521743E-2</v>
      </c>
      <c r="BG68" s="53">
        <f t="shared" si="94"/>
        <v>7.5147125396106837E-2</v>
      </c>
      <c r="BH68" s="53">
        <f t="shared" si="94"/>
        <v>0.11359404096834265</v>
      </c>
      <c r="BI68" s="53">
        <f t="shared" si="94"/>
        <v>0.12155483748336818</v>
      </c>
      <c r="BJ68" s="53">
        <f t="shared" si="94"/>
        <v>0.12902311073302142</v>
      </c>
      <c r="BK68" s="53">
        <f t="shared" si="94"/>
        <v>0.13878117946640431</v>
      </c>
      <c r="BL68" s="53">
        <f t="shared" si="94"/>
        <v>0.1360986780472572</v>
      </c>
      <c r="BM68" s="53">
        <f t="shared" si="94"/>
        <v>0.13474637031726117</v>
      </c>
      <c r="BN68" s="53">
        <f t="shared" si="94"/>
        <v>0.1239639925447119</v>
      </c>
      <c r="BO68" s="53">
        <f>BO59/BO58</f>
        <v>0.1430853491556367</v>
      </c>
      <c r="BP68" s="53">
        <f>BP59/BP58</f>
        <v>0.15330385182336731</v>
      </c>
      <c r="CE68" s="53">
        <f t="shared" ref="CE68:CT68" si="95">CE59/CE58</f>
        <v>0.174545454545455</v>
      </c>
      <c r="CF68" s="53">
        <f t="shared" si="95"/>
        <v>6.637168141592921E-2</v>
      </c>
      <c r="CG68" s="53">
        <f t="shared" si="95"/>
        <v>0.12418990203466466</v>
      </c>
      <c r="CH68" s="53">
        <f t="shared" si="95"/>
        <v>0.1503021148036254</v>
      </c>
      <c r="CI68" s="53">
        <f t="shared" si="95"/>
        <v>0.13747793685036283</v>
      </c>
      <c r="CJ68" s="53">
        <f t="shared" si="95"/>
        <v>0.16423841059602648</v>
      </c>
      <c r="CK68" s="53">
        <f t="shared" si="95"/>
        <v>0.17362045760430686</v>
      </c>
      <c r="CL68" s="53">
        <f t="shared" si="95"/>
        <v>0.12545931758530185</v>
      </c>
      <c r="CM68" s="53">
        <f t="shared" si="95"/>
        <v>4.6620775969962454E-2</v>
      </c>
      <c r="CN68" s="53">
        <f t="shared" si="95"/>
        <v>-6.2885010266940447E-2</v>
      </c>
      <c r="CO68" s="53">
        <f t="shared" si="95"/>
        <v>5.8585858585858588E-2</v>
      </c>
      <c r="CP68" s="53">
        <f t="shared" si="95"/>
        <v>1.7464277613971423E-2</v>
      </c>
      <c r="CQ68" s="53">
        <f t="shared" si="95"/>
        <v>1.9012171813700834E-2</v>
      </c>
      <c r="CR68" s="53">
        <f t="shared" si="95"/>
        <v>-4.4726142071274816E-2</v>
      </c>
      <c r="CS68" s="53">
        <f t="shared" si="95"/>
        <v>0.1199952687917677</v>
      </c>
      <c r="CT68" s="53">
        <f t="shared" si="95"/>
        <v>0.13264941803727417</v>
      </c>
      <c r="CU68" s="57">
        <v>0.14000000000000001</v>
      </c>
      <c r="CV68" s="57">
        <v>0.14000000000000001</v>
      </c>
      <c r="CW68" s="57">
        <v>0.14000000000000001</v>
      </c>
      <c r="CX68" s="57">
        <v>0.14000000000000001</v>
      </c>
      <c r="CY68" s="57">
        <v>0.14000000000000001</v>
      </c>
      <c r="CZ68" s="57">
        <v>0.14000000000000001</v>
      </c>
      <c r="DA68" s="57">
        <v>0.14000000000000001</v>
      </c>
      <c r="DB68" s="57">
        <v>0.14000000000000001</v>
      </c>
      <c r="DC68" s="57">
        <v>0.14000000000000001</v>
      </c>
      <c r="DD68" s="57">
        <v>0.14000000000000001</v>
      </c>
    </row>
    <row r="69" spans="2:109">
      <c r="B69" s="37" t="s">
        <v>128</v>
      </c>
      <c r="C69" s="53">
        <f t="shared" ref="C69:AL69" si="96">C60/C48</f>
        <v>-0.30322192110809998</v>
      </c>
      <c r="D69" s="53">
        <f t="shared" si="96"/>
        <v>-0.13573728267868632</v>
      </c>
      <c r="E69" s="53">
        <f t="shared" si="96"/>
        <v>0.11924269264836149</v>
      </c>
      <c r="F69" s="53">
        <f t="shared" si="96"/>
        <v>0.13333333333333336</v>
      </c>
      <c r="G69" s="53">
        <f t="shared" si="96"/>
        <v>0.13735276502295868</v>
      </c>
      <c r="H69" s="53">
        <f t="shared" si="96"/>
        <v>-0.17369329388560151</v>
      </c>
      <c r="I69" s="53">
        <f t="shared" si="96"/>
        <v>0.10060433700675429</v>
      </c>
      <c r="J69" s="53">
        <f t="shared" si="96"/>
        <v>0.19359205776173283</v>
      </c>
      <c r="K69" s="53">
        <f t="shared" si="96"/>
        <v>0.14054054054054049</v>
      </c>
      <c r="L69" s="53">
        <f t="shared" si="96"/>
        <v>0.14913920314805704</v>
      </c>
      <c r="M69" s="53">
        <f t="shared" si="96"/>
        <v>0.16722941286812981</v>
      </c>
      <c r="N69" s="53">
        <f t="shared" si="96"/>
        <v>0.12169534200587502</v>
      </c>
      <c r="O69" s="53">
        <f t="shared" si="96"/>
        <v>6.541247702454317E-2</v>
      </c>
      <c r="P69" s="53">
        <f t="shared" si="96"/>
        <v>0.11395192952216787</v>
      </c>
      <c r="Q69" s="53">
        <f t="shared" si="96"/>
        <v>0.17357362345320151</v>
      </c>
      <c r="R69" s="53">
        <f t="shared" si="96"/>
        <v>0.15719577197578835</v>
      </c>
      <c r="S69" s="53">
        <f t="shared" si="96"/>
        <v>8.1491568031842501E-2</v>
      </c>
      <c r="T69" s="53">
        <f t="shared" si="96"/>
        <v>9.8649201801064249E-2</v>
      </c>
      <c r="U69" s="53">
        <f t="shared" si="96"/>
        <v>0.11261859582542695</v>
      </c>
      <c r="V69" s="53">
        <f t="shared" si="96"/>
        <v>0.12839786731929018</v>
      </c>
      <c r="W69" s="53">
        <f t="shared" si="96"/>
        <v>0.1242067089755213</v>
      </c>
      <c r="X69" s="53">
        <f t="shared" si="96"/>
        <v>0.11604714415231188</v>
      </c>
      <c r="Y69" s="53">
        <f t="shared" si="96"/>
        <v>0.14122448979591837</v>
      </c>
      <c r="Z69" s="53">
        <f t="shared" si="96"/>
        <v>0.15427657873701039</v>
      </c>
      <c r="AA69" s="53">
        <f t="shared" si="96"/>
        <v>0.11642050390964379</v>
      </c>
      <c r="AB69" s="53">
        <f t="shared" si="96"/>
        <v>2.2549869904596703E-2</v>
      </c>
      <c r="AC69" s="53">
        <f t="shared" si="96"/>
        <v>0.18850574712643678</v>
      </c>
      <c r="AD69" s="53">
        <f t="shared" si="96"/>
        <v>0.14846538187009278</v>
      </c>
      <c r="AE69" s="53">
        <f t="shared" si="96"/>
        <v>0.15938697318007664</v>
      </c>
      <c r="AF69" s="53">
        <f t="shared" si="96"/>
        <v>0.18277310924369747</v>
      </c>
      <c r="AG69" s="53">
        <f t="shared" si="96"/>
        <v>0.27045908183632733</v>
      </c>
      <c r="AH69" s="53">
        <f t="shared" si="96"/>
        <v>0.3014265991716521</v>
      </c>
      <c r="AI69" s="53">
        <f t="shared" si="96"/>
        <v>0.26174496644295303</v>
      </c>
      <c r="AJ69" s="53">
        <f t="shared" si="96"/>
        <v>0.26143497757847534</v>
      </c>
      <c r="AK69" s="53">
        <f t="shared" si="96"/>
        <v>0.31790591805766311</v>
      </c>
      <c r="AL69" s="53">
        <f t="shared" si="96"/>
        <v>0.38440398488491928</v>
      </c>
      <c r="AM69" s="53">
        <f t="shared" ref="AM69:BN69" si="97">AM60/AM48</f>
        <v>0.38790146554412225</v>
      </c>
      <c r="AN69" s="53">
        <f t="shared" si="97"/>
        <v>0.35254562920268973</v>
      </c>
      <c r="AO69" s="53">
        <f t="shared" si="97"/>
        <v>0.38667085822068531</v>
      </c>
      <c r="AP69" s="53">
        <f t="shared" si="97"/>
        <v>0.25668934240362812</v>
      </c>
      <c r="AQ69" s="53">
        <f t="shared" si="97"/>
        <v>0.17747747747747747</v>
      </c>
      <c r="AR69" s="53">
        <f t="shared" si="97"/>
        <v>0.2140364482357503</v>
      </c>
      <c r="AS69" s="53">
        <f t="shared" si="97"/>
        <v>0.29827471798274718</v>
      </c>
      <c r="AT69" s="53">
        <f t="shared" si="97"/>
        <v>0.30628019323671496</v>
      </c>
      <c r="AU69" s="53">
        <f t="shared" si="97"/>
        <v>0.29772727272727273</v>
      </c>
      <c r="AV69" s="53">
        <f t="shared" si="97"/>
        <v>0.16088980858768753</v>
      </c>
      <c r="AW69" s="53">
        <f t="shared" si="97"/>
        <v>0.28269149386373255</v>
      </c>
      <c r="AX69" s="53">
        <f t="shared" si="97"/>
        <v>0.29122526484109534</v>
      </c>
      <c r="AY69" s="53">
        <f t="shared" si="97"/>
        <v>0.33774951422010246</v>
      </c>
      <c r="AZ69" s="53">
        <f t="shared" si="97"/>
        <v>0.36483786691255571</v>
      </c>
      <c r="BA69" s="53">
        <f t="shared" si="97"/>
        <v>0.3468956778825848</v>
      </c>
      <c r="BB69" s="53">
        <f t="shared" si="97"/>
        <v>0.39277770508962451</v>
      </c>
      <c r="BC69" s="53">
        <f t="shared" si="97"/>
        <v>0.19522200772200773</v>
      </c>
      <c r="BD69" s="53">
        <f t="shared" si="97"/>
        <v>9.7852028639618144E-2</v>
      </c>
      <c r="BE69" s="53">
        <f t="shared" si="97"/>
        <v>0.11465182937110099</v>
      </c>
      <c r="BF69" s="53">
        <f t="shared" si="97"/>
        <v>0.2336803834077012</v>
      </c>
      <c r="BG69" s="53">
        <f t="shared" si="97"/>
        <v>0.28406562847608452</v>
      </c>
      <c r="BH69" s="53">
        <f t="shared" si="97"/>
        <v>0.45813282001924927</v>
      </c>
      <c r="BI69" s="53">
        <f t="shared" si="97"/>
        <v>0.51009933774834437</v>
      </c>
      <c r="BJ69" s="53">
        <f t="shared" si="97"/>
        <v>0.55585214676740713</v>
      </c>
      <c r="BK69" s="53">
        <f t="shared" si="97"/>
        <v>0.57137920442328372</v>
      </c>
      <c r="BL69" s="53">
        <f t="shared" si="97"/>
        <v>0.55256324900133158</v>
      </c>
      <c r="BM69" s="53">
        <f t="shared" si="97"/>
        <v>0.55039621458297705</v>
      </c>
      <c r="BN69" s="53">
        <f t="shared" si="97"/>
        <v>0.56166891256260965</v>
      </c>
      <c r="BO69" s="53">
        <f>BO60/BO48</f>
        <v>0.42610412600426673</v>
      </c>
      <c r="BP69" s="53">
        <f>BP60/BP48</f>
        <v>0.56526110861519374</v>
      </c>
      <c r="CE69" s="53">
        <f t="shared" ref="CE69:CT69" si="98">CE60/CE48</f>
        <v>-2.047258297258292E-2</v>
      </c>
      <c r="CF69" s="53">
        <f t="shared" si="98"/>
        <v>7.1458809584285826E-2</v>
      </c>
      <c r="CG69" s="53">
        <f t="shared" si="98"/>
        <v>0.1453513094374547</v>
      </c>
      <c r="CH69" s="53">
        <f t="shared" si="98"/>
        <v>0.13141909256576795</v>
      </c>
      <c r="CI69" s="53">
        <f t="shared" si="98"/>
        <v>0.10648910411622275</v>
      </c>
      <c r="CJ69" s="53">
        <f t="shared" si="98"/>
        <v>0.13477146518581803</v>
      </c>
      <c r="CK69" s="53">
        <f t="shared" si="98"/>
        <v>0.12255489021956088</v>
      </c>
      <c r="CL69" s="53">
        <f t="shared" si="98"/>
        <v>0.24109985528219971</v>
      </c>
      <c r="CM69" s="53">
        <f t="shared" si="98"/>
        <v>0.3136709903232448</v>
      </c>
      <c r="CN69" s="53">
        <f t="shared" si="98"/>
        <v>0.35344827586206895</v>
      </c>
      <c r="CO69" s="53">
        <f t="shared" si="98"/>
        <v>0.25609085913170909</v>
      </c>
      <c r="CP69" s="53">
        <f t="shared" si="98"/>
        <v>0.25979010494752625</v>
      </c>
      <c r="CQ69" s="53">
        <f t="shared" si="98"/>
        <v>0.36233930296499961</v>
      </c>
      <c r="CR69" s="53">
        <f t="shared" si="98"/>
        <v>0.16193371394676356</v>
      </c>
      <c r="CS69" s="53">
        <f t="shared" si="98"/>
        <v>0.4884934834706674</v>
      </c>
      <c r="CT69" s="53">
        <f t="shared" si="98"/>
        <v>0.55848027157712443</v>
      </c>
      <c r="CU69" s="57">
        <f>CU60/CU48</f>
        <v>0.53324731496595446</v>
      </c>
      <c r="CV69" s="57">
        <f t="shared" ref="CV69:DD69" si="99">CV60/CV48</f>
        <v>0.6386367339199609</v>
      </c>
      <c r="CW69" s="57">
        <f t="shared" si="99"/>
        <v>0.74629173669226045</v>
      </c>
      <c r="CX69" s="57">
        <f t="shared" si="99"/>
        <v>0.86427419955795093</v>
      </c>
      <c r="CY69" s="57">
        <f t="shared" si="99"/>
        <v>0.99542088531952111</v>
      </c>
      <c r="CZ69" s="57">
        <f t="shared" si="99"/>
        <v>1.1107811755375825</v>
      </c>
      <c r="DA69" s="57">
        <f t="shared" si="99"/>
        <v>1.2672615314550437</v>
      </c>
      <c r="DB69" s="57">
        <f t="shared" si="99"/>
        <v>1.4439950137764053</v>
      </c>
      <c r="DC69" s="57">
        <f t="shared" si="99"/>
        <v>1.6463812008090459</v>
      </c>
      <c r="DD69" s="57">
        <f t="shared" si="99"/>
        <v>1.8780723006503819</v>
      </c>
    </row>
    <row r="71" spans="2:109">
      <c r="B71" s="1" t="s">
        <v>129</v>
      </c>
      <c r="AU71" s="1">
        <v>15494</v>
      </c>
      <c r="AV71" s="1">
        <v>3274</v>
      </c>
      <c r="AW71" s="1">
        <v>2251</v>
      </c>
      <c r="AX71" s="1">
        <v>847</v>
      </c>
      <c r="AY71" s="1">
        <v>978</v>
      </c>
      <c r="AZ71" s="1">
        <v>847</v>
      </c>
      <c r="BA71" s="1">
        <v>1288</v>
      </c>
      <c r="BB71" s="1">
        <v>1990</v>
      </c>
      <c r="BC71" s="1">
        <v>3887</v>
      </c>
      <c r="BD71" s="1">
        <v>3013</v>
      </c>
      <c r="BE71" s="1">
        <v>2800</v>
      </c>
      <c r="BF71" s="1">
        <v>3839</v>
      </c>
      <c r="BG71" s="1">
        <v>5079</v>
      </c>
      <c r="BH71" s="1">
        <v>5783</v>
      </c>
      <c r="BI71" s="1">
        <v>5519</v>
      </c>
      <c r="BJ71" s="1">
        <v>7280</v>
      </c>
      <c r="BK71" s="1">
        <v>7587</v>
      </c>
      <c r="BL71" s="1">
        <v>8563</v>
      </c>
      <c r="BM71" s="1">
        <v>9107</v>
      </c>
      <c r="BN71" s="1">
        <v>8589</v>
      </c>
      <c r="BO71" s="1">
        <v>15234</v>
      </c>
      <c r="BP71" s="1">
        <v>11639</v>
      </c>
      <c r="CS71" s="1">
        <f>BJ71</f>
        <v>7280</v>
      </c>
      <c r="CT71" s="1">
        <f>BN71</f>
        <v>8589</v>
      </c>
      <c r="CU71" s="35">
        <f>CT71+CU60</f>
        <v>123513.67375351634</v>
      </c>
      <c r="CV71" s="35">
        <f t="shared" ref="CV71:DD71" si="100">CU71+CV60</f>
        <v>319869.13353590493</v>
      </c>
      <c r="CW71" s="35">
        <f t="shared" si="100"/>
        <v>608654.58978243358</v>
      </c>
      <c r="CX71" s="35">
        <f t="shared" si="100"/>
        <v>1015121.0901078781</v>
      </c>
      <c r="CY71" s="35">
        <f t="shared" si="100"/>
        <v>1571537.844229375</v>
      </c>
      <c r="CZ71" s="35">
        <f t="shared" si="100"/>
        <v>2297159.6235329146</v>
      </c>
      <c r="DA71" s="35">
        <f t="shared" si="100"/>
        <v>3254513.7468306264</v>
      </c>
      <c r="DB71" s="35">
        <f t="shared" si="100"/>
        <v>4504633.6522444589</v>
      </c>
      <c r="DC71" s="35">
        <f t="shared" si="100"/>
        <v>6122751.4174225833</v>
      </c>
      <c r="DD71" s="35">
        <f t="shared" si="100"/>
        <v>8199547.0284735076</v>
      </c>
    </row>
    <row r="72" spans="2:109">
      <c r="B72" s="1" t="s">
        <v>130</v>
      </c>
      <c r="AU72" s="1">
        <v>860</v>
      </c>
      <c r="AV72" s="1">
        <v>7707</v>
      </c>
      <c r="AW72" s="1">
        <v>7888</v>
      </c>
      <c r="AX72" s="1">
        <v>10714</v>
      </c>
      <c r="AY72" s="1">
        <v>11689</v>
      </c>
      <c r="AZ72" s="1">
        <v>10714</v>
      </c>
      <c r="BA72" s="1">
        <v>18010</v>
      </c>
      <c r="BB72" s="1">
        <v>19218</v>
      </c>
      <c r="BC72" s="1">
        <v>16451</v>
      </c>
      <c r="BD72" s="1">
        <v>14024</v>
      </c>
      <c r="BE72" s="1">
        <v>10343</v>
      </c>
      <c r="BF72" s="1">
        <v>9907</v>
      </c>
      <c r="BG72" s="1">
        <v>10241</v>
      </c>
      <c r="BH72" s="1">
        <v>10240</v>
      </c>
      <c r="BI72" s="1">
        <v>12762</v>
      </c>
      <c r="BJ72" s="1">
        <v>18704</v>
      </c>
      <c r="BK72" s="1">
        <v>23851</v>
      </c>
      <c r="BL72" s="1">
        <v>26237</v>
      </c>
      <c r="BM72" s="1">
        <v>29380</v>
      </c>
      <c r="BN72" s="1">
        <v>34621</v>
      </c>
      <c r="BO72" s="1">
        <v>38457</v>
      </c>
      <c r="BP72" s="1">
        <v>45152</v>
      </c>
      <c r="CS72" s="1">
        <f t="shared" ref="CS72:CS82" si="101">BJ72</f>
        <v>18704</v>
      </c>
      <c r="CT72" s="1">
        <f t="shared" ref="CT72:CT82" si="102">BN72</f>
        <v>34621</v>
      </c>
    </row>
    <row r="73" spans="2:109" ht="15" customHeight="1">
      <c r="B73" s="1" t="s">
        <v>1573</v>
      </c>
      <c r="AU73" s="1">
        <v>1907</v>
      </c>
      <c r="AV73" s="1">
        <v>2084</v>
      </c>
      <c r="AW73" s="1">
        <v>2546</v>
      </c>
      <c r="AX73" s="1">
        <v>2429</v>
      </c>
      <c r="AY73" s="1">
        <v>3024</v>
      </c>
      <c r="AZ73" s="1">
        <v>2429</v>
      </c>
      <c r="BA73" s="1">
        <v>3954</v>
      </c>
      <c r="BB73" s="1">
        <v>4650</v>
      </c>
      <c r="BC73" s="1">
        <v>5438</v>
      </c>
      <c r="BD73" s="1">
        <v>5317</v>
      </c>
      <c r="BE73" s="1">
        <v>4908</v>
      </c>
      <c r="BF73" s="1">
        <v>3827</v>
      </c>
      <c r="BG73" s="1">
        <v>4080</v>
      </c>
      <c r="BH73" s="1">
        <v>7066</v>
      </c>
      <c r="BI73" s="1">
        <v>8309</v>
      </c>
      <c r="BJ73" s="1">
        <v>9999</v>
      </c>
      <c r="BK73" s="1">
        <v>12365</v>
      </c>
      <c r="BL73" s="1">
        <v>14132</v>
      </c>
      <c r="BM73" s="1">
        <v>17693</v>
      </c>
      <c r="BN73" s="1">
        <v>23065</v>
      </c>
      <c r="BO73" s="1">
        <v>22132</v>
      </c>
      <c r="BP73" s="1">
        <v>27808</v>
      </c>
      <c r="CS73" s="1">
        <f t="shared" si="101"/>
        <v>9999</v>
      </c>
      <c r="CT73" s="1">
        <f t="shared" si="102"/>
        <v>23065</v>
      </c>
      <c r="CV73" s="62" t="s">
        <v>1593</v>
      </c>
      <c r="CW73" s="63"/>
      <c r="CX73" s="63"/>
      <c r="CY73" s="62" t="s">
        <v>1594</v>
      </c>
      <c r="CZ73" s="63"/>
      <c r="DA73" s="64" t="s">
        <v>1595</v>
      </c>
      <c r="DB73" s="63"/>
      <c r="DC73" s="65" t="s">
        <v>1596</v>
      </c>
      <c r="DD73" s="66">
        <v>0.28249999999999997</v>
      </c>
      <c r="DE73" s="63"/>
    </row>
    <row r="74" spans="2:109" ht="15" customHeight="1">
      <c r="B74" s="1" t="s">
        <v>1574</v>
      </c>
      <c r="AU74" s="1">
        <v>1128</v>
      </c>
      <c r="AV74" s="1">
        <v>1401</v>
      </c>
      <c r="AW74" s="1">
        <v>1495</v>
      </c>
      <c r="AX74" s="1">
        <v>1826</v>
      </c>
      <c r="AY74" s="1">
        <v>1992</v>
      </c>
      <c r="AZ74" s="1">
        <v>1826</v>
      </c>
      <c r="BA74" s="1">
        <v>2233</v>
      </c>
      <c r="BB74" s="1">
        <v>2605</v>
      </c>
      <c r="BC74" s="1">
        <v>3163</v>
      </c>
      <c r="BD74" s="1">
        <v>3889</v>
      </c>
      <c r="BE74" s="1">
        <v>4454</v>
      </c>
      <c r="BF74" s="1">
        <v>5159</v>
      </c>
      <c r="BG74" s="1">
        <v>4611</v>
      </c>
      <c r="BH74" s="1">
        <v>4319</v>
      </c>
      <c r="BI74" s="1">
        <v>4779</v>
      </c>
      <c r="BJ74" s="1">
        <v>5282</v>
      </c>
      <c r="BK74" s="1">
        <v>5864</v>
      </c>
      <c r="BL74" s="1">
        <v>6675</v>
      </c>
      <c r="BM74" s="1">
        <v>7654</v>
      </c>
      <c r="BN74" s="1">
        <v>10080</v>
      </c>
      <c r="BO74" s="1">
        <v>11333</v>
      </c>
      <c r="BP74" s="1">
        <v>14962</v>
      </c>
      <c r="CS74" s="1">
        <f t="shared" si="101"/>
        <v>5282</v>
      </c>
      <c r="CT74" s="1">
        <f t="shared" si="102"/>
        <v>10080</v>
      </c>
      <c r="CV74" s="63">
        <v>2025</v>
      </c>
      <c r="CW74" s="63"/>
      <c r="CX74" s="63">
        <v>2023</v>
      </c>
      <c r="CY74" s="63">
        <v>2024</v>
      </c>
      <c r="CZ74" s="63"/>
      <c r="DA74" s="64" t="s">
        <v>1597</v>
      </c>
      <c r="DB74" s="63"/>
      <c r="DC74" s="65" t="s">
        <v>1598</v>
      </c>
      <c r="DD74" s="66">
        <v>0.02</v>
      </c>
      <c r="DE74" s="63"/>
    </row>
    <row r="75" spans="2:109" ht="15" customHeight="1">
      <c r="B75" s="1" t="s">
        <v>1575</v>
      </c>
      <c r="AU75" s="1">
        <v>195</v>
      </c>
      <c r="AV75" s="1">
        <v>215</v>
      </c>
      <c r="AW75" s="1">
        <v>213</v>
      </c>
      <c r="AX75" s="1">
        <v>239</v>
      </c>
      <c r="AY75" s="1">
        <v>444</v>
      </c>
      <c r="AZ75" s="1">
        <v>239</v>
      </c>
      <c r="BA75" s="1">
        <v>321</v>
      </c>
      <c r="BB75" s="1">
        <v>366</v>
      </c>
      <c r="BC75" s="1">
        <v>636</v>
      </c>
      <c r="BD75" s="1">
        <v>1175</v>
      </c>
      <c r="BE75" s="1">
        <v>718</v>
      </c>
      <c r="BF75" s="1">
        <v>791</v>
      </c>
      <c r="BG75" s="1">
        <v>872</v>
      </c>
      <c r="BH75" s="1">
        <v>1389</v>
      </c>
      <c r="BI75" s="1">
        <v>1289</v>
      </c>
      <c r="BJ75" s="1">
        <v>3080</v>
      </c>
      <c r="BK75" s="1">
        <v>4062</v>
      </c>
      <c r="BL75" s="1">
        <v>4026</v>
      </c>
      <c r="BM75" s="1">
        <v>3806</v>
      </c>
      <c r="BN75" s="1">
        <v>3771</v>
      </c>
      <c r="BO75" s="1">
        <v>2779</v>
      </c>
      <c r="BP75" s="1">
        <v>2658</v>
      </c>
      <c r="CS75" s="1">
        <f t="shared" si="101"/>
        <v>3080</v>
      </c>
      <c r="CT75" s="1">
        <f t="shared" si="102"/>
        <v>3771</v>
      </c>
      <c r="CV75" s="67">
        <f>AVERAGE(CU54)*(1-CU68)</f>
        <v>113061.01720351634</v>
      </c>
      <c r="CW75" s="63"/>
      <c r="CX75" s="68">
        <f>SUM(CS71:CS74)-CS84+CS76+CS79+CS78</f>
        <v>48022</v>
      </c>
      <c r="CY75" s="68">
        <f>SUM(CT71:CT74)-CT84+CT76+CT79+CT78</f>
        <v>82323</v>
      </c>
      <c r="CZ75" s="63"/>
      <c r="DA75" s="68">
        <f>AVERAGE(CX75:CY75)</f>
        <v>65172.5</v>
      </c>
      <c r="DB75" s="63"/>
      <c r="DC75" s="65" t="s">
        <v>1599</v>
      </c>
      <c r="DD75" s="66">
        <v>4.3400000000000001E-2</v>
      </c>
      <c r="DE75" s="63"/>
    </row>
    <row r="76" spans="2:109" ht="15" customHeight="1">
      <c r="B76" s="1" t="s">
        <v>1576</v>
      </c>
      <c r="AU76" s="1">
        <v>1715</v>
      </c>
      <c r="AV76" s="1">
        <v>1964</v>
      </c>
      <c r="AW76" s="1">
        <v>2059</v>
      </c>
      <c r="AX76" s="1">
        <v>2149</v>
      </c>
      <c r="AY76" s="1">
        <v>2268</v>
      </c>
      <c r="AZ76" s="1">
        <v>2149</v>
      </c>
      <c r="BA76" s="1">
        <v>2509</v>
      </c>
      <c r="BB76" s="1">
        <v>2778</v>
      </c>
      <c r="BC76" s="1">
        <v>2916</v>
      </c>
      <c r="BD76" s="1">
        <v>3233</v>
      </c>
      <c r="BE76" s="1">
        <v>3774</v>
      </c>
      <c r="BF76" s="1">
        <v>3807</v>
      </c>
      <c r="BG76" s="1">
        <v>3740</v>
      </c>
      <c r="BH76" s="1">
        <v>3799</v>
      </c>
      <c r="BI76" s="1">
        <v>3844</v>
      </c>
      <c r="BJ76" s="1">
        <v>3914</v>
      </c>
      <c r="BK76" s="1">
        <v>4006</v>
      </c>
      <c r="BL76" s="1">
        <v>4885</v>
      </c>
      <c r="BM76" s="1">
        <v>5343</v>
      </c>
      <c r="BN76" s="1">
        <v>6283</v>
      </c>
      <c r="BO76" s="1">
        <v>7136</v>
      </c>
      <c r="BP76" s="1">
        <v>9141</v>
      </c>
      <c r="CS76" s="1">
        <f t="shared" si="101"/>
        <v>3914</v>
      </c>
      <c r="CT76" s="1">
        <f t="shared" si="102"/>
        <v>6283</v>
      </c>
      <c r="CV76" s="69">
        <f>CV75/DA75</f>
        <v>1.7347963819635022</v>
      </c>
      <c r="CW76" s="63"/>
      <c r="CX76" s="63"/>
      <c r="CY76" s="63"/>
      <c r="CZ76" s="63"/>
      <c r="DA76" s="63"/>
      <c r="DB76" s="63"/>
      <c r="DC76" s="65" t="s">
        <v>1600</v>
      </c>
      <c r="DD76" s="66">
        <f>10.5%-DD75</f>
        <v>6.1599999999999995E-2</v>
      </c>
      <c r="DE76" s="63"/>
    </row>
    <row r="77" spans="2:109" ht="15" customHeight="1">
      <c r="B77" s="1" t="s">
        <v>1577</v>
      </c>
      <c r="AU77" s="1">
        <v>595</v>
      </c>
      <c r="AV77" s="1">
        <v>701</v>
      </c>
      <c r="AW77" s="1">
        <v>681</v>
      </c>
      <c r="AX77" s="1">
        <v>707</v>
      </c>
      <c r="AY77" s="1">
        <v>727</v>
      </c>
      <c r="AZ77" s="1">
        <v>707</v>
      </c>
      <c r="BA77" s="1">
        <v>830</v>
      </c>
      <c r="BB77" s="1">
        <v>829</v>
      </c>
      <c r="BC77" s="1">
        <v>856</v>
      </c>
      <c r="BD77" s="1">
        <v>852</v>
      </c>
      <c r="BE77" s="1">
        <v>927</v>
      </c>
      <c r="BF77" s="1">
        <v>1038</v>
      </c>
      <c r="BG77" s="1">
        <v>1094</v>
      </c>
      <c r="BH77" s="1">
        <v>1235</v>
      </c>
      <c r="BI77" s="1">
        <v>1316</v>
      </c>
      <c r="BJ77" s="1">
        <v>1346</v>
      </c>
      <c r="BK77" s="1">
        <v>1532</v>
      </c>
      <c r="BL77" s="1">
        <v>1556</v>
      </c>
      <c r="BM77" s="1">
        <v>1755</v>
      </c>
      <c r="BN77" s="1">
        <v>1793</v>
      </c>
      <c r="BO77" s="1">
        <v>1810</v>
      </c>
      <c r="BP77" s="1">
        <v>2084</v>
      </c>
      <c r="CS77" s="1">
        <f t="shared" si="101"/>
        <v>1346</v>
      </c>
      <c r="CT77" s="1">
        <f t="shared" si="102"/>
        <v>1793</v>
      </c>
      <c r="CV77" s="63"/>
      <c r="CW77" s="63"/>
      <c r="CX77" s="63"/>
      <c r="CY77" s="63"/>
      <c r="CZ77" s="63"/>
      <c r="DA77" s="63"/>
      <c r="DB77" s="63"/>
      <c r="DC77" s="65" t="s">
        <v>1601</v>
      </c>
      <c r="DD77" s="63">
        <v>2.13</v>
      </c>
      <c r="DE77" s="63"/>
    </row>
    <row r="78" spans="2:109" ht="15" customHeight="1">
      <c r="B78" s="1" t="s">
        <v>1578</v>
      </c>
      <c r="AU78" s="1">
        <v>628</v>
      </c>
      <c r="AV78" s="1">
        <v>4193</v>
      </c>
      <c r="AW78" s="1">
        <v>4193</v>
      </c>
      <c r="AX78" s="1">
        <v>4193</v>
      </c>
      <c r="AY78" s="1">
        <v>4193</v>
      </c>
      <c r="AZ78" s="1">
        <v>4193</v>
      </c>
      <c r="BA78" s="1">
        <v>4302</v>
      </c>
      <c r="BB78" s="1">
        <v>4349</v>
      </c>
      <c r="BC78" s="1">
        <v>4365</v>
      </c>
      <c r="BD78" s="1">
        <v>4372</v>
      </c>
      <c r="BE78" s="1">
        <v>4372</v>
      </c>
      <c r="BF78" s="1">
        <v>4372</v>
      </c>
      <c r="BG78" s="1">
        <v>4430</v>
      </c>
      <c r="BH78" s="1">
        <v>4430</v>
      </c>
      <c r="BI78" s="1">
        <v>4430</v>
      </c>
      <c r="BJ78" s="1">
        <v>4430</v>
      </c>
      <c r="BK78" s="1">
        <v>4453</v>
      </c>
      <c r="BL78" s="1">
        <v>4622</v>
      </c>
      <c r="BM78" s="1">
        <v>4724</v>
      </c>
      <c r="BN78" s="1">
        <v>5188</v>
      </c>
      <c r="BO78" s="1">
        <v>5498</v>
      </c>
      <c r="BP78" s="1">
        <v>5755</v>
      </c>
      <c r="CS78" s="1">
        <f t="shared" si="101"/>
        <v>4430</v>
      </c>
      <c r="CT78" s="1">
        <f t="shared" si="102"/>
        <v>5188</v>
      </c>
      <c r="CV78" s="63"/>
      <c r="CW78" s="63"/>
      <c r="CX78" s="63"/>
      <c r="CY78" s="63"/>
      <c r="CZ78" s="63"/>
      <c r="DA78" s="63"/>
      <c r="DB78" s="63"/>
      <c r="DC78" s="65" t="s">
        <v>1602</v>
      </c>
      <c r="DD78" s="66">
        <f>+DD75+(DD76*DD77)</f>
        <v>0.17460799999999999</v>
      </c>
      <c r="DE78" s="63"/>
    </row>
    <row r="79" spans="2:109" ht="15" customHeight="1">
      <c r="B79" s="1" t="s">
        <v>1579</v>
      </c>
      <c r="AU79" s="1">
        <v>80</v>
      </c>
      <c r="AV79" s="1">
        <v>2854</v>
      </c>
      <c r="AW79" s="1">
        <v>2861</v>
      </c>
      <c r="AX79" s="1">
        <v>2737</v>
      </c>
      <c r="AY79" s="1">
        <v>2613</v>
      </c>
      <c r="AZ79" s="1">
        <v>2737</v>
      </c>
      <c r="BA79" s="1">
        <v>2454</v>
      </c>
      <c r="BB79" s="1">
        <v>2339</v>
      </c>
      <c r="BC79" s="1">
        <v>2211</v>
      </c>
      <c r="BD79" s="1">
        <v>2036</v>
      </c>
      <c r="BE79" s="1">
        <v>1850</v>
      </c>
      <c r="BF79" s="1">
        <v>1676</v>
      </c>
      <c r="BG79" s="1">
        <v>1541</v>
      </c>
      <c r="BH79" s="1">
        <v>1395</v>
      </c>
      <c r="BI79" s="1">
        <v>1251</v>
      </c>
      <c r="BJ79" s="1">
        <v>1112</v>
      </c>
      <c r="BK79" s="1">
        <v>986</v>
      </c>
      <c r="BL79" s="1">
        <v>952</v>
      </c>
      <c r="BM79" s="1">
        <v>838</v>
      </c>
      <c r="BN79" s="1">
        <v>807</v>
      </c>
      <c r="BO79" s="1">
        <v>769</v>
      </c>
      <c r="BP79" s="1">
        <v>755</v>
      </c>
      <c r="CS79" s="1">
        <f t="shared" si="101"/>
        <v>1112</v>
      </c>
      <c r="CT79" s="1">
        <f t="shared" si="102"/>
        <v>807</v>
      </c>
      <c r="CV79" s="63"/>
      <c r="CW79" s="63"/>
      <c r="CX79" s="63"/>
      <c r="CY79" s="63"/>
      <c r="CZ79" s="63"/>
      <c r="DA79" s="63"/>
      <c r="DB79" s="63"/>
      <c r="DC79" s="65"/>
      <c r="DD79" s="63"/>
      <c r="DE79" s="63"/>
    </row>
    <row r="80" spans="2:109" ht="15" customHeight="1">
      <c r="B80" s="1" t="s">
        <v>1580</v>
      </c>
      <c r="AU80" s="1">
        <v>533</v>
      </c>
      <c r="AV80" s="1">
        <v>630</v>
      </c>
      <c r="AW80" s="1">
        <v>666</v>
      </c>
      <c r="AX80" s="1">
        <v>806</v>
      </c>
      <c r="AY80" s="1">
        <v>778</v>
      </c>
      <c r="AZ80" s="1">
        <v>806</v>
      </c>
      <c r="BA80" s="1">
        <v>970</v>
      </c>
      <c r="BB80" s="1">
        <v>1222</v>
      </c>
      <c r="BC80" s="1">
        <v>1784</v>
      </c>
      <c r="BD80" s="1">
        <v>2225</v>
      </c>
      <c r="BE80" s="1">
        <v>2762</v>
      </c>
      <c r="BF80" s="1">
        <v>3396</v>
      </c>
      <c r="BG80" s="1">
        <v>4568</v>
      </c>
      <c r="BH80" s="1">
        <v>5398</v>
      </c>
      <c r="BI80" s="1">
        <v>5982</v>
      </c>
      <c r="BJ80" s="1">
        <v>6081</v>
      </c>
      <c r="BK80" s="1">
        <v>7798</v>
      </c>
      <c r="BL80" s="1">
        <v>9578</v>
      </c>
      <c r="BM80" s="1">
        <v>10276</v>
      </c>
      <c r="BN80" s="1">
        <v>10979</v>
      </c>
      <c r="BO80" s="1">
        <v>13318</v>
      </c>
      <c r="BP80" s="1">
        <v>13570</v>
      </c>
      <c r="CS80" s="1">
        <f t="shared" si="101"/>
        <v>6081</v>
      </c>
      <c r="CT80" s="1">
        <f t="shared" si="102"/>
        <v>10979</v>
      </c>
      <c r="CV80" s="63"/>
      <c r="CW80" s="63"/>
      <c r="CX80" s="63"/>
      <c r="CY80" s="63"/>
      <c r="CZ80" s="63"/>
      <c r="DA80" s="63"/>
      <c r="DB80" s="63"/>
      <c r="DC80" s="65" t="s">
        <v>1603</v>
      </c>
      <c r="DD80" s="67">
        <f>NPV(DD78,CU60:FB60)</f>
        <v>5346050.0879887082</v>
      </c>
      <c r="DE80" s="63"/>
    </row>
    <row r="81" spans="2:158" ht="15" customHeight="1">
      <c r="B81" s="1" t="s">
        <v>1581</v>
      </c>
      <c r="AU81" s="1">
        <v>119</v>
      </c>
      <c r="AV81" s="1">
        <v>157</v>
      </c>
      <c r="AW81" s="1">
        <v>2028</v>
      </c>
      <c r="AX81" s="1">
        <v>2144</v>
      </c>
      <c r="AY81" s="1">
        <v>2090</v>
      </c>
      <c r="AZ81" s="1">
        <v>2144</v>
      </c>
      <c r="BA81" s="1">
        <v>3761</v>
      </c>
      <c r="BB81" s="1">
        <v>3841</v>
      </c>
      <c r="BC81" s="1">
        <v>3505</v>
      </c>
      <c r="BD81" s="1">
        <v>3340</v>
      </c>
      <c r="BE81" s="1">
        <v>3580</v>
      </c>
      <c r="BF81" s="1">
        <v>3820</v>
      </c>
      <c r="BG81" s="1">
        <v>4204</v>
      </c>
      <c r="BH81" s="1">
        <v>4501</v>
      </c>
      <c r="BI81" s="1">
        <v>4667</v>
      </c>
      <c r="BJ81" s="1">
        <v>4500</v>
      </c>
      <c r="BK81" s="1">
        <v>4568</v>
      </c>
      <c r="BL81" s="1">
        <v>4001</v>
      </c>
      <c r="BM81" s="1">
        <v>5437</v>
      </c>
      <c r="BN81" s="1">
        <v>6425</v>
      </c>
      <c r="BO81" s="1">
        <v>6788</v>
      </c>
      <c r="BP81" s="1">
        <v>7216</v>
      </c>
      <c r="CS81" s="1">
        <f t="shared" si="101"/>
        <v>4500</v>
      </c>
      <c r="CT81" s="1">
        <f t="shared" si="102"/>
        <v>6425</v>
      </c>
      <c r="CV81" s="63"/>
      <c r="CW81" s="63"/>
      <c r="CX81" s="63"/>
      <c r="CY81" s="63"/>
      <c r="CZ81" s="63"/>
      <c r="DA81" s="63"/>
      <c r="DB81" s="63"/>
      <c r="DC81" s="65" t="s">
        <v>142</v>
      </c>
      <c r="DD81" s="67">
        <f>Main!C4</f>
        <v>24300</v>
      </c>
      <c r="DE81" s="74" t="s">
        <v>1604</v>
      </c>
    </row>
    <row r="82" spans="2:158" s="2" customFormat="1" ht="15" customHeight="1">
      <c r="B82" s="2" t="s">
        <v>1582</v>
      </c>
      <c r="AU82" s="2">
        <f t="shared" ref="AU82:BF82" si="103">SUM(AU71:AU81)</f>
        <v>23254</v>
      </c>
      <c r="AV82" s="2">
        <f t="shared" si="103"/>
        <v>25180</v>
      </c>
      <c r="AW82" s="2">
        <f t="shared" si="103"/>
        <v>26881</v>
      </c>
      <c r="AX82" s="2">
        <f t="shared" si="103"/>
        <v>28791</v>
      </c>
      <c r="AY82" s="2">
        <f t="shared" si="103"/>
        <v>30796</v>
      </c>
      <c r="AZ82" s="2">
        <f t="shared" si="103"/>
        <v>28791</v>
      </c>
      <c r="BA82" s="2">
        <f t="shared" si="103"/>
        <v>40632</v>
      </c>
      <c r="BB82" s="2">
        <f t="shared" si="103"/>
        <v>44187</v>
      </c>
      <c r="BC82" s="2">
        <f t="shared" si="103"/>
        <v>45212</v>
      </c>
      <c r="BD82" s="2">
        <f t="shared" si="103"/>
        <v>43476</v>
      </c>
      <c r="BE82" s="2">
        <f t="shared" si="103"/>
        <v>40488</v>
      </c>
      <c r="BF82" s="2">
        <f t="shared" si="103"/>
        <v>41632</v>
      </c>
      <c r="BG82" s="2">
        <f t="shared" ref="BG82:BN82" si="104">SUM(BG71:BG81)</f>
        <v>44460</v>
      </c>
      <c r="BH82" s="2">
        <f t="shared" si="104"/>
        <v>49555</v>
      </c>
      <c r="BI82" s="2">
        <f t="shared" si="104"/>
        <v>54148</v>
      </c>
      <c r="BJ82" s="2">
        <f t="shared" si="104"/>
        <v>65728</v>
      </c>
      <c r="BK82" s="2">
        <f t="shared" si="104"/>
        <v>77072</v>
      </c>
      <c r="BL82" s="2">
        <f t="shared" si="104"/>
        <v>85227</v>
      </c>
      <c r="BM82" s="2">
        <f t="shared" si="104"/>
        <v>96013</v>
      </c>
      <c r="BN82" s="2">
        <f t="shared" si="104"/>
        <v>111601</v>
      </c>
      <c r="BO82" s="2">
        <f>SUM(BO71:BO81)</f>
        <v>125254</v>
      </c>
      <c r="BP82" s="2">
        <f>SUM(BP71:BP81)</f>
        <v>140740</v>
      </c>
      <c r="BQ82" s="34"/>
      <c r="BR82" s="34"/>
      <c r="BS82" s="34"/>
      <c r="BT82" s="34"/>
      <c r="BU82" s="34"/>
      <c r="BV82" s="34"/>
      <c r="CS82" s="2">
        <f t="shared" si="101"/>
        <v>65728</v>
      </c>
      <c r="CT82" s="2">
        <f t="shared" si="102"/>
        <v>111601</v>
      </c>
      <c r="CU82" s="34"/>
      <c r="CV82" s="63"/>
      <c r="CW82" s="63"/>
      <c r="CX82" s="63"/>
      <c r="CY82" s="63"/>
      <c r="CZ82" s="63"/>
      <c r="DA82" s="63"/>
      <c r="DB82" s="63"/>
      <c r="DC82" s="65" t="s">
        <v>1605</v>
      </c>
      <c r="DD82" s="70">
        <f>DD80/DD81</f>
        <v>220.00206123410322</v>
      </c>
      <c r="DE82" s="75"/>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EM82" s="34"/>
      <c r="EN82" s="34"/>
      <c r="EO82" s="34"/>
      <c r="EP82" s="34"/>
      <c r="EQ82" s="34"/>
      <c r="ER82" s="34"/>
      <c r="ES82" s="34"/>
      <c r="ET82" s="34"/>
      <c r="EU82" s="34"/>
      <c r="EV82" s="34"/>
      <c r="EW82" s="34"/>
      <c r="EX82" s="34"/>
      <c r="EY82" s="34"/>
      <c r="EZ82" s="34"/>
      <c r="FA82" s="34"/>
      <c r="FB82" s="34"/>
    </row>
    <row r="83" spans="2:158" ht="15" customHeight="1">
      <c r="CV83" s="71"/>
      <c r="CW83" s="71"/>
      <c r="CX83" s="71"/>
      <c r="CY83" s="71"/>
      <c r="CZ83" s="71"/>
      <c r="DA83" s="71"/>
      <c r="DB83" s="71"/>
      <c r="DC83" s="65" t="s">
        <v>1606</v>
      </c>
      <c r="DD83" s="70">
        <f>Main!C3</f>
        <v>176.96</v>
      </c>
      <c r="DE83" s="73" t="s">
        <v>170</v>
      </c>
    </row>
    <row r="84" spans="2:158" ht="15" customHeight="1">
      <c r="B84" s="1" t="s">
        <v>1583</v>
      </c>
      <c r="AU84" s="1">
        <v>761</v>
      </c>
      <c r="AV84" s="1">
        <v>893</v>
      </c>
      <c r="AW84" s="1">
        <v>1097</v>
      </c>
      <c r="AX84" s="1">
        <v>1149</v>
      </c>
      <c r="AY84" s="1">
        <v>1218</v>
      </c>
      <c r="AZ84" s="1">
        <v>1201</v>
      </c>
      <c r="BA84" s="1">
        <v>1664</v>
      </c>
      <c r="BB84" s="1">
        <v>1783</v>
      </c>
      <c r="BC84" s="1">
        <v>1999</v>
      </c>
      <c r="BD84" s="1">
        <v>2421</v>
      </c>
      <c r="BE84" s="1">
        <v>1491</v>
      </c>
      <c r="BF84" s="1">
        <v>1193</v>
      </c>
      <c r="BG84" s="1">
        <v>1141</v>
      </c>
      <c r="BH84" s="1">
        <v>1929</v>
      </c>
      <c r="BI84" s="1">
        <v>2380</v>
      </c>
      <c r="BJ84" s="1">
        <v>2699</v>
      </c>
      <c r="BK84" s="1">
        <v>2715</v>
      </c>
      <c r="BL84" s="1">
        <v>3680</v>
      </c>
      <c r="BM84" s="1">
        <v>5353</v>
      </c>
      <c r="BN84" s="1">
        <v>6310</v>
      </c>
      <c r="BO84" s="1">
        <v>7331</v>
      </c>
      <c r="BP84" s="1">
        <v>9064</v>
      </c>
      <c r="CS84" s="1">
        <f t="shared" ref="CS84:CS92" si="105">BJ84</f>
        <v>2699</v>
      </c>
      <c r="CT84" s="1">
        <f t="shared" ref="CT84:CT92" si="106">BN84</f>
        <v>6310</v>
      </c>
      <c r="CV84" s="63"/>
      <c r="CW84" s="63"/>
      <c r="CX84" s="63"/>
      <c r="CY84" s="63"/>
      <c r="CZ84" s="63"/>
      <c r="DA84" s="63"/>
      <c r="DB84" s="63"/>
      <c r="DC84" s="65" t="s">
        <v>1607</v>
      </c>
      <c r="DD84" s="66">
        <f>DD82/DD83-1</f>
        <v>0.24323045453268088</v>
      </c>
      <c r="DE84" s="75" t="str">
        <f>IF(DD84&gt;0,"Upside","Downside")</f>
        <v>Upside</v>
      </c>
    </row>
    <row r="85" spans="2:158" ht="15" customHeight="1">
      <c r="B85" s="1" t="s">
        <v>1584</v>
      </c>
      <c r="AU85" s="1">
        <v>1142</v>
      </c>
      <c r="AV85" s="1">
        <v>1517</v>
      </c>
      <c r="AW85" s="1">
        <v>1574</v>
      </c>
      <c r="AX85" s="1">
        <v>1777</v>
      </c>
      <c r="AY85" s="1">
        <v>1787</v>
      </c>
      <c r="AZ85" s="1">
        <v>1725</v>
      </c>
      <c r="BA85" s="1">
        <v>1948</v>
      </c>
      <c r="BB85" s="1">
        <v>2552</v>
      </c>
      <c r="BC85" s="1">
        <v>3563</v>
      </c>
      <c r="BD85" s="1">
        <v>3903</v>
      </c>
      <c r="BE85" s="1">
        <v>4115</v>
      </c>
      <c r="BF85" s="1">
        <v>4120</v>
      </c>
      <c r="BG85" s="1">
        <v>4869</v>
      </c>
      <c r="BH85" s="1">
        <v>7156</v>
      </c>
      <c r="BI85" s="1">
        <v>5472</v>
      </c>
      <c r="BJ85" s="1">
        <v>6682</v>
      </c>
      <c r="BK85" s="1">
        <v>11258</v>
      </c>
      <c r="BL85" s="1">
        <v>10289</v>
      </c>
      <c r="BM85" s="1">
        <v>11126</v>
      </c>
      <c r="BN85" s="1">
        <v>11737</v>
      </c>
      <c r="BO85" s="1">
        <v>19211</v>
      </c>
      <c r="BP85" s="1">
        <v>15193</v>
      </c>
      <c r="CS85" s="1">
        <f t="shared" si="105"/>
        <v>6682</v>
      </c>
      <c r="CT85" s="1">
        <f t="shared" si="106"/>
        <v>11737</v>
      </c>
      <c r="CV85" s="72"/>
      <c r="CW85" s="72"/>
      <c r="CX85" s="72"/>
      <c r="CY85" s="72"/>
      <c r="CZ85" s="72"/>
      <c r="DA85" s="72"/>
      <c r="DB85" s="72"/>
      <c r="DC85" s="84" t="str" cm="1">
        <f t="array" ref="DC85">_xlfn.IFS(DD84&gt;=25%,"Strong Buy",DD84&gt;=10.00001%,"Buy",AND(DD84&lt;=10%,DD84&gt;=-4.9999%),"Hold",AND(DD84&lt;=-5%,DD84&gt;=-14.999999%),"Sell",DD84&lt;=-15%,"Strong Sell")</f>
        <v>Buy</v>
      </c>
      <c r="DD85" s="84"/>
      <c r="DE85" s="72"/>
    </row>
    <row r="86" spans="2:158" ht="15" customHeight="1">
      <c r="B86" s="1" t="s">
        <v>1592</v>
      </c>
      <c r="AU86" s="1">
        <v>0</v>
      </c>
      <c r="AV86" s="1">
        <v>0</v>
      </c>
      <c r="AW86" s="1">
        <v>998</v>
      </c>
      <c r="AX86" s="1">
        <v>999</v>
      </c>
      <c r="AY86" s="1">
        <v>999</v>
      </c>
      <c r="AZ86" s="1">
        <v>999</v>
      </c>
      <c r="BA86" s="1">
        <v>0</v>
      </c>
      <c r="BB86" s="1">
        <v>0</v>
      </c>
      <c r="BC86" s="1">
        <v>0</v>
      </c>
      <c r="BD86" s="1">
        <v>1249</v>
      </c>
      <c r="BE86" s="1">
        <v>1249</v>
      </c>
      <c r="BF86" s="1">
        <v>1250</v>
      </c>
      <c r="BG86" s="1">
        <v>1250</v>
      </c>
      <c r="BH86" s="1">
        <v>1249</v>
      </c>
      <c r="BI86" s="1">
        <v>1249</v>
      </c>
      <c r="BJ86" s="1">
        <v>1250</v>
      </c>
      <c r="BK86" s="1">
        <v>1250</v>
      </c>
      <c r="BL86" s="1">
        <v>0</v>
      </c>
      <c r="BM86" s="1">
        <v>0</v>
      </c>
      <c r="BN86" s="1">
        <v>0</v>
      </c>
      <c r="BO86" s="1">
        <v>0</v>
      </c>
      <c r="BP86" s="1">
        <v>0</v>
      </c>
      <c r="CS86" s="1">
        <f t="shared" si="105"/>
        <v>1250</v>
      </c>
      <c r="CT86" s="1">
        <f t="shared" si="106"/>
        <v>0</v>
      </c>
      <c r="CW86" s="72"/>
      <c r="CX86" s="72"/>
      <c r="CY86" s="72"/>
      <c r="CZ86" s="72"/>
      <c r="DA86" s="72"/>
      <c r="DB86" s="72"/>
      <c r="DC86" s="72"/>
      <c r="DD86" s="72"/>
      <c r="DE86" s="72"/>
      <c r="DF86" s="72"/>
    </row>
    <row r="87" spans="2:158">
      <c r="B87" s="1" t="s">
        <v>1585</v>
      </c>
      <c r="AU87" s="1">
        <v>6959</v>
      </c>
      <c r="AV87" s="1">
        <v>6960</v>
      </c>
      <c r="AW87" s="1">
        <v>5963</v>
      </c>
      <c r="AX87" s="1">
        <v>5964</v>
      </c>
      <c r="AY87" s="1">
        <v>5964</v>
      </c>
      <c r="AZ87" s="1">
        <v>5964</v>
      </c>
      <c r="BA87" s="1">
        <v>10944</v>
      </c>
      <c r="BB87" s="1">
        <v>10946</v>
      </c>
      <c r="BC87" s="1">
        <v>10947</v>
      </c>
      <c r="BD87" s="1">
        <v>9700</v>
      </c>
      <c r="BE87" s="1">
        <v>9701</v>
      </c>
      <c r="BF87" s="1">
        <v>9703</v>
      </c>
      <c r="BG87" s="1">
        <v>9704</v>
      </c>
      <c r="BH87" s="1">
        <v>8456</v>
      </c>
      <c r="BI87" s="1">
        <v>8457</v>
      </c>
      <c r="BJ87" s="1">
        <v>8459</v>
      </c>
      <c r="BK87" s="1">
        <v>8460</v>
      </c>
      <c r="BL87" s="1">
        <v>8461</v>
      </c>
      <c r="BM87" s="1">
        <v>8462</v>
      </c>
      <c r="BN87" s="1">
        <v>8463</v>
      </c>
      <c r="BO87" s="1">
        <v>8464</v>
      </c>
      <c r="BP87" s="1">
        <v>8466</v>
      </c>
      <c r="CS87" s="1">
        <f t="shared" si="105"/>
        <v>8459</v>
      </c>
      <c r="CT87" s="1">
        <f t="shared" si="106"/>
        <v>8463</v>
      </c>
    </row>
    <row r="88" spans="2:158">
      <c r="B88" s="1" t="s">
        <v>1586</v>
      </c>
      <c r="AU88" s="1">
        <v>519</v>
      </c>
      <c r="AV88" s="1">
        <v>611</v>
      </c>
      <c r="AW88" s="1">
        <v>604</v>
      </c>
      <c r="AX88" s="1">
        <v>634</v>
      </c>
      <c r="AY88" s="1">
        <v>640</v>
      </c>
      <c r="AZ88" s="1">
        <v>634</v>
      </c>
      <c r="BA88" s="1">
        <v>743</v>
      </c>
      <c r="BB88" s="1">
        <v>741</v>
      </c>
      <c r="BC88" s="1">
        <v>752</v>
      </c>
      <c r="BD88" s="1">
        <v>743</v>
      </c>
      <c r="BE88" s="1">
        <v>798</v>
      </c>
      <c r="BF88" s="1">
        <v>902</v>
      </c>
      <c r="BG88" s="1">
        <v>939</v>
      </c>
      <c r="BH88" s="1">
        <v>1041</v>
      </c>
      <c r="BI88" s="1">
        <v>1091</v>
      </c>
      <c r="BJ88" s="1">
        <v>1119</v>
      </c>
      <c r="BK88" s="1">
        <v>1281</v>
      </c>
      <c r="BL88" s="1">
        <v>1304</v>
      </c>
      <c r="BM88" s="1">
        <v>1490</v>
      </c>
      <c r="BN88" s="1">
        <v>1519</v>
      </c>
      <c r="BO88" s="1">
        <v>1521</v>
      </c>
      <c r="BP88" s="1">
        <v>1831</v>
      </c>
      <c r="CS88" s="1">
        <f t="shared" si="105"/>
        <v>1119</v>
      </c>
      <c r="CT88" s="1">
        <f t="shared" si="106"/>
        <v>1519</v>
      </c>
    </row>
    <row r="89" spans="2:158">
      <c r="B89" s="1" t="s">
        <v>1587</v>
      </c>
      <c r="AU89" s="1">
        <v>774</v>
      </c>
      <c r="AV89" s="1">
        <v>1285</v>
      </c>
      <c r="AW89" s="1">
        <v>1311</v>
      </c>
      <c r="AX89" s="1">
        <v>1375</v>
      </c>
      <c r="AY89" s="1">
        <v>1414</v>
      </c>
      <c r="AZ89" s="1">
        <v>1375</v>
      </c>
      <c r="BA89" s="1">
        <v>1535</v>
      </c>
      <c r="BB89" s="1">
        <v>1553</v>
      </c>
      <c r="BC89" s="1">
        <v>1631</v>
      </c>
      <c r="BD89" s="1">
        <v>1609</v>
      </c>
      <c r="BE89" s="1">
        <v>1785</v>
      </c>
      <c r="BF89" s="1">
        <v>1913</v>
      </c>
      <c r="BG89" s="1">
        <v>2037</v>
      </c>
      <c r="BH89" s="1">
        <v>2223</v>
      </c>
      <c r="BI89" s="1">
        <v>2234</v>
      </c>
      <c r="BJ89" s="1">
        <v>2541</v>
      </c>
      <c r="BK89" s="1">
        <v>2966</v>
      </c>
      <c r="BL89" s="1">
        <v>3336</v>
      </c>
      <c r="BM89" s="1">
        <v>3683</v>
      </c>
      <c r="BN89" s="1">
        <v>4245</v>
      </c>
      <c r="BO89" s="1">
        <v>4884</v>
      </c>
      <c r="BP89" s="1">
        <v>6055</v>
      </c>
      <c r="CS89" s="1">
        <f t="shared" si="105"/>
        <v>2541</v>
      </c>
      <c r="CT89" s="1">
        <f t="shared" si="106"/>
        <v>4245</v>
      </c>
    </row>
    <row r="90" spans="2:158" s="2" customFormat="1" ht="15">
      <c r="B90" s="2" t="s">
        <v>1588</v>
      </c>
      <c r="AU90" s="2">
        <f t="shared" ref="AU90:BF90" si="107">SUM(AU84:AU89)</f>
        <v>10155</v>
      </c>
      <c r="AV90" s="2">
        <f>SUM(AV84:AV89)</f>
        <v>11266</v>
      </c>
      <c r="AW90" s="2">
        <f t="shared" si="107"/>
        <v>11547</v>
      </c>
      <c r="AX90" s="2">
        <f t="shared" si="107"/>
        <v>11898</v>
      </c>
      <c r="AY90" s="2">
        <f t="shared" si="107"/>
        <v>12022</v>
      </c>
      <c r="AZ90" s="2">
        <f t="shared" si="107"/>
        <v>11898</v>
      </c>
      <c r="BA90" s="2">
        <f t="shared" si="107"/>
        <v>16834</v>
      </c>
      <c r="BB90" s="2">
        <f t="shared" si="107"/>
        <v>17575</v>
      </c>
      <c r="BC90" s="2">
        <f t="shared" si="107"/>
        <v>18892</v>
      </c>
      <c r="BD90" s="2">
        <f t="shared" si="107"/>
        <v>19625</v>
      </c>
      <c r="BE90" s="2">
        <f t="shared" si="107"/>
        <v>19139</v>
      </c>
      <c r="BF90" s="2">
        <f t="shared" si="107"/>
        <v>19081</v>
      </c>
      <c r="BG90" s="2">
        <f t="shared" ref="BG90:BM90" si="108">SUM(BG84:BG89)</f>
        <v>19940</v>
      </c>
      <c r="BH90" s="2">
        <f t="shared" si="108"/>
        <v>22054</v>
      </c>
      <c r="BI90" s="2">
        <f t="shared" si="108"/>
        <v>20883</v>
      </c>
      <c r="BJ90" s="2">
        <f t="shared" si="108"/>
        <v>22750</v>
      </c>
      <c r="BK90" s="2">
        <f t="shared" si="108"/>
        <v>27930</v>
      </c>
      <c r="BL90" s="2">
        <f t="shared" si="108"/>
        <v>27070</v>
      </c>
      <c r="BM90" s="2">
        <f t="shared" si="108"/>
        <v>30114</v>
      </c>
      <c r="BN90" s="2">
        <f>SUM(BN84:BN89)</f>
        <v>32274</v>
      </c>
      <c r="BO90" s="2">
        <f>SUM(BO84:BO89)</f>
        <v>41411</v>
      </c>
      <c r="BP90" s="2">
        <f>SUM(BP84:BP89)</f>
        <v>40609</v>
      </c>
      <c r="BQ90" s="34"/>
      <c r="BR90" s="34"/>
      <c r="BS90" s="34"/>
      <c r="BT90" s="34"/>
      <c r="BU90" s="34"/>
      <c r="BV90" s="34"/>
      <c r="CS90" s="2">
        <f t="shared" si="105"/>
        <v>22750</v>
      </c>
      <c r="CT90" s="2">
        <f t="shared" si="106"/>
        <v>32274</v>
      </c>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c r="EP90" s="34"/>
      <c r="EQ90" s="34"/>
      <c r="ER90" s="34"/>
      <c r="ES90" s="34"/>
      <c r="ET90" s="34"/>
      <c r="EU90" s="34"/>
      <c r="EV90" s="34"/>
      <c r="EW90" s="34"/>
      <c r="EX90" s="34"/>
      <c r="EY90" s="34"/>
      <c r="EZ90" s="34"/>
      <c r="FA90" s="34"/>
      <c r="FB90" s="34"/>
    </row>
    <row r="91" spans="2:158">
      <c r="B91" s="1" t="s">
        <v>1589</v>
      </c>
      <c r="AU91" s="1">
        <v>13099</v>
      </c>
      <c r="AV91" s="1">
        <v>13914</v>
      </c>
      <c r="AW91" s="1">
        <v>15334</v>
      </c>
      <c r="AX91" s="1">
        <v>16893</v>
      </c>
      <c r="AY91" s="1">
        <v>18774</v>
      </c>
      <c r="AZ91" s="1">
        <v>16893</v>
      </c>
      <c r="BA91" s="1">
        <v>23798</v>
      </c>
      <c r="BB91" s="1">
        <v>22101</v>
      </c>
      <c r="BC91" s="1">
        <v>26320</v>
      </c>
      <c r="BD91" s="1">
        <v>23851</v>
      </c>
      <c r="BE91" s="1">
        <v>21349</v>
      </c>
      <c r="BF91" s="1">
        <v>22101</v>
      </c>
      <c r="BG91" s="1">
        <v>24520</v>
      </c>
      <c r="BH91" s="1">
        <v>24501</v>
      </c>
      <c r="BI91" s="1">
        <v>33265</v>
      </c>
      <c r="BJ91" s="1">
        <v>42978</v>
      </c>
      <c r="BK91" s="1">
        <v>49142</v>
      </c>
      <c r="BL91" s="1">
        <v>58157</v>
      </c>
      <c r="BM91" s="1">
        <v>65899</v>
      </c>
      <c r="BN91" s="1">
        <v>79327</v>
      </c>
      <c r="BO91" s="1">
        <v>83843</v>
      </c>
      <c r="BP91" s="1">
        <v>100131</v>
      </c>
      <c r="CS91" s="1">
        <f t="shared" si="105"/>
        <v>42978</v>
      </c>
      <c r="CT91" s="1">
        <f t="shared" si="106"/>
        <v>79327</v>
      </c>
    </row>
    <row r="92" spans="2:158" s="2" customFormat="1" ht="15">
      <c r="B92" s="2" t="s">
        <v>1590</v>
      </c>
      <c r="AU92" s="2">
        <f t="shared" ref="AU92:BF92" si="109">AU90+AU91</f>
        <v>23254</v>
      </c>
      <c r="AV92" s="2">
        <f t="shared" si="109"/>
        <v>25180</v>
      </c>
      <c r="AW92" s="2">
        <f t="shared" si="109"/>
        <v>26881</v>
      </c>
      <c r="AX92" s="2">
        <f t="shared" si="109"/>
        <v>28791</v>
      </c>
      <c r="AY92" s="2">
        <f t="shared" si="109"/>
        <v>30796</v>
      </c>
      <c r="AZ92" s="2">
        <f t="shared" si="109"/>
        <v>28791</v>
      </c>
      <c r="BA92" s="2">
        <f t="shared" si="109"/>
        <v>40632</v>
      </c>
      <c r="BB92" s="2">
        <f t="shared" si="109"/>
        <v>39676</v>
      </c>
      <c r="BC92" s="2">
        <f t="shared" si="109"/>
        <v>45212</v>
      </c>
      <c r="BD92" s="2">
        <f t="shared" si="109"/>
        <v>43476</v>
      </c>
      <c r="BE92" s="2">
        <f t="shared" si="109"/>
        <v>40488</v>
      </c>
      <c r="BF92" s="2">
        <f t="shared" si="109"/>
        <v>41182</v>
      </c>
      <c r="BG92" s="2">
        <f t="shared" ref="BG92:BM92" si="110">BG90+BG91</f>
        <v>44460</v>
      </c>
      <c r="BH92" s="2">
        <f t="shared" si="110"/>
        <v>46555</v>
      </c>
      <c r="BI92" s="2">
        <f t="shared" si="110"/>
        <v>54148</v>
      </c>
      <c r="BJ92" s="2">
        <f t="shared" si="110"/>
        <v>65728</v>
      </c>
      <c r="BK92" s="2">
        <f t="shared" si="110"/>
        <v>77072</v>
      </c>
      <c r="BL92" s="2">
        <f t="shared" si="110"/>
        <v>85227</v>
      </c>
      <c r="BM92" s="2">
        <f t="shared" si="110"/>
        <v>96013</v>
      </c>
      <c r="BN92" s="2">
        <f>BN90+BN91</f>
        <v>111601</v>
      </c>
      <c r="BO92" s="2">
        <f>BO90+BO91</f>
        <v>125254</v>
      </c>
      <c r="BP92" s="2">
        <f>BP90+BP91</f>
        <v>140740</v>
      </c>
      <c r="BQ92" s="34"/>
      <c r="BR92" s="34"/>
      <c r="BS92" s="34"/>
      <c r="BT92" s="34"/>
      <c r="BU92" s="34"/>
      <c r="BV92" s="34"/>
      <c r="CS92" s="2">
        <f t="shared" si="105"/>
        <v>65728</v>
      </c>
      <c r="CT92" s="2">
        <f t="shared" si="106"/>
        <v>111601</v>
      </c>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c r="DZ92" s="34"/>
      <c r="EA92" s="34"/>
      <c r="EB92" s="34"/>
      <c r="EC92" s="34"/>
      <c r="ED92" s="34"/>
      <c r="EE92" s="34"/>
      <c r="EF92" s="34"/>
      <c r="EG92" s="34"/>
      <c r="EH92" s="34"/>
      <c r="EI92" s="34"/>
      <c r="EJ92" s="34"/>
      <c r="EK92" s="34"/>
      <c r="EL92" s="34"/>
      <c r="EM92" s="34"/>
      <c r="EN92" s="34"/>
      <c r="EO92" s="34"/>
      <c r="EP92" s="34"/>
      <c r="EQ92" s="34"/>
      <c r="ER92" s="34"/>
      <c r="ES92" s="34"/>
      <c r="ET92" s="34"/>
      <c r="EU92" s="34"/>
      <c r="EV92" s="34"/>
      <c r="EW92" s="34"/>
      <c r="EX92" s="34"/>
      <c r="EY92" s="34"/>
      <c r="EZ92" s="34"/>
      <c r="FA92" s="34"/>
      <c r="FB92" s="34"/>
    </row>
    <row r="94" spans="2:158">
      <c r="B94" s="1" t="s">
        <v>131</v>
      </c>
      <c r="AU94" s="40">
        <f t="shared" ref="AU94:BF94" si="111">SUM(AU71:AU75)/SUM(AU84:AU86)</f>
        <v>10.291119285338938</v>
      </c>
      <c r="AV94" s="40">
        <f t="shared" si="111"/>
        <v>6.0917012448132777</v>
      </c>
      <c r="AW94" s="40">
        <f t="shared" si="111"/>
        <v>3.9228672662850914</v>
      </c>
      <c r="AX94" s="40">
        <f t="shared" si="111"/>
        <v>4.0904458598726112</v>
      </c>
      <c r="AY94" s="40">
        <f t="shared" si="111"/>
        <v>4.5272227772227769</v>
      </c>
      <c r="AZ94" s="40">
        <f t="shared" si="111"/>
        <v>4.0904458598726112</v>
      </c>
      <c r="BA94" s="40">
        <f t="shared" si="111"/>
        <v>7.1445182724252492</v>
      </c>
      <c r="BB94" s="40">
        <f t="shared" si="111"/>
        <v>6.6502883506343711</v>
      </c>
      <c r="BC94" s="40">
        <f t="shared" si="111"/>
        <v>5.3173318950017983</v>
      </c>
      <c r="BD94" s="40">
        <f t="shared" si="111"/>
        <v>3.6204938597649545</v>
      </c>
      <c r="BE94" s="40">
        <f t="shared" si="111"/>
        <v>3.3877461706783372</v>
      </c>
      <c r="BF94" s="40">
        <f t="shared" si="111"/>
        <v>3.5841840621666923</v>
      </c>
      <c r="BG94" s="40">
        <f t="shared" ref="BG94:BO94" si="112">SUM(BG71:BG75)/SUM(BG84:BG86)</f>
        <v>3.4274104683195592</v>
      </c>
      <c r="BH94" s="40">
        <f t="shared" si="112"/>
        <v>2.7866266692471453</v>
      </c>
      <c r="BI94" s="40">
        <f t="shared" si="112"/>
        <v>3.588396879463795</v>
      </c>
      <c r="BJ94" s="40">
        <f t="shared" si="112"/>
        <v>4.1712915059730973</v>
      </c>
      <c r="BK94" s="40">
        <f t="shared" si="112"/>
        <v>3.5294619982920579</v>
      </c>
      <c r="BL94" s="40">
        <f t="shared" si="112"/>
        <v>4.2689526809363594</v>
      </c>
      <c r="BM94" s="40">
        <f t="shared" si="112"/>
        <v>4.1046179986649678</v>
      </c>
      <c r="BN94" s="40">
        <f t="shared" si="112"/>
        <v>4.4398514988640772</v>
      </c>
      <c r="BO94" s="40">
        <f t="shared" si="112"/>
        <v>3.3884032853590536</v>
      </c>
      <c r="BP94" s="40">
        <f>SUM(BP71:BP75)/SUM(BP84:BP86)</f>
        <v>4.2140000824504265</v>
      </c>
      <c r="CS94" s="40">
        <f>SUM(CS71:CS75)/SUM(CS84:CS86)</f>
        <v>4.1712915059730973</v>
      </c>
      <c r="CT94" s="40">
        <f>SUM(CT71:CT75)/SUM(CT84:CT86)</f>
        <v>4.4398514988640772</v>
      </c>
    </row>
    <row r="95" spans="2:158">
      <c r="B95" s="1" t="s">
        <v>132</v>
      </c>
      <c r="AU95" s="40">
        <f t="shared" ref="AU95:BF95" si="113">(SUM(AU71:AU75)-AU74)/SUM(AU84:AU86)</f>
        <v>9.6983709931686803</v>
      </c>
      <c r="AV95" s="40">
        <f t="shared" si="113"/>
        <v>5.5103734439834025</v>
      </c>
      <c r="AW95" s="40">
        <f t="shared" si="113"/>
        <v>3.5153992913600436</v>
      </c>
      <c r="AX95" s="40">
        <f t="shared" si="113"/>
        <v>3.6252229299363057</v>
      </c>
      <c r="AY95" s="40">
        <f t="shared" si="113"/>
        <v>4.02972027972028</v>
      </c>
      <c r="AZ95" s="40">
        <f t="shared" si="113"/>
        <v>3.6252229299363057</v>
      </c>
      <c r="BA95" s="40">
        <f t="shared" si="113"/>
        <v>6.5263012181616835</v>
      </c>
      <c r="BB95" s="40">
        <f t="shared" si="113"/>
        <v>6.0493656286043826</v>
      </c>
      <c r="BC95" s="40">
        <f t="shared" si="113"/>
        <v>4.7486515641855451</v>
      </c>
      <c r="BD95" s="40">
        <f t="shared" si="113"/>
        <v>3.1069589330516307</v>
      </c>
      <c r="BE95" s="40">
        <f t="shared" si="113"/>
        <v>2.738001458789205</v>
      </c>
      <c r="BF95" s="40">
        <f t="shared" si="113"/>
        <v>2.7981106201432273</v>
      </c>
      <c r="BG95" s="40">
        <f t="shared" ref="BG95:BO95" si="114">(SUM(BG71:BG75)-BG74)/SUM(BG84:BG86)</f>
        <v>2.7922865013774105</v>
      </c>
      <c r="BH95" s="40">
        <f t="shared" si="114"/>
        <v>2.3686858912328237</v>
      </c>
      <c r="BI95" s="40">
        <f t="shared" si="114"/>
        <v>3.0632897483792991</v>
      </c>
      <c r="BJ95" s="40">
        <f t="shared" si="114"/>
        <v>3.6744426676700215</v>
      </c>
      <c r="BK95" s="40">
        <f t="shared" si="114"/>
        <v>3.1442554030086054</v>
      </c>
      <c r="BL95" s="40">
        <f t="shared" si="114"/>
        <v>3.7911088839573339</v>
      </c>
      <c r="BM95" s="40">
        <f t="shared" si="114"/>
        <v>3.6401480672370896</v>
      </c>
      <c r="BN95" s="40">
        <f t="shared" si="114"/>
        <v>3.8813099130049316</v>
      </c>
      <c r="BO95" s="40">
        <f t="shared" si="114"/>
        <v>2.9614196368020496</v>
      </c>
      <c r="BP95" s="40">
        <f>(SUM(BP71:BP75)-BP74)/SUM(BP84:BP86)</f>
        <v>3.5971884404501795</v>
      </c>
      <c r="CS95" s="40">
        <f>(SUM(CS71:CS75)-CS74)/SUM(CS84:CS86)</f>
        <v>3.6744426676700215</v>
      </c>
      <c r="CT95" s="40">
        <f>(SUM(CT71:CT75)-CT74)/SUM(CT84:CT86)</f>
        <v>3.8813099130049316</v>
      </c>
    </row>
    <row r="96" spans="2:158">
      <c r="B96" s="1" t="s">
        <v>133</v>
      </c>
      <c r="AU96" s="40">
        <f t="shared" ref="AU96:BF96" si="115">SUM(AU71:AU72)/SUM(AU84:AU86)</f>
        <v>8.5937992643194949</v>
      </c>
      <c r="AV96" s="40">
        <f t="shared" si="115"/>
        <v>4.5564315352697093</v>
      </c>
      <c r="AW96" s="40">
        <f t="shared" si="115"/>
        <v>2.7634232760970292</v>
      </c>
      <c r="AX96" s="40">
        <f t="shared" si="115"/>
        <v>2.9454777070063694</v>
      </c>
      <c r="AY96" s="40">
        <f t="shared" si="115"/>
        <v>3.1635864135864136</v>
      </c>
      <c r="AZ96" s="40">
        <f t="shared" si="115"/>
        <v>2.9454777070063694</v>
      </c>
      <c r="BA96" s="40">
        <f t="shared" si="115"/>
        <v>5.342746400885936</v>
      </c>
      <c r="BB96" s="40">
        <f t="shared" si="115"/>
        <v>4.8922722029988464</v>
      </c>
      <c r="BC96" s="40">
        <f t="shared" si="115"/>
        <v>3.6565983459187343</v>
      </c>
      <c r="BD96" s="40">
        <f t="shared" si="115"/>
        <v>2.2497028918526345</v>
      </c>
      <c r="BE96" s="40">
        <f t="shared" si="115"/>
        <v>1.9172866520787746</v>
      </c>
      <c r="BF96" s="40">
        <f t="shared" si="115"/>
        <v>2.0944689928386411</v>
      </c>
      <c r="BG96" s="40">
        <f t="shared" ref="BG96:BO96" si="116">SUM(BG71:BG72)/SUM(BG84:BG86)</f>
        <v>2.1101928374655645</v>
      </c>
      <c r="BH96" s="40">
        <f t="shared" si="116"/>
        <v>1.5505128701374105</v>
      </c>
      <c r="BI96" s="40">
        <f t="shared" si="116"/>
        <v>2.0086803647950773</v>
      </c>
      <c r="BJ96" s="40">
        <f t="shared" si="116"/>
        <v>2.4441727024738973</v>
      </c>
      <c r="BK96" s="40">
        <f t="shared" si="116"/>
        <v>2.0651645536359458</v>
      </c>
      <c r="BL96" s="40">
        <f t="shared" si="116"/>
        <v>2.4912305820030065</v>
      </c>
      <c r="BM96" s="40">
        <f t="shared" si="116"/>
        <v>2.3355179319133441</v>
      </c>
      <c r="BN96" s="40">
        <f t="shared" si="116"/>
        <v>2.3943037623981827</v>
      </c>
      <c r="BO96" s="40">
        <f t="shared" si="116"/>
        <v>2.0228694145128476</v>
      </c>
      <c r="BP96" s="40">
        <f>SUM(BP71:BP72)/SUM(BP84:BP86)</f>
        <v>2.3412210908191451</v>
      </c>
      <c r="CS96" s="40">
        <f>SUM(CS71:CS72)/SUM(CS84:CS86)</f>
        <v>2.4441727024738973</v>
      </c>
      <c r="CT96" s="40">
        <f>SUM(CT71:CT72)/SUM(CT84:CT86)</f>
        <v>2.3943037623981827</v>
      </c>
    </row>
    <row r="97" spans="2:158">
      <c r="B97" s="1" t="s">
        <v>134</v>
      </c>
      <c r="AU97" s="40">
        <f t="shared" ref="AU97:BF97" si="117">AU48/AU82</f>
        <v>0.13245033112582782</v>
      </c>
      <c r="AV97" s="40">
        <f t="shared" si="117"/>
        <v>0.15353455123113582</v>
      </c>
      <c r="AW97" s="40">
        <f t="shared" si="117"/>
        <v>0.17581191175923513</v>
      </c>
      <c r="AX97" s="40">
        <f t="shared" si="117"/>
        <v>0.17376958077176896</v>
      </c>
      <c r="AY97" s="40">
        <f t="shared" si="117"/>
        <v>0.18382257436030652</v>
      </c>
      <c r="AZ97" s="40">
        <f t="shared" si="117"/>
        <v>0.22600812753985622</v>
      </c>
      <c r="BA97" s="40">
        <f t="shared" si="117"/>
        <v>0.17481295530616264</v>
      </c>
      <c r="BB97" s="40">
        <f t="shared" si="117"/>
        <v>0.17296942539660987</v>
      </c>
      <c r="BC97" s="40">
        <f t="shared" si="117"/>
        <v>0.18331416438113776</v>
      </c>
      <c r="BD97" s="40">
        <f t="shared" si="117"/>
        <v>0.15420001840095685</v>
      </c>
      <c r="BE97" s="40">
        <f t="shared" si="117"/>
        <v>0.14648784825133374</v>
      </c>
      <c r="BF97" s="40">
        <f t="shared" si="117"/>
        <v>0.14534492697924672</v>
      </c>
      <c r="BG97" s="40">
        <f t="shared" ref="BG97:BO97" si="118">BG48/BG82</f>
        <v>0.16176338281601441</v>
      </c>
      <c r="BH97" s="40">
        <f t="shared" si="118"/>
        <v>0.27256583593986478</v>
      </c>
      <c r="BI97" s="40">
        <f t="shared" si="118"/>
        <v>0.33463839846347049</v>
      </c>
      <c r="BJ97" s="40">
        <f t="shared" si="118"/>
        <v>0.33627981986368061</v>
      </c>
      <c r="BK97" s="40">
        <f t="shared" si="118"/>
        <v>0.33791779115632137</v>
      </c>
      <c r="BL97" s="40">
        <f t="shared" si="118"/>
        <v>0.35247046123880932</v>
      </c>
      <c r="BM97" s="40">
        <f t="shared" si="118"/>
        <v>0.36538802037224127</v>
      </c>
      <c r="BN97" s="40">
        <f t="shared" si="118"/>
        <v>0.35242515748066772</v>
      </c>
      <c r="BO97" s="40">
        <f t="shared" si="118"/>
        <v>0.35178118064093761</v>
      </c>
      <c r="BP97" s="40">
        <f>BP48/BP82</f>
        <v>0.33212306380559897</v>
      </c>
      <c r="CS97" s="40">
        <f>CS48/CS82</f>
        <v>0.92688047711781885</v>
      </c>
      <c r="CT97" s="40">
        <f>CT48/CT82</f>
        <v>1.169317479234057</v>
      </c>
    </row>
    <row r="98" spans="2:158">
      <c r="B98" s="1" t="s">
        <v>135</v>
      </c>
      <c r="AU98" s="40">
        <f t="shared" ref="AU98:BF98" si="119">AU49/AVERAGE(AR74:AU74)</f>
        <v>0.95390070921985815</v>
      </c>
      <c r="AV98" s="40">
        <f t="shared" si="119"/>
        <v>1.258204824041123</v>
      </c>
      <c r="AW98" s="40">
        <f t="shared" si="119"/>
        <v>1.3166003976143141</v>
      </c>
      <c r="AX98" s="40">
        <f t="shared" si="119"/>
        <v>1.2622222222222221</v>
      </c>
      <c r="AY98" s="40">
        <f t="shared" si="119"/>
        <v>1.2106047065832588</v>
      </c>
      <c r="AZ98" s="40">
        <f t="shared" si="119"/>
        <v>1.2842134752766494</v>
      </c>
      <c r="BA98" s="40">
        <f t="shared" si="119"/>
        <v>1.2553002412085819</v>
      </c>
      <c r="BB98" s="40">
        <f t="shared" si="119"/>
        <v>1.2213493530499075</v>
      </c>
      <c r="BC98" s="40">
        <f t="shared" si="119"/>
        <v>1.1629184898748346</v>
      </c>
      <c r="BD98" s="40">
        <f t="shared" si="119"/>
        <v>1.2746846089150548</v>
      </c>
      <c r="BE98" s="40">
        <f t="shared" si="119"/>
        <v>0.78066756431153006</v>
      </c>
      <c r="BF98" s="40">
        <f t="shared" si="119"/>
        <v>0.53237323732373232</v>
      </c>
      <c r="BG98" s="40">
        <f t="shared" ref="BG98:BP98" si="120">BG49/AVERAGE(BD74:BG74)</f>
        <v>0.56180643736542812</v>
      </c>
      <c r="BH98" s="40">
        <f t="shared" si="120"/>
        <v>0.87256646713045349</v>
      </c>
      <c r="BI98" s="40">
        <f t="shared" si="120"/>
        <v>1.0006359974560102</v>
      </c>
      <c r="BJ98" s="40">
        <f t="shared" si="120"/>
        <v>1.1188457690484968</v>
      </c>
      <c r="BK98" s="40">
        <f t="shared" si="120"/>
        <v>1.1140090891128236</v>
      </c>
      <c r="BL98" s="40">
        <f t="shared" si="120"/>
        <v>1.3214159292035399</v>
      </c>
      <c r="BM98" s="40">
        <f t="shared" si="120"/>
        <v>1.4015309126594702</v>
      </c>
      <c r="BN98" s="40">
        <f t="shared" si="120"/>
        <v>1.4017771611667162</v>
      </c>
      <c r="BO98" s="40">
        <f t="shared" si="120"/>
        <v>1.9466174248782944</v>
      </c>
      <c r="BP98" s="40">
        <f t="shared" si="120"/>
        <v>1.1710463558109427</v>
      </c>
      <c r="CS98" s="40">
        <f>CS49/AVERAGE(CP74:CS74)</f>
        <v>3.1467247254827715</v>
      </c>
      <c r="CT98" s="40">
        <f>CT49/AVERAGE(CQ74:CT74)</f>
        <v>4.2493164952480145</v>
      </c>
    </row>
    <row r="99" spans="2:158">
      <c r="B99" s="1" t="s">
        <v>136</v>
      </c>
      <c r="AU99" s="53">
        <f t="shared" ref="AU99:BF99" si="121">AU60/AU82</f>
        <v>3.9434075857916917E-2</v>
      </c>
      <c r="AV99" s="53">
        <f t="shared" si="121"/>
        <v>2.4702144559173949E-2</v>
      </c>
      <c r="AW99" s="53">
        <f t="shared" si="121"/>
        <v>4.970053197425691E-2</v>
      </c>
      <c r="AX99" s="53">
        <f t="shared" si="121"/>
        <v>5.0606092181584524E-2</v>
      </c>
      <c r="AY99" s="53">
        <f t="shared" si="121"/>
        <v>6.2085985192882193E-2</v>
      </c>
      <c r="AZ99" s="53">
        <f t="shared" si="121"/>
        <v>8.2456323156541972E-2</v>
      </c>
      <c r="BA99" s="53">
        <f t="shared" si="121"/>
        <v>6.0641858633589292E-2</v>
      </c>
      <c r="BB99" s="53">
        <f t="shared" si="121"/>
        <v>6.7938533957951436E-2</v>
      </c>
      <c r="BC99" s="53">
        <f t="shared" si="121"/>
        <v>3.5786959214367864E-2</v>
      </c>
      <c r="BD99" s="53">
        <f t="shared" si="121"/>
        <v>1.5088784616800074E-2</v>
      </c>
      <c r="BE99" s="53">
        <f t="shared" si="121"/>
        <v>1.6795099782651649E-2</v>
      </c>
      <c r="BF99" s="53">
        <f t="shared" si="121"/>
        <v>3.3964258262874712E-2</v>
      </c>
      <c r="BG99" s="53">
        <f t="shared" ref="BG99:BO99" si="122">BG60/BG82</f>
        <v>4.5951417004048582E-2</v>
      </c>
      <c r="BH99" s="53">
        <f t="shared" si="122"/>
        <v>0.1248713550600343</v>
      </c>
      <c r="BI99" s="53">
        <f t="shared" si="122"/>
        <v>0.17069882544138287</v>
      </c>
      <c r="BJ99" s="53">
        <f t="shared" si="122"/>
        <v>0.18692185978578382</v>
      </c>
      <c r="BK99" s="53">
        <f t="shared" si="122"/>
        <v>0.19307919867137222</v>
      </c>
      <c r="BL99" s="53">
        <f t="shared" si="122"/>
        <v>0.19476222323911435</v>
      </c>
      <c r="BM99" s="53">
        <f t="shared" si="122"/>
        <v>0.20110818326684929</v>
      </c>
      <c r="BN99" s="53">
        <f t="shared" si="122"/>
        <v>0.1979462549618731</v>
      </c>
      <c r="BO99" s="53">
        <f t="shared" si="122"/>
        <v>0.14989541252175578</v>
      </c>
      <c r="BP99" s="53">
        <f>BP60/BP82</f>
        <v>0.1877362512434276</v>
      </c>
      <c r="CS99" s="53">
        <f>CS60/CS82</f>
        <v>0.45277507302823761</v>
      </c>
      <c r="CT99" s="53">
        <f>CT60/CT82</f>
        <v>0.65304074336251472</v>
      </c>
    </row>
    <row r="100" spans="2:158">
      <c r="B100" s="1" t="s">
        <v>137</v>
      </c>
      <c r="AU100" s="53">
        <f t="shared" ref="AU100:BF100" si="123">AU60/AU91</f>
        <v>7.0005343919383164E-2</v>
      </c>
      <c r="AV100" s="53">
        <f t="shared" si="123"/>
        <v>4.4703176656604858E-2</v>
      </c>
      <c r="AW100" s="53">
        <f t="shared" si="123"/>
        <v>8.7126646667536195E-2</v>
      </c>
      <c r="AX100" s="53">
        <f t="shared" si="123"/>
        <v>8.6248742082519383E-2</v>
      </c>
      <c r="AY100" s="53">
        <f t="shared" si="123"/>
        <v>0.10184297432619581</v>
      </c>
      <c r="AZ100" s="53">
        <f t="shared" si="123"/>
        <v>0.14053158112827799</v>
      </c>
      <c r="BA100" s="53">
        <f t="shared" si="123"/>
        <v>0.10353811244642407</v>
      </c>
      <c r="BB100" s="53">
        <f t="shared" si="123"/>
        <v>0.13583095787520927</v>
      </c>
      <c r="BC100" s="53">
        <f t="shared" si="123"/>
        <v>6.1474164133738601E-2</v>
      </c>
      <c r="BD100" s="53">
        <f t="shared" si="123"/>
        <v>2.750408787891493E-2</v>
      </c>
      <c r="BE100" s="53">
        <f t="shared" si="123"/>
        <v>3.1851608974659232E-2</v>
      </c>
      <c r="BF100" s="53">
        <f t="shared" si="123"/>
        <v>6.3979005474865389E-2</v>
      </c>
      <c r="BG100" s="53">
        <f t="shared" ref="BG100:BO100" si="124">BG60/BG91</f>
        <v>8.3319738988580749E-2</v>
      </c>
      <c r="BH100" s="53">
        <f t="shared" si="124"/>
        <v>0.25256111995428759</v>
      </c>
      <c r="BI100" s="53">
        <f t="shared" si="124"/>
        <v>0.27785961220502031</v>
      </c>
      <c r="BJ100" s="53">
        <f t="shared" si="124"/>
        <v>0.28586718786355808</v>
      </c>
      <c r="BK100" s="53">
        <f t="shared" si="124"/>
        <v>0.30281632819177079</v>
      </c>
      <c r="BL100" s="53">
        <f t="shared" si="124"/>
        <v>0.2854170607149612</v>
      </c>
      <c r="BM100" s="53">
        <f t="shared" si="124"/>
        <v>0.2930089986190989</v>
      </c>
      <c r="BN100" s="53">
        <f t="shared" si="124"/>
        <v>0.27848021480706442</v>
      </c>
      <c r="BO100" s="53">
        <f t="shared" si="124"/>
        <v>0.2239304414202736</v>
      </c>
      <c r="BP100" s="53">
        <f>BP60/BP91</f>
        <v>0.26387432463472849</v>
      </c>
      <c r="CS100" s="53">
        <f>CS60/CS91</f>
        <v>0.69244729861789756</v>
      </c>
      <c r="CT100" s="53">
        <f>CT60/CT91</f>
        <v>0.9187288060811577</v>
      </c>
    </row>
    <row r="102" spans="2:158">
      <c r="B102" s="1" t="s">
        <v>138</v>
      </c>
      <c r="C102" s="55">
        <f t="shared" ref="C102:AK102" si="125">C60</f>
        <v>-201.4</v>
      </c>
      <c r="D102" s="55">
        <f t="shared" si="125"/>
        <v>-105.39999999999993</v>
      </c>
      <c r="E102" s="55">
        <f t="shared" si="125"/>
        <v>107.7000000000001</v>
      </c>
      <c r="F102" s="55">
        <f t="shared" si="125"/>
        <v>131.00000000000003</v>
      </c>
      <c r="G102" s="55">
        <f t="shared" si="125"/>
        <v>137.6</v>
      </c>
      <c r="H102" s="55">
        <f t="shared" si="125"/>
        <v>-140.89999999999995</v>
      </c>
      <c r="I102" s="55">
        <f t="shared" si="125"/>
        <v>84.899999999999949</v>
      </c>
      <c r="J102" s="55">
        <f t="shared" si="125"/>
        <v>171.59999999999997</v>
      </c>
      <c r="K102" s="55">
        <f t="shared" si="125"/>
        <v>135.19999999999996</v>
      </c>
      <c r="L102" s="55">
        <f t="shared" si="125"/>
        <v>151.59999999999997</v>
      </c>
      <c r="M102" s="55">
        <f t="shared" si="125"/>
        <v>178.3</v>
      </c>
      <c r="N102" s="55">
        <f t="shared" si="125"/>
        <v>116.00000000000007</v>
      </c>
      <c r="O102" s="55">
        <f t="shared" si="125"/>
        <v>60.499999999999972</v>
      </c>
      <c r="P102" s="55">
        <f t="shared" si="125"/>
        <v>118.9999999999999</v>
      </c>
      <c r="Q102" s="55">
        <f t="shared" si="125"/>
        <v>208.99999999999991</v>
      </c>
      <c r="R102" s="55">
        <f t="shared" si="125"/>
        <v>174.00000000000014</v>
      </c>
      <c r="S102" s="55">
        <f t="shared" si="125"/>
        <v>77.80000000000004</v>
      </c>
      <c r="T102" s="55">
        <f t="shared" si="125"/>
        <v>96.399999999999991</v>
      </c>
      <c r="U102" s="55">
        <f t="shared" si="125"/>
        <v>118.7</v>
      </c>
      <c r="V102" s="55">
        <f t="shared" si="125"/>
        <v>146.89999999999989</v>
      </c>
      <c r="W102" s="55">
        <f t="shared" si="125"/>
        <v>137</v>
      </c>
      <c r="X102" s="55">
        <f t="shared" si="125"/>
        <v>128</v>
      </c>
      <c r="Y102" s="55">
        <f t="shared" si="125"/>
        <v>173</v>
      </c>
      <c r="Z102" s="55">
        <f t="shared" si="125"/>
        <v>193</v>
      </c>
      <c r="AA102" s="55">
        <f t="shared" si="125"/>
        <v>134</v>
      </c>
      <c r="AB102" s="55">
        <f t="shared" si="125"/>
        <v>26</v>
      </c>
      <c r="AC102" s="55">
        <f t="shared" si="125"/>
        <v>246</v>
      </c>
      <c r="AD102" s="55">
        <f t="shared" si="125"/>
        <v>208</v>
      </c>
      <c r="AE102" s="55">
        <f t="shared" si="125"/>
        <v>208</v>
      </c>
      <c r="AF102" s="55">
        <f t="shared" si="125"/>
        <v>261</v>
      </c>
      <c r="AG102" s="55">
        <f t="shared" si="125"/>
        <v>542</v>
      </c>
      <c r="AH102" s="55">
        <f t="shared" si="125"/>
        <v>655</v>
      </c>
      <c r="AI102" s="55">
        <f t="shared" si="125"/>
        <v>507</v>
      </c>
      <c r="AJ102" s="55">
        <f t="shared" si="125"/>
        <v>583</v>
      </c>
      <c r="AK102" s="55">
        <f t="shared" si="125"/>
        <v>838</v>
      </c>
      <c r="AL102" s="55">
        <v>0</v>
      </c>
      <c r="AM102" s="55">
        <f t="shared" ref="AM102:BN102" si="126">AM60</f>
        <v>1244</v>
      </c>
      <c r="AN102" s="55">
        <f t="shared" si="126"/>
        <v>1101</v>
      </c>
      <c r="AO102" s="55">
        <f t="shared" si="126"/>
        <v>1230</v>
      </c>
      <c r="AP102" s="55">
        <f t="shared" si="126"/>
        <v>566</v>
      </c>
      <c r="AQ102" s="55">
        <f t="shared" si="126"/>
        <v>394</v>
      </c>
      <c r="AR102" s="55">
        <f t="shared" si="126"/>
        <v>552</v>
      </c>
      <c r="AS102" s="55">
        <f t="shared" si="126"/>
        <v>899</v>
      </c>
      <c r="AT102" s="55">
        <f t="shared" si="126"/>
        <v>951</v>
      </c>
      <c r="AU102" s="55">
        <f t="shared" si="126"/>
        <v>917</v>
      </c>
      <c r="AV102" s="55">
        <f t="shared" si="126"/>
        <v>622</v>
      </c>
      <c r="AW102" s="55">
        <f t="shared" si="126"/>
        <v>1336</v>
      </c>
      <c r="AX102" s="55">
        <f t="shared" si="126"/>
        <v>1457</v>
      </c>
      <c r="AY102" s="55">
        <f t="shared" si="126"/>
        <v>1912</v>
      </c>
      <c r="AZ102" s="55">
        <f t="shared" si="126"/>
        <v>2374</v>
      </c>
      <c r="BA102" s="55">
        <f t="shared" si="126"/>
        <v>2464</v>
      </c>
      <c r="BB102" s="55">
        <f t="shared" si="126"/>
        <v>3002</v>
      </c>
      <c r="BC102" s="55">
        <f t="shared" si="126"/>
        <v>1618</v>
      </c>
      <c r="BD102" s="55">
        <f t="shared" si="126"/>
        <v>656</v>
      </c>
      <c r="BE102" s="55">
        <f t="shared" si="126"/>
        <v>680</v>
      </c>
      <c r="BF102" s="55">
        <f t="shared" si="126"/>
        <v>1414</v>
      </c>
      <c r="BG102" s="55">
        <f t="shared" si="126"/>
        <v>2043</v>
      </c>
      <c r="BH102" s="55">
        <f t="shared" si="126"/>
        <v>6188</v>
      </c>
      <c r="BI102" s="55">
        <f t="shared" si="126"/>
        <v>9243</v>
      </c>
      <c r="BJ102" s="55">
        <f t="shared" si="126"/>
        <v>12286</v>
      </c>
      <c r="BK102" s="55">
        <f t="shared" si="126"/>
        <v>14881</v>
      </c>
      <c r="BL102" s="55">
        <f t="shared" si="126"/>
        <v>16599</v>
      </c>
      <c r="BM102" s="55">
        <f t="shared" si="126"/>
        <v>19309</v>
      </c>
      <c r="BN102" s="55">
        <f t="shared" si="126"/>
        <v>22091</v>
      </c>
      <c r="BO102" s="55">
        <f>BO60</f>
        <v>18775</v>
      </c>
      <c r="BP102" s="55">
        <f>BP60</f>
        <v>26422</v>
      </c>
      <c r="CE102" s="55">
        <f>SUM(C102:F102)</f>
        <v>-68.099999999999824</v>
      </c>
      <c r="CF102" s="55">
        <f>SUM(G102:J102)</f>
        <v>253.19999999999996</v>
      </c>
      <c r="CG102" s="55">
        <f>SUM(K102:N102)</f>
        <v>581.1</v>
      </c>
      <c r="CH102" s="55">
        <f>SUM(O102:R102)</f>
        <v>562.49999999999989</v>
      </c>
      <c r="CI102" s="55">
        <f>SUM(S102:V102)</f>
        <v>439.79999999999995</v>
      </c>
      <c r="CJ102" s="55">
        <f>SUM(W102:Z102)</f>
        <v>631</v>
      </c>
      <c r="CK102" s="55">
        <f>SUM(AA102:AD102)</f>
        <v>614</v>
      </c>
      <c r="CL102" s="55">
        <f>SUM(AE102:AH102)</f>
        <v>1666</v>
      </c>
      <c r="CM102" s="55">
        <f>SUM(AI102:AL102)</f>
        <v>1928</v>
      </c>
      <c r="CN102" s="55">
        <f>SUM(AM102:AP102)</f>
        <v>4141</v>
      </c>
      <c r="CO102" s="55">
        <f>SUM(AQ102:AT102)</f>
        <v>2796</v>
      </c>
      <c r="CP102" s="55">
        <f>SUM(AU102:AX102)</f>
        <v>4332</v>
      </c>
      <c r="CQ102" s="55">
        <f>SUM(AY102:BB102)</f>
        <v>9752</v>
      </c>
      <c r="CR102" s="55">
        <f>SUM(BC102:BF102)</f>
        <v>4368</v>
      </c>
      <c r="CS102" s="55">
        <f>SUM(BG102:BJ102)</f>
        <v>29760</v>
      </c>
      <c r="CT102" s="55">
        <f>SUM(BK102:BN102)</f>
        <v>72880</v>
      </c>
    </row>
    <row r="103" spans="2:158" s="2" customFormat="1" ht="15">
      <c r="B103" s="2" t="s">
        <v>139</v>
      </c>
      <c r="C103" s="56">
        <v>142</v>
      </c>
      <c r="D103" s="56">
        <v>135</v>
      </c>
      <c r="E103" s="56">
        <v>141</v>
      </c>
      <c r="F103" s="56">
        <v>69</v>
      </c>
      <c r="G103" s="56">
        <v>-5</v>
      </c>
      <c r="H103" s="56">
        <v>34</v>
      </c>
      <c r="I103" s="56">
        <v>212</v>
      </c>
      <c r="J103" s="56">
        <v>434</v>
      </c>
      <c r="K103" s="56">
        <v>172</v>
      </c>
      <c r="L103" s="56">
        <v>82</v>
      </c>
      <c r="M103" s="56">
        <v>244</v>
      </c>
      <c r="N103" s="56">
        <v>410</v>
      </c>
      <c r="O103" s="56">
        <v>-9</v>
      </c>
      <c r="P103" s="56">
        <v>201</v>
      </c>
      <c r="Q103" s="56">
        <v>181</v>
      </c>
      <c r="R103" s="56">
        <v>451</v>
      </c>
      <c r="S103" s="56">
        <v>175.6</v>
      </c>
      <c r="T103" s="56">
        <v>96.5</v>
      </c>
      <c r="U103" s="56">
        <v>162.30000000000001</v>
      </c>
      <c r="V103" s="56">
        <v>400.6</v>
      </c>
      <c r="W103" s="56">
        <v>151</v>
      </c>
      <c r="X103" s="56">
        <v>96</v>
      </c>
      <c r="Y103" s="56">
        <v>216</v>
      </c>
      <c r="Z103" s="56">
        <v>443</v>
      </c>
      <c r="AA103" s="56">
        <v>246</v>
      </c>
      <c r="AB103" s="56">
        <v>163</v>
      </c>
      <c r="AC103" s="56">
        <v>255</v>
      </c>
      <c r="AD103" s="56">
        <v>511</v>
      </c>
      <c r="AE103" s="56">
        <v>319</v>
      </c>
      <c r="AF103" s="56">
        <v>200</v>
      </c>
      <c r="AG103" s="56">
        <v>432</v>
      </c>
      <c r="AH103" s="56">
        <v>721</v>
      </c>
      <c r="AI103" s="56">
        <v>282</v>
      </c>
      <c r="AJ103" s="56">
        <v>705</v>
      </c>
      <c r="AK103" s="56">
        <v>1157</v>
      </c>
      <c r="AL103" s="56">
        <v>1358</v>
      </c>
      <c r="AM103" s="56">
        <v>1445</v>
      </c>
      <c r="AN103" s="56">
        <v>913</v>
      </c>
      <c r="AO103" s="56">
        <v>487</v>
      </c>
      <c r="AP103" s="56">
        <v>898</v>
      </c>
      <c r="AQ103" s="56">
        <v>720</v>
      </c>
      <c r="AR103" s="56">
        <v>936</v>
      </c>
      <c r="AS103" s="56">
        <v>1640</v>
      </c>
      <c r="AT103" s="56">
        <v>1465</v>
      </c>
      <c r="AU103" s="56">
        <v>909</v>
      </c>
      <c r="AV103" s="56">
        <v>1567</v>
      </c>
      <c r="AW103" s="56">
        <v>1279</v>
      </c>
      <c r="AX103" s="56">
        <v>2067</v>
      </c>
      <c r="AY103" s="56">
        <v>1874</v>
      </c>
      <c r="AZ103" s="56">
        <v>2682</v>
      </c>
      <c r="BA103" s="56">
        <v>1519</v>
      </c>
      <c r="BB103" s="56">
        <v>3033</v>
      </c>
      <c r="BC103" s="56">
        <v>1731</v>
      </c>
      <c r="BD103" s="56">
        <v>1270</v>
      </c>
      <c r="BE103" s="56">
        <v>392</v>
      </c>
      <c r="BF103" s="56">
        <v>2248</v>
      </c>
      <c r="BG103" s="56">
        <v>2911</v>
      </c>
      <c r="BH103" s="56">
        <v>6348</v>
      </c>
      <c r="BI103" s="56">
        <v>7332</v>
      </c>
      <c r="BJ103" s="56">
        <v>11499</v>
      </c>
      <c r="BK103" s="56">
        <v>15345</v>
      </c>
      <c r="BL103" s="56">
        <v>14488</v>
      </c>
      <c r="BM103" s="56">
        <v>17627</v>
      </c>
      <c r="BN103" s="56">
        <v>16629</v>
      </c>
      <c r="BO103" s="56">
        <v>27414</v>
      </c>
      <c r="BP103" s="56">
        <f>45197-BO103</f>
        <v>17783</v>
      </c>
      <c r="BQ103" s="34"/>
      <c r="BR103" s="34"/>
      <c r="BS103" s="34"/>
      <c r="BT103" s="34"/>
      <c r="BU103" s="34"/>
      <c r="BV103" s="34"/>
      <c r="CE103" s="56">
        <f>SUM(C103:F103)</f>
        <v>487</v>
      </c>
      <c r="CF103" s="56">
        <f>SUM(G103:J103)</f>
        <v>675</v>
      </c>
      <c r="CG103" s="56">
        <f>SUM(K103:N103)</f>
        <v>908</v>
      </c>
      <c r="CH103" s="56">
        <f>SUM(O103:R103)</f>
        <v>824</v>
      </c>
      <c r="CI103" s="56">
        <f>SUM(S103:V103)</f>
        <v>835</v>
      </c>
      <c r="CJ103" s="56">
        <f>SUM(W103:Z103)</f>
        <v>906</v>
      </c>
      <c r="CK103" s="56">
        <f>SUM(AA103:AD103)</f>
        <v>1175</v>
      </c>
      <c r="CL103" s="56">
        <f>SUM(AE103:AH103)</f>
        <v>1672</v>
      </c>
      <c r="CM103" s="56">
        <f>SUM(AI103:AL103)</f>
        <v>3502</v>
      </c>
      <c r="CN103" s="56">
        <f>SUM(AM103:AP103)</f>
        <v>3743</v>
      </c>
      <c r="CO103" s="56">
        <f>SUM(AQ103:AT103)</f>
        <v>4761</v>
      </c>
      <c r="CP103" s="56">
        <f>SUM(AU103:AX103)</f>
        <v>5822</v>
      </c>
      <c r="CQ103" s="56">
        <f>SUM(AY103:BB103)</f>
        <v>9108</v>
      </c>
      <c r="CR103" s="56">
        <f>SUM(BC103:BF103)</f>
        <v>5641</v>
      </c>
      <c r="CS103" s="56">
        <f>SUM(BG103:BJ103)</f>
        <v>28090</v>
      </c>
      <c r="CT103" s="56">
        <f>SUM(BK103:BN103)</f>
        <v>64089</v>
      </c>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c r="DW103" s="34"/>
      <c r="DX103" s="34"/>
      <c r="DY103" s="34"/>
      <c r="DZ103" s="34"/>
      <c r="EA103" s="34"/>
      <c r="EB103" s="34"/>
      <c r="EC103" s="34"/>
      <c r="ED103" s="34"/>
      <c r="EE103" s="34"/>
      <c r="EF103" s="34"/>
      <c r="EG103" s="34"/>
      <c r="EH103" s="34"/>
      <c r="EI103" s="34"/>
      <c r="EJ103" s="34"/>
      <c r="EK103" s="34"/>
      <c r="EL103" s="34"/>
      <c r="EM103" s="34"/>
      <c r="EN103" s="34"/>
      <c r="EO103" s="34"/>
      <c r="EP103" s="34"/>
      <c r="EQ103" s="34"/>
      <c r="ER103" s="34"/>
      <c r="ES103" s="34"/>
      <c r="ET103" s="34"/>
      <c r="EU103" s="34"/>
      <c r="EV103" s="34"/>
      <c r="EW103" s="34"/>
      <c r="EX103" s="34"/>
      <c r="EY103" s="34"/>
      <c r="EZ103" s="34"/>
      <c r="FA103" s="34"/>
      <c r="FB103" s="34"/>
    </row>
    <row r="104" spans="2:158">
      <c r="B104" s="1" t="s">
        <v>140</v>
      </c>
      <c r="C104" s="55">
        <v>-21</v>
      </c>
      <c r="D104" s="55">
        <v>-18</v>
      </c>
      <c r="E104" s="55">
        <v>-17</v>
      </c>
      <c r="F104" s="55">
        <v>-23</v>
      </c>
      <c r="G104" s="55">
        <v>-17</v>
      </c>
      <c r="H104" s="55">
        <v>-38</v>
      </c>
      <c r="I104" s="55">
        <v>-22</v>
      </c>
      <c r="J104" s="55">
        <v>-21</v>
      </c>
      <c r="K104" s="55">
        <v>-31</v>
      </c>
      <c r="L104" s="55">
        <v>-23</v>
      </c>
      <c r="M104" s="55">
        <v>-39</v>
      </c>
      <c r="N104" s="55">
        <v>-45</v>
      </c>
      <c r="O104" s="55">
        <v>-28</v>
      </c>
      <c r="P104" s="55">
        <v>-61</v>
      </c>
      <c r="Q104" s="55">
        <v>-45</v>
      </c>
      <c r="R104" s="55">
        <v>-48</v>
      </c>
      <c r="S104" s="55">
        <v>-65.7</v>
      </c>
      <c r="T104" s="55">
        <v>-85</v>
      </c>
      <c r="U104" s="55">
        <v>-38.200000000000003</v>
      </c>
      <c r="V104" s="55">
        <v>-66.2</v>
      </c>
      <c r="W104" s="55">
        <v>-29</v>
      </c>
      <c r="X104" s="55">
        <v>-23</v>
      </c>
      <c r="Y104" s="55">
        <v>-39</v>
      </c>
      <c r="Z104" s="55">
        <v>-31</v>
      </c>
      <c r="AA104" s="55">
        <v>-30</v>
      </c>
      <c r="AB104" s="55">
        <v>-24</v>
      </c>
      <c r="AC104" s="55">
        <v>-17</v>
      </c>
      <c r="AD104" s="55">
        <v>-15</v>
      </c>
      <c r="AE104" s="55">
        <v>-55</v>
      </c>
      <c r="AF104" s="55">
        <v>-32</v>
      </c>
      <c r="AG104" s="55">
        <v>-38</v>
      </c>
      <c r="AH104" s="55">
        <v>-51</v>
      </c>
      <c r="AI104" s="55">
        <v>-54</v>
      </c>
      <c r="AJ104" s="55">
        <v>-54</v>
      </c>
      <c r="AK104" s="55">
        <v>-69</v>
      </c>
      <c r="AL104" s="55">
        <v>-416</v>
      </c>
      <c r="AM104" s="55">
        <v>-118</v>
      </c>
      <c r="AN104" s="55">
        <v>-129</v>
      </c>
      <c r="AO104" s="55">
        <v>-150</v>
      </c>
      <c r="AP104" s="55">
        <v>-203</v>
      </c>
      <c r="AQ104" s="55">
        <v>-128</v>
      </c>
      <c r="AR104" s="55">
        <v>-113</v>
      </c>
      <c r="AS104" s="55">
        <v>-103</v>
      </c>
      <c r="AT104" s="55">
        <v>-145</v>
      </c>
      <c r="AU104" s="55">
        <v>-155</v>
      </c>
      <c r="AV104" s="55">
        <v>-217</v>
      </c>
      <c r="AW104" s="55">
        <v>-473</v>
      </c>
      <c r="AX104" s="55">
        <v>-283</v>
      </c>
      <c r="AY104" s="55">
        <v>-298</v>
      </c>
      <c r="AZ104" s="55">
        <v>-183</v>
      </c>
      <c r="BA104" s="55">
        <v>-222</v>
      </c>
      <c r="BB104" s="55">
        <v>-273</v>
      </c>
      <c r="BC104" s="55">
        <v>-361</v>
      </c>
      <c r="BD104" s="55">
        <v>-433</v>
      </c>
      <c r="BE104" s="55">
        <v>-530</v>
      </c>
      <c r="BF104" s="55">
        <v>-509</v>
      </c>
      <c r="BG104" s="55">
        <v>-248</v>
      </c>
      <c r="BH104" s="55">
        <v>-289</v>
      </c>
      <c r="BI104" s="55">
        <v>-278</v>
      </c>
      <c r="BJ104" s="55">
        <v>-254</v>
      </c>
      <c r="BK104" s="55">
        <v>-369</v>
      </c>
      <c r="BL104" s="55">
        <v>-977</v>
      </c>
      <c r="BM104" s="55">
        <v>-813</v>
      </c>
      <c r="BN104" s="55">
        <v>-1077</v>
      </c>
      <c r="BO104" s="55">
        <v>-1227</v>
      </c>
      <c r="BP104" s="55">
        <f>-3122-BO104</f>
        <v>-1895</v>
      </c>
      <c r="CE104" s="55">
        <f>SUM(C104:F104)</f>
        <v>-79</v>
      </c>
      <c r="CF104" s="55">
        <f>SUM(G104:J104)</f>
        <v>-98</v>
      </c>
      <c r="CG104" s="55">
        <f>SUM(K104:N104)</f>
        <v>-138</v>
      </c>
      <c r="CH104" s="55">
        <f>SUM(O104:R104)</f>
        <v>-182</v>
      </c>
      <c r="CI104" s="55">
        <f>SUM(S104:V104)</f>
        <v>-255.09999999999997</v>
      </c>
      <c r="CJ104" s="55">
        <f>SUM(W104:Z104)</f>
        <v>-122</v>
      </c>
      <c r="CK104" s="55">
        <f>SUM(AA104:AD104)</f>
        <v>-86</v>
      </c>
      <c r="CL104" s="55">
        <f>SUM(AE104:AH104)</f>
        <v>-176</v>
      </c>
      <c r="CM104" s="55">
        <f>SUM(AI104:AL104)</f>
        <v>-593</v>
      </c>
      <c r="CN104" s="55">
        <f>SUM(AM104:AP104)</f>
        <v>-600</v>
      </c>
      <c r="CO104" s="55">
        <f>SUM(AQ104:AT104)</f>
        <v>-489</v>
      </c>
      <c r="CP104" s="55">
        <f>SUM(AU104:AX104)</f>
        <v>-1128</v>
      </c>
      <c r="CQ104" s="55">
        <f>SUM(AY104:BB104)</f>
        <v>-976</v>
      </c>
      <c r="CR104" s="55">
        <f>SUM(BC104:BF104)</f>
        <v>-1833</v>
      </c>
      <c r="CS104" s="55">
        <f>SUM(BG104:BJ104)</f>
        <v>-1069</v>
      </c>
      <c r="CT104" s="55">
        <f>SUM(BK104:BN104)</f>
        <v>-3236</v>
      </c>
    </row>
    <row r="105" spans="2:158" s="2" customFormat="1" ht="15">
      <c r="B105" s="2" t="s">
        <v>141</v>
      </c>
      <c r="C105" s="56">
        <f t="shared" ref="C105:BJ105" si="127">C103+C104</f>
        <v>121</v>
      </c>
      <c r="D105" s="56">
        <f t="shared" si="127"/>
        <v>117</v>
      </c>
      <c r="E105" s="56">
        <f t="shared" si="127"/>
        <v>124</v>
      </c>
      <c r="F105" s="56">
        <f t="shared" si="127"/>
        <v>46</v>
      </c>
      <c r="G105" s="56">
        <f t="shared" si="127"/>
        <v>-22</v>
      </c>
      <c r="H105" s="56">
        <f t="shared" si="127"/>
        <v>-4</v>
      </c>
      <c r="I105" s="56">
        <f t="shared" si="127"/>
        <v>190</v>
      </c>
      <c r="J105" s="56">
        <f t="shared" si="127"/>
        <v>413</v>
      </c>
      <c r="K105" s="56">
        <f t="shared" si="127"/>
        <v>141</v>
      </c>
      <c r="L105" s="56">
        <f t="shared" si="127"/>
        <v>59</v>
      </c>
      <c r="M105" s="56">
        <f t="shared" si="127"/>
        <v>205</v>
      </c>
      <c r="N105" s="56">
        <f t="shared" si="127"/>
        <v>365</v>
      </c>
      <c r="O105" s="56">
        <f t="shared" si="127"/>
        <v>-37</v>
      </c>
      <c r="P105" s="56">
        <f t="shared" si="127"/>
        <v>140</v>
      </c>
      <c r="Q105" s="56">
        <f t="shared" si="127"/>
        <v>136</v>
      </c>
      <c r="R105" s="56">
        <f t="shared" si="127"/>
        <v>403</v>
      </c>
      <c r="S105" s="56">
        <f t="shared" si="127"/>
        <v>109.89999999999999</v>
      </c>
      <c r="T105" s="56">
        <f t="shared" si="127"/>
        <v>11.5</v>
      </c>
      <c r="U105" s="56">
        <f t="shared" si="127"/>
        <v>124.10000000000001</v>
      </c>
      <c r="V105" s="56">
        <f t="shared" si="127"/>
        <v>334.40000000000003</v>
      </c>
      <c r="W105" s="56">
        <f t="shared" si="127"/>
        <v>122</v>
      </c>
      <c r="X105" s="56">
        <f t="shared" si="127"/>
        <v>73</v>
      </c>
      <c r="Y105" s="56">
        <f t="shared" si="127"/>
        <v>177</v>
      </c>
      <c r="Z105" s="56">
        <f t="shared" si="127"/>
        <v>412</v>
      </c>
      <c r="AA105" s="56">
        <f t="shared" si="127"/>
        <v>216</v>
      </c>
      <c r="AB105" s="56">
        <f t="shared" si="127"/>
        <v>139</v>
      </c>
      <c r="AC105" s="56">
        <f t="shared" si="127"/>
        <v>238</v>
      </c>
      <c r="AD105" s="56">
        <f t="shared" si="127"/>
        <v>496</v>
      </c>
      <c r="AE105" s="56">
        <f t="shared" si="127"/>
        <v>264</v>
      </c>
      <c r="AF105" s="56">
        <f t="shared" si="127"/>
        <v>168</v>
      </c>
      <c r="AG105" s="56">
        <f t="shared" si="127"/>
        <v>394</v>
      </c>
      <c r="AH105" s="56">
        <f t="shared" si="127"/>
        <v>670</v>
      </c>
      <c r="AI105" s="56">
        <f t="shared" si="127"/>
        <v>228</v>
      </c>
      <c r="AJ105" s="56">
        <f t="shared" si="127"/>
        <v>651</v>
      </c>
      <c r="AK105" s="56">
        <f t="shared" si="127"/>
        <v>1088</v>
      </c>
      <c r="AL105" s="56">
        <f t="shared" si="127"/>
        <v>942</v>
      </c>
      <c r="AM105" s="56">
        <f t="shared" si="127"/>
        <v>1327</v>
      </c>
      <c r="AN105" s="56">
        <f t="shared" si="127"/>
        <v>784</v>
      </c>
      <c r="AO105" s="56">
        <f t="shared" si="127"/>
        <v>337</v>
      </c>
      <c r="AP105" s="56">
        <f t="shared" si="127"/>
        <v>695</v>
      </c>
      <c r="AQ105" s="56">
        <f t="shared" si="127"/>
        <v>592</v>
      </c>
      <c r="AR105" s="56">
        <f t="shared" si="127"/>
        <v>823</v>
      </c>
      <c r="AS105" s="56">
        <f t="shared" si="127"/>
        <v>1537</v>
      </c>
      <c r="AT105" s="56">
        <f t="shared" si="127"/>
        <v>1320</v>
      </c>
      <c r="AU105" s="56">
        <f t="shared" si="127"/>
        <v>754</v>
      </c>
      <c r="AV105" s="56">
        <f t="shared" si="127"/>
        <v>1350</v>
      </c>
      <c r="AW105" s="56">
        <f t="shared" si="127"/>
        <v>806</v>
      </c>
      <c r="AX105" s="56">
        <f t="shared" si="127"/>
        <v>1784</v>
      </c>
      <c r="AY105" s="56">
        <f t="shared" si="127"/>
        <v>1576</v>
      </c>
      <c r="AZ105" s="56">
        <f t="shared" si="127"/>
        <v>2499</v>
      </c>
      <c r="BA105" s="56">
        <f t="shared" si="127"/>
        <v>1297</v>
      </c>
      <c r="BB105" s="56">
        <f t="shared" si="127"/>
        <v>2760</v>
      </c>
      <c r="BC105" s="56">
        <f t="shared" si="127"/>
        <v>1370</v>
      </c>
      <c r="BD105" s="56">
        <f t="shared" si="127"/>
        <v>837</v>
      </c>
      <c r="BE105" s="56">
        <f t="shared" si="127"/>
        <v>-138</v>
      </c>
      <c r="BF105" s="56">
        <f t="shared" si="127"/>
        <v>1739</v>
      </c>
      <c r="BG105" s="56">
        <f t="shared" si="127"/>
        <v>2663</v>
      </c>
      <c r="BH105" s="56">
        <f t="shared" si="127"/>
        <v>6059</v>
      </c>
      <c r="BI105" s="56">
        <f t="shared" si="127"/>
        <v>7054</v>
      </c>
      <c r="BJ105" s="56">
        <f t="shared" si="127"/>
        <v>11245</v>
      </c>
      <c r="BK105" s="56">
        <f t="shared" ref="BK105:BP105" si="128">BK103+BK104</f>
        <v>14976</v>
      </c>
      <c r="BL105" s="56">
        <f t="shared" si="128"/>
        <v>13511</v>
      </c>
      <c r="BM105" s="56">
        <f t="shared" si="128"/>
        <v>16814</v>
      </c>
      <c r="BN105" s="56">
        <f t="shared" si="128"/>
        <v>15552</v>
      </c>
      <c r="BO105" s="56">
        <f t="shared" si="128"/>
        <v>26187</v>
      </c>
      <c r="BP105" s="56">
        <f t="shared" si="128"/>
        <v>15888</v>
      </c>
      <c r="BQ105" s="34"/>
      <c r="BR105" s="34"/>
      <c r="BS105" s="34"/>
      <c r="BT105" s="34"/>
      <c r="BU105" s="34"/>
      <c r="BV105" s="34"/>
      <c r="CE105" s="56">
        <f>SUM(C105:F105)</f>
        <v>408</v>
      </c>
      <c r="CF105" s="56">
        <f>SUM(G105:J105)</f>
        <v>577</v>
      </c>
      <c r="CG105" s="56">
        <f>SUM(K105:N105)</f>
        <v>770</v>
      </c>
      <c r="CH105" s="56">
        <f>SUM(O105:R105)</f>
        <v>642</v>
      </c>
      <c r="CI105" s="56">
        <f>SUM(S105:V105)</f>
        <v>579.90000000000009</v>
      </c>
      <c r="CJ105" s="56">
        <f>SUM(W105:Z105)</f>
        <v>784</v>
      </c>
      <c r="CK105" s="56">
        <f>SUM(AA105:AD105)</f>
        <v>1089</v>
      </c>
      <c r="CL105" s="56">
        <f>SUM(AE105:AH105)</f>
        <v>1496</v>
      </c>
      <c r="CM105" s="56">
        <f>SUM(AI105:AL105)</f>
        <v>2909</v>
      </c>
      <c r="CN105" s="56">
        <f>SUM(AM105:AP105)</f>
        <v>3143</v>
      </c>
      <c r="CO105" s="56">
        <f>SUM(AQ105:AT105)</f>
        <v>4272</v>
      </c>
      <c r="CP105" s="56">
        <f>SUM(AU105:AX105)</f>
        <v>4694</v>
      </c>
      <c r="CQ105" s="56">
        <f>SUM(AY105:BB105)</f>
        <v>8132</v>
      </c>
      <c r="CR105" s="56">
        <f>SUM(BC105:BF105)</f>
        <v>3808</v>
      </c>
      <c r="CS105" s="56">
        <f>SUM(BG105:BJ105)</f>
        <v>27021</v>
      </c>
      <c r="CT105" s="56">
        <f>SUM(BK105:BN105)</f>
        <v>60853</v>
      </c>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c r="DZ105" s="34"/>
      <c r="EA105" s="34"/>
      <c r="EB105" s="34"/>
      <c r="EC105" s="34"/>
      <c r="ED105" s="34"/>
      <c r="EE105" s="34"/>
      <c r="EF105" s="34"/>
      <c r="EG105" s="34"/>
      <c r="EH105" s="34"/>
      <c r="EI105" s="34"/>
      <c r="EJ105" s="34"/>
      <c r="EK105" s="34"/>
      <c r="EL105" s="34"/>
      <c r="EM105" s="34"/>
      <c r="EN105" s="34"/>
      <c r="EO105" s="34"/>
      <c r="EP105" s="34"/>
      <c r="EQ105" s="34"/>
      <c r="ER105" s="34"/>
      <c r="ES105" s="34"/>
      <c r="ET105" s="34"/>
      <c r="EU105" s="34"/>
      <c r="EV105" s="34"/>
      <c r="EW105" s="34"/>
      <c r="EX105" s="34"/>
      <c r="EY105" s="34"/>
      <c r="EZ105" s="34"/>
      <c r="FA105" s="34"/>
      <c r="FB105" s="34"/>
    </row>
    <row r="106" spans="2:158">
      <c r="B106" s="1" t="s">
        <v>142</v>
      </c>
      <c r="C106" s="55">
        <f t="shared" ref="C106:AH106" si="129">C61</f>
        <v>21692</v>
      </c>
      <c r="D106" s="55">
        <f t="shared" si="129"/>
        <v>21866</v>
      </c>
      <c r="E106" s="55">
        <f t="shared" si="129"/>
        <v>22051</v>
      </c>
      <c r="F106" s="55">
        <f t="shared" si="129"/>
        <v>21983</v>
      </c>
      <c r="G106" s="55">
        <f t="shared" si="129"/>
        <v>22687</v>
      </c>
      <c r="H106" s="55">
        <f t="shared" si="129"/>
        <v>22911</v>
      </c>
      <c r="I106" s="55">
        <f t="shared" si="129"/>
        <v>23093</v>
      </c>
      <c r="J106" s="55">
        <f t="shared" si="129"/>
        <v>23007</v>
      </c>
      <c r="K106" s="55">
        <f t="shared" si="129"/>
        <v>23792</v>
      </c>
      <c r="L106" s="55">
        <f t="shared" si="129"/>
        <v>24054</v>
      </c>
      <c r="M106" s="55">
        <f t="shared" si="129"/>
        <v>24283</v>
      </c>
      <c r="N106" s="55">
        <f t="shared" si="129"/>
        <v>24146</v>
      </c>
      <c r="O106" s="55">
        <f t="shared" si="129"/>
        <v>24631</v>
      </c>
      <c r="P106" s="55">
        <f t="shared" si="129"/>
        <v>24760</v>
      </c>
      <c r="Q106" s="55">
        <f t="shared" si="129"/>
        <v>24894</v>
      </c>
      <c r="R106" s="55">
        <f t="shared" si="129"/>
        <v>24773</v>
      </c>
      <c r="S106" s="55">
        <f t="shared" si="129"/>
        <v>24675</v>
      </c>
      <c r="T106" s="55">
        <f t="shared" si="129"/>
        <v>23414</v>
      </c>
      <c r="U106" s="55">
        <f t="shared" si="129"/>
        <v>23235</v>
      </c>
      <c r="V106" s="55">
        <f t="shared" si="129"/>
        <v>23520</v>
      </c>
      <c r="W106" s="55">
        <f t="shared" si="129"/>
        <v>22360</v>
      </c>
      <c r="X106" s="55">
        <f t="shared" si="129"/>
        <v>22320</v>
      </c>
      <c r="Y106" s="55">
        <f t="shared" si="129"/>
        <v>21920</v>
      </c>
      <c r="Z106" s="55">
        <f t="shared" si="129"/>
        <v>22080</v>
      </c>
      <c r="AA106" s="55">
        <f t="shared" si="129"/>
        <v>21960</v>
      </c>
      <c r="AB106" s="55">
        <f t="shared" si="129"/>
        <v>21640</v>
      </c>
      <c r="AC106" s="55">
        <f t="shared" si="129"/>
        <v>21680</v>
      </c>
      <c r="AD106" s="55">
        <f t="shared" si="129"/>
        <v>21720</v>
      </c>
      <c r="AE106" s="55">
        <f t="shared" si="129"/>
        <v>21480</v>
      </c>
      <c r="AF106" s="55">
        <f t="shared" si="129"/>
        <v>21360</v>
      </c>
      <c r="AG106" s="55">
        <f t="shared" si="129"/>
        <v>21520</v>
      </c>
      <c r="AH106" s="55">
        <f t="shared" si="129"/>
        <v>21640</v>
      </c>
      <c r="AI106" s="55">
        <f t="shared" ref="AI106:BJ106" si="130">AI61</f>
        <v>23680</v>
      </c>
      <c r="AJ106" s="55">
        <f t="shared" si="130"/>
        <v>23880</v>
      </c>
      <c r="AK106" s="55">
        <f t="shared" si="130"/>
        <v>24120</v>
      </c>
      <c r="AL106" s="55">
        <f t="shared" si="130"/>
        <v>23960</v>
      </c>
      <c r="AM106" s="55">
        <f t="shared" si="130"/>
        <v>605</v>
      </c>
      <c r="AN106" s="55">
        <f t="shared" si="130"/>
        <v>607</v>
      </c>
      <c r="AO106" s="55">
        <f t="shared" si="130"/>
        <v>609</v>
      </c>
      <c r="AP106" s="55">
        <f t="shared" si="130"/>
        <v>608</v>
      </c>
      <c r="AQ106" s="55">
        <f t="shared" si="130"/>
        <v>607</v>
      </c>
      <c r="AR106" s="55">
        <f t="shared" si="130"/>
        <v>609</v>
      </c>
      <c r="AS106" s="55">
        <f t="shared" si="130"/>
        <v>610</v>
      </c>
      <c r="AT106" s="55">
        <f t="shared" si="130"/>
        <v>610</v>
      </c>
      <c r="AU106" s="55">
        <f t="shared" si="130"/>
        <v>614</v>
      </c>
      <c r="AV106" s="55">
        <f t="shared" si="130"/>
        <v>2464</v>
      </c>
      <c r="AW106" s="55">
        <f t="shared" si="130"/>
        <v>2472</v>
      </c>
      <c r="AX106" s="55">
        <f t="shared" si="130"/>
        <v>2467</v>
      </c>
      <c r="AY106" s="55">
        <f t="shared" si="130"/>
        <v>2484</v>
      </c>
      <c r="AZ106" s="55">
        <f t="shared" si="130"/>
        <v>2493</v>
      </c>
      <c r="BA106" s="55">
        <f t="shared" si="130"/>
        <v>2499</v>
      </c>
      <c r="BB106" s="55">
        <f t="shared" si="130"/>
        <v>2496</v>
      </c>
      <c r="BC106" s="55">
        <f t="shared" si="130"/>
        <v>2506</v>
      </c>
      <c r="BD106" s="55">
        <f t="shared" si="130"/>
        <v>2495</v>
      </c>
      <c r="BE106" s="55">
        <f t="shared" si="130"/>
        <v>2483</v>
      </c>
      <c r="BF106" s="55">
        <f t="shared" si="130"/>
        <v>2487</v>
      </c>
      <c r="BG106" s="55">
        <f t="shared" si="130"/>
        <v>2470</v>
      </c>
      <c r="BH106" s="55">
        <f t="shared" si="130"/>
        <v>24729</v>
      </c>
      <c r="BI106" s="55">
        <f t="shared" si="130"/>
        <v>24680</v>
      </c>
      <c r="BJ106" s="55">
        <f t="shared" si="130"/>
        <v>24690</v>
      </c>
      <c r="BK106" s="55">
        <f t="shared" ref="BK106:BP106" si="131">BK61</f>
        <v>24620</v>
      </c>
      <c r="BL106" s="55">
        <f t="shared" si="131"/>
        <v>24578</v>
      </c>
      <c r="BM106" s="55">
        <f t="shared" si="131"/>
        <v>24533</v>
      </c>
      <c r="BN106" s="55">
        <f t="shared" si="131"/>
        <v>24555</v>
      </c>
      <c r="BO106" s="55">
        <f t="shared" si="131"/>
        <v>24441</v>
      </c>
      <c r="BP106" s="55">
        <f t="shared" si="131"/>
        <v>24366</v>
      </c>
      <c r="CE106" s="55">
        <f>AVERAGE(C106:F106)</f>
        <v>21898</v>
      </c>
      <c r="CF106" s="55">
        <f>AVERAGE(G106:J106)</f>
        <v>22924.5</v>
      </c>
      <c r="CG106" s="55">
        <f>AVERAGE(K106:N106)</f>
        <v>24068.75</v>
      </c>
      <c r="CH106" s="55">
        <f>AVERAGE(O106:R106)</f>
        <v>24764.5</v>
      </c>
      <c r="CI106" s="55">
        <f>AVERAGE(S106:V106)</f>
        <v>23711</v>
      </c>
      <c r="CJ106" s="55">
        <f>AVERAGE(W106:Z106)</f>
        <v>22170</v>
      </c>
      <c r="CK106" s="55">
        <f>AVERAGE(AA106:AD106)</f>
        <v>21750</v>
      </c>
      <c r="CL106" s="55">
        <f>AVERAGE(AE106:AH106)</f>
        <v>21500</v>
      </c>
      <c r="CM106" s="55">
        <f>AVERAGE(AI106:AL106)</f>
        <v>23910</v>
      </c>
      <c r="CN106" s="55">
        <f>AVERAGE(AM106:AP106)</f>
        <v>607.25</v>
      </c>
      <c r="CO106" s="55">
        <f>AVERAGE(AQ106:AT106)</f>
        <v>609</v>
      </c>
      <c r="CP106" s="55">
        <f>AVERAGE(AU106:AX106)</f>
        <v>2004.25</v>
      </c>
      <c r="CQ106" s="55">
        <f>AVERAGE(AY106:BB106)</f>
        <v>2493</v>
      </c>
      <c r="CR106" s="55">
        <f>AVERAGE(BC106:BF106)</f>
        <v>2492.75</v>
      </c>
      <c r="CS106" s="55">
        <f>AVERAGE(BG106:BJ106)</f>
        <v>19142.25</v>
      </c>
      <c r="CT106" s="55">
        <f>AVERAGE(BK106:BN106)</f>
        <v>24571.5</v>
      </c>
    </row>
    <row r="107" spans="2:158">
      <c r="B107" s="40" t="s">
        <v>143</v>
      </c>
      <c r="C107" s="40">
        <f t="shared" ref="C107:BJ107" si="132">C105/C106</f>
        <v>5.5780933062880324E-3</v>
      </c>
      <c r="D107" s="40">
        <f t="shared" si="132"/>
        <v>5.3507728894173602E-3</v>
      </c>
      <c r="E107" s="40">
        <f t="shared" si="132"/>
        <v>5.623327740238538E-3</v>
      </c>
      <c r="F107" s="40">
        <f t="shared" si="132"/>
        <v>2.0925260428512941E-3</v>
      </c>
      <c r="G107" s="40">
        <f t="shared" si="132"/>
        <v>-9.6971834090007493E-4</v>
      </c>
      <c r="H107" s="40">
        <f t="shared" si="132"/>
        <v>-1.7458862555104536E-4</v>
      </c>
      <c r="I107" s="40">
        <f t="shared" si="132"/>
        <v>8.2276014376650927E-3</v>
      </c>
      <c r="J107" s="40">
        <f t="shared" si="132"/>
        <v>1.7951058373538487E-2</v>
      </c>
      <c r="K107" s="40">
        <f t="shared" si="132"/>
        <v>5.9263618022864827E-3</v>
      </c>
      <c r="L107" s="40">
        <f t="shared" si="132"/>
        <v>2.4528145007067432E-3</v>
      </c>
      <c r="M107" s="40">
        <f t="shared" si="132"/>
        <v>8.4421200016472422E-3</v>
      </c>
      <c r="N107" s="40">
        <f t="shared" si="132"/>
        <v>1.5116375383086226E-2</v>
      </c>
      <c r="O107" s="40">
        <f t="shared" si="132"/>
        <v>-1.5021720595996915E-3</v>
      </c>
      <c r="P107" s="40">
        <f t="shared" si="132"/>
        <v>5.6542810985460417E-3</v>
      </c>
      <c r="Q107" s="40">
        <f t="shared" si="132"/>
        <v>5.463163814573793E-3</v>
      </c>
      <c r="R107" s="40">
        <f t="shared" si="132"/>
        <v>1.6267710814192871E-2</v>
      </c>
      <c r="S107" s="40">
        <f t="shared" si="132"/>
        <v>4.4539007092198575E-3</v>
      </c>
      <c r="T107" s="40">
        <f t="shared" si="132"/>
        <v>4.9115913555992138E-4</v>
      </c>
      <c r="U107" s="40">
        <f t="shared" si="132"/>
        <v>5.3410802668388208E-3</v>
      </c>
      <c r="V107" s="40">
        <f t="shared" si="132"/>
        <v>1.4217687074829934E-2</v>
      </c>
      <c r="W107" s="40">
        <f t="shared" si="132"/>
        <v>5.4561717352415023E-3</v>
      </c>
      <c r="X107" s="40">
        <f t="shared" si="132"/>
        <v>3.2706093189964159E-3</v>
      </c>
      <c r="Y107" s="40">
        <f t="shared" si="132"/>
        <v>8.074817518248175E-3</v>
      </c>
      <c r="Z107" s="40">
        <f t="shared" si="132"/>
        <v>1.8659420289855073E-2</v>
      </c>
      <c r="AA107" s="40">
        <f t="shared" si="132"/>
        <v>9.8360655737704927E-3</v>
      </c>
      <c r="AB107" s="40">
        <f t="shared" si="132"/>
        <v>6.4232902033271718E-3</v>
      </c>
      <c r="AC107" s="40">
        <f t="shared" si="132"/>
        <v>1.0977859778597786E-2</v>
      </c>
      <c r="AD107" s="40">
        <f t="shared" si="132"/>
        <v>2.2836095764272559E-2</v>
      </c>
      <c r="AE107" s="40">
        <f t="shared" si="132"/>
        <v>1.2290502793296089E-2</v>
      </c>
      <c r="AF107" s="40">
        <f t="shared" si="132"/>
        <v>7.8651685393258432E-3</v>
      </c>
      <c r="AG107" s="40">
        <f t="shared" si="132"/>
        <v>1.8308550185873605E-2</v>
      </c>
      <c r="AH107" s="40">
        <f t="shared" si="132"/>
        <v>3.0961182994454713E-2</v>
      </c>
      <c r="AI107" s="40">
        <f t="shared" si="132"/>
        <v>9.6283783783783789E-3</v>
      </c>
      <c r="AJ107" s="40">
        <f t="shared" si="132"/>
        <v>2.7261306532663315E-2</v>
      </c>
      <c r="AK107" s="40">
        <f t="shared" si="132"/>
        <v>4.5107794361525705E-2</v>
      </c>
      <c r="AL107" s="40">
        <f t="shared" si="132"/>
        <v>3.9315525876460769E-2</v>
      </c>
      <c r="AM107" s="40">
        <f t="shared" si="132"/>
        <v>2.193388429752066</v>
      </c>
      <c r="AN107" s="40">
        <f t="shared" si="132"/>
        <v>1.2915980230642503</v>
      </c>
      <c r="AO107" s="40">
        <f t="shared" si="132"/>
        <v>0.55336617405582922</v>
      </c>
      <c r="AP107" s="40">
        <f t="shared" si="132"/>
        <v>1.143092105263158</v>
      </c>
      <c r="AQ107" s="40">
        <f t="shared" si="132"/>
        <v>0.97528830313014825</v>
      </c>
      <c r="AR107" s="40">
        <f t="shared" si="132"/>
        <v>1.3513957307060755</v>
      </c>
      <c r="AS107" s="40">
        <f t="shared" si="132"/>
        <v>2.5196721311475412</v>
      </c>
      <c r="AT107" s="40">
        <f t="shared" si="132"/>
        <v>2.1639344262295084</v>
      </c>
      <c r="AU107" s="40">
        <f t="shared" si="132"/>
        <v>1.228013029315961</v>
      </c>
      <c r="AV107" s="40">
        <f t="shared" si="132"/>
        <v>0.54788961038961037</v>
      </c>
      <c r="AW107" s="40">
        <f t="shared" si="132"/>
        <v>0.32605177993527507</v>
      </c>
      <c r="AX107" s="40">
        <f t="shared" si="132"/>
        <v>0.72314552087555739</v>
      </c>
      <c r="AY107" s="40">
        <f t="shared" si="132"/>
        <v>0.63446054750402581</v>
      </c>
      <c r="AZ107" s="40">
        <f t="shared" si="132"/>
        <v>1.0024067388688327</v>
      </c>
      <c r="BA107" s="40">
        <f t="shared" si="132"/>
        <v>0.51900760304121651</v>
      </c>
      <c r="BB107" s="40">
        <f t="shared" si="132"/>
        <v>1.1057692307692308</v>
      </c>
      <c r="BC107" s="40">
        <f t="shared" si="132"/>
        <v>0.54668794892258576</v>
      </c>
      <c r="BD107" s="40">
        <f t="shared" si="132"/>
        <v>0.33547094188376753</v>
      </c>
      <c r="BE107" s="40">
        <f t="shared" si="132"/>
        <v>-5.5577929923479659E-2</v>
      </c>
      <c r="BF107" s="40">
        <f t="shared" si="132"/>
        <v>0.69923602734217938</v>
      </c>
      <c r="BG107" s="40">
        <f t="shared" si="132"/>
        <v>1.0781376518218624</v>
      </c>
      <c r="BH107" s="40">
        <f t="shared" si="132"/>
        <v>0.24501597314893445</v>
      </c>
      <c r="BI107" s="40">
        <f t="shared" si="132"/>
        <v>0.28581847649918962</v>
      </c>
      <c r="BJ107" s="40">
        <f t="shared" si="132"/>
        <v>0.45544754961522882</v>
      </c>
      <c r="BK107" s="40">
        <f t="shared" ref="BK107:BP107" si="133">BK105/BK106</f>
        <v>0.60828594638505284</v>
      </c>
      <c r="BL107" s="40">
        <f t="shared" si="133"/>
        <v>0.54971926112783787</v>
      </c>
      <c r="BM107" s="40">
        <f t="shared" si="133"/>
        <v>0.68536257286104429</v>
      </c>
      <c r="BN107" s="40">
        <f t="shared" si="133"/>
        <v>0.63335369578497247</v>
      </c>
      <c r="BO107" s="40">
        <f t="shared" si="133"/>
        <v>1.0714373388977538</v>
      </c>
      <c r="BP107" s="40">
        <f t="shared" si="133"/>
        <v>0.6520561438069441</v>
      </c>
      <c r="CE107" s="40">
        <f>CE105/CE106</f>
        <v>1.8631838524066125E-2</v>
      </c>
      <c r="CF107" s="40">
        <f t="shared" ref="CF107:CT107" si="134">CF105/CF106</f>
        <v>2.516957839865646E-2</v>
      </c>
      <c r="CG107" s="40">
        <f t="shared" si="134"/>
        <v>3.1991690470007793E-2</v>
      </c>
      <c r="CH107" s="40">
        <f t="shared" si="134"/>
        <v>2.5924206020715136E-2</v>
      </c>
      <c r="CI107" s="40">
        <f t="shared" si="134"/>
        <v>2.4457003078739829E-2</v>
      </c>
      <c r="CJ107" s="40">
        <f t="shared" si="134"/>
        <v>3.5363103292737931E-2</v>
      </c>
      <c r="CK107" s="40">
        <f t="shared" si="134"/>
        <v>5.0068965517241382E-2</v>
      </c>
      <c r="CL107" s="40">
        <f t="shared" si="134"/>
        <v>6.9581395348837213E-2</v>
      </c>
      <c r="CM107" s="40">
        <f t="shared" si="134"/>
        <v>0.12166457549142619</v>
      </c>
      <c r="CN107" s="40">
        <f t="shared" si="134"/>
        <v>5.1757925072046111</v>
      </c>
      <c r="CO107" s="40">
        <f t="shared" si="134"/>
        <v>7.014778325123153</v>
      </c>
      <c r="CP107" s="40">
        <f t="shared" si="134"/>
        <v>2.3420232006985158</v>
      </c>
      <c r="CQ107" s="40">
        <f t="shared" si="134"/>
        <v>3.2619334135579625</v>
      </c>
      <c r="CR107" s="40">
        <f t="shared" si="134"/>
        <v>1.5276301273693711</v>
      </c>
      <c r="CS107" s="40">
        <f t="shared" si="134"/>
        <v>1.4115895466833837</v>
      </c>
      <c r="CT107" s="40">
        <f t="shared" si="134"/>
        <v>2.4765683820686566</v>
      </c>
    </row>
    <row r="109" spans="2:158" ht="15">
      <c r="B109" s="1" t="s">
        <v>1612</v>
      </c>
      <c r="BF109" s="76"/>
      <c r="BH109" s="1">
        <v>16</v>
      </c>
      <c r="BI109" s="1">
        <v>25</v>
      </c>
      <c r="BJ109" s="1">
        <v>50</v>
      </c>
      <c r="BK109" s="1">
        <v>50</v>
      </c>
      <c r="BL109" s="1">
        <v>60</v>
      </c>
      <c r="BM109" s="1">
        <v>70</v>
      </c>
      <c r="BN109" s="1">
        <v>50</v>
      </c>
      <c r="BQ109" s="80"/>
      <c r="BR109" s="80"/>
    </row>
    <row r="110" spans="2:158" ht="15">
      <c r="B110" s="1" t="s">
        <v>1613</v>
      </c>
      <c r="BF110" s="76"/>
      <c r="BH110" s="1">
        <v>15</v>
      </c>
      <c r="BI110" s="1">
        <v>25</v>
      </c>
      <c r="BJ110" s="1">
        <v>25</v>
      </c>
      <c r="BK110" s="1">
        <v>25</v>
      </c>
      <c r="BL110" s="1">
        <v>25</v>
      </c>
      <c r="BM110" s="1">
        <v>25</v>
      </c>
      <c r="BN110" s="1">
        <v>25</v>
      </c>
      <c r="BQ110" s="80"/>
      <c r="BR110" s="80"/>
    </row>
    <row r="111" spans="2:158" ht="15">
      <c r="B111" s="1" t="s">
        <v>1614</v>
      </c>
      <c r="BF111" s="76"/>
      <c r="BH111" s="1">
        <v>15</v>
      </c>
      <c r="BI111" s="1">
        <v>25</v>
      </c>
      <c r="BJ111" s="1">
        <v>50</v>
      </c>
      <c r="BK111" s="1">
        <v>50</v>
      </c>
      <c r="BL111" s="1">
        <v>50</v>
      </c>
      <c r="BM111" s="1">
        <v>50</v>
      </c>
      <c r="BN111" s="1">
        <v>50</v>
      </c>
      <c r="BQ111" s="80"/>
      <c r="BR111" s="80"/>
    </row>
    <row r="112" spans="2:158" ht="15">
      <c r="B112" s="1" t="s">
        <v>1615</v>
      </c>
      <c r="BF112" s="76"/>
      <c r="BH112" s="1">
        <v>25</v>
      </c>
      <c r="BI112" s="1">
        <v>25</v>
      </c>
      <c r="BJ112" s="1">
        <v>50</v>
      </c>
      <c r="BK112" s="1">
        <v>50</v>
      </c>
      <c r="BL112" s="1">
        <v>50</v>
      </c>
      <c r="BM112" s="1">
        <v>50</v>
      </c>
      <c r="BN112" s="1">
        <v>50</v>
      </c>
      <c r="BQ112" s="80"/>
      <c r="BR112" s="80"/>
    </row>
    <row r="113" spans="2:70" ht="15">
      <c r="B113" s="1" t="s">
        <v>1616</v>
      </c>
      <c r="BF113" s="76"/>
      <c r="BH113" s="1">
        <v>16</v>
      </c>
      <c r="BI113" s="1">
        <v>20</v>
      </c>
      <c r="BJ113" s="1">
        <v>25</v>
      </c>
      <c r="BK113" s="1">
        <v>25</v>
      </c>
      <c r="BL113" s="1">
        <v>25</v>
      </c>
      <c r="BM113" s="1">
        <v>25</v>
      </c>
      <c r="BN113" s="1">
        <v>25</v>
      </c>
      <c r="BQ113" s="80"/>
      <c r="BR113" s="80"/>
    </row>
    <row r="114" spans="2:70" ht="15">
      <c r="B114" s="1" t="s">
        <v>1617</v>
      </c>
      <c r="BF114" s="76"/>
      <c r="BH114" s="1">
        <v>25</v>
      </c>
      <c r="BI114" s="1">
        <v>30</v>
      </c>
      <c r="BJ114" s="1">
        <v>75</v>
      </c>
      <c r="BK114" s="1">
        <v>100</v>
      </c>
      <c r="BL114" s="1">
        <v>100</v>
      </c>
      <c r="BM114" s="1">
        <v>100</v>
      </c>
      <c r="BN114" s="1">
        <v>100</v>
      </c>
      <c r="BQ114" s="80"/>
      <c r="BR114" s="80"/>
    </row>
    <row r="115" spans="2:70" ht="15">
      <c r="B115" s="1" t="s">
        <v>1618</v>
      </c>
      <c r="BF115" s="76"/>
      <c r="BH115" s="1">
        <v>6</v>
      </c>
      <c r="BI115" s="1">
        <v>5</v>
      </c>
      <c r="BJ115" s="1">
        <v>0</v>
      </c>
      <c r="BK115" s="1">
        <v>0</v>
      </c>
      <c r="BL115" s="1">
        <v>0</v>
      </c>
      <c r="BM115" s="1">
        <v>0</v>
      </c>
      <c r="BN115" s="1">
        <v>0</v>
      </c>
      <c r="BQ115" s="80"/>
      <c r="BR115" s="80"/>
    </row>
    <row r="116" spans="2:70" ht="15">
      <c r="B116" s="1" t="s">
        <v>1619</v>
      </c>
      <c r="BF116" s="76"/>
      <c r="BH116" s="1">
        <v>15</v>
      </c>
      <c r="BI116" s="1">
        <v>30</v>
      </c>
      <c r="BJ116" s="1">
        <v>40</v>
      </c>
      <c r="BK116" s="1">
        <v>100</v>
      </c>
      <c r="BL116" s="1">
        <v>100</v>
      </c>
      <c r="BM116" s="1">
        <v>100</v>
      </c>
      <c r="BN116" s="1">
        <v>100</v>
      </c>
      <c r="BQ116" s="80"/>
      <c r="BR116" s="80"/>
    </row>
    <row r="117" spans="2:70" ht="15">
      <c r="B117" s="1" t="s">
        <v>1620</v>
      </c>
      <c r="BF117" s="76"/>
      <c r="BH117" s="1">
        <v>7</v>
      </c>
      <c r="BI117" s="1">
        <v>25</v>
      </c>
      <c r="BJ117" s="1">
        <v>25</v>
      </c>
      <c r="BK117" s="1">
        <v>25</v>
      </c>
      <c r="BL117" s="1">
        <v>25</v>
      </c>
      <c r="BM117" s="1">
        <v>25</v>
      </c>
      <c r="BN117" s="1">
        <v>25</v>
      </c>
      <c r="BQ117" s="80"/>
      <c r="BR117" s="80"/>
    </row>
    <row r="118" spans="2:70" ht="15">
      <c r="B118" s="1" t="s">
        <v>1621</v>
      </c>
      <c r="BF118" s="76"/>
      <c r="BH118" s="1">
        <v>10</v>
      </c>
      <c r="BI118" s="1">
        <v>20</v>
      </c>
      <c r="BJ118" s="1">
        <v>20</v>
      </c>
      <c r="BK118" s="1">
        <v>25</v>
      </c>
      <c r="BL118" s="1">
        <v>25</v>
      </c>
      <c r="BM118" s="1">
        <v>25</v>
      </c>
      <c r="BN118" s="1">
        <v>25</v>
      </c>
      <c r="BQ118" s="80"/>
      <c r="BR118" s="80"/>
    </row>
    <row r="119" spans="2:70" ht="15">
      <c r="B119" s="1" t="s">
        <v>1622</v>
      </c>
      <c r="BF119" s="76"/>
      <c r="BH119" s="1">
        <v>10</v>
      </c>
      <c r="BI119" s="1">
        <v>20</v>
      </c>
      <c r="BJ119" s="1">
        <v>20</v>
      </c>
      <c r="BK119" s="1">
        <v>30</v>
      </c>
      <c r="BL119" s="1">
        <v>50</v>
      </c>
      <c r="BM119" s="1">
        <v>60</v>
      </c>
      <c r="BN119" s="1">
        <v>70</v>
      </c>
      <c r="BQ119" s="80"/>
      <c r="BR119" s="80"/>
    </row>
    <row r="120" spans="2:70" ht="15">
      <c r="B120" s="1" t="s">
        <v>1623</v>
      </c>
      <c r="BF120" s="76"/>
      <c r="BH120" s="1">
        <v>6</v>
      </c>
      <c r="BI120" s="1">
        <v>5</v>
      </c>
      <c r="BJ120" s="1">
        <v>0</v>
      </c>
      <c r="BK120" s="1">
        <v>0</v>
      </c>
      <c r="BL120" s="1">
        <v>20</v>
      </c>
      <c r="BM120" s="1">
        <v>30</v>
      </c>
      <c r="BN120" s="1">
        <v>40</v>
      </c>
      <c r="BQ120" s="80"/>
      <c r="BR120" s="80"/>
    </row>
    <row r="121" spans="2:70" ht="15">
      <c r="B121" s="1" t="s">
        <v>1624</v>
      </c>
      <c r="BF121" s="76"/>
      <c r="BH121" s="1">
        <v>5</v>
      </c>
      <c r="BI121" s="1">
        <v>5</v>
      </c>
      <c r="BJ121" s="1">
        <v>0</v>
      </c>
      <c r="BK121" s="1">
        <v>0</v>
      </c>
      <c r="BL121" s="1">
        <v>0</v>
      </c>
      <c r="BM121" s="1">
        <v>0</v>
      </c>
      <c r="BN121" s="1">
        <v>0</v>
      </c>
      <c r="BQ121" s="80"/>
      <c r="BR121" s="80"/>
    </row>
    <row r="122" spans="2:70" ht="15">
      <c r="B122" s="1" t="s">
        <v>1625</v>
      </c>
      <c r="BF122" s="76"/>
      <c r="BH122" s="1">
        <v>25</v>
      </c>
      <c r="BI122" s="1">
        <v>30</v>
      </c>
      <c r="BJ122" s="1">
        <v>35</v>
      </c>
      <c r="BK122" s="1">
        <v>15</v>
      </c>
      <c r="BL122" s="1">
        <v>20</v>
      </c>
      <c r="BM122" s="1">
        <v>30</v>
      </c>
      <c r="BN122" s="1">
        <v>30</v>
      </c>
      <c r="BQ122" s="80"/>
      <c r="BR122" s="80"/>
    </row>
    <row r="123" spans="2:70" ht="15">
      <c r="B123" s="1" t="s">
        <v>1626</v>
      </c>
      <c r="BF123" s="76"/>
      <c r="BH123" s="1">
        <v>25</v>
      </c>
      <c r="BI123" s="1">
        <v>30</v>
      </c>
      <c r="BJ123" s="1">
        <v>20</v>
      </c>
      <c r="BK123" s="1">
        <v>15</v>
      </c>
      <c r="BL123" s="1">
        <v>20</v>
      </c>
      <c r="BM123" s="1">
        <v>25</v>
      </c>
      <c r="BN123" s="1">
        <v>25</v>
      </c>
      <c r="BQ123" s="80"/>
      <c r="BR123" s="80"/>
    </row>
    <row r="124" spans="2:70" ht="15">
      <c r="B124" s="1" t="s">
        <v>1627</v>
      </c>
      <c r="BF124" s="76"/>
      <c r="BH124" s="1">
        <v>5</v>
      </c>
      <c r="BI124" s="1">
        <v>5</v>
      </c>
      <c r="BJ124" s="1">
        <v>0</v>
      </c>
      <c r="BK124" s="1">
        <v>0</v>
      </c>
      <c r="BL124" s="1">
        <v>0</v>
      </c>
      <c r="BM124" s="1">
        <v>0</v>
      </c>
      <c r="BN124" s="1">
        <v>0</v>
      </c>
      <c r="BQ124" s="80"/>
      <c r="BR124" s="80"/>
    </row>
    <row r="125" spans="2:70" ht="15">
      <c r="B125" s="1" t="s">
        <v>1628</v>
      </c>
      <c r="BF125" s="76"/>
      <c r="BH125" s="1">
        <v>15</v>
      </c>
      <c r="BI125" s="1">
        <v>20</v>
      </c>
      <c r="BJ125" s="1">
        <v>20</v>
      </c>
      <c r="BK125" s="1">
        <v>40</v>
      </c>
      <c r="BL125" s="1">
        <v>50</v>
      </c>
      <c r="BM125" s="1">
        <v>50</v>
      </c>
      <c r="BN125" s="1">
        <v>50</v>
      </c>
      <c r="BQ125" s="80"/>
      <c r="BR125" s="80"/>
    </row>
    <row r="126" spans="2:70" ht="15">
      <c r="B126" s="1" t="s">
        <v>1629</v>
      </c>
      <c r="BF126" s="76"/>
      <c r="BH126" s="1">
        <v>5</v>
      </c>
      <c r="BI126" s="1">
        <v>5</v>
      </c>
      <c r="BJ126" s="1">
        <v>5</v>
      </c>
      <c r="BK126" s="1">
        <v>10</v>
      </c>
      <c r="BL126" s="1">
        <v>50</v>
      </c>
      <c r="BM126" s="1">
        <v>50</v>
      </c>
      <c r="BN126" s="1">
        <v>50</v>
      </c>
      <c r="BQ126" s="80"/>
      <c r="BR126" s="80"/>
    </row>
    <row r="127" spans="2:70" ht="15">
      <c r="B127" s="1" t="s">
        <v>1630</v>
      </c>
      <c r="BF127" s="76"/>
      <c r="BH127" s="1">
        <v>6</v>
      </c>
      <c r="BI127" s="1">
        <v>5</v>
      </c>
      <c r="BJ127" s="1">
        <v>0</v>
      </c>
      <c r="BK127" s="1">
        <v>5</v>
      </c>
      <c r="BL127" s="1">
        <v>10</v>
      </c>
      <c r="BM127" s="1">
        <v>10</v>
      </c>
      <c r="BN127" s="1">
        <v>10</v>
      </c>
      <c r="BQ127" s="80"/>
      <c r="BR127" s="80"/>
    </row>
    <row r="128" spans="2:70" ht="15">
      <c r="B128" s="1" t="s">
        <v>1631</v>
      </c>
      <c r="BF128" s="76"/>
      <c r="BH128" s="1">
        <v>6</v>
      </c>
      <c r="BI128" s="1">
        <v>5</v>
      </c>
      <c r="BJ128" s="1">
        <v>0</v>
      </c>
      <c r="BK128" s="1">
        <v>5</v>
      </c>
      <c r="BL128" s="1">
        <v>10</v>
      </c>
      <c r="BM128" s="1">
        <v>10</v>
      </c>
      <c r="BN128" s="1">
        <v>10</v>
      </c>
      <c r="BQ128" s="80"/>
      <c r="BR128" s="80"/>
    </row>
    <row r="129" spans="2:158">
      <c r="B129" s="1" t="s">
        <v>1632</v>
      </c>
      <c r="BF129" s="77"/>
      <c r="BH129" s="1">
        <f t="shared" ref="BH129:BN129" si="135">SUM(BH109:BH128)</f>
        <v>258</v>
      </c>
      <c r="BI129" s="1">
        <f t="shared" si="135"/>
        <v>360</v>
      </c>
      <c r="BJ129" s="1">
        <f t="shared" si="135"/>
        <v>460</v>
      </c>
      <c r="BK129" s="1">
        <f t="shared" si="135"/>
        <v>570</v>
      </c>
      <c r="BL129" s="1">
        <f t="shared" si="135"/>
        <v>690</v>
      </c>
      <c r="BM129" s="1">
        <f t="shared" si="135"/>
        <v>735</v>
      </c>
      <c r="BN129" s="1">
        <f t="shared" si="135"/>
        <v>735</v>
      </c>
      <c r="BQ129" s="81"/>
      <c r="BR129" s="81"/>
    </row>
    <row r="130" spans="2:158">
      <c r="B130" s="1" t="s">
        <v>1633</v>
      </c>
      <c r="BF130" s="77"/>
      <c r="BJ130" s="1">
        <f>+BJ110+BJ111+BJ113+BJ114+BJ116+BJ117+BJ118+BJ119</f>
        <v>280</v>
      </c>
      <c r="BQ130" s="81"/>
      <c r="BR130" s="81"/>
    </row>
    <row r="131" spans="2:158" ht="15">
      <c r="BF131" s="76"/>
      <c r="BQ131" s="82"/>
      <c r="BR131" s="82"/>
    </row>
    <row r="132" spans="2:158">
      <c r="B132" s="1" t="s">
        <v>1634</v>
      </c>
      <c r="BF132" s="77"/>
      <c r="BH132" s="78">
        <f>+BH35/BH133</f>
        <v>5.099346076458753E-2</v>
      </c>
      <c r="BI132" s="78">
        <f>+BI35/BI133</f>
        <v>4.8347299813780262E-2</v>
      </c>
      <c r="BJ132" s="78">
        <f>+BJ35/BJ133</f>
        <v>0.11254496402877698</v>
      </c>
      <c r="BK132" s="78">
        <f>+BK35/BK133</f>
        <v>0.11646750524109015</v>
      </c>
      <c r="BQ132" s="81"/>
      <c r="BR132" s="81"/>
    </row>
    <row r="133" spans="2:158" ht="15">
      <c r="B133" s="1" t="s">
        <v>1635</v>
      </c>
      <c r="BF133" s="76"/>
      <c r="BH133" s="1">
        <v>40</v>
      </c>
      <c r="BI133" s="1">
        <v>40</v>
      </c>
      <c r="BJ133" s="1">
        <v>40</v>
      </c>
      <c r="BK133" s="1">
        <v>40</v>
      </c>
      <c r="BL133" s="1">
        <f>+BK133</f>
        <v>40</v>
      </c>
      <c r="BM133" s="1">
        <f>+BL133</f>
        <v>40</v>
      </c>
      <c r="BN133" s="1">
        <v>50</v>
      </c>
      <c r="BQ133" s="80"/>
      <c r="BR133" s="80"/>
    </row>
    <row r="134" spans="2:158" ht="15">
      <c r="BF134" s="79"/>
      <c r="BQ134" s="83"/>
      <c r="BR134" s="83"/>
    </row>
    <row r="136" spans="2:158">
      <c r="B136" s="1" t="s">
        <v>1636</v>
      </c>
      <c r="BI136" s="1">
        <f t="shared" ref="BI136:BO136" si="136">+BI137-BI138</f>
        <v>18992.902247752249</v>
      </c>
      <c r="BJ136" s="1">
        <f t="shared" si="136"/>
        <v>21453.707901582486</v>
      </c>
      <c r="BK136" s="1">
        <f t="shared" si="136"/>
        <v>23255.797712252162</v>
      </c>
      <c r="BL136" s="1">
        <f t="shared" si="136"/>
        <v>27867.079852020488</v>
      </c>
      <c r="BM136" s="1">
        <f t="shared" si="136"/>
        <v>33177.131967213121</v>
      </c>
      <c r="BN136" s="1">
        <f t="shared" si="136"/>
        <v>38969.112750455373</v>
      </c>
      <c r="BO136" s="1">
        <f t="shared" si="136"/>
        <v>44543.785470085473</v>
      </c>
    </row>
    <row r="137" spans="2:158">
      <c r="B137" s="1" t="s">
        <v>1637</v>
      </c>
      <c r="BI137" s="1">
        <f t="shared" ref="BI137:BN137" si="137">+BI140*0.45</f>
        <v>19000.007142857143</v>
      </c>
      <c r="BJ137" s="1">
        <f t="shared" si="137"/>
        <v>21455.207142857143</v>
      </c>
      <c r="BK137" s="1">
        <f t="shared" si="137"/>
        <v>23257.157142857144</v>
      </c>
      <c r="BL137" s="1">
        <f t="shared" si="137"/>
        <v>27868.757142857143</v>
      </c>
      <c r="BM137" s="1">
        <f t="shared" si="137"/>
        <v>33178.050000000003</v>
      </c>
      <c r="BN137" s="1">
        <f t="shared" si="137"/>
        <v>38969.1</v>
      </c>
      <c r="BO137" s="1">
        <f>+BO140*0.45</f>
        <v>44543.700000000004</v>
      </c>
    </row>
    <row r="138" spans="2:158">
      <c r="B138" s="1" t="s">
        <v>1610</v>
      </c>
      <c r="BG138" s="1">
        <f t="shared" ref="BG138:BP138" si="138">BH39</f>
        <v>-0.43422818791946305</v>
      </c>
      <c r="BH138" s="1">
        <f t="shared" si="138"/>
        <v>-0.20401691331923888</v>
      </c>
      <c r="BI138" s="1">
        <f t="shared" si="138"/>
        <v>7.104895104895105</v>
      </c>
      <c r="BJ138" s="1">
        <f t="shared" si="138"/>
        <v>1.4992412746585737</v>
      </c>
      <c r="BK138" s="1">
        <f t="shared" si="138"/>
        <v>1.3594306049822062</v>
      </c>
      <c r="BL138" s="1">
        <f t="shared" si="138"/>
        <v>1.6772908366533863</v>
      </c>
      <c r="BM138" s="1">
        <f t="shared" si="138"/>
        <v>0.91803278688524581</v>
      </c>
      <c r="BN138" s="1">
        <f t="shared" si="138"/>
        <v>-1.2750455373406244E-2</v>
      </c>
      <c r="BO138" s="1">
        <f t="shared" si="138"/>
        <v>-8.54700854700855E-2</v>
      </c>
      <c r="BP138" s="1">
        <f t="shared" si="138"/>
        <v>0</v>
      </c>
      <c r="BQ138" s="35">
        <f>+BQ140*0.39</f>
        <v>51197.951999999997</v>
      </c>
      <c r="BR138" s="35">
        <f>+BR140*0.39</f>
        <v>52984.526400000002</v>
      </c>
    </row>
    <row r="139" spans="2:158">
      <c r="B139" s="1" t="s">
        <v>191</v>
      </c>
      <c r="BG139" s="1">
        <f t="shared" ref="BG139:BP139" si="139">BH37</f>
        <v>-0.13455149501661134</v>
      </c>
      <c r="BH139" s="1">
        <f t="shared" si="139"/>
        <v>2.4952298352124891</v>
      </c>
      <c r="BI139" s="1">
        <f t="shared" si="139"/>
        <v>2.5296976241900646</v>
      </c>
      <c r="BJ139" s="1">
        <f t="shared" si="139"/>
        <v>1.4348552338530065</v>
      </c>
      <c r="BK139" s="1">
        <f t="shared" si="139"/>
        <v>4.3953934740882916</v>
      </c>
      <c r="BL139" s="1">
        <f t="shared" si="139"/>
        <v>0.34392059553349874</v>
      </c>
      <c r="BM139" s="1">
        <f t="shared" si="139"/>
        <v>-0.21034113507725261</v>
      </c>
      <c r="BN139" s="1">
        <f t="shared" si="139"/>
        <v>0.6368625657443403</v>
      </c>
      <c r="BO139" s="1">
        <f t="shared" si="139"/>
        <v>0.51707577374599789</v>
      </c>
      <c r="BP139" s="1">
        <f t="shared" si="139"/>
        <v>0</v>
      </c>
      <c r="BQ139" s="35">
        <f>+BQ140*0.35</f>
        <v>45946.87999999999</v>
      </c>
      <c r="BR139" s="35">
        <f>+BR140*0.35</f>
        <v>47550.216</v>
      </c>
    </row>
    <row r="140" spans="2:158" s="2" customFormat="1" ht="15">
      <c r="B140" s="1" t="s">
        <v>1638</v>
      </c>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BG140" s="2">
        <f>SUM(BG141:BG149)</f>
        <v>36225.571428571428</v>
      </c>
      <c r="BH140" s="2">
        <f t="shared" ref="BH140:BR140" si="140">SUM(BH141:BH149)</f>
        <v>40929.238095238092</v>
      </c>
      <c r="BI140" s="2">
        <f t="shared" si="140"/>
        <v>42222.238095238092</v>
      </c>
      <c r="BJ140" s="2">
        <f t="shared" si="140"/>
        <v>47678.238095238092</v>
      </c>
      <c r="BK140" s="2">
        <f t="shared" si="140"/>
        <v>51682.571428571428</v>
      </c>
      <c r="BL140" s="2">
        <f t="shared" si="140"/>
        <v>61930.571428571428</v>
      </c>
      <c r="BM140" s="2">
        <f t="shared" si="140"/>
        <v>73729</v>
      </c>
      <c r="BN140" s="2">
        <f t="shared" si="140"/>
        <v>86598</v>
      </c>
      <c r="BO140" s="2">
        <f t="shared" si="140"/>
        <v>98986</v>
      </c>
      <c r="BP140" s="2">
        <f t="shared" si="140"/>
        <v>118779</v>
      </c>
      <c r="BQ140" s="34">
        <f t="shared" si="140"/>
        <v>131276.79999999999</v>
      </c>
      <c r="BR140" s="34">
        <f t="shared" si="140"/>
        <v>135857.76</v>
      </c>
      <c r="BS140" s="34"/>
      <c r="BT140" s="34"/>
      <c r="BU140" s="34"/>
      <c r="BV140" s="34"/>
      <c r="CU140" s="34"/>
      <c r="CV140" s="34"/>
      <c r="CW140" s="34"/>
      <c r="CX140" s="34"/>
      <c r="CY140" s="34"/>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c r="DW140" s="34"/>
      <c r="DX140" s="34"/>
      <c r="DY140" s="34"/>
      <c r="DZ140" s="34"/>
      <c r="EA140" s="34"/>
      <c r="EB140" s="34"/>
      <c r="EC140" s="34"/>
      <c r="ED140" s="34"/>
      <c r="EE140" s="34"/>
      <c r="EF140" s="34"/>
      <c r="EG140" s="34"/>
      <c r="EH140" s="34"/>
      <c r="EI140" s="34"/>
      <c r="EJ140" s="34"/>
      <c r="EK140" s="34"/>
      <c r="EL140" s="34"/>
      <c r="EM140" s="34"/>
      <c r="EN140" s="34"/>
      <c r="EO140" s="34"/>
      <c r="EP140" s="34"/>
      <c r="EQ140" s="34"/>
      <c r="ER140" s="34"/>
      <c r="ES140" s="34"/>
      <c r="ET140" s="34"/>
      <c r="EU140" s="34"/>
      <c r="EV140" s="34"/>
      <c r="EW140" s="34"/>
      <c r="EX140" s="34"/>
      <c r="EY140" s="34"/>
      <c r="EZ140" s="34"/>
      <c r="FA140" s="34"/>
      <c r="FB140" s="34"/>
    </row>
    <row r="141" spans="2:158">
      <c r="B141" s="1" t="s">
        <v>1639</v>
      </c>
      <c r="BG141" s="1">
        <v>0</v>
      </c>
      <c r="BH141" s="1">
        <v>0</v>
      </c>
      <c r="BI141" s="1">
        <v>0</v>
      </c>
      <c r="BJ141" s="1">
        <v>125</v>
      </c>
      <c r="BK141" s="1">
        <v>125</v>
      </c>
      <c r="BL141" s="1">
        <v>1500</v>
      </c>
      <c r="BM141" s="1">
        <f t="shared" ref="BM141:BR141" si="141">+BL141+500</f>
        <v>2000</v>
      </c>
      <c r="BN141" s="1">
        <f t="shared" si="141"/>
        <v>2500</v>
      </c>
      <c r="BO141" s="1">
        <f t="shared" si="141"/>
        <v>3000</v>
      </c>
      <c r="BP141" s="1">
        <f t="shared" si="141"/>
        <v>3500</v>
      </c>
      <c r="BQ141" s="35">
        <f t="shared" si="141"/>
        <v>4000</v>
      </c>
      <c r="BR141" s="35">
        <f t="shared" si="141"/>
        <v>4500</v>
      </c>
    </row>
    <row r="142" spans="2:158">
      <c r="B142" s="1" t="s">
        <v>1630</v>
      </c>
      <c r="BG142" s="1">
        <v>450</v>
      </c>
      <c r="BH142" s="1">
        <v>4000</v>
      </c>
      <c r="BI142" s="1">
        <v>2000</v>
      </c>
      <c r="BJ142" s="1">
        <v>750</v>
      </c>
      <c r="BK142" s="1">
        <v>1000</v>
      </c>
      <c r="BL142" s="1">
        <v>1000</v>
      </c>
      <c r="BM142" s="1">
        <v>4000</v>
      </c>
      <c r="BN142" s="1">
        <v>1000</v>
      </c>
      <c r="BO142" s="1">
        <v>3000</v>
      </c>
      <c r="BP142" s="1">
        <v>3000</v>
      </c>
      <c r="BQ142" s="35">
        <v>3000</v>
      </c>
      <c r="BR142" s="35">
        <v>3000</v>
      </c>
    </row>
    <row r="143" spans="2:158">
      <c r="B143" s="1" t="s">
        <v>1640</v>
      </c>
      <c r="BG143" s="1">
        <v>6607</v>
      </c>
      <c r="BH143" s="1">
        <v>8943</v>
      </c>
      <c r="BI143" s="1">
        <v>9917</v>
      </c>
      <c r="BJ143" s="1">
        <v>9735</v>
      </c>
      <c r="BK143" s="1">
        <v>10952</v>
      </c>
      <c r="BL143" s="1">
        <v>13873</v>
      </c>
      <c r="BM143" s="1">
        <v>14923</v>
      </c>
      <c r="BN143" s="1">
        <v>15804</v>
      </c>
      <c r="BO143" s="1">
        <v>16745</v>
      </c>
      <c r="BP143" s="1">
        <v>17079</v>
      </c>
      <c r="BQ143" s="35">
        <f>+BM143*1.6</f>
        <v>23876.800000000003</v>
      </c>
      <c r="BR143" s="35">
        <f>+BN143*1.44</f>
        <v>22757.759999999998</v>
      </c>
    </row>
    <row r="144" spans="2:158">
      <c r="B144" s="1" t="s">
        <v>1641</v>
      </c>
      <c r="BG144" s="1">
        <v>6289</v>
      </c>
      <c r="BH144" s="1">
        <f>13177-BG144</f>
        <v>6888</v>
      </c>
      <c r="BI144" s="1">
        <v>8055</v>
      </c>
      <c r="BJ144" s="1">
        <v>11019</v>
      </c>
      <c r="BK144" s="1">
        <v>12012</v>
      </c>
      <c r="BL144" s="1">
        <f>25198-BK144</f>
        <v>13186</v>
      </c>
      <c r="BM144" s="1">
        <f>38259-BL144-BK144</f>
        <v>13061</v>
      </c>
      <c r="BN144" s="1">
        <f>52535-BM144-BL144-BK144</f>
        <v>14276</v>
      </c>
      <c r="BO144" s="1">
        <v>17197</v>
      </c>
      <c r="BP144" s="1">
        <v>22446</v>
      </c>
      <c r="BQ144" s="35">
        <f>+BP144+500</f>
        <v>22946</v>
      </c>
      <c r="BR144" s="35">
        <f>+BQ144+500</f>
        <v>23446</v>
      </c>
    </row>
    <row r="145" spans="2:70">
      <c r="B145" s="1" t="s">
        <v>1642</v>
      </c>
      <c r="BG145" s="1">
        <v>14207</v>
      </c>
      <c r="BH145" s="1">
        <v>11455</v>
      </c>
      <c r="BI145" s="1">
        <v>12479</v>
      </c>
      <c r="BJ145" s="1">
        <v>14588</v>
      </c>
      <c r="BK145" s="1">
        <v>14925</v>
      </c>
      <c r="BL145" s="1">
        <v>17620</v>
      </c>
      <c r="BM145" s="1">
        <v>22620</v>
      </c>
      <c r="BN145" s="1">
        <v>27834</v>
      </c>
      <c r="BO145" s="1">
        <v>25019</v>
      </c>
      <c r="BP145" s="1">
        <v>32183</v>
      </c>
      <c r="BQ145" s="35">
        <f>+BP145</f>
        <v>32183</v>
      </c>
      <c r="BR145" s="35">
        <f>+BQ145</f>
        <v>32183</v>
      </c>
    </row>
    <row r="146" spans="2:70">
      <c r="B146" s="1" t="s">
        <v>1615</v>
      </c>
      <c r="BF146" s="1">
        <v>1428.5714285714287</v>
      </c>
      <c r="BG146" s="1">
        <v>1428.5714285714287</v>
      </c>
      <c r="BH146" s="1">
        <v>1428.5714285714287</v>
      </c>
      <c r="BI146" s="1">
        <v>1428.5714285714287</v>
      </c>
      <c r="BJ146" s="1">
        <v>1428.5714285714287</v>
      </c>
      <c r="BK146" s="1">
        <f>+BJ146+300</f>
        <v>1728.5714285714287</v>
      </c>
      <c r="BL146" s="1">
        <f>+BK146+300</f>
        <v>2028.5714285714287</v>
      </c>
      <c r="BM146" s="1">
        <v>2650</v>
      </c>
      <c r="BN146" s="1">
        <v>2650</v>
      </c>
      <c r="BO146" s="1">
        <v>7000</v>
      </c>
      <c r="BP146" s="1">
        <v>10000</v>
      </c>
      <c r="BQ146" s="35">
        <f>+BP146+2000</f>
        <v>12000</v>
      </c>
      <c r="BR146" s="35">
        <f>+BQ146+2000</f>
        <v>14000</v>
      </c>
    </row>
    <row r="147" spans="2:70">
      <c r="B147" s="1" t="s">
        <v>1643</v>
      </c>
      <c r="BF147" s="1">
        <v>100</v>
      </c>
      <c r="BG147" s="1">
        <f>200+221</f>
        <v>421</v>
      </c>
      <c r="BH147" s="1">
        <v>766.66666666666663</v>
      </c>
      <c r="BI147" s="1">
        <v>766.66666666666663</v>
      </c>
      <c r="BJ147" s="1">
        <v>766.66666666666663</v>
      </c>
      <c r="BK147" s="1">
        <v>1742</v>
      </c>
      <c r="BL147" s="1">
        <v>2247</v>
      </c>
      <c r="BM147" s="1">
        <f>+BL147</f>
        <v>2247</v>
      </c>
      <c r="BN147" s="1">
        <f>+BM147</f>
        <v>2247</v>
      </c>
      <c r="BO147" s="1">
        <v>1407</v>
      </c>
      <c r="BP147" s="1">
        <v>2453</v>
      </c>
      <c r="BQ147" s="35">
        <f>+BP147+200</f>
        <v>2653</v>
      </c>
      <c r="BR147" s="35">
        <f>+BQ147+200</f>
        <v>2853</v>
      </c>
    </row>
    <row r="148" spans="2:70">
      <c r="B148" s="1" t="s">
        <v>1644</v>
      </c>
      <c r="BG148" s="1">
        <v>6823</v>
      </c>
      <c r="BH148" s="1">
        <v>6134</v>
      </c>
      <c r="BI148" s="1">
        <v>6496</v>
      </c>
      <c r="BJ148" s="1">
        <v>7592</v>
      </c>
      <c r="BK148" s="1">
        <v>6400</v>
      </c>
      <c r="BL148" s="1">
        <v>8173</v>
      </c>
      <c r="BM148" s="1">
        <v>8258</v>
      </c>
      <c r="BN148" s="1">
        <v>14425</v>
      </c>
      <c r="BO148" s="1">
        <v>16538</v>
      </c>
      <c r="BP148" s="1">
        <f>+BO148+2000</f>
        <v>18538</v>
      </c>
      <c r="BQ148" s="35">
        <f>+BP148+2000</f>
        <v>20538</v>
      </c>
      <c r="BR148" s="35">
        <f>+BQ148+2000</f>
        <v>22538</v>
      </c>
    </row>
    <row r="149" spans="2:70">
      <c r="B149" s="1" t="s">
        <v>1645</v>
      </c>
      <c r="BH149" s="1">
        <v>1314</v>
      </c>
      <c r="BI149" s="1">
        <v>1080</v>
      </c>
      <c r="BJ149" s="1">
        <v>1674</v>
      </c>
      <c r="BK149" s="1">
        <v>2798</v>
      </c>
      <c r="BL149" s="1">
        <v>2303</v>
      </c>
      <c r="BM149" s="1">
        <v>3970</v>
      </c>
      <c r="BN149" s="1">
        <v>5862</v>
      </c>
      <c r="BO149" s="1">
        <v>9080</v>
      </c>
      <c r="BP149" s="1">
        <f>+BO149+500</f>
        <v>9580</v>
      </c>
      <c r="BQ149" s="35">
        <f>+BP149+500</f>
        <v>10080</v>
      </c>
      <c r="BR149" s="35">
        <f>+BQ149+500</f>
        <v>10580</v>
      </c>
    </row>
  </sheetData>
  <mergeCells count="1">
    <mergeCell ref="DC85:DD85"/>
  </mergeCells>
  <conditionalFormatting sqref="DC85">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Sell",DC85)))</formula>
    </cfRule>
    <cfRule type="containsText" dxfId="3" priority="3" operator="containsText" text="Sell">
      <formula>NOT(ISERROR(SEARCH("Sell",DC85)))</formula>
    </cfRule>
    <cfRule type="containsText" dxfId="2" priority="4" operator="containsText" text="Hold">
      <formula>NOT(ISERROR(SEARCH("Hold",DC85)))</formula>
    </cfRule>
    <cfRule type="beginsWith" dxfId="1" priority="5" operator="beginsWith" text="Buy">
      <formula>LEFT(DC85,LEN("Buy"))="Buy"</formula>
    </cfRule>
    <cfRule type="beginsWith" dxfId="0" priority="6" operator="beginsWith" text="Strong">
      <formula>LEFT(DC85,LEN("Strong"))="Strong"</formula>
    </cfRule>
  </conditionalFormatting>
  <pageMargins left="0.7" right="0.7" top="0.75" bottom="0.75" header="0.3" footer="0.3"/>
  <ignoredErrors>
    <ignoredError sqref="CE48:CT60 CE103:CT104 BG94:BO98 AP49:AP59 BP94:BP98 AU94:BF100" formulaRange="1"/>
    <ignoredError sqref="CE61:CT61" formula="1" formulaRange="1"/>
    <ignoredError sqref="CU6:DD6" formula="1"/>
  </ignoredErrors>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06"/>
  <sheetViews>
    <sheetView topLeftCell="H53" zoomScale="70" zoomScaleNormal="70" workbookViewId="0">
      <selection activeCell="I212" sqref="I212:I278"/>
    </sheetView>
  </sheetViews>
  <sheetFormatPr defaultColWidth="9.140625"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167</v>
      </c>
      <c r="AD2" s="2" t="s">
        <v>144</v>
      </c>
    </row>
    <row r="4" spans="8:79" ht="15">
      <c r="AD4"/>
    </row>
    <row r="27" spans="9:10">
      <c r="I27" s="1" t="s">
        <v>14</v>
      </c>
      <c r="J27" s="1" t="s">
        <v>15</v>
      </c>
    </row>
    <row r="28" spans="9:10">
      <c r="J28" s="1" t="s">
        <v>16</v>
      </c>
    </row>
    <row r="29" spans="9:10">
      <c r="J29" s="1" t="s">
        <v>17</v>
      </c>
    </row>
    <row r="36" spans="8:30" ht="15">
      <c r="H36" s="2" t="s">
        <v>13</v>
      </c>
      <c r="AD36" s="2" t="s">
        <v>145</v>
      </c>
    </row>
    <row r="37" spans="8:30" ht="15">
      <c r="AD37" s="2" t="s">
        <v>146</v>
      </c>
    </row>
    <row r="64" spans="9:10">
      <c r="I64" s="1" t="s">
        <v>14</v>
      </c>
      <c r="J64" s="1" t="s">
        <v>15</v>
      </c>
    </row>
    <row r="65" spans="8:10">
      <c r="J65" s="1" t="s">
        <v>16</v>
      </c>
    </row>
    <row r="66" spans="8:10">
      <c r="J66" s="1" t="s">
        <v>17</v>
      </c>
    </row>
    <row r="68" spans="8:10" ht="15">
      <c r="H68" s="2" t="s">
        <v>1534</v>
      </c>
    </row>
    <row r="100" spans="8:30">
      <c r="I100" s="1" t="s">
        <v>14</v>
      </c>
      <c r="J100" s="1" t="s">
        <v>15</v>
      </c>
    </row>
    <row r="101" spans="8:30">
      <c r="J101" s="1" t="s">
        <v>16</v>
      </c>
    </row>
    <row r="102" spans="8:30">
      <c r="J102" s="1" t="s">
        <v>17</v>
      </c>
    </row>
    <row r="104" spans="8:30" ht="15">
      <c r="H104" s="2" t="s">
        <v>276</v>
      </c>
      <c r="AD104" s="2" t="s">
        <v>147</v>
      </c>
    </row>
    <row r="133" spans="8:10">
      <c r="I133" s="1" t="s">
        <v>14</v>
      </c>
      <c r="J133" s="1" t="s">
        <v>15</v>
      </c>
    </row>
    <row r="134" spans="8:10">
      <c r="J134" s="1" t="s">
        <v>16</v>
      </c>
    </row>
    <row r="135" spans="8:10">
      <c r="J135" s="1" t="s">
        <v>17</v>
      </c>
    </row>
    <row r="137" spans="8:10" ht="15">
      <c r="H137" s="2" t="s">
        <v>275</v>
      </c>
    </row>
    <row r="156" spans="30:30" ht="15">
      <c r="AD156" s="2" t="s">
        <v>148</v>
      </c>
    </row>
    <row r="157" spans="30:30">
      <c r="AD157" s="1" t="s">
        <v>149</v>
      </c>
    </row>
    <row r="166" spans="8:10">
      <c r="I166" s="1" t="s">
        <v>14</v>
      </c>
      <c r="J166" s="1" t="s">
        <v>15</v>
      </c>
    </row>
    <row r="167" spans="8:10">
      <c r="J167" s="1" t="s">
        <v>16</v>
      </c>
    </row>
    <row r="168" spans="8:10">
      <c r="J168" s="1" t="s">
        <v>17</v>
      </c>
    </row>
    <row r="170" spans="8:10" ht="15">
      <c r="H170" s="2" t="s">
        <v>274</v>
      </c>
    </row>
    <row r="188" spans="1:7">
      <c r="A188" s="1" t="s">
        <v>1532</v>
      </c>
    </row>
    <row r="189" spans="1:7">
      <c r="A189" s="24" t="s">
        <v>18</v>
      </c>
      <c r="B189" s="24" t="s">
        <v>19</v>
      </c>
      <c r="C189" s="24" t="s">
        <v>20</v>
      </c>
      <c r="D189" s="24" t="s">
        <v>21</v>
      </c>
      <c r="E189" s="24" t="s">
        <v>22</v>
      </c>
      <c r="F189" s="24" t="s">
        <v>23</v>
      </c>
      <c r="G189" s="24" t="s">
        <v>24</v>
      </c>
    </row>
    <row r="190" spans="1:7">
      <c r="A190" s="49">
        <v>173</v>
      </c>
      <c r="B190" s="49">
        <v>174.16</v>
      </c>
      <c r="C190" s="49">
        <v>170.83</v>
      </c>
      <c r="D190" s="49">
        <v>172.02</v>
      </c>
      <c r="E190" s="49">
        <v>159879050</v>
      </c>
      <c r="F190" s="49" t="s">
        <v>277</v>
      </c>
      <c r="G190" s="25">
        <f>A190/D190-1</f>
        <v>5.6970119753516624E-3</v>
      </c>
    </row>
    <row r="191" spans="1:7">
      <c r="A191" s="49">
        <v>171.37</v>
      </c>
      <c r="B191" s="49">
        <v>171.75</v>
      </c>
      <c r="C191" s="49">
        <v>168.9</v>
      </c>
      <c r="D191" s="49">
        <v>171.06</v>
      </c>
      <c r="E191" s="49">
        <v>157905711</v>
      </c>
      <c r="F191" s="49" t="s">
        <v>278</v>
      </c>
      <c r="G191" s="25">
        <f t="shared" ref="G191:G254" si="0">A191/D191-1</f>
        <v>1.8122296270315363E-3</v>
      </c>
    </row>
    <row r="192" spans="1:7">
      <c r="A192" s="49">
        <v>170.7</v>
      </c>
      <c r="B192" s="49">
        <v>172.4</v>
      </c>
      <c r="C192" s="49">
        <v>169.19499999999999</v>
      </c>
      <c r="D192" s="49">
        <v>171.19</v>
      </c>
      <c r="E192" s="49">
        <v>228952290</v>
      </c>
      <c r="F192" s="49" t="s">
        <v>279</v>
      </c>
      <c r="G192" s="25">
        <f t="shared" si="0"/>
        <v>-2.8623167241077496E-3</v>
      </c>
    </row>
    <row r="193" spans="1:30">
      <c r="A193" s="49">
        <v>164.07</v>
      </c>
      <c r="B193" s="49">
        <v>165.49</v>
      </c>
      <c r="C193" s="49">
        <v>162.02000000000001</v>
      </c>
      <c r="D193" s="49">
        <v>165.37</v>
      </c>
      <c r="E193" s="49">
        <v>136174733</v>
      </c>
      <c r="F193" s="49" t="s">
        <v>280</v>
      </c>
      <c r="G193" s="25">
        <f t="shared" si="0"/>
        <v>-7.8611598234262781E-3</v>
      </c>
    </row>
    <row r="194" spans="1:30">
      <c r="A194" s="49">
        <v>164.92</v>
      </c>
      <c r="B194" s="49">
        <v>167.89</v>
      </c>
      <c r="C194" s="49">
        <v>163.47</v>
      </c>
      <c r="D194" s="49">
        <v>163.715</v>
      </c>
      <c r="E194" s="49">
        <v>191043668</v>
      </c>
      <c r="F194" s="49" t="s">
        <v>281</v>
      </c>
      <c r="G194" s="25">
        <f t="shared" si="0"/>
        <v>7.3603518309255378E-3</v>
      </c>
    </row>
    <row r="195" spans="1:30">
      <c r="A195" s="49">
        <v>164.1</v>
      </c>
      <c r="B195" s="49">
        <v>164.5</v>
      </c>
      <c r="C195" s="49">
        <v>161.61000000000001</v>
      </c>
      <c r="D195" s="49">
        <v>164.32</v>
      </c>
      <c r="E195" s="49">
        <v>166472201</v>
      </c>
      <c r="F195" s="49" t="s">
        <v>282</v>
      </c>
      <c r="G195" s="25">
        <f t="shared" si="0"/>
        <v>-1.3388510223952821E-3</v>
      </c>
    </row>
    <row r="196" spans="1:30">
      <c r="A196" s="49">
        <v>162.88</v>
      </c>
      <c r="B196" s="49">
        <v>164.42</v>
      </c>
      <c r="C196" s="49">
        <v>161.16</v>
      </c>
      <c r="D196" s="49">
        <v>161.22</v>
      </c>
      <c r="E196" s="49">
        <v>182390373</v>
      </c>
      <c r="F196" s="49" t="s">
        <v>283</v>
      </c>
      <c r="G196" s="25">
        <f t="shared" si="0"/>
        <v>1.0296489269321363E-2</v>
      </c>
    </row>
    <row r="197" spans="1:30">
      <c r="A197" s="49">
        <v>160</v>
      </c>
      <c r="B197" s="49">
        <v>160.22</v>
      </c>
      <c r="C197" s="49">
        <v>158.38999999999999</v>
      </c>
      <c r="D197" s="49">
        <v>159.33000000000001</v>
      </c>
      <c r="E197" s="49">
        <v>135528508</v>
      </c>
      <c r="F197" s="49" t="s">
        <v>284</v>
      </c>
      <c r="G197" s="25">
        <f t="shared" si="0"/>
        <v>4.2051088934913494E-3</v>
      </c>
    </row>
    <row r="198" spans="1:30">
      <c r="A198" s="49">
        <v>158.24</v>
      </c>
      <c r="B198" s="49">
        <v>159.31</v>
      </c>
      <c r="C198" s="49">
        <v>157.34200000000001</v>
      </c>
      <c r="D198" s="49">
        <v>158.19999999999999</v>
      </c>
      <c r="E198" s="49">
        <v>138956847</v>
      </c>
      <c r="F198" s="49" t="s">
        <v>285</v>
      </c>
      <c r="G198" s="25">
        <f t="shared" si="0"/>
        <v>2.5284450063223218E-4</v>
      </c>
    </row>
    <row r="199" spans="1:30">
      <c r="A199" s="49">
        <v>159.34</v>
      </c>
      <c r="B199" s="49">
        <v>160.97999999999999</v>
      </c>
      <c r="C199" s="49">
        <v>157.77000000000001</v>
      </c>
      <c r="D199" s="49">
        <v>158.37</v>
      </c>
      <c r="E199" s="49">
        <v>143594760</v>
      </c>
      <c r="F199" s="49" t="s">
        <v>286</v>
      </c>
      <c r="G199" s="25">
        <f t="shared" si="0"/>
        <v>6.1248973921828043E-3</v>
      </c>
    </row>
    <row r="200" spans="1:30">
      <c r="A200" s="49">
        <v>157.25</v>
      </c>
      <c r="B200" s="49">
        <v>157.6</v>
      </c>
      <c r="C200" s="49">
        <v>152.97</v>
      </c>
      <c r="D200" s="49">
        <v>152.97999999999999</v>
      </c>
      <c r="E200" s="49">
        <v>170213953</v>
      </c>
      <c r="F200" s="49" t="s">
        <v>287</v>
      </c>
      <c r="G200" s="25">
        <f t="shared" si="0"/>
        <v>2.7912145378480968E-2</v>
      </c>
      <c r="I200" s="26"/>
      <c r="J200" s="26" t="s">
        <v>25</v>
      </c>
      <c r="K200" s="27">
        <f>MIN(G190:G1444)</f>
        <v>-0.10999999999999988</v>
      </c>
    </row>
    <row r="201" spans="1:30">
      <c r="A201" s="49">
        <v>153.30000000000001</v>
      </c>
      <c r="B201" s="49">
        <v>157.19999999999999</v>
      </c>
      <c r="C201" s="49">
        <v>151.49</v>
      </c>
      <c r="D201" s="49">
        <v>156.29</v>
      </c>
      <c r="E201" s="49">
        <v>211906973</v>
      </c>
      <c r="F201" s="49" t="s">
        <v>288</v>
      </c>
      <c r="G201" s="25">
        <f t="shared" si="0"/>
        <v>-1.9131102437775827E-2</v>
      </c>
      <c r="I201" s="26"/>
      <c r="J201" s="26" t="s">
        <v>26</v>
      </c>
      <c r="K201" s="27">
        <f>MAX(G190:G1444)</f>
        <v>0.15613307715643643</v>
      </c>
    </row>
    <row r="202" spans="1:30" ht="15">
      <c r="A202" s="49">
        <v>157.99</v>
      </c>
      <c r="B202" s="49">
        <v>158.66</v>
      </c>
      <c r="C202" s="49">
        <v>155.96</v>
      </c>
      <c r="D202" s="49">
        <v>158.4</v>
      </c>
      <c r="E202" s="49">
        <v>193005989</v>
      </c>
      <c r="F202" s="49" t="s">
        <v>289</v>
      </c>
      <c r="G202" s="25">
        <f t="shared" si="0"/>
        <v>-2.5883838383837787E-3</v>
      </c>
      <c r="I202" s="26"/>
      <c r="J202" s="26" t="s">
        <v>27</v>
      </c>
      <c r="K202" s="27">
        <f>AVERAGE(G190:G1444)</f>
        <v>1.0079176149738727E-3</v>
      </c>
      <c r="AD202" s="2" t="s">
        <v>150</v>
      </c>
    </row>
    <row r="203" spans="1:30" ht="15" customHeight="1">
      <c r="A203" s="49">
        <v>157.75</v>
      </c>
      <c r="B203" s="49">
        <v>158.71</v>
      </c>
      <c r="C203" s="49">
        <v>155.255</v>
      </c>
      <c r="D203" s="49">
        <v>156.04</v>
      </c>
      <c r="E203" s="49">
        <v>263234539</v>
      </c>
      <c r="F203" s="49" t="s">
        <v>290</v>
      </c>
      <c r="G203" s="25">
        <f t="shared" si="0"/>
        <v>1.0958728531145878E-2</v>
      </c>
      <c r="I203" s="26"/>
      <c r="J203" s="26" t="s">
        <v>28</v>
      </c>
      <c r="K203" s="27">
        <f>MEDIAN(G190:G1444)</f>
        <v>1.1135857461024301E-3</v>
      </c>
    </row>
    <row r="204" spans="1:30" ht="15">
      <c r="A204" s="49">
        <v>155.02000000000001</v>
      </c>
      <c r="B204" s="49">
        <v>156.715</v>
      </c>
      <c r="C204" s="49">
        <v>154</v>
      </c>
      <c r="D204" s="49">
        <v>155.97499999999999</v>
      </c>
      <c r="E204" s="49">
        <v>198145746</v>
      </c>
      <c r="F204" s="49" t="s">
        <v>291</v>
      </c>
      <c r="G204" s="25">
        <f t="shared" si="0"/>
        <v>-6.1227760859110525E-3</v>
      </c>
      <c r="I204" s="26"/>
      <c r="J204" s="26" t="s">
        <v>29</v>
      </c>
      <c r="K204" s="27">
        <f>_xlfn.STDEV.P(G190:G1444)</f>
        <v>2.6907886793083015E-2</v>
      </c>
      <c r="M204" s="2"/>
    </row>
    <row r="205" spans="1:30" ht="15">
      <c r="A205" s="49">
        <v>154.31</v>
      </c>
      <c r="B205" s="49">
        <v>154.44999999999999</v>
      </c>
      <c r="C205" s="49">
        <v>149.26</v>
      </c>
      <c r="D205" s="49">
        <v>149.27000000000001</v>
      </c>
      <c r="E205" s="49">
        <v>269146471</v>
      </c>
      <c r="F205" s="49" t="s">
        <v>292</v>
      </c>
      <c r="G205" s="25">
        <f t="shared" si="0"/>
        <v>3.3764319689153721E-2</v>
      </c>
      <c r="I205" s="26"/>
      <c r="J205" s="28" t="s">
        <v>30</v>
      </c>
      <c r="K205" s="27">
        <f>3*K204</f>
        <v>8.0723660379249051E-2</v>
      </c>
      <c r="L205" s="26"/>
      <c r="M205" s="2" t="s">
        <v>160</v>
      </c>
    </row>
    <row r="206" spans="1:30" ht="15">
      <c r="A206" s="49">
        <v>147.9</v>
      </c>
      <c r="B206" s="49">
        <v>147.96</v>
      </c>
      <c r="C206" s="49">
        <v>145.5</v>
      </c>
      <c r="D206" s="49">
        <v>145.56</v>
      </c>
      <c r="E206" s="49">
        <v>187566121</v>
      </c>
      <c r="F206" s="49" t="s">
        <v>293</v>
      </c>
      <c r="G206" s="25">
        <f t="shared" si="0"/>
        <v>1.6075845012366141E-2</v>
      </c>
      <c r="I206" s="26"/>
      <c r="J206" s="28" t="s">
        <v>31</v>
      </c>
      <c r="K206" s="26">
        <v>2.12</v>
      </c>
      <c r="L206" s="26"/>
      <c r="M206" s="2" t="s">
        <v>32</v>
      </c>
    </row>
    <row r="207" spans="1:30">
      <c r="A207" s="49">
        <v>144.16999999999999</v>
      </c>
      <c r="B207" s="49">
        <v>144.78</v>
      </c>
      <c r="C207" s="49">
        <v>142.03</v>
      </c>
      <c r="D207" s="49">
        <v>142.5</v>
      </c>
      <c r="E207" s="49">
        <v>150990708</v>
      </c>
      <c r="F207" s="49" t="s">
        <v>294</v>
      </c>
      <c r="G207" s="25">
        <f t="shared" si="0"/>
        <v>1.1719298245614018E-2</v>
      </c>
    </row>
    <row r="208" spans="1:30">
      <c r="A208" s="49">
        <v>143.85</v>
      </c>
      <c r="B208" s="49">
        <v>146.19999999999999</v>
      </c>
      <c r="C208" s="49">
        <v>142.65</v>
      </c>
      <c r="D208" s="49">
        <v>145.44999999999999</v>
      </c>
      <c r="E208" s="49">
        <v>240258755</v>
      </c>
      <c r="F208" s="49" t="s">
        <v>295</v>
      </c>
      <c r="G208" s="25">
        <f t="shared" si="0"/>
        <v>-1.1000343760742437E-2</v>
      </c>
    </row>
    <row r="209" spans="1:17">
      <c r="A209" s="49">
        <v>145.47999999999999</v>
      </c>
      <c r="B209" s="49">
        <v>145.65</v>
      </c>
      <c r="C209" s="49">
        <v>143.12</v>
      </c>
      <c r="D209" s="49">
        <v>144.005</v>
      </c>
      <c r="E209" s="49">
        <v>161494121</v>
      </c>
      <c r="F209" s="49" t="s">
        <v>296</v>
      </c>
      <c r="G209" s="25">
        <f t="shared" si="0"/>
        <v>1.0242699906253261E-2</v>
      </c>
      <c r="I209" s="29" t="s">
        <v>33</v>
      </c>
      <c r="J209" s="30">
        <v>1255</v>
      </c>
    </row>
    <row r="210" spans="1:17" ht="15" thickBot="1">
      <c r="A210" s="49">
        <v>144.12</v>
      </c>
      <c r="B210" s="49">
        <v>145.22</v>
      </c>
      <c r="C210" s="49">
        <v>143.78</v>
      </c>
      <c r="D210" s="49">
        <v>144.49</v>
      </c>
      <c r="E210" s="49">
        <v>139108000</v>
      </c>
      <c r="F210" s="49" t="s">
        <v>297</v>
      </c>
      <c r="G210" s="25">
        <f t="shared" si="0"/>
        <v>-2.5607308464253853E-3</v>
      </c>
      <c r="I210" s="1" t="s">
        <v>34</v>
      </c>
      <c r="L210" s="1" t="s">
        <v>35</v>
      </c>
      <c r="P210" s="1" t="s">
        <v>36</v>
      </c>
    </row>
    <row r="211" spans="1:17" ht="15" customHeight="1">
      <c r="A211" s="49">
        <v>144.69</v>
      </c>
      <c r="B211" s="49">
        <v>146.17500000000001</v>
      </c>
      <c r="C211" s="49">
        <v>143.20009999999999</v>
      </c>
      <c r="D211" s="49">
        <v>143.345</v>
      </c>
      <c r="E211" s="49">
        <v>183133666</v>
      </c>
      <c r="F211" s="49" t="s">
        <v>298</v>
      </c>
      <c r="G211" s="25">
        <f t="shared" si="0"/>
        <v>9.3829572011581153E-3</v>
      </c>
      <c r="I211" s="52" t="s">
        <v>37</v>
      </c>
      <c r="J211" s="52" t="s">
        <v>38</v>
      </c>
      <c r="L211" s="31" t="s">
        <v>39</v>
      </c>
      <c r="M211" s="32" t="s">
        <v>40</v>
      </c>
      <c r="P211" s="31" t="s">
        <v>41</v>
      </c>
      <c r="Q211" s="32" t="s">
        <v>42</v>
      </c>
    </row>
    <row r="212" spans="1:17" ht="15">
      <c r="A212" s="49">
        <v>141.97</v>
      </c>
      <c r="B212" s="49">
        <v>143.58000000000001</v>
      </c>
      <c r="C212" s="49">
        <v>140.85499999999999</v>
      </c>
      <c r="D212" s="49">
        <v>142.47999999999999</v>
      </c>
      <c r="E212" s="49">
        <v>176804472</v>
      </c>
      <c r="F212" s="49" t="s">
        <v>299</v>
      </c>
      <c r="G212" s="25">
        <f t="shared" si="0"/>
        <v>-3.5794497473329301E-3</v>
      </c>
      <c r="I212" s="50">
        <v>-8.2500000000000004E-2</v>
      </c>
      <c r="J212">
        <v>6</v>
      </c>
      <c r="L212" s="48">
        <v>-8.5000000000000006E-2</v>
      </c>
      <c r="M212" s="1">
        <f>_xlfn.NORM.DIST(L212,$K$202,$K$204,FALSE)</f>
        <v>8.9632660933837857E-2</v>
      </c>
      <c r="O212" s="1" t="s">
        <v>151</v>
      </c>
      <c r="P212" s="25">
        <f>K202</f>
        <v>1.0079176149738727E-3</v>
      </c>
      <c r="Q212" s="1">
        <v>0</v>
      </c>
    </row>
    <row r="213" spans="1:17" ht="15">
      <c r="A213" s="49">
        <v>145</v>
      </c>
      <c r="B213" s="49">
        <v>145</v>
      </c>
      <c r="C213" s="49">
        <v>141.85</v>
      </c>
      <c r="D213" s="49">
        <v>141.97</v>
      </c>
      <c r="E213" s="49">
        <v>162364991</v>
      </c>
      <c r="F213" s="49" t="s">
        <v>300</v>
      </c>
      <c r="G213" s="25">
        <f t="shared" si="0"/>
        <v>2.1342537155737196E-2</v>
      </c>
      <c r="I213" s="50">
        <v>-0.08</v>
      </c>
      <c r="J213">
        <v>0</v>
      </c>
      <c r="L213" s="48">
        <v>-8.2500000000000004E-2</v>
      </c>
      <c r="M213" s="1">
        <f t="shared" ref="M213:M276" si="1">_xlfn.NORM.DIST(L213,$K$202,$K$204,FALSE)</f>
        <v>0.12010642761317324</v>
      </c>
      <c r="P213" s="25">
        <f>K202</f>
        <v>1.0079176149738727E-3</v>
      </c>
      <c r="Q213" s="1">
        <v>15</v>
      </c>
    </row>
    <row r="214" spans="1:17" ht="15">
      <c r="A214" s="49">
        <v>142.83000000000001</v>
      </c>
      <c r="B214" s="49">
        <v>144.99</v>
      </c>
      <c r="C214" s="49">
        <v>141.87</v>
      </c>
      <c r="D214" s="49">
        <v>144.61000000000001</v>
      </c>
      <c r="E214" s="49">
        <v>167694044</v>
      </c>
      <c r="F214" s="49" t="s">
        <v>301</v>
      </c>
      <c r="G214" s="25">
        <f t="shared" si="0"/>
        <v>-1.2308968950971555E-2</v>
      </c>
      <c r="I214" s="50">
        <v>-7.7499999999999999E-2</v>
      </c>
      <c r="J214">
        <v>1</v>
      </c>
      <c r="L214" s="48">
        <v>-0.08</v>
      </c>
      <c r="M214" s="1">
        <f t="shared" si="1"/>
        <v>0.15955752782414359</v>
      </c>
      <c r="O214" s="39" t="s">
        <v>152</v>
      </c>
      <c r="P214" s="25">
        <f>($K$204*-3)+$K$202</f>
        <v>-7.9715742764275177E-2</v>
      </c>
      <c r="Q214" s="1">
        <v>0</v>
      </c>
    </row>
    <row r="215" spans="1:17" ht="15">
      <c r="A215" s="49">
        <v>143.94999999999996</v>
      </c>
      <c r="B215" s="49">
        <v>144.27997707696579</v>
      </c>
      <c r="C215" s="49">
        <v>141.51516914420671</v>
      </c>
      <c r="D215" s="49">
        <v>142.68008821894966</v>
      </c>
      <c r="E215" s="49">
        <v>153104557.21514419</v>
      </c>
      <c r="F215" s="49" t="s">
        <v>302</v>
      </c>
      <c r="G215" s="25">
        <f t="shared" si="0"/>
        <v>8.9004134837760152E-3</v>
      </c>
      <c r="I215" s="50">
        <v>-7.4999999999999997E-2</v>
      </c>
      <c r="J215">
        <v>2</v>
      </c>
      <c r="L215" s="48">
        <v>-7.7499999999999999E-2</v>
      </c>
      <c r="M215" s="1">
        <f t="shared" si="1"/>
        <v>0.21014518165133711</v>
      </c>
      <c r="O215" s="40"/>
      <c r="P215" s="25">
        <f>($K$204*-3)+$K$202</f>
        <v>-7.9715742764275177E-2</v>
      </c>
      <c r="Q215" s="1">
        <v>5</v>
      </c>
    </row>
    <row r="216" spans="1:17" ht="15">
      <c r="A216" s="49">
        <v>142.62009238677408</v>
      </c>
      <c r="B216" s="49">
        <v>144.98992775771043</v>
      </c>
      <c r="C216" s="49">
        <v>141.93014031675463</v>
      </c>
      <c r="D216" s="49">
        <v>143.1800534870797</v>
      </c>
      <c r="E216" s="49">
        <v>183929863.45620012</v>
      </c>
      <c r="F216" s="49" t="s">
        <v>303</v>
      </c>
      <c r="G216" s="25">
        <f t="shared" si="0"/>
        <v>-3.9108876318177943E-3</v>
      </c>
      <c r="I216" s="50">
        <v>-7.2499999999999995E-2</v>
      </c>
      <c r="J216">
        <v>0</v>
      </c>
      <c r="L216" s="48">
        <v>-7.4999999999999997E-2</v>
      </c>
      <c r="M216" s="1">
        <f t="shared" si="1"/>
        <v>0.27439276969896353</v>
      </c>
      <c r="O216" s="39" t="s">
        <v>153</v>
      </c>
      <c r="P216" s="25">
        <f>($K$204*-2)+$K$202</f>
        <v>-5.2807855971192155E-2</v>
      </c>
      <c r="Q216" s="1">
        <v>0</v>
      </c>
    </row>
    <row r="217" spans="1:17" ht="15">
      <c r="A217" s="49">
        <v>141.71015559877739</v>
      </c>
      <c r="B217" s="49">
        <v>143.26004792998052</v>
      </c>
      <c r="C217" s="49">
        <v>141.50017018616279</v>
      </c>
      <c r="D217" s="49">
        <v>142.50010072242284</v>
      </c>
      <c r="E217" s="49">
        <v>152767426.79680449</v>
      </c>
      <c r="F217" s="49" t="s">
        <v>304</v>
      </c>
      <c r="G217" s="25">
        <f t="shared" si="0"/>
        <v>-5.5434706336396911E-3</v>
      </c>
      <c r="I217" s="50">
        <v>-6.9999999999999993E-2</v>
      </c>
      <c r="J217">
        <v>3</v>
      </c>
      <c r="L217" s="48">
        <f t="shared" ref="L217:L276" si="2">L216+0.0025</f>
        <v>-7.2499999999999995E-2</v>
      </c>
      <c r="M217" s="1">
        <f t="shared" si="1"/>
        <v>0.3552032895157391</v>
      </c>
      <c r="O217" s="40"/>
      <c r="P217" s="25">
        <f>($K$204*-2)+$K$202</f>
        <v>-5.2807855971192155E-2</v>
      </c>
      <c r="Q217" s="1">
        <v>7</v>
      </c>
    </row>
    <row r="218" spans="1:17" ht="15">
      <c r="A218" s="49">
        <v>139.9802757710475</v>
      </c>
      <c r="B218" s="49">
        <v>143.98999722145038</v>
      </c>
      <c r="C218" s="49">
        <v>138.8203563489858</v>
      </c>
      <c r="D218" s="49">
        <v>142.16012434009443</v>
      </c>
      <c r="E218" s="49">
        <v>225151973.89815915</v>
      </c>
      <c r="F218" s="49" t="s">
        <v>305</v>
      </c>
      <c r="G218" s="25">
        <f t="shared" si="0"/>
        <v>-1.5333755363297286E-2</v>
      </c>
      <c r="I218" s="50">
        <v>-6.7499999999999991E-2</v>
      </c>
      <c r="J218">
        <v>6</v>
      </c>
      <c r="L218" s="48">
        <f t="shared" si="2"/>
        <v>-6.9999999999999993E-2</v>
      </c>
      <c r="M218" s="1">
        <f t="shared" si="1"/>
        <v>0.45586094202727068</v>
      </c>
      <c r="O218" s="41" t="s">
        <v>154</v>
      </c>
      <c r="P218" s="25">
        <f>($K$204*-1)+$K$202</f>
        <v>-2.589996917810914E-2</v>
      </c>
      <c r="Q218" s="1">
        <v>0</v>
      </c>
    </row>
    <row r="219" spans="1:17" ht="15">
      <c r="A219" s="49">
        <v>141.91014170602941</v>
      </c>
      <c r="B219" s="49">
        <v>142.38010905807164</v>
      </c>
      <c r="C219" s="49">
        <v>139.53530668241174</v>
      </c>
      <c r="D219" s="49">
        <v>142.18012295081962</v>
      </c>
      <c r="E219" s="49">
        <v>163778537.66974649</v>
      </c>
      <c r="F219" s="49" t="s">
        <v>306</v>
      </c>
      <c r="G219" s="25">
        <f t="shared" si="0"/>
        <v>-1.8988677122160347E-3</v>
      </c>
      <c r="I219" s="50">
        <v>-6.4999999999999988E-2</v>
      </c>
      <c r="J219">
        <v>0</v>
      </c>
      <c r="L219" s="48">
        <f t="shared" si="2"/>
        <v>-6.7499999999999991E-2</v>
      </c>
      <c r="M219" s="1">
        <f t="shared" si="1"/>
        <v>0.58001453504636702</v>
      </c>
      <c r="P219" s="25">
        <f>($K$204*-1)+$K$202</f>
        <v>-2.589996917810914E-2</v>
      </c>
      <c r="Q219" s="1">
        <v>10</v>
      </c>
    </row>
    <row r="220" spans="1:17" ht="15">
      <c r="A220" s="49">
        <v>141.21019033064738</v>
      </c>
      <c r="B220" s="49">
        <v>141.99013614893022</v>
      </c>
      <c r="C220" s="49">
        <v>137.94041747707692</v>
      </c>
      <c r="D220" s="49">
        <v>138.77035982217279</v>
      </c>
      <c r="E220" s="49">
        <v>222177040.24814177</v>
      </c>
      <c r="F220" s="49" t="s">
        <v>307</v>
      </c>
      <c r="G220" s="25">
        <f t="shared" si="0"/>
        <v>1.7581784118749111E-2</v>
      </c>
      <c r="I220" s="50">
        <v>-6.2499999999999986E-2</v>
      </c>
      <c r="J220">
        <v>5</v>
      </c>
      <c r="L220" s="48">
        <f t="shared" si="2"/>
        <v>-6.4999999999999988E-2</v>
      </c>
      <c r="M220" s="1">
        <f t="shared" si="1"/>
        <v>0.73163834606189315</v>
      </c>
      <c r="O220" s="1" t="s">
        <v>155</v>
      </c>
      <c r="P220" s="25">
        <f>($K$204*1)+$K$202</f>
        <v>2.7915804408056889E-2</v>
      </c>
      <c r="Q220" s="1">
        <v>0</v>
      </c>
    </row>
    <row r="221" spans="1:17" ht="15">
      <c r="A221" s="49">
        <v>137.37045707140868</v>
      </c>
      <c r="B221" s="49">
        <v>138.11040566824116</v>
      </c>
      <c r="C221" s="49">
        <v>135.39059460961374</v>
      </c>
      <c r="D221" s="49">
        <v>135.48058835787717</v>
      </c>
      <c r="E221" s="49">
        <v>194388457.94928798</v>
      </c>
      <c r="F221" s="49" t="s">
        <v>308</v>
      </c>
      <c r="G221" s="25">
        <f t="shared" si="0"/>
        <v>1.3949368957118402E-2</v>
      </c>
      <c r="I221" s="50">
        <v>-5.9999999999999984E-2</v>
      </c>
      <c r="J221">
        <v>4</v>
      </c>
      <c r="L221" s="48">
        <f t="shared" si="2"/>
        <v>-6.2499999999999986E-2</v>
      </c>
      <c r="M221" s="1">
        <f t="shared" si="1"/>
        <v>0.91496636744040993</v>
      </c>
      <c r="P221" s="25">
        <f>($K$204*1)+$K$202</f>
        <v>2.7915804408056889E-2</v>
      </c>
      <c r="Q221" s="1">
        <v>10</v>
      </c>
    </row>
    <row r="222" spans="1:17" ht="15">
      <c r="A222" s="49">
        <v>135.12061336482353</v>
      </c>
      <c r="B222" s="49">
        <v>139.61030147263125</v>
      </c>
      <c r="C222" s="49">
        <v>132.91076687968877</v>
      </c>
      <c r="D222" s="49">
        <v>138.7053643373159</v>
      </c>
      <c r="E222" s="49">
        <v>330279695.46286911</v>
      </c>
      <c r="F222" s="49" t="s">
        <v>309</v>
      </c>
      <c r="G222" s="25">
        <f t="shared" si="0"/>
        <v>-2.5844357135133333E-2</v>
      </c>
      <c r="I222" s="50">
        <v>-5.7499999999999982E-2</v>
      </c>
      <c r="J222">
        <v>2</v>
      </c>
      <c r="L222" s="48">
        <f t="shared" si="2"/>
        <v>-5.9999999999999984E-2</v>
      </c>
      <c r="M222" s="1">
        <f t="shared" si="1"/>
        <v>1.1343965328713603</v>
      </c>
      <c r="O222" s="42" t="s">
        <v>156</v>
      </c>
      <c r="P222" s="25">
        <f>($K$204*2)+$K$202</f>
        <v>5.4823691201139904E-2</v>
      </c>
      <c r="Q222" s="1">
        <v>0</v>
      </c>
    </row>
    <row r="223" spans="1:17" ht="15">
      <c r="A223" s="49">
        <v>139.18033134203941</v>
      </c>
      <c r="B223" s="49">
        <v>143.48003264795773</v>
      </c>
      <c r="C223" s="49">
        <v>137.90042025562653</v>
      </c>
      <c r="D223" s="49">
        <v>142.23511913031393</v>
      </c>
      <c r="E223" s="49">
        <v>370640913.10399455</v>
      </c>
      <c r="F223" s="49" t="s">
        <v>310</v>
      </c>
      <c r="G223" s="25">
        <f t="shared" si="0"/>
        <v>-2.1477029069563058E-2</v>
      </c>
      <c r="I223" s="50">
        <v>-5.4999999999999979E-2</v>
      </c>
      <c r="J223">
        <v>1</v>
      </c>
      <c r="L223" s="48">
        <f t="shared" si="2"/>
        <v>-5.7499999999999982E-2</v>
      </c>
      <c r="M223" s="1">
        <f t="shared" si="1"/>
        <v>1.3943626445974475</v>
      </c>
      <c r="P223" s="25">
        <f>($K$204*2)+$K$202</f>
        <v>5.4823691201139904E-2</v>
      </c>
      <c r="Q223" s="1">
        <v>7</v>
      </c>
    </row>
    <row r="224" spans="1:17" ht="15">
      <c r="A224" s="49">
        <v>134.80063559322031</v>
      </c>
      <c r="B224" s="49">
        <v>137.24046610169489</v>
      </c>
      <c r="C224" s="49">
        <v>134.78063698249511</v>
      </c>
      <c r="D224" s="49">
        <v>136.01555119477629</v>
      </c>
      <c r="E224" s="49">
        <v>244951327.23529008</v>
      </c>
      <c r="F224" s="49" t="s">
        <v>311</v>
      </c>
      <c r="G224" s="25">
        <f t="shared" si="0"/>
        <v>-8.9321815842675623E-3</v>
      </c>
      <c r="I224" s="50">
        <v>-5.2499999999999977E-2</v>
      </c>
      <c r="J224">
        <v>3</v>
      </c>
      <c r="L224" s="48">
        <f t="shared" si="2"/>
        <v>-5.4999999999999979E-2</v>
      </c>
      <c r="M224" s="1">
        <f t="shared" si="1"/>
        <v>1.699173307774958</v>
      </c>
      <c r="O224" s="42" t="s">
        <v>157</v>
      </c>
      <c r="P224" s="25">
        <f>($K$204*3)+$K$202</f>
        <v>8.1731577994222926E-2</v>
      </c>
      <c r="Q224" s="1">
        <v>0</v>
      </c>
    </row>
    <row r="225" spans="1:17" ht="15">
      <c r="A225" s="49">
        <v>135.49058766323975</v>
      </c>
      <c r="B225" s="49">
        <v>135.65057654904138</v>
      </c>
      <c r="C225" s="49">
        <v>133.30073978883021</v>
      </c>
      <c r="D225" s="49">
        <v>134.14068143928867</v>
      </c>
      <c r="E225" s="49">
        <v>190876303.98193821</v>
      </c>
      <c r="F225" s="49" t="s">
        <v>312</v>
      </c>
      <c r="G225" s="25">
        <f t="shared" si="0"/>
        <v>1.0063361908311474E-2</v>
      </c>
      <c r="I225" s="50">
        <v>-4.9999999999999975E-2</v>
      </c>
      <c r="J225">
        <v>6</v>
      </c>
      <c r="L225" s="48">
        <f t="shared" si="2"/>
        <v>-5.2499999999999977E-2</v>
      </c>
      <c r="M225" s="1">
        <f t="shared" si="1"/>
        <v>2.0528192131725049</v>
      </c>
      <c r="O225" s="42"/>
      <c r="P225" s="25">
        <f>($K$204*3)+$K$202</f>
        <v>8.1731577994222926E-2</v>
      </c>
      <c r="Q225" s="1">
        <v>5</v>
      </c>
    </row>
    <row r="226" spans="1:17" ht="15">
      <c r="A226" s="49">
        <v>131.28088010558486</v>
      </c>
      <c r="B226" s="49">
        <v>132.67078355098636</v>
      </c>
      <c r="C226" s="49">
        <v>129.15102806335091</v>
      </c>
      <c r="D226" s="49">
        <v>129.99096971380936</v>
      </c>
      <c r="E226" s="49">
        <v>198835135.83216399</v>
      </c>
      <c r="F226" s="49" t="s">
        <v>313</v>
      </c>
      <c r="G226" s="25">
        <f t="shared" si="0"/>
        <v>9.9230769230769234E-3</v>
      </c>
      <c r="I226" s="50">
        <v>-4.7499999999999973E-2</v>
      </c>
      <c r="J226">
        <v>6</v>
      </c>
      <c r="L226" s="48">
        <f t="shared" si="2"/>
        <v>-4.9999999999999975E-2</v>
      </c>
      <c r="M226" s="1">
        <f t="shared" si="1"/>
        <v>2.4587525271664981</v>
      </c>
    </row>
    <row r="227" spans="1:17" ht="15">
      <c r="A227" s="49">
        <v>132.82077313142537</v>
      </c>
      <c r="B227" s="49">
        <v>134.24067449291468</v>
      </c>
      <c r="C227" s="49">
        <v>131.54086204501249</v>
      </c>
      <c r="D227" s="49">
        <v>132.22081480966932</v>
      </c>
      <c r="E227" s="49">
        <v>187356968.51573467</v>
      </c>
      <c r="F227" s="49" t="s">
        <v>314</v>
      </c>
      <c r="G227" s="25">
        <f t="shared" si="0"/>
        <v>4.5375482114498045E-3</v>
      </c>
      <c r="I227" s="50">
        <v>-4.4999999999999971E-2</v>
      </c>
      <c r="J227">
        <v>14</v>
      </c>
      <c r="L227" s="48">
        <f t="shared" si="2"/>
        <v>-4.7499999999999973E-2</v>
      </c>
      <c r="M227" s="1">
        <f t="shared" si="1"/>
        <v>2.9196448316534065</v>
      </c>
    </row>
    <row r="228" spans="1:17" ht="15">
      <c r="A228" s="49">
        <v>131.79084467907751</v>
      </c>
      <c r="B228" s="49">
        <v>137.3904556821339</v>
      </c>
      <c r="C228" s="49">
        <v>130.5809287302028</v>
      </c>
      <c r="D228" s="49">
        <v>133.05075715476519</v>
      </c>
      <c r="E228" s="49">
        <v>270627536.8008337</v>
      </c>
      <c r="F228" s="49" t="s">
        <v>315</v>
      </c>
      <c r="G228" s="25">
        <f t="shared" si="0"/>
        <v>-9.4694122952051485E-3</v>
      </c>
      <c r="I228" s="50">
        <v>-4.2499999999999968E-2</v>
      </c>
      <c r="J228">
        <v>6</v>
      </c>
      <c r="L228" s="48">
        <f t="shared" si="2"/>
        <v>-4.4999999999999971E-2</v>
      </c>
      <c r="M228" s="1">
        <f t="shared" si="1"/>
        <v>3.4371328374098877</v>
      </c>
    </row>
    <row r="229" spans="1:17" ht="15">
      <c r="A229" s="49">
        <v>134.37066546262847</v>
      </c>
      <c r="B229" s="49">
        <v>134.57065156988051</v>
      </c>
      <c r="C229" s="49">
        <v>132.61078771881074</v>
      </c>
      <c r="D229" s="49">
        <v>134.28067171436507</v>
      </c>
      <c r="E229" s="49">
        <v>161525467.16304275</v>
      </c>
      <c r="F229" s="49" t="s">
        <v>316</v>
      </c>
      <c r="G229" s="25">
        <f t="shared" si="0"/>
        <v>6.7019137687096553E-4</v>
      </c>
      <c r="I229" s="50">
        <v>-3.9999999999999966E-2</v>
      </c>
      <c r="J229">
        <v>10</v>
      </c>
      <c r="L229" s="48">
        <f t="shared" si="2"/>
        <v>-4.2499999999999968E-2</v>
      </c>
      <c r="M229" s="1">
        <f t="shared" si="1"/>
        <v>4.0115637582132244</v>
      </c>
    </row>
    <row r="230" spans="1:17" ht="15">
      <c r="A230" s="49">
        <v>135.56058280077795</v>
      </c>
      <c r="B230" s="49">
        <v>135.86056196165597</v>
      </c>
      <c r="C230" s="49">
        <v>132.38080369547092</v>
      </c>
      <c r="D230" s="49">
        <v>132.38080369547092</v>
      </c>
      <c r="E230" s="49">
        <v>193167989.17096218</v>
      </c>
      <c r="F230" s="49" t="s">
        <v>317</v>
      </c>
      <c r="G230" s="25">
        <f t="shared" si="0"/>
        <v>2.401994108316341E-2</v>
      </c>
      <c r="I230" s="50">
        <v>-3.7499999999999964E-2</v>
      </c>
      <c r="J230">
        <v>11</v>
      </c>
      <c r="L230" s="48">
        <f t="shared" si="2"/>
        <v>-3.9999999999999966E-2</v>
      </c>
      <c r="M230" s="1">
        <f t="shared" si="1"/>
        <v>4.6417545319960221</v>
      </c>
    </row>
    <row r="231" spans="1:17" ht="15">
      <c r="A231" s="49">
        <v>135.39059460961374</v>
      </c>
      <c r="B231" s="49">
        <v>136.34052861906082</v>
      </c>
      <c r="C231" s="49">
        <v>133.45072936926923</v>
      </c>
      <c r="D231" s="49">
        <v>136.210537649347</v>
      </c>
      <c r="E231" s="49">
        <v>226558188.57909003</v>
      </c>
      <c r="F231" s="49" t="s">
        <v>318</v>
      </c>
      <c r="G231" s="25">
        <f t="shared" si="0"/>
        <v>-6.01967405667303E-3</v>
      </c>
      <c r="I231" s="50">
        <v>-3.4999999999999962E-2</v>
      </c>
      <c r="J231">
        <v>14</v>
      </c>
      <c r="L231" s="48">
        <f t="shared" si="2"/>
        <v>-3.7499999999999964E-2</v>
      </c>
      <c r="M231" s="1">
        <f t="shared" si="1"/>
        <v>5.3247807471385737</v>
      </c>
    </row>
    <row r="232" spans="1:17" ht="15">
      <c r="A232" s="49">
        <v>134.82063420394553</v>
      </c>
      <c r="B232" s="49">
        <v>136.29053209224782</v>
      </c>
      <c r="C232" s="49">
        <v>132.65078494026116</v>
      </c>
      <c r="D232" s="49">
        <v>134.28567136704635</v>
      </c>
      <c r="E232" s="49">
        <v>226648306.83904138</v>
      </c>
      <c r="F232" s="49" t="s">
        <v>319</v>
      </c>
      <c r="G232" s="25">
        <f t="shared" si="0"/>
        <v>3.9837670799363067E-3</v>
      </c>
      <c r="I232" s="50">
        <v>-3.2499999999999959E-2</v>
      </c>
      <c r="J232">
        <v>16</v>
      </c>
      <c r="L232" s="48">
        <f t="shared" si="2"/>
        <v>-3.4999999999999962E-2</v>
      </c>
      <c r="M232" s="1">
        <f t="shared" si="1"/>
        <v>6.0558119237460186</v>
      </c>
    </row>
    <row r="233" spans="1:17" ht="15">
      <c r="A233" s="49">
        <v>135.33059877743815</v>
      </c>
      <c r="B233" s="49">
        <v>135.42559217838286</v>
      </c>
      <c r="C233" s="49">
        <v>131.67085301472628</v>
      </c>
      <c r="D233" s="49">
        <v>133.18574777716029</v>
      </c>
      <c r="E233" s="49">
        <v>281200363.228899</v>
      </c>
      <c r="F233" s="49" t="s">
        <v>320</v>
      </c>
      <c r="G233" s="25">
        <f t="shared" si="0"/>
        <v>1.6104208115920393E-2</v>
      </c>
      <c r="I233" s="50">
        <v>-2.9999999999999961E-2</v>
      </c>
      <c r="J233">
        <v>23</v>
      </c>
      <c r="L233" s="48">
        <f t="shared" si="2"/>
        <v>-3.2499999999999959E-2</v>
      </c>
      <c r="M233" s="1">
        <f t="shared" si="1"/>
        <v>6.8280094952152028</v>
      </c>
    </row>
    <row r="234" spans="1:17" ht="15">
      <c r="A234" s="49">
        <v>129.92097457627116</v>
      </c>
      <c r="B234" s="49">
        <v>131.20978504445677</v>
      </c>
      <c r="C234" s="49">
        <v>124.46135384829115</v>
      </c>
      <c r="D234" s="49">
        <v>124.97131842178381</v>
      </c>
      <c r="E234" s="49">
        <v>330453059.50538391</v>
      </c>
      <c r="F234" s="49" t="s">
        <v>321</v>
      </c>
      <c r="G234" s="25">
        <f t="shared" si="0"/>
        <v>3.9606337013922133E-2</v>
      </c>
      <c r="I234" s="50">
        <v>-2.7499999999999962E-2</v>
      </c>
      <c r="J234">
        <v>13</v>
      </c>
      <c r="L234" s="48">
        <f t="shared" si="2"/>
        <v>-2.9999999999999961E-2</v>
      </c>
      <c r="M234" s="1">
        <f t="shared" si="1"/>
        <v>7.6325022832674865</v>
      </c>
    </row>
    <row r="235" spans="1:17" ht="15">
      <c r="A235" s="49">
        <v>122.99145595998885</v>
      </c>
      <c r="B235" s="49">
        <v>122.99145595998885</v>
      </c>
      <c r="C235" s="49">
        <v>120.27164490136146</v>
      </c>
      <c r="D235" s="49">
        <v>121.96152750764098</v>
      </c>
      <c r="E235" s="49">
        <v>225038977.04897538</v>
      </c>
      <c r="F235" s="49" t="s">
        <v>322</v>
      </c>
      <c r="G235" s="25">
        <f t="shared" si="0"/>
        <v>8.4446995162745786E-3</v>
      </c>
      <c r="I235" s="50">
        <v>-2.4999999999999963E-2</v>
      </c>
      <c r="J235">
        <v>19</v>
      </c>
      <c r="L235" s="48">
        <f t="shared" si="2"/>
        <v>-2.7499999999999962E-2</v>
      </c>
      <c r="M235" s="1">
        <f t="shared" si="1"/>
        <v>8.4584513991785624</v>
      </c>
    </row>
    <row r="236" spans="1:17" ht="15">
      <c r="A236" s="49">
        <v>116.6418970547374</v>
      </c>
      <c r="B236" s="49">
        <v>118.22178730202832</v>
      </c>
      <c r="C236" s="49">
        <v>115.20199708252289</v>
      </c>
      <c r="D236" s="49">
        <v>117.34184843011944</v>
      </c>
      <c r="E236" s="49">
        <v>132981426.38721782</v>
      </c>
      <c r="F236" s="49" t="s">
        <v>323</v>
      </c>
      <c r="G236" s="25">
        <f t="shared" si="0"/>
        <v>-5.965061780996983E-3</v>
      </c>
      <c r="I236" s="50">
        <v>-2.2499999999999964E-2</v>
      </c>
      <c r="J236">
        <v>23</v>
      </c>
      <c r="L236" s="48">
        <f t="shared" si="2"/>
        <v>-2.4999999999999963E-2</v>
      </c>
      <c r="M236" s="1">
        <f t="shared" si="1"/>
        <v>9.2932123847651589</v>
      </c>
    </row>
    <row r="237" spans="1:17" ht="15">
      <c r="A237" s="49">
        <v>117.36184704084465</v>
      </c>
      <c r="B237" s="49">
        <v>118.67175604334535</v>
      </c>
      <c r="C237" s="49">
        <v>115.84195262572933</v>
      </c>
      <c r="D237" s="49">
        <v>118.24178591275351</v>
      </c>
      <c r="E237" s="49">
        <v>198441906.51698512</v>
      </c>
      <c r="F237" s="49" t="s">
        <v>324</v>
      </c>
      <c r="G237" s="25">
        <f t="shared" si="0"/>
        <v>-7.4418604651163012E-3</v>
      </c>
      <c r="I237" s="50">
        <v>-1.9999999999999966E-2</v>
      </c>
      <c r="J237">
        <v>38</v>
      </c>
      <c r="L237" s="48">
        <f t="shared" si="2"/>
        <v>-2.2499999999999964E-2</v>
      </c>
      <c r="M237" s="1">
        <f t="shared" si="1"/>
        <v>10.122597199307945</v>
      </c>
    </row>
    <row r="238" spans="1:17" ht="15">
      <c r="A238" s="49">
        <v>117.05186857460403</v>
      </c>
      <c r="B238" s="49">
        <v>117.67182550708527</v>
      </c>
      <c r="C238" s="49">
        <v>112.27400048624615</v>
      </c>
      <c r="D238" s="49">
        <v>113.03714747151984</v>
      </c>
      <c r="E238" s="49">
        <v>207842258.50059053</v>
      </c>
      <c r="F238" s="49" t="s">
        <v>325</v>
      </c>
      <c r="G238" s="25">
        <f t="shared" si="0"/>
        <v>3.5516829581140108E-2</v>
      </c>
      <c r="I238" s="50">
        <v>-1.7499999999999967E-2</v>
      </c>
      <c r="J238">
        <v>38</v>
      </c>
      <c r="L238" s="48">
        <f t="shared" si="2"/>
        <v>-1.9999999999999966E-2</v>
      </c>
      <c r="M238" s="1">
        <f t="shared" si="1"/>
        <v>10.93123265336709</v>
      </c>
    </row>
    <row r="239" spans="1:17" ht="15">
      <c r="A239" s="49">
        <v>113.53211308696858</v>
      </c>
      <c r="B239" s="49">
        <v>114.73202973048066</v>
      </c>
      <c r="C239" s="49">
        <v>110.8143018894137</v>
      </c>
      <c r="D239" s="49">
        <v>111.47225618227283</v>
      </c>
      <c r="E239" s="49">
        <v>158536633.54748181</v>
      </c>
      <c r="F239" s="49" t="s">
        <v>326</v>
      </c>
      <c r="G239" s="25">
        <f t="shared" si="0"/>
        <v>1.8478650879081515E-2</v>
      </c>
      <c r="I239" s="50">
        <v>-1.4999999999999966E-2</v>
      </c>
      <c r="J239">
        <v>39</v>
      </c>
      <c r="L239" s="48">
        <f t="shared" si="2"/>
        <v>-1.7499999999999967E-2</v>
      </c>
      <c r="M239" s="1">
        <f t="shared" si="1"/>
        <v>11.703005483437979</v>
      </c>
    </row>
    <row r="240" spans="1:17" ht="15">
      <c r="A240" s="49">
        <v>113.81209363712139</v>
      </c>
      <c r="B240" s="49">
        <v>114.65703494026116</v>
      </c>
      <c r="C240" s="49">
        <v>112.6521742150597</v>
      </c>
      <c r="D240" s="49">
        <v>112.89715719644343</v>
      </c>
      <c r="E240" s="49">
        <v>133172491.65932618</v>
      </c>
      <c r="F240" s="49" t="s">
        <v>327</v>
      </c>
      <c r="G240" s="25">
        <f t="shared" si="0"/>
        <v>8.1041583632257552E-3</v>
      </c>
      <c r="I240" s="50">
        <v>-1.2499999999999966E-2</v>
      </c>
      <c r="J240">
        <v>33</v>
      </c>
      <c r="L240" s="48">
        <f t="shared" si="2"/>
        <v>-1.4999999999999966E-2</v>
      </c>
      <c r="M240" s="1">
        <f t="shared" si="1"/>
        <v>12.421577927161115</v>
      </c>
    </row>
    <row r="241" spans="1:13" ht="15">
      <c r="A241" s="49">
        <v>114.49204640177824</v>
      </c>
      <c r="B241" s="49">
        <v>115.39198388441231</v>
      </c>
      <c r="C241" s="49">
        <v>113.36212489580437</v>
      </c>
      <c r="D241" s="49">
        <v>114.17206863017503</v>
      </c>
      <c r="E241" s="49">
        <v>190207990.55838838</v>
      </c>
      <c r="F241" s="49" t="s">
        <v>328</v>
      </c>
      <c r="G241" s="25">
        <f t="shared" si="0"/>
        <v>2.8025923979679845E-3</v>
      </c>
      <c r="I241" s="50">
        <v>-9.9999999999999655E-3</v>
      </c>
      <c r="J241">
        <v>40</v>
      </c>
      <c r="L241" s="48">
        <f t="shared" si="2"/>
        <v>-1.2499999999999966E-2</v>
      </c>
      <c r="M241" s="1">
        <f t="shared" si="1"/>
        <v>13.070951911898533</v>
      </c>
    </row>
    <row r="242" spans="1:13" ht="15">
      <c r="A242" s="49">
        <v>111.60224715198663</v>
      </c>
      <c r="B242" s="49">
        <v>114.93201583773268</v>
      </c>
      <c r="C242" s="49">
        <v>111.29226868574601</v>
      </c>
      <c r="D242" s="49">
        <v>113.07214504028894</v>
      </c>
      <c r="E242" s="49">
        <v>236137910.02236894</v>
      </c>
      <c r="F242" s="49" t="s">
        <v>329</v>
      </c>
      <c r="G242" s="25">
        <f t="shared" si="0"/>
        <v>-1.2999646268128773E-2</v>
      </c>
      <c r="I242" s="50">
        <v>-7.499999999999965E-3</v>
      </c>
      <c r="J242">
        <v>59</v>
      </c>
      <c r="L242" s="48">
        <f t="shared" si="2"/>
        <v>-9.9999999999999655E-3</v>
      </c>
      <c r="M242" s="1">
        <f t="shared" si="1"/>
        <v>13.63605531793295</v>
      </c>
    </row>
    <row r="243" spans="1:13" ht="15">
      <c r="A243" s="49">
        <v>108.91243400944704</v>
      </c>
      <c r="B243" s="49">
        <v>108.91243400944704</v>
      </c>
      <c r="C243" s="49">
        <v>104.07277021394829</v>
      </c>
      <c r="D243" s="49">
        <v>104.46274312308972</v>
      </c>
      <c r="E243" s="49">
        <v>235060939.21194866</v>
      </c>
      <c r="F243" s="49" t="s">
        <v>330</v>
      </c>
      <c r="G243" s="25">
        <f t="shared" si="0"/>
        <v>4.2595960562840984E-2</v>
      </c>
      <c r="I243" s="50">
        <v>-4.9999999999999645E-3</v>
      </c>
      <c r="J243">
        <v>59</v>
      </c>
      <c r="L243" s="48">
        <f t="shared" si="2"/>
        <v>-7.499999999999965E-3</v>
      </c>
      <c r="M243" s="1">
        <f t="shared" si="1"/>
        <v>14.103320672840823</v>
      </c>
    </row>
    <row r="244" spans="1:13" ht="15">
      <c r="A244" s="49">
        <v>109.01242706307305</v>
      </c>
      <c r="B244" s="49">
        <v>110.19224510280631</v>
      </c>
      <c r="C244" s="49">
        <v>107.43253681578213</v>
      </c>
      <c r="D244" s="49">
        <v>107.66252083912195</v>
      </c>
      <c r="E244" s="49">
        <v>170456103.51844394</v>
      </c>
      <c r="F244" s="49" t="s">
        <v>331</v>
      </c>
      <c r="G244" s="25">
        <f t="shared" si="0"/>
        <v>1.2538311507383604E-2</v>
      </c>
      <c r="I244" s="50">
        <v>-2.4999999999999645E-3</v>
      </c>
      <c r="J244">
        <v>43</v>
      </c>
      <c r="L244" s="48">
        <f t="shared" si="2"/>
        <v>-4.9999999999999645E-3</v>
      </c>
      <c r="M244" s="1">
        <f t="shared" si="1"/>
        <v>14.461225422795078</v>
      </c>
    </row>
    <row r="245" spans="1:13" ht="15">
      <c r="A245" s="49">
        <v>108.72244720755764</v>
      </c>
      <c r="B245" s="49">
        <v>110.36223329397052</v>
      </c>
      <c r="C245" s="49">
        <v>106.01263545429283</v>
      </c>
      <c r="D245" s="49">
        <v>109.6823805223673</v>
      </c>
      <c r="E245" s="49">
        <v>207722908.21007299</v>
      </c>
      <c r="F245" s="49" t="s">
        <v>332</v>
      </c>
      <c r="G245" s="25">
        <f t="shared" si="0"/>
        <v>-8.7519372777827842E-3</v>
      </c>
      <c r="I245" s="50">
        <v>3.5561831257524545E-17</v>
      </c>
      <c r="J245">
        <v>59</v>
      </c>
      <c r="L245" s="48">
        <f t="shared" si="2"/>
        <v>-2.4999999999999645E-3</v>
      </c>
      <c r="M245" s="1">
        <f t="shared" si="1"/>
        <v>14.700763811971989</v>
      </c>
    </row>
    <row r="246" spans="1:13" ht="15">
      <c r="A246" s="49">
        <v>111.0022888302306</v>
      </c>
      <c r="B246" s="49">
        <v>111.91222561822725</v>
      </c>
      <c r="C246" s="49">
        <v>105.72265559877742</v>
      </c>
      <c r="D246" s="49">
        <v>106.84257779938869</v>
      </c>
      <c r="E246" s="49">
        <v>251082113.10260513</v>
      </c>
      <c r="F246" s="49" t="s">
        <v>333</v>
      </c>
      <c r="G246" s="25">
        <f t="shared" si="0"/>
        <v>3.893308376228366E-2</v>
      </c>
      <c r="I246" s="50">
        <v>2.5000000000000356E-3</v>
      </c>
      <c r="J246">
        <v>59</v>
      </c>
      <c r="L246" s="48">
        <f t="shared" si="2"/>
        <v>3.5561831257524545E-17</v>
      </c>
      <c r="M246" s="1">
        <f t="shared" si="1"/>
        <v>14.81582341284042</v>
      </c>
    </row>
    <row r="247" spans="1:13" ht="15">
      <c r="A247" s="49">
        <v>106.42260697415946</v>
      </c>
      <c r="B247" s="49">
        <v>106.53259933314807</v>
      </c>
      <c r="C247" s="49">
        <v>103.10283759377603</v>
      </c>
      <c r="D247" s="49">
        <v>103.46781223951095</v>
      </c>
      <c r="E247" s="49">
        <v>220830380.70413342</v>
      </c>
      <c r="F247" s="49" t="s">
        <v>334</v>
      </c>
      <c r="G247" s="25">
        <f t="shared" si="0"/>
        <v>2.8557622614157951E-2</v>
      </c>
      <c r="I247" s="50">
        <v>5.0000000000000357E-3</v>
      </c>
      <c r="J247">
        <v>53</v>
      </c>
      <c r="L247" s="48">
        <f t="shared" si="2"/>
        <v>2.5000000000000356E-3</v>
      </c>
      <c r="M247" s="1">
        <f t="shared" si="1"/>
        <v>14.8034443345085</v>
      </c>
    </row>
    <row r="248" spans="1:13" ht="15">
      <c r="A248" s="49">
        <v>102.70286537927198</v>
      </c>
      <c r="B248" s="49">
        <v>104.79272020005554</v>
      </c>
      <c r="C248" s="49">
        <v>102.01291330925254</v>
      </c>
      <c r="D248" s="49">
        <v>104.51273964990273</v>
      </c>
      <c r="E248" s="49">
        <v>247543166.27412301</v>
      </c>
      <c r="F248" s="49" t="s">
        <v>335</v>
      </c>
      <c r="G248" s="25">
        <f t="shared" si="0"/>
        <v>-1.7317259854573441E-2</v>
      </c>
      <c r="I248" s="50">
        <v>7.5000000000000362E-3</v>
      </c>
      <c r="J248">
        <v>52</v>
      </c>
      <c r="L248" s="48">
        <f t="shared" si="2"/>
        <v>5.0000000000000357E-3</v>
      </c>
      <c r="M248" s="1">
        <f t="shared" si="1"/>
        <v>14.663945764292501</v>
      </c>
    </row>
    <row r="249" spans="1:13" ht="15">
      <c r="A249" s="49">
        <v>98.883130730758523</v>
      </c>
      <c r="B249" s="49">
        <v>99.804066754654059</v>
      </c>
      <c r="C249" s="49">
        <v>97.27324256737981</v>
      </c>
      <c r="D249" s="49">
        <v>98.773138371769917</v>
      </c>
      <c r="E249" s="49">
        <v>241021526.25661695</v>
      </c>
      <c r="F249" s="49" t="s">
        <v>336</v>
      </c>
      <c r="G249" s="25">
        <f t="shared" si="0"/>
        <v>1.1135857461024301E-3</v>
      </c>
      <c r="I249" s="50">
        <v>1.0000000000000037E-2</v>
      </c>
      <c r="J249">
        <v>46</v>
      </c>
      <c r="L249" s="48">
        <f t="shared" si="2"/>
        <v>7.5000000000000362E-3</v>
      </c>
      <c r="M249" s="1">
        <f t="shared" si="1"/>
        <v>14.400912290249785</v>
      </c>
    </row>
    <row r="250" spans="1:13" ht="15">
      <c r="A250" s="49">
        <v>96.903268268963572</v>
      </c>
      <c r="B250" s="49">
        <v>99.433092525701554</v>
      </c>
      <c r="C250" s="49">
        <v>95.033398166157255</v>
      </c>
      <c r="D250" s="49">
        <v>98.763139066407305</v>
      </c>
      <c r="E250" s="49">
        <v>288521177.76005566</v>
      </c>
      <c r="F250" s="49" t="s">
        <v>337</v>
      </c>
      <c r="G250" s="25">
        <f t="shared" si="0"/>
        <v>-1.8831629037157072E-2</v>
      </c>
      <c r="I250" s="50">
        <v>1.2500000000000037E-2</v>
      </c>
      <c r="J250">
        <v>43</v>
      </c>
      <c r="L250" s="48">
        <f t="shared" si="2"/>
        <v>1.0000000000000037E-2</v>
      </c>
      <c r="M250" s="1">
        <f t="shared" si="1"/>
        <v>14.021040822857749</v>
      </c>
    </row>
    <row r="251" spans="1:13" ht="15">
      <c r="A251" s="49">
        <v>101.48295012503471</v>
      </c>
      <c r="B251" s="49">
        <v>104.46274312308972</v>
      </c>
      <c r="C251" s="49">
        <v>100.0430501528202</v>
      </c>
      <c r="D251" s="49">
        <v>104.44274451236453</v>
      </c>
      <c r="E251" s="49">
        <v>292537785.76866972</v>
      </c>
      <c r="F251" s="49" t="s">
        <v>338</v>
      </c>
      <c r="G251" s="25">
        <f t="shared" si="0"/>
        <v>-2.8338918142652103E-2</v>
      </c>
      <c r="I251" s="50">
        <v>1.5000000000000038E-2</v>
      </c>
      <c r="J251">
        <v>48</v>
      </c>
      <c r="L251" s="48">
        <f t="shared" si="2"/>
        <v>1.2500000000000037E-2</v>
      </c>
      <c r="M251" s="1">
        <f t="shared" si="1"/>
        <v>13.533857241713354</v>
      </c>
    </row>
    <row r="252" spans="1:13" ht="15">
      <c r="A252" s="49">
        <v>104.48274173381492</v>
      </c>
      <c r="B252" s="49">
        <v>106.78258196721309</v>
      </c>
      <c r="C252" s="49">
        <v>100.44302236732423</v>
      </c>
      <c r="D252" s="49">
        <v>104.54273756599052</v>
      </c>
      <c r="E252" s="49">
        <v>397044450.19242799</v>
      </c>
      <c r="F252" s="49" t="s">
        <v>339</v>
      </c>
      <c r="G252" s="25">
        <f t="shared" si="0"/>
        <v>-5.7388809182212785E-4</v>
      </c>
      <c r="I252" s="50">
        <v>1.7500000000000036E-2</v>
      </c>
      <c r="J252">
        <v>48</v>
      </c>
      <c r="L252" s="48">
        <f t="shared" si="2"/>
        <v>1.5000000000000038E-2</v>
      </c>
      <c r="M252" s="1">
        <f t="shared" si="1"/>
        <v>12.951319503326856</v>
      </c>
    </row>
    <row r="253" spans="1:13" ht="15">
      <c r="A253" s="49">
        <v>112.19220616838008</v>
      </c>
      <c r="B253" s="49">
        <v>113.60710787718807</v>
      </c>
      <c r="C253" s="49">
        <v>110.49232425673796</v>
      </c>
      <c r="D253" s="49">
        <v>110.96229160878019</v>
      </c>
      <c r="E253" s="49">
        <v>228982806.00208411</v>
      </c>
      <c r="F253" s="49" t="s">
        <v>340</v>
      </c>
      <c r="G253" s="25">
        <f t="shared" si="0"/>
        <v>1.1084076777507557E-2</v>
      </c>
      <c r="I253" s="50">
        <v>2.0000000000000035E-2</v>
      </c>
      <c r="J253">
        <v>39</v>
      </c>
      <c r="L253" s="48">
        <f t="shared" si="2"/>
        <v>1.7500000000000036E-2</v>
      </c>
      <c r="M253" s="1">
        <f t="shared" si="1"/>
        <v>12.287330289013523</v>
      </c>
    </row>
    <row r="254" spans="1:13" ht="15">
      <c r="A254" s="49">
        <v>110.70230966935256</v>
      </c>
      <c r="B254" s="49">
        <v>114.28206098916364</v>
      </c>
      <c r="C254" s="49">
        <v>109.06242358988605</v>
      </c>
      <c r="D254" s="49">
        <v>114.10207349263682</v>
      </c>
      <c r="E254" s="49">
        <v>264723437.68002784</v>
      </c>
      <c r="F254" s="49" t="s">
        <v>341</v>
      </c>
      <c r="G254" s="25">
        <f t="shared" si="0"/>
        <v>-2.9795811059504129E-2</v>
      </c>
      <c r="I254" s="50">
        <v>2.2500000000000034E-2</v>
      </c>
      <c r="J254">
        <v>38</v>
      </c>
      <c r="L254" s="48">
        <f t="shared" si="2"/>
        <v>2.0000000000000035E-2</v>
      </c>
      <c r="M254" s="1">
        <f t="shared" si="1"/>
        <v>11.557186894718265</v>
      </c>
    </row>
    <row r="255" spans="1:13" ht="15">
      <c r="A255" s="49">
        <v>110.9222943873298</v>
      </c>
      <c r="B255" s="49">
        <v>111.54215132675741</v>
      </c>
      <c r="C255" s="49">
        <v>107.47253403723255</v>
      </c>
      <c r="D255" s="49">
        <v>108.49246318421781</v>
      </c>
      <c r="E255" s="49">
        <v>313439037.64779443</v>
      </c>
      <c r="F255" s="49" t="s">
        <v>342</v>
      </c>
      <c r="G255" s="25">
        <f t="shared" ref="G255:G318" si="3">A255/D255-1</f>
        <v>2.2396313364055453E-2</v>
      </c>
      <c r="I255" s="50">
        <v>2.5000000000000033E-2</v>
      </c>
      <c r="J255">
        <v>32</v>
      </c>
      <c r="L255" s="48">
        <f t="shared" si="2"/>
        <v>2.2500000000000034E-2</v>
      </c>
      <c r="M255" s="1">
        <f t="shared" si="1"/>
        <v>10.776998670711615</v>
      </c>
    </row>
    <row r="256" spans="1:13" ht="15">
      <c r="A256" s="49">
        <v>107.56252778549594</v>
      </c>
      <c r="B256" s="49">
        <v>110.85229924979159</v>
      </c>
      <c r="C256" s="49">
        <v>99.143112670186142</v>
      </c>
      <c r="D256" s="49">
        <v>109.36240275076408</v>
      </c>
      <c r="E256" s="49">
        <v>437842767.19610989</v>
      </c>
      <c r="F256" s="49" t="s">
        <v>343</v>
      </c>
      <c r="G256" s="25">
        <f t="shared" si="3"/>
        <v>-1.6457895218067176E-2</v>
      </c>
      <c r="I256" s="50">
        <v>2.7500000000000031E-2</v>
      </c>
      <c r="J256">
        <v>35</v>
      </c>
      <c r="L256" s="48">
        <f t="shared" si="2"/>
        <v>2.5000000000000033E-2</v>
      </c>
      <c r="M256" s="1">
        <f t="shared" si="1"/>
        <v>9.9631027905899181</v>
      </c>
    </row>
    <row r="257" spans="1:13" ht="15">
      <c r="A257" s="49">
        <v>114.32205821061403</v>
      </c>
      <c r="B257" s="49">
        <v>115.09200472353429</v>
      </c>
      <c r="C257" s="49">
        <v>97.523325194498454</v>
      </c>
      <c r="D257" s="49">
        <v>98.883130730758523</v>
      </c>
      <c r="E257" s="49">
        <v>612960914.55755484</v>
      </c>
      <c r="F257" s="49" t="s">
        <v>344</v>
      </c>
      <c r="G257" s="25">
        <f t="shared" si="3"/>
        <v>0.15613307715643643</v>
      </c>
      <c r="I257" s="50">
        <v>3.000000000000003E-2</v>
      </c>
      <c r="J257">
        <v>24</v>
      </c>
      <c r="L257" s="48">
        <f t="shared" si="2"/>
        <v>2.7500000000000031E-2</v>
      </c>
      <c r="M257" s="1">
        <f t="shared" si="1"/>
        <v>9.1315075306601106</v>
      </c>
    </row>
    <row r="258" spans="1:13" ht="15">
      <c r="A258" s="49">
        <v>96.293310641844926</v>
      </c>
      <c r="B258" s="49">
        <v>105.84264726312861</v>
      </c>
      <c r="C258" s="49">
        <v>94.453438455126388</v>
      </c>
      <c r="D258" s="49">
        <v>103.79778931647678</v>
      </c>
      <c r="E258" s="49">
        <v>476276475.94525886</v>
      </c>
      <c r="F258" s="49" t="s">
        <v>345</v>
      </c>
      <c r="G258" s="25">
        <f t="shared" si="3"/>
        <v>-7.2299022205096208E-2</v>
      </c>
      <c r="I258" s="50">
        <v>3.2500000000000029E-2</v>
      </c>
      <c r="J258">
        <v>21</v>
      </c>
      <c r="L258" s="48">
        <f t="shared" si="2"/>
        <v>3.000000000000003E-2</v>
      </c>
      <c r="M258" s="1">
        <f t="shared" si="1"/>
        <v>8.2973888055407734</v>
      </c>
    </row>
    <row r="259" spans="1:13" ht="15">
      <c r="A259" s="49">
        <v>97.633217560433437</v>
      </c>
      <c r="B259" s="49">
        <v>101.74293206446232</v>
      </c>
      <c r="C259" s="49">
        <v>86.613983050847438</v>
      </c>
      <c r="D259" s="49">
        <v>87.453924701305894</v>
      </c>
      <c r="E259" s="49">
        <v>611083795.16582167</v>
      </c>
      <c r="F259" s="49" t="s">
        <v>346</v>
      </c>
      <c r="G259" s="25">
        <f t="shared" si="3"/>
        <v>0.11639606677338232</v>
      </c>
      <c r="I259" s="50">
        <v>3.5000000000000031E-2</v>
      </c>
      <c r="J259">
        <v>18</v>
      </c>
      <c r="L259" s="48">
        <f t="shared" si="2"/>
        <v>3.2500000000000029E-2</v>
      </c>
      <c r="M259" s="1">
        <f t="shared" si="1"/>
        <v>7.474660804413527</v>
      </c>
    </row>
    <row r="260" spans="1:13" ht="15">
      <c r="A260" s="49">
        <v>94.30344887468739</v>
      </c>
      <c r="B260" s="49">
        <v>100.123044595721</v>
      </c>
      <c r="C260" s="49">
        <v>92.103601694915227</v>
      </c>
      <c r="D260" s="49">
        <v>98.903129341483719</v>
      </c>
      <c r="E260" s="49">
        <v>532310786.2980203</v>
      </c>
      <c r="F260" s="49" t="s">
        <v>347</v>
      </c>
      <c r="G260" s="25">
        <f t="shared" si="3"/>
        <v>-4.6506925487817208E-2</v>
      </c>
      <c r="I260" s="50">
        <v>3.7500000000000033E-2</v>
      </c>
      <c r="J260">
        <v>13</v>
      </c>
      <c r="L260" s="48">
        <f t="shared" si="2"/>
        <v>3.5000000000000031E-2</v>
      </c>
      <c r="M260" s="1">
        <f t="shared" si="1"/>
        <v>6.6756356711474174</v>
      </c>
    </row>
    <row r="261" spans="1:13" ht="15">
      <c r="A261" s="49">
        <v>101.79292859127533</v>
      </c>
      <c r="B261" s="49">
        <v>105.6226625451514</v>
      </c>
      <c r="C261" s="49">
        <v>101.59294248402331</v>
      </c>
      <c r="D261" s="49">
        <v>103.50280980828006</v>
      </c>
      <c r="E261" s="49">
        <v>338792945.82507825</v>
      </c>
      <c r="F261" s="49" t="s">
        <v>348</v>
      </c>
      <c r="G261" s="25">
        <f t="shared" si="3"/>
        <v>-1.6520142981354624E-2</v>
      </c>
      <c r="I261" s="50">
        <v>4.0000000000000036E-2</v>
      </c>
      <c r="J261">
        <v>13</v>
      </c>
      <c r="L261" s="48">
        <f t="shared" si="2"/>
        <v>3.7500000000000033E-2</v>
      </c>
      <c r="M261" s="1">
        <f t="shared" si="1"/>
        <v>5.9107807836421182</v>
      </c>
    </row>
    <row r="262" spans="1:13" ht="15">
      <c r="A262" s="49">
        <v>110.41232981383715</v>
      </c>
      <c r="B262" s="49">
        <v>111.97222145040287</v>
      </c>
      <c r="C262" s="49">
        <v>106.78258196721309</v>
      </c>
      <c r="D262" s="49">
        <v>107.28254723534313</v>
      </c>
      <c r="E262" s="49">
        <v>220616567.85189307</v>
      </c>
      <c r="F262" s="49" t="s">
        <v>349</v>
      </c>
      <c r="G262" s="25">
        <f t="shared" si="3"/>
        <v>2.9173268710970257E-2</v>
      </c>
      <c r="I262" s="50">
        <v>4.2500000000000038E-2</v>
      </c>
      <c r="J262">
        <v>10</v>
      </c>
      <c r="L262" s="48">
        <f t="shared" si="2"/>
        <v>4.0000000000000036E-2</v>
      </c>
      <c r="M262" s="1">
        <f t="shared" si="1"/>
        <v>5.1885758234463175</v>
      </c>
    </row>
    <row r="263" spans="1:13" ht="15">
      <c r="A263" s="49">
        <v>110.14234856904693</v>
      </c>
      <c r="B263" s="49">
        <v>110.19234509585993</v>
      </c>
      <c r="C263" s="49">
        <v>106.46260419560987</v>
      </c>
      <c r="D263" s="49">
        <v>108.50746214226172</v>
      </c>
      <c r="E263" s="49">
        <v>222629498.67759645</v>
      </c>
      <c r="F263" s="49" t="s">
        <v>350</v>
      </c>
      <c r="G263" s="25">
        <f t="shared" si="3"/>
        <v>1.5067041422844651E-2</v>
      </c>
      <c r="I263" s="50">
        <v>4.500000000000004E-2</v>
      </c>
      <c r="J263">
        <v>6</v>
      </c>
      <c r="L263" s="48">
        <f t="shared" si="2"/>
        <v>4.2500000000000038E-2</v>
      </c>
      <c r="M263" s="1">
        <f t="shared" si="1"/>
        <v>4.5154659480553212</v>
      </c>
    </row>
    <row r="264" spans="1:13" ht="15">
      <c r="A264" s="49">
        <v>108.37247151986659</v>
      </c>
      <c r="B264" s="49">
        <v>110.94729265073629</v>
      </c>
      <c r="C264" s="49">
        <v>103.64280008335646</v>
      </c>
      <c r="D264" s="49">
        <v>105.12269727702136</v>
      </c>
      <c r="E264" s="49">
        <v>299233438.87377566</v>
      </c>
      <c r="F264" s="49" t="s">
        <v>351</v>
      </c>
      <c r="G264" s="25">
        <f t="shared" si="3"/>
        <v>3.0914106344525738E-2</v>
      </c>
      <c r="I264" s="50">
        <v>4.7500000000000042E-2</v>
      </c>
      <c r="J264">
        <v>9</v>
      </c>
      <c r="L264" s="48">
        <f t="shared" si="2"/>
        <v>4.500000000000004E-2</v>
      </c>
      <c r="M264" s="1">
        <f t="shared" si="1"/>
        <v>3.8959023625956886</v>
      </c>
    </row>
    <row r="265" spans="1:13" ht="15">
      <c r="A265" s="49">
        <v>109.6623819116421</v>
      </c>
      <c r="B265" s="49">
        <v>112.86215962767433</v>
      </c>
      <c r="C265" s="49">
        <v>109.06252358293968</v>
      </c>
      <c r="D265" s="49">
        <v>111.47725583495412</v>
      </c>
      <c r="E265" s="49">
        <v>229888517.91622096</v>
      </c>
      <c r="F265" s="49" t="s">
        <v>352</v>
      </c>
      <c r="G265" s="25">
        <f t="shared" si="3"/>
        <v>-1.6280217069560843E-2</v>
      </c>
      <c r="I265" s="50">
        <v>5.0000000000000044E-2</v>
      </c>
      <c r="J265">
        <v>8</v>
      </c>
      <c r="L265" s="48">
        <f t="shared" si="2"/>
        <v>4.7500000000000042E-2</v>
      </c>
      <c r="M265" s="1">
        <f t="shared" si="1"/>
        <v>3.3324577027114159</v>
      </c>
    </row>
    <row r="266" spans="1:13" ht="15">
      <c r="A266" s="49">
        <v>111.42225965545983</v>
      </c>
      <c r="B266" s="49">
        <v>114.44204987496525</v>
      </c>
      <c r="C266" s="49">
        <v>110.65231314253957</v>
      </c>
      <c r="D266" s="49">
        <v>111.34226521255901</v>
      </c>
      <c r="E266" s="49">
        <v>236918512.24591878</v>
      </c>
      <c r="F266" s="49" t="s">
        <v>353</v>
      </c>
      <c r="G266" s="25">
        <f t="shared" si="3"/>
        <v>7.1845532105974108E-4</v>
      </c>
      <c r="I266" s="50">
        <v>5.2500000000000047E-2</v>
      </c>
      <c r="J266">
        <v>2</v>
      </c>
      <c r="L266" s="48">
        <f t="shared" si="2"/>
        <v>5.0000000000000044E-2</v>
      </c>
      <c r="M266" s="1">
        <f t="shared" si="1"/>
        <v>2.8260010331662024</v>
      </c>
    </row>
    <row r="267" spans="1:13" ht="15">
      <c r="A267" s="49">
        <v>113.75209780494579</v>
      </c>
      <c r="B267" s="49">
        <v>118.83174492914696</v>
      </c>
      <c r="C267" s="49">
        <v>112.70217074187271</v>
      </c>
      <c r="D267" s="49">
        <v>118.72175257015836</v>
      </c>
      <c r="E267" s="49">
        <v>296452259.68266767</v>
      </c>
      <c r="F267" s="49" t="s">
        <v>354</v>
      </c>
      <c r="G267" s="25">
        <f t="shared" si="3"/>
        <v>-4.1859681630590506E-2</v>
      </c>
      <c r="I267" s="50">
        <v>5.5000000000000049E-2</v>
      </c>
      <c r="J267">
        <v>4</v>
      </c>
      <c r="L267" s="48">
        <f t="shared" si="2"/>
        <v>5.2500000000000047E-2</v>
      </c>
      <c r="M267" s="1">
        <f t="shared" si="1"/>
        <v>2.3759159640415612</v>
      </c>
    </row>
    <row r="268" spans="1:13" ht="15">
      <c r="A268" s="49">
        <v>120.68161642122809</v>
      </c>
      <c r="B268" s="49">
        <v>121.28157474298413</v>
      </c>
      <c r="C268" s="49">
        <v>118.91173937204776</v>
      </c>
      <c r="D268" s="49">
        <v>120.53662649347038</v>
      </c>
      <c r="E268" s="49">
        <v>167458830.31663775</v>
      </c>
      <c r="F268" s="49" t="s">
        <v>355</v>
      </c>
      <c r="G268" s="25">
        <f t="shared" si="3"/>
        <v>1.2028702973991834E-3</v>
      </c>
      <c r="I268" s="50">
        <v>5.7500000000000051E-2</v>
      </c>
      <c r="J268">
        <v>6</v>
      </c>
      <c r="L268" s="48">
        <f t="shared" si="2"/>
        <v>5.5000000000000049E-2</v>
      </c>
      <c r="M268" s="1">
        <f t="shared" si="1"/>
        <v>1.9803453083965132</v>
      </c>
    </row>
    <row r="269" spans="1:13" ht="15">
      <c r="A269" s="49">
        <v>121.40156640733534</v>
      </c>
      <c r="B269" s="49">
        <v>122.211510141706</v>
      </c>
      <c r="C269" s="49">
        <v>119.33171019727699</v>
      </c>
      <c r="D269" s="49">
        <v>119.87167268685742</v>
      </c>
      <c r="E269" s="49">
        <v>228468404.26981595</v>
      </c>
      <c r="F269" s="49" t="s">
        <v>356</v>
      </c>
      <c r="G269" s="25">
        <f t="shared" si="3"/>
        <v>1.2762762762762891E-2</v>
      </c>
      <c r="I269" s="50">
        <v>6.0000000000000053E-2</v>
      </c>
      <c r="J269">
        <v>3</v>
      </c>
      <c r="L269" s="48">
        <f t="shared" si="2"/>
        <v>5.7500000000000051E-2</v>
      </c>
      <c r="M269" s="1">
        <f t="shared" si="1"/>
        <v>1.6364466858625928</v>
      </c>
    </row>
    <row r="270" spans="1:13" ht="15">
      <c r="A270" s="49">
        <v>117.69182411781048</v>
      </c>
      <c r="B270" s="49">
        <v>117.9818039733259</v>
      </c>
      <c r="C270" s="49">
        <v>115.41198249513751</v>
      </c>
      <c r="D270" s="49">
        <v>116.93187691025281</v>
      </c>
      <c r="E270" s="49">
        <v>266517041.2704412</v>
      </c>
      <c r="F270" s="49" t="s">
        <v>357</v>
      </c>
      <c r="G270" s="25">
        <f t="shared" si="3"/>
        <v>6.499059346673608E-3</v>
      </c>
      <c r="I270" s="50">
        <v>6.2500000000000056E-2</v>
      </c>
      <c r="J270">
        <v>2</v>
      </c>
      <c r="L270" s="48">
        <f t="shared" si="2"/>
        <v>6.0000000000000053E-2</v>
      </c>
      <c r="M270" s="1">
        <f t="shared" si="1"/>
        <v>1.3406452903428223</v>
      </c>
    </row>
    <row r="271" spans="1:13" ht="15">
      <c r="A271" s="49">
        <v>118.52176646290634</v>
      </c>
      <c r="B271" s="49">
        <v>120.19165045846066</v>
      </c>
      <c r="C271" s="49">
        <v>116.46190955821058</v>
      </c>
      <c r="D271" s="49">
        <v>116.54190400111139</v>
      </c>
      <c r="E271" s="49">
        <v>248847034.84571037</v>
      </c>
      <c r="F271" s="49" t="s">
        <v>358</v>
      </c>
      <c r="G271" s="25">
        <f t="shared" si="3"/>
        <v>1.6988416988417132E-2</v>
      </c>
      <c r="I271" s="50">
        <v>6.5000000000000058E-2</v>
      </c>
      <c r="J271">
        <v>6</v>
      </c>
      <c r="L271" s="48">
        <f t="shared" si="2"/>
        <v>6.2500000000000056E-2</v>
      </c>
      <c r="M271" s="1">
        <f t="shared" si="1"/>
        <v>1.088872429933041</v>
      </c>
    </row>
    <row r="272" spans="1:13" ht="15">
      <c r="A272" s="49">
        <v>117.51183662128366</v>
      </c>
      <c r="B272" s="49">
        <v>120.43663343984437</v>
      </c>
      <c r="C272" s="49">
        <v>115.67196443456514</v>
      </c>
      <c r="D272" s="49">
        <v>117.26185398721864</v>
      </c>
      <c r="E272" s="49">
        <v>273445219.52761382</v>
      </c>
      <c r="F272" s="49" t="s">
        <v>359</v>
      </c>
      <c r="G272" s="25">
        <f t="shared" si="3"/>
        <v>2.1318325232368984E-3</v>
      </c>
      <c r="I272" s="50">
        <v>6.750000000000006E-2</v>
      </c>
      <c r="J272">
        <v>1</v>
      </c>
      <c r="L272" s="48">
        <f t="shared" si="2"/>
        <v>6.5000000000000058E-2</v>
      </c>
      <c r="M272" s="1">
        <f t="shared" si="1"/>
        <v>0.87678115217937347</v>
      </c>
    </row>
    <row r="273" spans="1:13" ht="15">
      <c r="A273" s="49">
        <v>115.42198180050012</v>
      </c>
      <c r="B273" s="49">
        <v>119.01173242567377</v>
      </c>
      <c r="C273" s="49">
        <v>114.53204362322866</v>
      </c>
      <c r="D273" s="49">
        <v>117.99180327868849</v>
      </c>
      <c r="E273" s="49">
        <v>299707762.8220911</v>
      </c>
      <c r="F273" s="49" t="s">
        <v>360</v>
      </c>
      <c r="G273" s="25">
        <f t="shared" si="3"/>
        <v>-2.1779661016949059E-2</v>
      </c>
      <c r="I273" s="50">
        <v>7.0000000000000062E-2</v>
      </c>
      <c r="J273">
        <v>2</v>
      </c>
      <c r="L273" s="48">
        <f t="shared" si="2"/>
        <v>6.750000000000006E-2</v>
      </c>
      <c r="M273" s="1">
        <f t="shared" si="1"/>
        <v>0.69993304531485256</v>
      </c>
    </row>
    <row r="274" spans="1:13" ht="15">
      <c r="A274" s="49">
        <v>119.52169699916641</v>
      </c>
      <c r="B274" s="49">
        <v>122.88146360100025</v>
      </c>
      <c r="C274" s="49">
        <v>118.0218011947763</v>
      </c>
      <c r="D274" s="49">
        <v>122.73147402056124</v>
      </c>
      <c r="E274" s="49">
        <v>255519230.32136163</v>
      </c>
      <c r="F274" s="49" t="s">
        <v>361</v>
      </c>
      <c r="G274" s="25">
        <f t="shared" si="3"/>
        <v>-2.6152843408831616E-2</v>
      </c>
      <c r="I274" s="50">
        <v>7.2500000000000064E-2</v>
      </c>
      <c r="J274">
        <v>2</v>
      </c>
      <c r="L274" s="48">
        <f t="shared" si="2"/>
        <v>7.0000000000000062E-2</v>
      </c>
      <c r="M274" s="1">
        <f t="shared" si="1"/>
        <v>0.55395294989054411</v>
      </c>
    </row>
    <row r="275" spans="1:13" ht="15">
      <c r="A275" s="49">
        <v>121.66154834676296</v>
      </c>
      <c r="B275" s="49">
        <v>121.87153375937757</v>
      </c>
      <c r="C275" s="49">
        <v>118.14179285912751</v>
      </c>
      <c r="D275" s="49">
        <v>118.60176090580714</v>
      </c>
      <c r="E275" s="49">
        <v>277612739.01910394</v>
      </c>
      <c r="F275" s="49" t="s">
        <v>362</v>
      </c>
      <c r="G275" s="25">
        <f t="shared" si="3"/>
        <v>2.579883652305881E-2</v>
      </c>
      <c r="I275" s="50">
        <v>7.5000000000000067E-2</v>
      </c>
      <c r="J275">
        <v>0</v>
      </c>
      <c r="L275" s="48">
        <f t="shared" si="2"/>
        <v>7.2500000000000064E-2</v>
      </c>
      <c r="M275" s="1">
        <f t="shared" si="1"/>
        <v>0.4346506663069043</v>
      </c>
    </row>
    <row r="276" spans="1:13" ht="15">
      <c r="A276" s="49">
        <v>115.57197138093912</v>
      </c>
      <c r="B276" s="49">
        <v>117.75181994998609</v>
      </c>
      <c r="C276" s="49">
        <v>113.7820957210336</v>
      </c>
      <c r="D276" s="49">
        <v>117.02187065851622</v>
      </c>
      <c r="E276" s="49">
        <v>299053904.40263987</v>
      </c>
      <c r="F276" s="49" t="s">
        <v>363</v>
      </c>
      <c r="G276" s="25">
        <f t="shared" si="3"/>
        <v>-1.2389985473810095E-2</v>
      </c>
      <c r="I276" s="50">
        <v>7.7499999999999999E-2</v>
      </c>
      <c r="J276">
        <v>1</v>
      </c>
      <c r="L276" s="48">
        <f t="shared" si="2"/>
        <v>7.5000000000000067E-2</v>
      </c>
      <c r="M276" s="1">
        <f t="shared" si="1"/>
        <v>0.33811069537463323</v>
      </c>
    </row>
    <row r="277" spans="1:13" ht="15">
      <c r="A277" s="49">
        <v>115.73196026674073</v>
      </c>
      <c r="B277" s="49">
        <v>116.751889413726</v>
      </c>
      <c r="C277" s="49">
        <v>112.87215893303693</v>
      </c>
      <c r="D277" s="49">
        <v>114.11207279799942</v>
      </c>
      <c r="E277" s="49">
        <v>323879951.91274756</v>
      </c>
      <c r="F277" s="49" t="s">
        <v>364</v>
      </c>
      <c r="G277" s="25">
        <f t="shared" si="3"/>
        <v>1.4195583596214423E-2</v>
      </c>
      <c r="I277" s="50">
        <v>0.08</v>
      </c>
      <c r="J277">
        <v>1</v>
      </c>
      <c r="L277" s="48">
        <v>7.7499999999999999E-2</v>
      </c>
      <c r="M277" s="1">
        <f>_xlfn.NORM.DIST(L277,$K$202,$K$204,FALSE)</f>
        <v>0.26075254563547801</v>
      </c>
    </row>
    <row r="278" spans="1:13" ht="15">
      <c r="A278" s="49">
        <v>108.74244581828279</v>
      </c>
      <c r="B278" s="49">
        <v>112.21788478172846</v>
      </c>
      <c r="C278" s="49">
        <v>104.75308981593865</v>
      </c>
      <c r="D278" s="49">
        <v>106.97273150145342</v>
      </c>
      <c r="E278" s="49">
        <v>354922977.60541099</v>
      </c>
      <c r="F278" s="49" t="s">
        <v>365</v>
      </c>
      <c r="G278" s="25">
        <f t="shared" si="3"/>
        <v>1.6543602205813634E-2</v>
      </c>
      <c r="I278" s="50">
        <v>8.2500000000000004E-2</v>
      </c>
      <c r="J278">
        <v>1</v>
      </c>
      <c r="L278" s="48">
        <v>0.08</v>
      </c>
      <c r="M278" s="1">
        <f>_xlfn.NORM.DIST(L278,$K$202,$K$204,FALSE)</f>
        <v>0.19936517300174683</v>
      </c>
    </row>
    <row r="279" spans="1:13" ht="15.75" thickBot="1">
      <c r="A279" s="49">
        <v>106.96273311548265</v>
      </c>
      <c r="B279" s="49">
        <v>111.83194708325605</v>
      </c>
      <c r="C279" s="49">
        <v>105.44297844792297</v>
      </c>
      <c r="D279" s="49">
        <v>109.88226181895254</v>
      </c>
      <c r="E279" s="49">
        <v>366546524.67986435</v>
      </c>
      <c r="F279" s="49" t="s">
        <v>366</v>
      </c>
      <c r="G279" s="25">
        <f t="shared" si="3"/>
        <v>-2.6569608735213857E-2</v>
      </c>
      <c r="I279" s="51" t="s">
        <v>1533</v>
      </c>
      <c r="J279" s="51">
        <v>7</v>
      </c>
      <c r="L279" s="48">
        <v>8.2500000000000004E-2</v>
      </c>
      <c r="M279" s="1">
        <f>_xlfn.NORM.DIST(L279,$K$202,$K$204,FALSE)</f>
        <v>0.15111971286693238</v>
      </c>
    </row>
    <row r="280" spans="1:13">
      <c r="A280" s="49">
        <v>112.67181150480219</v>
      </c>
      <c r="B280" s="49">
        <v>113.4616839964944</v>
      </c>
      <c r="C280" s="49">
        <v>107.54263950178832</v>
      </c>
      <c r="D280" s="49">
        <v>111.23204392500882</v>
      </c>
      <c r="E280" s="49">
        <v>341810637.23537058</v>
      </c>
      <c r="F280" s="49" t="s">
        <v>367</v>
      </c>
      <c r="G280" s="25">
        <f t="shared" si="3"/>
        <v>1.294382022471896E-2</v>
      </c>
      <c r="L280" s="48">
        <v>8.5000000000000006E-2</v>
      </c>
      <c r="M280" s="1">
        <f>_xlfn.NORM.DIST(L280,$K$202,$K$204,FALSE)</f>
        <v>0.11356487688570112</v>
      </c>
    </row>
    <row r="281" spans="1:13">
      <c r="A281" s="49">
        <v>110.55215367899528</v>
      </c>
      <c r="B281" s="49">
        <v>115.33138217303161</v>
      </c>
      <c r="C281" s="49">
        <v>110.20221017001774</v>
      </c>
      <c r="D281" s="49">
        <v>113.51167592634833</v>
      </c>
      <c r="E281" s="49">
        <v>321233709.05905223</v>
      </c>
      <c r="F281" s="49" t="s">
        <v>368</v>
      </c>
      <c r="G281" s="25">
        <f t="shared" si="3"/>
        <v>-2.6072403769928698E-2</v>
      </c>
    </row>
    <row r="282" spans="1:13">
      <c r="A282" s="49">
        <v>117.28106743733514</v>
      </c>
      <c r="B282" s="49">
        <v>118.25900956913785</v>
      </c>
      <c r="C282" s="49">
        <v>114.49151775148549</v>
      </c>
      <c r="D282" s="49">
        <v>117.56102224451719</v>
      </c>
      <c r="E282" s="49">
        <v>284383786.37388229</v>
      </c>
      <c r="F282" s="49" t="s">
        <v>369</v>
      </c>
      <c r="G282" s="25">
        <f t="shared" si="3"/>
        <v>-2.3813573737030413E-3</v>
      </c>
    </row>
    <row r="283" spans="1:13">
      <c r="A283" s="49">
        <v>115.971278875162</v>
      </c>
      <c r="B283" s="49">
        <v>119.2907430174634</v>
      </c>
      <c r="C283" s="49">
        <v>110.09222792433907</v>
      </c>
      <c r="D283" s="49">
        <v>110.62714157377619</v>
      </c>
      <c r="E283" s="49">
        <v>398227580.0947572</v>
      </c>
      <c r="F283" s="49" t="s">
        <v>370</v>
      </c>
      <c r="G283" s="25">
        <f t="shared" si="3"/>
        <v>4.8307650594242801E-2</v>
      </c>
    </row>
    <row r="284" spans="1:13">
      <c r="A284" s="49">
        <v>114.04159038280007</v>
      </c>
      <c r="B284" s="49">
        <v>123.68003445863903</v>
      </c>
      <c r="C284" s="49">
        <v>112.26187767999993</v>
      </c>
      <c r="D284" s="49">
        <v>123.49006512519408</v>
      </c>
      <c r="E284" s="49">
        <v>411447781.8739441</v>
      </c>
      <c r="F284" s="49" t="s">
        <v>371</v>
      </c>
      <c r="G284" s="25">
        <f t="shared" si="3"/>
        <v>-7.651202331795004E-2</v>
      </c>
    </row>
    <row r="285" spans="1:13">
      <c r="A285" s="49">
        <v>124.89983754707508</v>
      </c>
      <c r="B285" s="49">
        <v>125.06981010857847</v>
      </c>
      <c r="C285" s="49">
        <v>116.38121269996429</v>
      </c>
      <c r="D285" s="49">
        <v>118.00095122723184</v>
      </c>
      <c r="E285" s="49">
        <v>389153955.58525485</v>
      </c>
      <c r="F285" s="49" t="s">
        <v>372</v>
      </c>
      <c r="G285" s="25">
        <f t="shared" si="3"/>
        <v>5.8464667005592164E-2</v>
      </c>
    </row>
    <row r="286" spans="1:13">
      <c r="A286" s="49">
        <v>120.13060743900954</v>
      </c>
      <c r="B286" s="49">
        <v>134.98820899159946</v>
      </c>
      <c r="C286" s="49">
        <v>119.99063003541852</v>
      </c>
      <c r="D286" s="49">
        <v>134.97821060562868</v>
      </c>
      <c r="E286" s="49">
        <v>443247387.42317492</v>
      </c>
      <c r="F286" s="49" t="s">
        <v>373</v>
      </c>
      <c r="G286" s="25">
        <f t="shared" si="3"/>
        <v>-0.10999999999999988</v>
      </c>
    </row>
    <row r="287" spans="1:13">
      <c r="A287" s="49">
        <v>131.2588110244958</v>
      </c>
      <c r="B287" s="49">
        <v>133.70841558733869</v>
      </c>
      <c r="C287" s="49">
        <v>128.46926133864616</v>
      </c>
      <c r="D287" s="49">
        <v>129.96402004127887</v>
      </c>
      <c r="E287" s="49">
        <v>322605883.53202063</v>
      </c>
      <c r="F287" s="49" t="s">
        <v>374</v>
      </c>
      <c r="G287" s="25">
        <f t="shared" si="3"/>
        <v>9.9626880024616948E-3</v>
      </c>
    </row>
    <row r="288" spans="1:13">
      <c r="A288" s="49">
        <v>126.60956154807971</v>
      </c>
      <c r="B288" s="49">
        <v>130.17898533965078</v>
      </c>
      <c r="C288" s="49">
        <v>124.41991502047729</v>
      </c>
      <c r="D288" s="49">
        <v>129.95902084829345</v>
      </c>
      <c r="E288" s="49">
        <v>271472527.45897615</v>
      </c>
      <c r="F288" s="49" t="s">
        <v>375</v>
      </c>
      <c r="G288" s="25">
        <f t="shared" si="3"/>
        <v>-2.5773195876288568E-2</v>
      </c>
    </row>
    <row r="289" spans="1:7">
      <c r="A289" s="49">
        <v>130.25897242741709</v>
      </c>
      <c r="B289" s="49">
        <v>138.56763116914132</v>
      </c>
      <c r="C289" s="49">
        <v>130.05900470800134</v>
      </c>
      <c r="D289" s="49">
        <v>136.53795881707151</v>
      </c>
      <c r="E289" s="49">
        <v>251421717.19962648</v>
      </c>
      <c r="F289" s="49" t="s">
        <v>376</v>
      </c>
      <c r="G289" s="25">
        <f t="shared" si="3"/>
        <v>-4.5987111892208499E-2</v>
      </c>
    </row>
    <row r="290" spans="1:7">
      <c r="A290" s="49">
        <v>134.40830260529381</v>
      </c>
      <c r="B290" s="49">
        <v>141.4371679427573</v>
      </c>
      <c r="C290" s="49">
        <v>134.00836716646231</v>
      </c>
      <c r="D290" s="49">
        <v>140.01739713490548</v>
      </c>
      <c r="E290" s="49">
        <v>228254425.93113786</v>
      </c>
      <c r="F290" s="49" t="s">
        <v>377</v>
      </c>
      <c r="G290" s="25">
        <f t="shared" si="3"/>
        <v>-4.0059982862039267E-2</v>
      </c>
    </row>
    <row r="291" spans="1:7">
      <c r="A291" s="49">
        <v>140.087385836701</v>
      </c>
      <c r="B291" s="49">
        <v>140.63729706509429</v>
      </c>
      <c r="C291" s="49">
        <v>136.76802167825932</v>
      </c>
      <c r="D291" s="49">
        <v>140.00739874893472</v>
      </c>
      <c r="E291" s="49">
        <v>143926813.20810074</v>
      </c>
      <c r="F291" s="49" t="s">
        <v>378</v>
      </c>
      <c r="G291" s="25">
        <f t="shared" si="3"/>
        <v>5.7130614868228236E-4</v>
      </c>
    </row>
    <row r="292" spans="1:7">
      <c r="A292" s="49">
        <v>139.20752787127171</v>
      </c>
      <c r="B292" s="49">
        <v>141.33718408304944</v>
      </c>
      <c r="C292" s="49">
        <v>137.19785229114348</v>
      </c>
      <c r="D292" s="49">
        <v>139.48748267845374</v>
      </c>
      <c r="E292" s="49">
        <v>167563051.16595492</v>
      </c>
      <c r="F292" s="49" t="s">
        <v>379</v>
      </c>
      <c r="G292" s="25">
        <f t="shared" si="3"/>
        <v>-2.007024586051176E-3</v>
      </c>
    </row>
    <row r="293" spans="1:7">
      <c r="A293" s="49">
        <v>139.37750043277512</v>
      </c>
      <c r="B293" s="49">
        <v>143.41684836497316</v>
      </c>
      <c r="C293" s="49">
        <v>137.90273850208399</v>
      </c>
      <c r="D293" s="49">
        <v>141.24719860931233</v>
      </c>
      <c r="E293" s="49">
        <v>219212008.45854244</v>
      </c>
      <c r="F293" s="49" t="s">
        <v>380</v>
      </c>
      <c r="G293" s="25">
        <f t="shared" si="3"/>
        <v>-1.3237063778579916E-2</v>
      </c>
    </row>
    <row r="294" spans="1:7">
      <c r="A294" s="49">
        <v>138.82758920438181</v>
      </c>
      <c r="B294" s="49">
        <v>139.22752464321329</v>
      </c>
      <c r="C294" s="49">
        <v>135.47812990416804</v>
      </c>
      <c r="D294" s="49">
        <v>136.4579717293052</v>
      </c>
      <c r="E294" s="49">
        <v>195511113.06478921</v>
      </c>
      <c r="F294" s="49" t="s">
        <v>381</v>
      </c>
      <c r="G294" s="25">
        <f t="shared" si="3"/>
        <v>1.7365181711606281E-2</v>
      </c>
    </row>
    <row r="295" spans="1:7">
      <c r="A295" s="49">
        <v>135.2681637987815</v>
      </c>
      <c r="B295" s="49">
        <v>136.47796850124678</v>
      </c>
      <c r="C295" s="49">
        <v>131.14882877881715</v>
      </c>
      <c r="D295" s="49">
        <v>131.53376663869247</v>
      </c>
      <c r="E295" s="49">
        <v>197461845.91877046</v>
      </c>
      <c r="F295" s="49" t="s">
        <v>382</v>
      </c>
      <c r="G295" s="25">
        <f t="shared" si="3"/>
        <v>2.8391167192428846E-2</v>
      </c>
    </row>
    <row r="296" spans="1:7">
      <c r="A296" s="49">
        <v>131.11883362090478</v>
      </c>
      <c r="B296" s="49">
        <v>132.21865607769141</v>
      </c>
      <c r="C296" s="49">
        <v>129.0591661109226</v>
      </c>
      <c r="D296" s="49">
        <v>129.9990143921766</v>
      </c>
      <c r="E296" s="49">
        <v>160304425.6025846</v>
      </c>
      <c r="F296" s="49" t="s">
        <v>383</v>
      </c>
      <c r="G296" s="25">
        <f t="shared" si="3"/>
        <v>8.6140593754806538E-3</v>
      </c>
    </row>
    <row r="297" spans="1:7">
      <c r="A297" s="49">
        <v>132.77856569205548</v>
      </c>
      <c r="B297" s="49">
        <v>134.45829453514773</v>
      </c>
      <c r="C297" s="49">
        <v>130.99885298925534</v>
      </c>
      <c r="D297" s="49">
        <v>132.55860120069818</v>
      </c>
      <c r="E297" s="49">
        <v>178931259.02791345</v>
      </c>
      <c r="F297" s="49" t="s">
        <v>384</v>
      </c>
      <c r="G297" s="25">
        <f t="shared" si="3"/>
        <v>1.6593754714133713E-3</v>
      </c>
    </row>
    <row r="298" spans="1:7">
      <c r="A298" s="49">
        <v>133.5484414118061</v>
      </c>
      <c r="B298" s="49">
        <v>134.97821060562868</v>
      </c>
      <c r="C298" s="49">
        <v>129.9390240763519</v>
      </c>
      <c r="D298" s="49">
        <v>130.06900309397213</v>
      </c>
      <c r="E298" s="49">
        <v>217024114.32603803</v>
      </c>
      <c r="F298" s="49" t="s">
        <v>385</v>
      </c>
      <c r="G298" s="25">
        <f t="shared" si="3"/>
        <v>2.6750711046198639E-2</v>
      </c>
    </row>
    <row r="299" spans="1:7">
      <c r="A299" s="49">
        <v>129.81904344470243</v>
      </c>
      <c r="B299" s="49">
        <v>130.34895790115417</v>
      </c>
      <c r="C299" s="49">
        <v>124.97982463484138</v>
      </c>
      <c r="D299" s="49">
        <v>129.19914351451362</v>
      </c>
      <c r="E299" s="49">
        <v>228223133.88050947</v>
      </c>
      <c r="F299" s="49" t="s">
        <v>386</v>
      </c>
      <c r="G299" s="25">
        <f t="shared" si="3"/>
        <v>4.7980188825258452E-3</v>
      </c>
    </row>
    <row r="300" spans="1:7">
      <c r="A300" s="49">
        <v>128.65923067209113</v>
      </c>
      <c r="B300" s="49">
        <v>128.7492161458282</v>
      </c>
      <c r="C300" s="49">
        <v>125.18979074022791</v>
      </c>
      <c r="D300" s="49">
        <v>127.3994340397719</v>
      </c>
      <c r="E300" s="49">
        <v>251524170.73592654</v>
      </c>
      <c r="F300" s="49" t="s">
        <v>387</v>
      </c>
      <c r="G300" s="25">
        <f t="shared" si="3"/>
        <v>9.8885575262912528E-3</v>
      </c>
    </row>
    <row r="301" spans="1:7">
      <c r="A301" s="49">
        <v>124.80985207333799</v>
      </c>
      <c r="B301" s="49">
        <v>124.97982463484138</v>
      </c>
      <c r="C301" s="49">
        <v>120.74050898322756</v>
      </c>
      <c r="D301" s="49">
        <v>121.74034758030629</v>
      </c>
      <c r="E301" s="49">
        <v>263153102.67951348</v>
      </c>
      <c r="F301" s="49" t="s">
        <v>388</v>
      </c>
      <c r="G301" s="25">
        <f t="shared" si="3"/>
        <v>2.5213534822601913E-2</v>
      </c>
    </row>
    <row r="302" spans="1:7">
      <c r="A302" s="49">
        <v>118.63084954339143</v>
      </c>
      <c r="B302" s="49">
        <v>121.1804379659422</v>
      </c>
      <c r="C302" s="49">
        <v>116.68116427908791</v>
      </c>
      <c r="D302" s="49">
        <v>116.94112231432837</v>
      </c>
      <c r="E302" s="49">
        <v>256591454.61034676</v>
      </c>
      <c r="F302" s="49" t="s">
        <v>389</v>
      </c>
      <c r="G302" s="25">
        <f t="shared" si="3"/>
        <v>1.4449384404924936E-2</v>
      </c>
    </row>
    <row r="303" spans="1:7">
      <c r="A303" s="49">
        <v>116.64117073520475</v>
      </c>
      <c r="B303" s="49">
        <v>118.55086245562514</v>
      </c>
      <c r="C303" s="49">
        <v>112.9917598558674</v>
      </c>
      <c r="D303" s="49">
        <v>114.73147901478438</v>
      </c>
      <c r="E303" s="49">
        <v>371295605.19533288</v>
      </c>
      <c r="F303" s="49" t="s">
        <v>390</v>
      </c>
      <c r="G303" s="25">
        <f t="shared" si="3"/>
        <v>1.6644880174291776E-2</v>
      </c>
    </row>
    <row r="304" spans="1:7">
      <c r="A304" s="49">
        <v>120.05062035124323</v>
      </c>
      <c r="B304" s="49">
        <v>127.82936463651575</v>
      </c>
      <c r="C304" s="49">
        <v>119.17076238581394</v>
      </c>
      <c r="D304" s="49">
        <v>123.76002154640533</v>
      </c>
      <c r="E304" s="49">
        <v>390435916.497491</v>
      </c>
      <c r="F304" s="49" t="s">
        <v>391</v>
      </c>
      <c r="G304" s="25">
        <f t="shared" si="3"/>
        <v>-2.997253191145588E-2</v>
      </c>
    </row>
    <row r="305" spans="1:7">
      <c r="A305" s="49">
        <v>124.62988112586383</v>
      </c>
      <c r="B305" s="49">
        <v>124.97982463484138</v>
      </c>
      <c r="C305" s="49">
        <v>118.08093831499812</v>
      </c>
      <c r="D305" s="49">
        <v>123.08013130039178</v>
      </c>
      <c r="E305" s="49">
        <v>392988898.55625325</v>
      </c>
      <c r="F305" s="49" t="s">
        <v>392</v>
      </c>
      <c r="G305" s="25">
        <f t="shared" si="3"/>
        <v>1.2591389114541052E-2</v>
      </c>
    </row>
    <row r="306" spans="1:7">
      <c r="A306" s="49">
        <v>123.68003445863903</v>
      </c>
      <c r="B306" s="49">
        <v>126.86951958332018</v>
      </c>
      <c r="C306" s="49">
        <v>120.03062357930166</v>
      </c>
      <c r="D306" s="49">
        <v>126.47958253045947</v>
      </c>
      <c r="E306" s="49">
        <v>467196046.80675995</v>
      </c>
      <c r="F306" s="49" t="s">
        <v>393</v>
      </c>
      <c r="G306" s="25">
        <f t="shared" si="3"/>
        <v>-2.2134387351778639E-2</v>
      </c>
    </row>
    <row r="307" spans="1:7">
      <c r="A307" s="49">
        <v>128.96918063718553</v>
      </c>
      <c r="B307" s="49">
        <v>128.97917902315629</v>
      </c>
      <c r="C307" s="49">
        <v>116.23123691040249</v>
      </c>
      <c r="D307" s="49">
        <v>121.79033951016022</v>
      </c>
      <c r="E307" s="49">
        <v>579759924.94552088</v>
      </c>
      <c r="F307" s="49" t="s">
        <v>394</v>
      </c>
      <c r="G307" s="25">
        <f t="shared" si="3"/>
        <v>5.8944257450127324E-2</v>
      </c>
    </row>
    <row r="308" spans="1:7">
      <c r="A308" s="49">
        <v>118.40088666606333</v>
      </c>
      <c r="B308" s="49">
        <v>128.37927586490906</v>
      </c>
      <c r="C308" s="49">
        <v>116.68116427908791</v>
      </c>
      <c r="D308" s="49">
        <v>124.77985691542563</v>
      </c>
      <c r="E308" s="49">
        <v>818963078.03320599</v>
      </c>
      <c r="F308" s="49" t="s">
        <v>395</v>
      </c>
      <c r="G308" s="25">
        <f t="shared" si="3"/>
        <v>-5.1121794871794801E-2</v>
      </c>
    </row>
    <row r="309" spans="1:7">
      <c r="A309" s="49">
        <v>142.59698071536863</v>
      </c>
      <c r="B309" s="49">
        <v>148.94595580681855</v>
      </c>
      <c r="C309" s="49">
        <v>141.85710015353035</v>
      </c>
      <c r="D309" s="49">
        <v>148.34605264857132</v>
      </c>
      <c r="E309" s="49">
        <v>234695515.54181719</v>
      </c>
      <c r="F309" s="49" t="s">
        <v>396</v>
      </c>
      <c r="G309" s="25">
        <f t="shared" si="3"/>
        <v>-3.8754465188380327E-2</v>
      </c>
    </row>
    <row r="310" spans="1:7">
      <c r="A310" s="49">
        <v>147.19623826193077</v>
      </c>
      <c r="B310" s="49">
        <v>147.20623664790156</v>
      </c>
      <c r="C310" s="49">
        <v>143.69680317215523</v>
      </c>
      <c r="D310" s="49">
        <v>145.02658850626995</v>
      </c>
      <c r="E310" s="49">
        <v>155940718.28747639</v>
      </c>
      <c r="F310" s="49" t="s">
        <v>397</v>
      </c>
      <c r="G310" s="25">
        <f t="shared" si="3"/>
        <v>1.4960358497069892E-2</v>
      </c>
    </row>
    <row r="311" spans="1:7">
      <c r="A311" s="49">
        <v>147.04626247236897</v>
      </c>
      <c r="B311" s="49">
        <v>147.76614626226564</v>
      </c>
      <c r="C311" s="49">
        <v>143.64681124230128</v>
      </c>
      <c r="D311" s="49">
        <v>144.63665145340923</v>
      </c>
      <c r="E311" s="49">
        <v>237689758.82142949</v>
      </c>
      <c r="F311" s="49" t="s">
        <v>398</v>
      </c>
      <c r="G311" s="25">
        <f t="shared" si="3"/>
        <v>1.665975390570984E-2</v>
      </c>
    </row>
    <row r="312" spans="1:7">
      <c r="A312" s="49">
        <v>140.8072696265977</v>
      </c>
      <c r="B312" s="49">
        <v>141.80710822367644</v>
      </c>
      <c r="C312" s="49">
        <v>137.06787327352325</v>
      </c>
      <c r="D312" s="49">
        <v>139.13753916947621</v>
      </c>
      <c r="E312" s="49">
        <v>197780907.4162282</v>
      </c>
      <c r="F312" s="49" t="s">
        <v>399</v>
      </c>
      <c r="G312" s="25">
        <f t="shared" si="3"/>
        <v>1.2000574877838455E-2</v>
      </c>
    </row>
    <row r="313" spans="1:7">
      <c r="A313" s="49">
        <v>137.68777320371206</v>
      </c>
      <c r="B313" s="49">
        <v>138.47764569540425</v>
      </c>
      <c r="C313" s="49">
        <v>135.4430355694106</v>
      </c>
      <c r="D313" s="49">
        <v>136.66793783469174</v>
      </c>
      <c r="E313" s="49">
        <v>201221237.69558543</v>
      </c>
      <c r="F313" s="49" t="s">
        <v>400</v>
      </c>
      <c r="G313" s="25">
        <f t="shared" si="3"/>
        <v>7.4621406101398335E-3</v>
      </c>
    </row>
    <row r="314" spans="1:7">
      <c r="A314" s="49">
        <v>133.5484414118061</v>
      </c>
      <c r="B314" s="49">
        <v>138.72760534467392</v>
      </c>
      <c r="C314" s="49">
        <v>133.46845432403981</v>
      </c>
      <c r="D314" s="49">
        <v>138.61762309899527</v>
      </c>
      <c r="E314" s="49">
        <v>209269359.68598542</v>
      </c>
      <c r="F314" s="49" t="s">
        <v>401</v>
      </c>
      <c r="G314" s="25">
        <f t="shared" si="3"/>
        <v>-3.6569532602423571E-2</v>
      </c>
    </row>
    <row r="315" spans="1:7">
      <c r="A315" s="49">
        <v>136.21801046600632</v>
      </c>
      <c r="B315" s="49">
        <v>136.42797657139283</v>
      </c>
      <c r="C315" s="49">
        <v>131.26880941046659</v>
      </c>
      <c r="D315" s="49">
        <v>133.62842849957241</v>
      </c>
      <c r="E315" s="49">
        <v>185247237.44528067</v>
      </c>
      <c r="F315" s="49" t="s">
        <v>402</v>
      </c>
      <c r="G315" s="25">
        <f t="shared" si="3"/>
        <v>1.9378974934530557E-2</v>
      </c>
    </row>
    <row r="316" spans="1:7">
      <c r="A316" s="49">
        <v>131.73873355109359</v>
      </c>
      <c r="B316" s="49">
        <v>136.35798786959734</v>
      </c>
      <c r="C316" s="49">
        <v>130.02900955008897</v>
      </c>
      <c r="D316" s="49">
        <v>136.02804113256136</v>
      </c>
      <c r="E316" s="49">
        <v>195622058.97178268</v>
      </c>
      <c r="F316" s="49" t="s">
        <v>403</v>
      </c>
      <c r="G316" s="25">
        <f t="shared" si="3"/>
        <v>-3.1532524807056261E-2</v>
      </c>
    </row>
    <row r="317" spans="1:7">
      <c r="A317" s="49">
        <v>133.20849628879932</v>
      </c>
      <c r="B317" s="49">
        <v>133.46845432403981</v>
      </c>
      <c r="C317" s="49">
        <v>129.48909670766645</v>
      </c>
      <c r="D317" s="49">
        <v>129.96901923426427</v>
      </c>
      <c r="E317" s="49">
        <v>204841976.09333998</v>
      </c>
      <c r="F317" s="49" t="s">
        <v>404</v>
      </c>
      <c r="G317" s="25">
        <f t="shared" si="3"/>
        <v>2.4924994230325126E-2</v>
      </c>
    </row>
    <row r="318" spans="1:7">
      <c r="A318" s="49">
        <v>135.88806372897034</v>
      </c>
      <c r="B318" s="49">
        <v>139.89741650325604</v>
      </c>
      <c r="C318" s="49">
        <v>134.19833649990727</v>
      </c>
      <c r="D318" s="49">
        <v>137.42781516847157</v>
      </c>
      <c r="E318" s="49">
        <v>207636027.06132838</v>
      </c>
      <c r="F318" s="49" t="s">
        <v>405</v>
      </c>
      <c r="G318" s="25">
        <f t="shared" si="3"/>
        <v>-1.1204074208803094E-2</v>
      </c>
    </row>
    <row r="319" spans="1:7">
      <c r="A319" s="49">
        <v>140.087385836701</v>
      </c>
      <c r="B319" s="49">
        <v>143.92676604948332</v>
      </c>
      <c r="C319" s="49">
        <v>137.53779741415025</v>
      </c>
      <c r="D319" s="49">
        <v>142.55698717148547</v>
      </c>
      <c r="E319" s="49">
        <v>227386648.86938509</v>
      </c>
      <c r="F319" s="49" t="s">
        <v>406</v>
      </c>
      <c r="G319" s="25">
        <f t="shared" ref="G319:G382" si="4">A319/D319-1</f>
        <v>-1.7323607799130336E-2</v>
      </c>
    </row>
    <row r="320" spans="1:7">
      <c r="A320" s="49">
        <v>140.11738099461334</v>
      </c>
      <c r="B320" s="49">
        <v>153.10528437066608</v>
      </c>
      <c r="C320" s="49">
        <v>139.98740197699311</v>
      </c>
      <c r="D320" s="49">
        <v>153.00530051095822</v>
      </c>
      <c r="E320" s="49">
        <v>351838961.83625662</v>
      </c>
      <c r="F320" s="49" t="s">
        <v>407</v>
      </c>
      <c r="G320" s="25">
        <f t="shared" si="4"/>
        <v>-8.4231849964059524E-2</v>
      </c>
    </row>
    <row r="321" spans="1:7">
      <c r="A321" s="49">
        <v>149.40588156147479</v>
      </c>
      <c r="B321" s="49">
        <v>152.13144157711139</v>
      </c>
      <c r="C321" s="49">
        <v>147.79624140403772</v>
      </c>
      <c r="D321" s="49">
        <v>148.56601713992865</v>
      </c>
      <c r="E321" s="49">
        <v>265420198.59541708</v>
      </c>
      <c r="F321" s="49" t="s">
        <v>408</v>
      </c>
      <c r="G321" s="25">
        <f t="shared" si="4"/>
        <v>5.6531395114072236E-3</v>
      </c>
    </row>
    <row r="322" spans="1:7">
      <c r="A322" s="49">
        <v>144.44668211996427</v>
      </c>
      <c r="B322" s="49">
        <v>144.87661271670814</v>
      </c>
      <c r="C322" s="49">
        <v>139.70744716981108</v>
      </c>
      <c r="D322" s="49">
        <v>139.98740197699311</v>
      </c>
      <c r="E322" s="49">
        <v>229359497.29288384</v>
      </c>
      <c r="F322" s="49" t="s">
        <v>409</v>
      </c>
      <c r="G322" s="25">
        <f t="shared" si="4"/>
        <v>3.1854867509463647E-2</v>
      </c>
    </row>
    <row r="323" spans="1:7">
      <c r="A323" s="49">
        <v>138.28767636195929</v>
      </c>
      <c r="B323" s="49">
        <v>138.85758436229415</v>
      </c>
      <c r="C323" s="49">
        <v>134.60827032470957</v>
      </c>
      <c r="D323" s="49">
        <v>135.97804920270741</v>
      </c>
      <c r="E323" s="49">
        <v>198279168.83707708</v>
      </c>
      <c r="F323" s="49" t="s">
        <v>410</v>
      </c>
      <c r="G323" s="25">
        <f t="shared" si="4"/>
        <v>1.6985294117647154E-2</v>
      </c>
    </row>
    <row r="324" spans="1:7">
      <c r="A324" s="49">
        <v>134.26832520170279</v>
      </c>
      <c r="B324" s="49">
        <v>138.04771509866038</v>
      </c>
      <c r="C324" s="49">
        <v>133.80839944704658</v>
      </c>
      <c r="D324" s="49">
        <v>138.00772155477725</v>
      </c>
      <c r="E324" s="49">
        <v>155684338.90709543</v>
      </c>
      <c r="F324" s="49" t="s">
        <v>411</v>
      </c>
      <c r="G324" s="25">
        <f t="shared" si="4"/>
        <v>-2.7095558936463093E-2</v>
      </c>
    </row>
    <row r="325" spans="1:7">
      <c r="A325" s="49">
        <v>137.46780871235472</v>
      </c>
      <c r="B325" s="49">
        <v>140.2473600122336</v>
      </c>
      <c r="C325" s="49">
        <v>133.99836878049155</v>
      </c>
      <c r="D325" s="49">
        <v>134.80823804412532</v>
      </c>
      <c r="E325" s="49">
        <v>167761777.24092397</v>
      </c>
      <c r="F325" s="49" t="s">
        <v>412</v>
      </c>
      <c r="G325" s="25">
        <f t="shared" si="4"/>
        <v>1.9728547059259638E-2</v>
      </c>
    </row>
    <row r="326" spans="1:7">
      <c r="A326" s="49">
        <v>136.98788618575693</v>
      </c>
      <c r="B326" s="49">
        <v>138.99756176588519</v>
      </c>
      <c r="C326" s="49">
        <v>134.68825741247585</v>
      </c>
      <c r="D326" s="49">
        <v>138.52763762525819</v>
      </c>
      <c r="E326" s="49">
        <v>170610139.97499007</v>
      </c>
      <c r="F326" s="49" t="s">
        <v>413</v>
      </c>
      <c r="G326" s="25">
        <f t="shared" si="4"/>
        <v>-1.1115120894983899E-2</v>
      </c>
    </row>
    <row r="327" spans="1:7">
      <c r="A327" s="49">
        <v>139.90741488922683</v>
      </c>
      <c r="B327" s="49">
        <v>140.82726639853925</v>
      </c>
      <c r="C327" s="49">
        <v>137.7077699756536</v>
      </c>
      <c r="D327" s="49">
        <v>139.67745201189871</v>
      </c>
      <c r="E327" s="49">
        <v>116537899.55742712</v>
      </c>
      <c r="F327" s="49" t="s">
        <v>414</v>
      </c>
      <c r="G327" s="25">
        <f t="shared" si="4"/>
        <v>1.6463851109520533E-3</v>
      </c>
    </row>
    <row r="328" spans="1:7">
      <c r="A328" s="49">
        <v>140.19736808237965</v>
      </c>
      <c r="B328" s="49">
        <v>141.87709692547193</v>
      </c>
      <c r="C328" s="49">
        <v>138.62762148496606</v>
      </c>
      <c r="D328" s="49">
        <v>139.97740359102235</v>
      </c>
      <c r="E328" s="49">
        <v>105173964.3850932</v>
      </c>
      <c r="F328" s="49" t="s">
        <v>415</v>
      </c>
      <c r="G328" s="25">
        <f t="shared" si="4"/>
        <v>1.5714285714283349E-3</v>
      </c>
    </row>
    <row r="329" spans="1:7">
      <c r="A329" s="49">
        <v>139.64745685398634</v>
      </c>
      <c r="B329" s="49">
        <v>139.76743748563581</v>
      </c>
      <c r="C329" s="49">
        <v>135.09829122113786</v>
      </c>
      <c r="D329" s="49">
        <v>136.25800400988948</v>
      </c>
      <c r="E329" s="49">
        <v>176081926.13726121</v>
      </c>
      <c r="F329" s="49" t="s">
        <v>416</v>
      </c>
      <c r="G329" s="25">
        <f t="shared" si="4"/>
        <v>2.4875256824185232E-2</v>
      </c>
    </row>
    <row r="330" spans="1:7">
      <c r="A330" s="49">
        <v>134.67825902650506</v>
      </c>
      <c r="B330" s="49">
        <v>135.25816541281074</v>
      </c>
      <c r="C330" s="49">
        <v>128.19930491743489</v>
      </c>
      <c r="D330" s="49">
        <v>129.78904828679006</v>
      </c>
      <c r="E330" s="49">
        <v>306578035.59054124</v>
      </c>
      <c r="F330" s="49" t="s">
        <v>417</v>
      </c>
      <c r="G330" s="25">
        <f t="shared" si="4"/>
        <v>3.7670441414374922E-2</v>
      </c>
    </row>
    <row r="331" spans="1:7">
      <c r="A331" s="49">
        <v>130.65890786624857</v>
      </c>
      <c r="B331" s="49">
        <v>134.00836716646231</v>
      </c>
      <c r="C331" s="49">
        <v>129.5290902515496</v>
      </c>
      <c r="D331" s="49">
        <v>131.73873355109359</v>
      </c>
      <c r="E331" s="49">
        <v>209753064.75739697</v>
      </c>
      <c r="F331" s="49" t="s">
        <v>418</v>
      </c>
      <c r="G331" s="25">
        <f t="shared" si="4"/>
        <v>-8.1967213114753079E-3</v>
      </c>
    </row>
    <row r="332" spans="1:7">
      <c r="A332" s="49">
        <v>128.88919354941922</v>
      </c>
      <c r="B332" s="49">
        <v>136.67793622066253</v>
      </c>
      <c r="C332" s="49">
        <v>128.25929523325962</v>
      </c>
      <c r="D332" s="49">
        <v>133.83839460495895</v>
      </c>
      <c r="E332" s="49">
        <v>277489320.58696365</v>
      </c>
      <c r="F332" s="49" t="s">
        <v>419</v>
      </c>
      <c r="G332" s="25">
        <f t="shared" si="4"/>
        <v>-3.697893321380552E-2</v>
      </c>
    </row>
    <row r="333" spans="1:7">
      <c r="A333" s="49">
        <v>130.36895467309571</v>
      </c>
      <c r="B333" s="49">
        <v>131.56876098959023</v>
      </c>
      <c r="C333" s="49">
        <v>126.83952442540782</v>
      </c>
      <c r="D333" s="49">
        <v>129.06916449689339</v>
      </c>
      <c r="E333" s="49">
        <v>259452139.33321786</v>
      </c>
      <c r="F333" s="49" t="s">
        <v>420</v>
      </c>
      <c r="G333" s="25">
        <f t="shared" si="4"/>
        <v>1.0070493454179097E-2</v>
      </c>
    </row>
    <row r="334" spans="1:7">
      <c r="A334" s="49">
        <v>131.9786948143925</v>
      </c>
      <c r="B334" s="49">
        <v>134.37830744738145</v>
      </c>
      <c r="C334" s="49">
        <v>130.39894983100808</v>
      </c>
      <c r="D334" s="49">
        <v>134.15834295602414</v>
      </c>
      <c r="E334" s="49">
        <v>237989542.20734373</v>
      </c>
      <c r="F334" s="49" t="s">
        <v>421</v>
      </c>
      <c r="G334" s="25">
        <f t="shared" si="4"/>
        <v>-1.6246832612908158E-2</v>
      </c>
    </row>
    <row r="335" spans="1:7">
      <c r="A335" s="49">
        <v>134.22833165781964</v>
      </c>
      <c r="B335" s="49">
        <v>139.57746815219085</v>
      </c>
      <c r="C335" s="49">
        <v>132.51860765681499</v>
      </c>
      <c r="D335" s="49">
        <v>138.91757467811888</v>
      </c>
      <c r="E335" s="49">
        <v>231552254.21025595</v>
      </c>
      <c r="F335" s="49" t="s">
        <v>422</v>
      </c>
      <c r="G335" s="25">
        <f t="shared" si="4"/>
        <v>-3.3755577947315318E-2</v>
      </c>
    </row>
    <row r="336" spans="1:7">
      <c r="A336" s="49">
        <v>137.31783292279292</v>
      </c>
      <c r="B336" s="49">
        <v>138.41765537957951</v>
      </c>
      <c r="C336" s="49">
        <v>135.77808148329169</v>
      </c>
      <c r="D336" s="49">
        <v>137.05787488755246</v>
      </c>
      <c r="E336" s="49">
        <v>159237094.3321996</v>
      </c>
      <c r="F336" s="49" t="s">
        <v>423</v>
      </c>
      <c r="G336" s="25">
        <f t="shared" si="4"/>
        <v>1.8967026553835531E-3</v>
      </c>
    </row>
    <row r="337" spans="1:7">
      <c r="A337" s="49">
        <v>139.28751495903802</v>
      </c>
      <c r="B337" s="49">
        <v>140.14737615252571</v>
      </c>
      <c r="C337" s="49">
        <v>135.18817671101522</v>
      </c>
      <c r="D337" s="49">
        <v>137.33782969473449</v>
      </c>
      <c r="E337" s="49">
        <v>184935041.05587143</v>
      </c>
      <c r="F337" s="49" t="s">
        <v>424</v>
      </c>
      <c r="G337" s="25">
        <f t="shared" si="4"/>
        <v>1.4196272568433255E-2</v>
      </c>
    </row>
    <row r="338" spans="1:7">
      <c r="A338" s="49">
        <v>135.0481993074242</v>
      </c>
      <c r="B338" s="49">
        <v>141.79710983770562</v>
      </c>
      <c r="C338" s="49">
        <v>133.76840590316343</v>
      </c>
      <c r="D338" s="49">
        <v>138.98756337991438</v>
      </c>
      <c r="E338" s="49">
        <v>210054791.45696771</v>
      </c>
      <c r="F338" s="49" t="s">
        <v>425</v>
      </c>
      <c r="G338" s="25">
        <f t="shared" si="4"/>
        <v>-2.8343284655779954E-2</v>
      </c>
    </row>
    <row r="339" spans="1:7">
      <c r="A339" s="49">
        <v>138.78759566049865</v>
      </c>
      <c r="B339" s="49">
        <v>139.92741166116841</v>
      </c>
      <c r="C339" s="49">
        <v>137.10786681740638</v>
      </c>
      <c r="D339" s="49">
        <v>138.94756983603125</v>
      </c>
      <c r="E339" s="49">
        <v>189339184.89755315</v>
      </c>
      <c r="F339" s="49" t="s">
        <v>426</v>
      </c>
      <c r="G339" s="25">
        <f t="shared" si="4"/>
        <v>-1.1513276246671866E-3</v>
      </c>
    </row>
    <row r="340" spans="1:7">
      <c r="A340" s="49">
        <v>142.41700976789446</v>
      </c>
      <c r="B340" s="49">
        <v>145.67648359437109</v>
      </c>
      <c r="C340" s="49">
        <v>141.28719215319549</v>
      </c>
      <c r="D340" s="49">
        <v>144.57666113758449</v>
      </c>
      <c r="E340" s="49">
        <v>188536003.26169083</v>
      </c>
      <c r="F340" s="49" t="s">
        <v>427</v>
      </c>
      <c r="G340" s="25">
        <f t="shared" si="4"/>
        <v>-1.4937759336099421E-2</v>
      </c>
    </row>
    <row r="341" spans="1:7">
      <c r="A341" s="49">
        <v>145.03658689224073</v>
      </c>
      <c r="B341" s="49">
        <v>146.51634801591723</v>
      </c>
      <c r="C341" s="49">
        <v>143.92676604948332</v>
      </c>
      <c r="D341" s="49">
        <v>145.08657882209468</v>
      </c>
      <c r="E341" s="49">
        <v>172649046.06038845</v>
      </c>
      <c r="F341" s="49" t="s">
        <v>428</v>
      </c>
      <c r="G341" s="25">
        <f t="shared" si="4"/>
        <v>-3.4456619116540743E-4</v>
      </c>
    </row>
    <row r="342" spans="1:7">
      <c r="A342" s="49">
        <v>145.10657559403617</v>
      </c>
      <c r="B342" s="49">
        <v>145.75642590501954</v>
      </c>
      <c r="C342" s="49">
        <v>140.25769250439117</v>
      </c>
      <c r="D342" s="49">
        <v>141.96229985858599</v>
      </c>
      <c r="E342" s="49">
        <v>231277556.0922223</v>
      </c>
      <c r="F342" s="49" t="s">
        <v>429</v>
      </c>
      <c r="G342" s="25">
        <f t="shared" si="4"/>
        <v>2.2148667206591588E-2</v>
      </c>
    </row>
    <row r="343" spans="1:7">
      <c r="A343" s="49">
        <v>140.22769941311503</v>
      </c>
      <c r="B343" s="49">
        <v>140.50763493169248</v>
      </c>
      <c r="C343" s="49">
        <v>137.91823138485111</v>
      </c>
      <c r="D343" s="49">
        <v>138.22815999470473</v>
      </c>
      <c r="E343" s="49">
        <v>164451836.74419755</v>
      </c>
      <c r="F343" s="49" t="s">
        <v>430</v>
      </c>
      <c r="G343" s="25">
        <f t="shared" si="4"/>
        <v>1.4465499783017588E-2</v>
      </c>
    </row>
    <row r="344" spans="1:7">
      <c r="A344" s="49">
        <v>138.59807478711062</v>
      </c>
      <c r="B344" s="49">
        <v>140.417655657864</v>
      </c>
      <c r="C344" s="49">
        <v>137.79326017120047</v>
      </c>
      <c r="D344" s="49">
        <v>138.79802872895166</v>
      </c>
      <c r="E344" s="49">
        <v>171722323.07027251</v>
      </c>
      <c r="F344" s="49" t="s">
        <v>431</v>
      </c>
      <c r="G344" s="25">
        <f t="shared" si="4"/>
        <v>-1.4406108189873867E-3</v>
      </c>
    </row>
    <row r="345" spans="1:7">
      <c r="A345" s="49">
        <v>138.21816229761268</v>
      </c>
      <c r="B345" s="49">
        <v>139.31790897773834</v>
      </c>
      <c r="C345" s="49">
        <v>136.01866893736135</v>
      </c>
      <c r="D345" s="49">
        <v>136.74850082508109</v>
      </c>
      <c r="E345" s="49">
        <v>141895833.30423683</v>
      </c>
      <c r="F345" s="49" t="s">
        <v>432</v>
      </c>
      <c r="G345" s="25">
        <f t="shared" si="4"/>
        <v>1.0747185261003045E-2</v>
      </c>
    </row>
    <row r="346" spans="1:7">
      <c r="A346" s="49">
        <v>135.30883244382568</v>
      </c>
      <c r="B346" s="49">
        <v>137.18839949713137</v>
      </c>
      <c r="C346" s="49">
        <v>131.76964767323943</v>
      </c>
      <c r="D346" s="49">
        <v>134.97890843978797</v>
      </c>
      <c r="E346" s="49">
        <v>226423055.14534065</v>
      </c>
      <c r="F346" s="49" t="s">
        <v>433</v>
      </c>
      <c r="G346" s="25">
        <f t="shared" si="4"/>
        <v>2.4442633878971609E-3</v>
      </c>
    </row>
    <row r="347" spans="1:7">
      <c r="A347" s="49">
        <v>136.8884685843698</v>
      </c>
      <c r="B347" s="49">
        <v>139.26792049227811</v>
      </c>
      <c r="C347" s="49">
        <v>135.63875644786336</v>
      </c>
      <c r="D347" s="49">
        <v>137.66828895754983</v>
      </c>
      <c r="E347" s="49">
        <v>190331485.58910036</v>
      </c>
      <c r="F347" s="49" t="s">
        <v>434</v>
      </c>
      <c r="G347" s="25">
        <f t="shared" si="4"/>
        <v>-5.6644880174292478E-3</v>
      </c>
    </row>
    <row r="348" spans="1:7">
      <c r="A348" s="49">
        <v>135.98867584608519</v>
      </c>
      <c r="B348" s="49">
        <v>142.01728719259228</v>
      </c>
      <c r="C348" s="49">
        <v>135.78872190424414</v>
      </c>
      <c r="D348" s="49">
        <v>141.95730101003997</v>
      </c>
      <c r="E348" s="49">
        <v>345021330.23637861</v>
      </c>
      <c r="F348" s="49" t="s">
        <v>435</v>
      </c>
      <c r="G348" s="25">
        <f t="shared" si="4"/>
        <v>-4.2045214451722046E-2</v>
      </c>
    </row>
    <row r="349" spans="1:7">
      <c r="A349" s="49">
        <v>141.91731022167173</v>
      </c>
      <c r="B349" s="49">
        <v>147.1261104066306</v>
      </c>
      <c r="C349" s="49">
        <v>141.06750596884737</v>
      </c>
      <c r="D349" s="49">
        <v>145.89639366430828</v>
      </c>
      <c r="E349" s="49">
        <v>236460608.70152742</v>
      </c>
      <c r="F349" s="49" t="s">
        <v>436</v>
      </c>
      <c r="G349" s="25">
        <f t="shared" si="4"/>
        <v>-2.7273350236414973E-2</v>
      </c>
    </row>
    <row r="350" spans="1:7">
      <c r="A350" s="49">
        <v>146.63622324912006</v>
      </c>
      <c r="B350" s="49">
        <v>152.85479084037613</v>
      </c>
      <c r="C350" s="49">
        <v>140.66759808516528</v>
      </c>
      <c r="D350" s="49">
        <v>149.31560606978988</v>
      </c>
      <c r="E350" s="49">
        <v>401038925.57293397</v>
      </c>
      <c r="F350" s="49" t="s">
        <v>437</v>
      </c>
      <c r="G350" s="25">
        <f t="shared" si="4"/>
        <v>-1.7944425845329737E-2</v>
      </c>
    </row>
    <row r="351" spans="1:7">
      <c r="A351" s="49">
        <v>145.85640287594003</v>
      </c>
      <c r="B351" s="49">
        <v>147.52601829031266</v>
      </c>
      <c r="C351" s="49">
        <v>142.69713059485176</v>
      </c>
      <c r="D351" s="49">
        <v>147.37605283393188</v>
      </c>
      <c r="E351" s="49">
        <v>309943031.02697188</v>
      </c>
      <c r="F351" s="49" t="s">
        <v>438</v>
      </c>
      <c r="G351" s="25">
        <f t="shared" si="4"/>
        <v>-1.031137643307789E-2</v>
      </c>
    </row>
    <row r="352" spans="1:7">
      <c r="A352" s="49">
        <v>146.97614495024982</v>
      </c>
      <c r="B352" s="49">
        <v>147.09611731535443</v>
      </c>
      <c r="C352" s="49">
        <v>140.9575313008348</v>
      </c>
      <c r="D352" s="49">
        <v>141.28745530487248</v>
      </c>
      <c r="E352" s="49">
        <v>227887392.36872375</v>
      </c>
      <c r="F352" s="49" t="s">
        <v>439</v>
      </c>
      <c r="G352" s="25">
        <f t="shared" si="4"/>
        <v>4.0263232380413294E-2</v>
      </c>
    </row>
    <row r="353" spans="1:7">
      <c r="A353" s="49">
        <v>140.11772474510246</v>
      </c>
      <c r="B353" s="49">
        <v>141.51740233798969</v>
      </c>
      <c r="C353" s="49">
        <v>137.11841561748702</v>
      </c>
      <c r="D353" s="49">
        <v>139.46787443411912</v>
      </c>
      <c r="E353" s="49">
        <v>221917098.46499521</v>
      </c>
      <c r="F353" s="49" t="s">
        <v>440</v>
      </c>
      <c r="G353" s="25">
        <f t="shared" si="4"/>
        <v>4.6594982078851377E-3</v>
      </c>
    </row>
    <row r="354" spans="1:7">
      <c r="A354" s="49">
        <v>141.94730331294789</v>
      </c>
      <c r="B354" s="49">
        <v>145.20655256495672</v>
      </c>
      <c r="C354" s="49">
        <v>140.04774086545811</v>
      </c>
      <c r="D354" s="49">
        <v>144.8366377725508</v>
      </c>
      <c r="E354" s="49">
        <v>250190485.56578362</v>
      </c>
      <c r="F354" s="49" t="s">
        <v>441</v>
      </c>
      <c r="G354" s="25">
        <f t="shared" si="4"/>
        <v>-1.9948919721129332E-2</v>
      </c>
    </row>
    <row r="355" spans="1:7">
      <c r="A355" s="49">
        <v>146.72620252294854</v>
      </c>
      <c r="B355" s="49">
        <v>148.96568667156808</v>
      </c>
      <c r="C355" s="49">
        <v>145.51648117481031</v>
      </c>
      <c r="D355" s="49">
        <v>147.60599986704906</v>
      </c>
      <c r="E355" s="49">
        <v>194508094.42366862</v>
      </c>
      <c r="F355" s="49" t="s">
        <v>442</v>
      </c>
      <c r="G355" s="25">
        <f t="shared" si="4"/>
        <v>-5.960444324031311E-3</v>
      </c>
    </row>
    <row r="356" spans="1:7">
      <c r="A356" s="49">
        <v>146.23631536543803</v>
      </c>
      <c r="B356" s="49">
        <v>149.29561067560581</v>
      </c>
      <c r="C356" s="49">
        <v>145.86640057303211</v>
      </c>
      <c r="D356" s="49">
        <v>149.03567055121243</v>
      </c>
      <c r="E356" s="49">
        <v>191947470.7356042</v>
      </c>
      <c r="F356" s="49" t="s">
        <v>443</v>
      </c>
      <c r="G356" s="25">
        <f t="shared" si="4"/>
        <v>-1.8783122023210308E-2</v>
      </c>
    </row>
    <row r="357" spans="1:7">
      <c r="A357" s="49">
        <v>148.25585017803243</v>
      </c>
      <c r="B357" s="49">
        <v>149.61553698255145</v>
      </c>
      <c r="C357" s="49">
        <v>145.97637524104468</v>
      </c>
      <c r="D357" s="49">
        <v>146.74619791713263</v>
      </c>
      <c r="E357" s="49">
        <v>198680492.28848931</v>
      </c>
      <c r="F357" s="49" t="s">
        <v>444</v>
      </c>
      <c r="G357" s="25">
        <f t="shared" si="4"/>
        <v>1.0287505109688011E-2</v>
      </c>
    </row>
    <row r="358" spans="1:7">
      <c r="A358" s="49">
        <v>145.22654795914079</v>
      </c>
      <c r="B358" s="49">
        <v>148.8157212151873</v>
      </c>
      <c r="C358" s="49">
        <v>143.53693715058409</v>
      </c>
      <c r="D358" s="49">
        <v>148.64576036462245</v>
      </c>
      <c r="E358" s="49">
        <v>182367617.58360732</v>
      </c>
      <c r="F358" s="49" t="s">
        <v>445</v>
      </c>
      <c r="G358" s="25">
        <f t="shared" si="4"/>
        <v>-2.3002421307506293E-2</v>
      </c>
    </row>
    <row r="359" spans="1:7">
      <c r="A359" s="49">
        <v>147.59600216995702</v>
      </c>
      <c r="B359" s="49">
        <v>149.73550934765606</v>
      </c>
      <c r="C359" s="49">
        <v>146.22631766834596</v>
      </c>
      <c r="D359" s="49">
        <v>148.73573963845092</v>
      </c>
      <c r="E359" s="49">
        <v>175706293.54199907</v>
      </c>
      <c r="F359" s="49" t="s">
        <v>446</v>
      </c>
      <c r="G359" s="25">
        <f t="shared" si="4"/>
        <v>-7.6628352490423213E-3</v>
      </c>
    </row>
    <row r="360" spans="1:7">
      <c r="A360" s="49">
        <v>148.84571430646346</v>
      </c>
      <c r="B360" s="49">
        <v>148.89570279192372</v>
      </c>
      <c r="C360" s="49">
        <v>146.13633839451748</v>
      </c>
      <c r="D360" s="49">
        <v>146.35628773054262</v>
      </c>
      <c r="E360" s="49">
        <v>207371058.64592344</v>
      </c>
      <c r="F360" s="49" t="s">
        <v>447</v>
      </c>
      <c r="G360" s="25">
        <f t="shared" si="4"/>
        <v>1.7009358562743326E-2</v>
      </c>
    </row>
    <row r="361" spans="1:7">
      <c r="A361" s="49">
        <v>145.57646735736262</v>
      </c>
      <c r="B361" s="49">
        <v>146.45626470146317</v>
      </c>
      <c r="C361" s="49">
        <v>141.9273079187638</v>
      </c>
      <c r="D361" s="49">
        <v>142.92707762796897</v>
      </c>
      <c r="E361" s="49">
        <v>242099698.33196062</v>
      </c>
      <c r="F361" s="49" t="s">
        <v>448</v>
      </c>
      <c r="G361" s="25">
        <f t="shared" si="4"/>
        <v>1.8536653609401155E-2</v>
      </c>
    </row>
    <row r="362" spans="1:7">
      <c r="A362" s="49">
        <v>139.87778001489323</v>
      </c>
      <c r="B362" s="49">
        <v>140.33777405809852</v>
      </c>
      <c r="C362" s="49">
        <v>137.29837416514394</v>
      </c>
      <c r="D362" s="49">
        <v>137.41834653024853</v>
      </c>
      <c r="E362" s="49">
        <v>160574351.79510662</v>
      </c>
      <c r="F362" s="49" t="s">
        <v>449</v>
      </c>
      <c r="G362" s="25">
        <f t="shared" si="4"/>
        <v>1.7897417242633828E-2</v>
      </c>
    </row>
    <row r="363" spans="1:7">
      <c r="A363" s="49">
        <v>136.01866893736135</v>
      </c>
      <c r="B363" s="49">
        <v>138.92799879114835</v>
      </c>
      <c r="C363" s="49">
        <v>135.53877947694286</v>
      </c>
      <c r="D363" s="49">
        <v>137.17840180003932</v>
      </c>
      <c r="E363" s="49">
        <v>187571368.95964789</v>
      </c>
      <c r="F363" s="49" t="s">
        <v>450</v>
      </c>
      <c r="G363" s="25">
        <f t="shared" si="4"/>
        <v>-8.4541943007068188E-3</v>
      </c>
    </row>
    <row r="364" spans="1:7">
      <c r="A364" s="49">
        <v>135.36881862637799</v>
      </c>
      <c r="B364" s="49">
        <v>137.27837877095982</v>
      </c>
      <c r="C364" s="49">
        <v>134.5390097677377</v>
      </c>
      <c r="D364" s="49">
        <v>134.66897982993436</v>
      </c>
      <c r="E364" s="49">
        <v>207175548.62176457</v>
      </c>
      <c r="F364" s="49" t="s">
        <v>451</v>
      </c>
      <c r="G364" s="25">
        <f t="shared" si="4"/>
        <v>5.1967334818114885E-3</v>
      </c>
    </row>
    <row r="365" spans="1:7">
      <c r="A365" s="49">
        <v>132.72942659407636</v>
      </c>
      <c r="B365" s="49">
        <v>137.57830968372139</v>
      </c>
      <c r="C365" s="49">
        <v>132.08017614491854</v>
      </c>
      <c r="D365" s="49">
        <v>137.56831198662931</v>
      </c>
      <c r="E365" s="49">
        <v>270101842.96810621</v>
      </c>
      <c r="F365" s="49" t="s">
        <v>452</v>
      </c>
      <c r="G365" s="25">
        <f t="shared" si="4"/>
        <v>-3.5174418604651203E-2</v>
      </c>
    </row>
    <row r="366" spans="1:7">
      <c r="A366" s="49">
        <v>139.30291243210027</v>
      </c>
      <c r="B366" s="49">
        <v>140.29768329275942</v>
      </c>
      <c r="C366" s="49">
        <v>136.77849391635726</v>
      </c>
      <c r="D366" s="49">
        <v>139.50786522248731</v>
      </c>
      <c r="E366" s="49">
        <v>179459409.85013682</v>
      </c>
      <c r="F366" s="49" t="s">
        <v>453</v>
      </c>
      <c r="G366" s="25">
        <f t="shared" si="4"/>
        <v>-1.4691127991972586E-3</v>
      </c>
    </row>
    <row r="367" spans="1:7">
      <c r="A367" s="49">
        <v>141.21747142522813</v>
      </c>
      <c r="B367" s="49">
        <v>142.22703887758351</v>
      </c>
      <c r="C367" s="49">
        <v>138.86801260859602</v>
      </c>
      <c r="D367" s="49">
        <v>140.25269365584515</v>
      </c>
      <c r="E367" s="49">
        <v>157629934.72295871</v>
      </c>
      <c r="F367" s="49" t="s">
        <v>454</v>
      </c>
      <c r="G367" s="25">
        <f t="shared" si="4"/>
        <v>6.8788537619846046E-3</v>
      </c>
    </row>
    <row r="368" spans="1:7">
      <c r="A368" s="49">
        <v>140.48763953750839</v>
      </c>
      <c r="B368" s="49">
        <v>143.10703617562586</v>
      </c>
      <c r="C368" s="49">
        <v>140.01774777418197</v>
      </c>
      <c r="D368" s="49">
        <v>142.96706841633716</v>
      </c>
      <c r="E368" s="49">
        <v>173626729.63757458</v>
      </c>
      <c r="F368" s="49" t="s">
        <v>455</v>
      </c>
      <c r="G368" s="25">
        <f t="shared" si="4"/>
        <v>-1.7342657342657275E-2</v>
      </c>
    </row>
    <row r="369" spans="1:7">
      <c r="A369" s="49">
        <v>141.50740464089762</v>
      </c>
      <c r="B369" s="49">
        <v>144.09680818773899</v>
      </c>
      <c r="C369" s="49">
        <v>140.76757505608583</v>
      </c>
      <c r="D369" s="49">
        <v>140.89754511828249</v>
      </c>
      <c r="E369" s="49">
        <v>205169357.61444288</v>
      </c>
      <c r="F369" s="49" t="s">
        <v>456</v>
      </c>
      <c r="G369" s="25">
        <f t="shared" si="4"/>
        <v>4.3283899808415072E-3</v>
      </c>
    </row>
    <row r="370" spans="1:7">
      <c r="A370" s="49">
        <v>140.37766486949582</v>
      </c>
      <c r="B370" s="49">
        <v>141.31744839614865</v>
      </c>
      <c r="C370" s="49">
        <v>138.42811393654577</v>
      </c>
      <c r="D370" s="49">
        <v>140.78757045026993</v>
      </c>
      <c r="E370" s="49">
        <v>172394588.88690174</v>
      </c>
      <c r="F370" s="49" t="s">
        <v>457</v>
      </c>
      <c r="G370" s="25">
        <f t="shared" si="4"/>
        <v>-2.9115182502484904E-3</v>
      </c>
    </row>
    <row r="371" spans="1:7">
      <c r="A371" s="49">
        <v>139.52786061667143</v>
      </c>
      <c r="B371" s="49">
        <v>142.39719968209022</v>
      </c>
      <c r="C371" s="49">
        <v>137.4283442273406</v>
      </c>
      <c r="D371" s="49">
        <v>141.99729179840816</v>
      </c>
      <c r="E371" s="49">
        <v>285995900.22318482</v>
      </c>
      <c r="F371" s="49" t="s">
        <v>458</v>
      </c>
      <c r="G371" s="25">
        <f t="shared" si="4"/>
        <v>-1.7390692107301264E-2</v>
      </c>
    </row>
    <row r="372" spans="1:7">
      <c r="A372" s="49">
        <v>143.55693254476822</v>
      </c>
      <c r="B372" s="49">
        <v>144.38674140340848</v>
      </c>
      <c r="C372" s="49">
        <v>141.74734937110688</v>
      </c>
      <c r="D372" s="49">
        <v>142.87708914250868</v>
      </c>
      <c r="E372" s="49">
        <v>226363718.48065299</v>
      </c>
      <c r="F372" s="49" t="s">
        <v>459</v>
      </c>
      <c r="G372" s="25">
        <f t="shared" si="4"/>
        <v>4.75823945140319E-3</v>
      </c>
    </row>
    <row r="373" spans="1:7">
      <c r="A373" s="49">
        <v>143.67690490987283</v>
      </c>
      <c r="B373" s="49">
        <v>143.67690490987283</v>
      </c>
      <c r="C373" s="49">
        <v>137.96821987031137</v>
      </c>
      <c r="D373" s="49">
        <v>138.09818993250806</v>
      </c>
      <c r="E373" s="49">
        <v>264615452.50288516</v>
      </c>
      <c r="F373" s="49" t="s">
        <v>460</v>
      </c>
      <c r="G373" s="25">
        <f t="shared" si="4"/>
        <v>4.0396727720263481E-2</v>
      </c>
    </row>
    <row r="374" spans="1:7">
      <c r="A374" s="49">
        <v>137.96821987031137</v>
      </c>
      <c r="B374" s="49">
        <v>138.86801260859602</v>
      </c>
      <c r="C374" s="49">
        <v>137.24838567968368</v>
      </c>
      <c r="D374" s="49">
        <v>138.63306672693281</v>
      </c>
      <c r="E374" s="49">
        <v>176130745.28932932</v>
      </c>
      <c r="F374" s="49" t="s">
        <v>461</v>
      </c>
      <c r="G374" s="25">
        <f t="shared" si="4"/>
        <v>-4.7957307179173903E-3</v>
      </c>
    </row>
    <row r="375" spans="1:7">
      <c r="A375" s="49">
        <v>136.89846628146188</v>
      </c>
      <c r="B375" s="49">
        <v>140.85755432991428</v>
      </c>
      <c r="C375" s="49">
        <v>136.83848009890957</v>
      </c>
      <c r="D375" s="49">
        <v>139.30791128064629</v>
      </c>
      <c r="E375" s="49">
        <v>306506506.62703633</v>
      </c>
      <c r="F375" s="49" t="s">
        <v>462</v>
      </c>
      <c r="G375" s="25">
        <f t="shared" si="4"/>
        <v>-1.7295823166355584E-2</v>
      </c>
    </row>
    <row r="376" spans="1:7">
      <c r="A376" s="49">
        <v>135.68874493332362</v>
      </c>
      <c r="B376" s="49">
        <v>136.58853767160826</v>
      </c>
      <c r="C376" s="49">
        <v>131.54969833721429</v>
      </c>
      <c r="D376" s="49">
        <v>133.94914563930666</v>
      </c>
      <c r="E376" s="49">
        <v>264940733.41208431</v>
      </c>
      <c r="F376" s="49" t="s">
        <v>463</v>
      </c>
      <c r="G376" s="25">
        <f t="shared" si="4"/>
        <v>1.298701298701288E-2</v>
      </c>
    </row>
    <row r="377" spans="1:7">
      <c r="A377" s="49">
        <v>131.56969373139839</v>
      </c>
      <c r="B377" s="49">
        <v>138.53808860455831</v>
      </c>
      <c r="C377" s="49">
        <v>128.71035236307165</v>
      </c>
      <c r="D377" s="49">
        <v>137.83824980811471</v>
      </c>
      <c r="E377" s="49">
        <v>377918052.04859257</v>
      </c>
      <c r="F377" s="49" t="s">
        <v>464</v>
      </c>
      <c r="G377" s="25">
        <f t="shared" si="4"/>
        <v>-4.5477623848553028E-2</v>
      </c>
    </row>
    <row r="378" spans="1:7">
      <c r="A378" s="49">
        <v>138.03820374995573</v>
      </c>
      <c r="B378" s="49">
        <v>139.56785140503962</v>
      </c>
      <c r="C378" s="49">
        <v>136.26861136466263</v>
      </c>
      <c r="D378" s="49">
        <v>136.43857221522751</v>
      </c>
      <c r="E378" s="49">
        <v>232401187.85427389</v>
      </c>
      <c r="F378" s="49" t="s">
        <v>465</v>
      </c>
      <c r="G378" s="25">
        <f t="shared" si="4"/>
        <v>1.1724188466329277E-2</v>
      </c>
    </row>
    <row r="379" spans="1:7">
      <c r="A379" s="49">
        <v>134.76895680085491</v>
      </c>
      <c r="B379" s="49">
        <v>135.74873111587593</v>
      </c>
      <c r="C379" s="49">
        <v>133.629219332361</v>
      </c>
      <c r="D379" s="49">
        <v>133.9791387305828</v>
      </c>
      <c r="E379" s="49">
        <v>170248680.70400065</v>
      </c>
      <c r="F379" s="49" t="s">
        <v>466</v>
      </c>
      <c r="G379" s="25">
        <f t="shared" si="4"/>
        <v>5.8950824565333626E-3</v>
      </c>
    </row>
    <row r="380" spans="1:7">
      <c r="A380" s="49">
        <v>134.77895449794696</v>
      </c>
      <c r="B380" s="49">
        <v>134.96891074269593</v>
      </c>
      <c r="C380" s="49">
        <v>130.96983190587531</v>
      </c>
      <c r="D380" s="49">
        <v>131.87962234125197</v>
      </c>
      <c r="E380" s="49">
        <v>242367151.92406091</v>
      </c>
      <c r="F380" s="49" t="s">
        <v>467</v>
      </c>
      <c r="G380" s="25">
        <f t="shared" si="4"/>
        <v>2.198468652869412E-2</v>
      </c>
    </row>
    <row r="381" spans="1:7">
      <c r="A381" s="49">
        <v>132.61945192606382</v>
      </c>
      <c r="B381" s="49">
        <v>134.48902128227746</v>
      </c>
      <c r="C381" s="49">
        <v>131.34974439537325</v>
      </c>
      <c r="D381" s="49">
        <v>134.07911570150335</v>
      </c>
      <c r="E381" s="49">
        <v>246248320.7215082</v>
      </c>
      <c r="F381" s="49" t="s">
        <v>468</v>
      </c>
      <c r="G381" s="25">
        <f t="shared" si="4"/>
        <v>-1.0886585638654966E-2</v>
      </c>
    </row>
    <row r="382" spans="1:7">
      <c r="A382" s="49">
        <v>132.85939665627302</v>
      </c>
      <c r="B382" s="49">
        <v>133.44926078470408</v>
      </c>
      <c r="C382" s="49">
        <v>129.39019576533113</v>
      </c>
      <c r="D382" s="49">
        <v>130.23000232106347</v>
      </c>
      <c r="E382" s="49">
        <v>285788299.41462964</v>
      </c>
      <c r="F382" s="49" t="s">
        <v>469</v>
      </c>
      <c r="G382" s="25">
        <f t="shared" si="4"/>
        <v>2.0190388453861452E-2</v>
      </c>
    </row>
    <row r="383" spans="1:7">
      <c r="A383" s="49">
        <v>127.69058725968239</v>
      </c>
      <c r="B383" s="49">
        <v>130.60991481056143</v>
      </c>
      <c r="C383" s="49">
        <v>124.92122516518411</v>
      </c>
      <c r="D383" s="49">
        <v>124.96121595355231</v>
      </c>
      <c r="E383" s="49">
        <v>346329989.60858566</v>
      </c>
      <c r="F383" s="49" t="s">
        <v>470</v>
      </c>
      <c r="G383" s="25">
        <f t="shared" ref="G383:G446" si="5">A383/D383-1</f>
        <v>2.1841747339787165E-2</v>
      </c>
    </row>
    <row r="384" spans="1:7">
      <c r="A384" s="49">
        <v>124.89123207390796</v>
      </c>
      <c r="B384" s="49">
        <v>125.01120443901259</v>
      </c>
      <c r="C384" s="49">
        <v>121.80194367246402</v>
      </c>
      <c r="D384" s="49">
        <v>124.91122746809206</v>
      </c>
      <c r="E384" s="49">
        <v>244521863.13421816</v>
      </c>
      <c r="F384" s="49" t="s">
        <v>471</v>
      </c>
      <c r="G384" s="25">
        <f t="shared" si="5"/>
        <v>-1.6007683688168406E-4</v>
      </c>
    </row>
    <row r="385" spans="1:7">
      <c r="A385" s="49">
        <v>122.82170877585328</v>
      </c>
      <c r="B385" s="49">
        <v>124.33136103675307</v>
      </c>
      <c r="C385" s="49">
        <v>120.31238678271927</v>
      </c>
      <c r="D385" s="49">
        <v>120.89215323708734</v>
      </c>
      <c r="E385" s="49">
        <v>277181805.41828638</v>
      </c>
      <c r="F385" s="49" t="s">
        <v>472</v>
      </c>
      <c r="G385" s="25">
        <f t="shared" si="5"/>
        <v>1.5960965927886095E-2</v>
      </c>
    </row>
    <row r="386" spans="1:7">
      <c r="A386" s="49">
        <v>118.82262993903267</v>
      </c>
      <c r="B386" s="49">
        <v>119.35250788491139</v>
      </c>
      <c r="C386" s="49">
        <v>115.11348431788154</v>
      </c>
      <c r="D386" s="49">
        <v>116.41318493984824</v>
      </c>
      <c r="E386" s="49">
        <v>221896987.83370194</v>
      </c>
      <c r="F386" s="49" t="s">
        <v>473</v>
      </c>
      <c r="G386" s="25">
        <f t="shared" si="5"/>
        <v>2.0697354860872652E-2</v>
      </c>
    </row>
    <row r="387" spans="1:7">
      <c r="A387" s="49">
        <v>116.97305597700313</v>
      </c>
      <c r="B387" s="49">
        <v>122.40690432350408</v>
      </c>
      <c r="C387" s="49">
        <v>115.7633346288649</v>
      </c>
      <c r="D387" s="49">
        <v>121.73695864136569</v>
      </c>
      <c r="E387" s="49">
        <v>302164070.603993</v>
      </c>
      <c r="F387" s="49" t="s">
        <v>474</v>
      </c>
      <c r="G387" s="25">
        <f t="shared" si="5"/>
        <v>-3.913275571798136E-2</v>
      </c>
    </row>
    <row r="388" spans="1:7">
      <c r="A388" s="49">
        <v>121.41203348587402</v>
      </c>
      <c r="B388" s="49">
        <v>121.47201966842633</v>
      </c>
      <c r="C388" s="49">
        <v>118.12279114258907</v>
      </c>
      <c r="D388" s="49">
        <v>118.28275429606188</v>
      </c>
      <c r="E388" s="49">
        <v>227105951.41006425</v>
      </c>
      <c r="F388" s="49" t="s">
        <v>475</v>
      </c>
      <c r="G388" s="25">
        <f t="shared" si="5"/>
        <v>2.6455920885808393E-2</v>
      </c>
    </row>
    <row r="389" spans="1:7">
      <c r="A389" s="49">
        <v>121.37204269750582</v>
      </c>
      <c r="B389" s="49">
        <v>124.00143703271537</v>
      </c>
      <c r="C389" s="49">
        <v>119.23253551980679</v>
      </c>
      <c r="D389" s="49">
        <v>123.94145085016306</v>
      </c>
      <c r="E389" s="49">
        <v>271071600.29429168</v>
      </c>
      <c r="F389" s="49" t="s">
        <v>476</v>
      </c>
      <c r="G389" s="25">
        <f t="shared" si="5"/>
        <v>-2.0730821973057978E-2</v>
      </c>
    </row>
    <row r="390" spans="1:7">
      <c r="A390" s="49">
        <v>124.01143472980743</v>
      </c>
      <c r="B390" s="49">
        <v>127.63559992567612</v>
      </c>
      <c r="C390" s="49">
        <v>121.77195058118787</v>
      </c>
      <c r="D390" s="49">
        <v>126.77079912721365</v>
      </c>
      <c r="E390" s="49">
        <v>302652566.10000908</v>
      </c>
      <c r="F390" s="49" t="s">
        <v>477</v>
      </c>
      <c r="G390" s="25">
        <f t="shared" si="5"/>
        <v>-2.1766561514195537E-2</v>
      </c>
    </row>
    <row r="391" spans="1:7">
      <c r="A391" s="49">
        <v>123.4815567839287</v>
      </c>
      <c r="B391" s="49">
        <v>124.91122746809206</v>
      </c>
      <c r="C391" s="49">
        <v>121.5819943364389</v>
      </c>
      <c r="D391" s="49">
        <v>121.991899917213</v>
      </c>
      <c r="E391" s="49">
        <v>284758525.26712269</v>
      </c>
      <c r="F391" s="49" t="s">
        <v>478</v>
      </c>
      <c r="G391" s="25">
        <f t="shared" si="5"/>
        <v>1.2211112932306367E-2</v>
      </c>
    </row>
    <row r="392" spans="1:7">
      <c r="A392" s="49">
        <v>120.84216475162708</v>
      </c>
      <c r="B392" s="49">
        <v>121.77195058118787</v>
      </c>
      <c r="C392" s="49">
        <v>115.35342904809077</v>
      </c>
      <c r="D392" s="49">
        <v>116.48816766803863</v>
      </c>
      <c r="E392" s="49">
        <v>355048536.40965837</v>
      </c>
      <c r="F392" s="49" t="s">
        <v>479</v>
      </c>
      <c r="G392" s="25">
        <f t="shared" si="5"/>
        <v>3.7377161738831877E-2</v>
      </c>
    </row>
    <row r="393" spans="1:7">
      <c r="A393" s="49">
        <v>116.23322639219133</v>
      </c>
      <c r="B393" s="49">
        <v>116.96305827991107</v>
      </c>
      <c r="C393" s="49">
        <v>114.8335487993041</v>
      </c>
      <c r="D393" s="49">
        <v>116.5231596078608</v>
      </c>
      <c r="E393" s="49">
        <v>206275993.46249193</v>
      </c>
      <c r="F393" s="49" t="s">
        <v>480</v>
      </c>
      <c r="G393" s="25">
        <f t="shared" si="5"/>
        <v>-2.4882024882023623E-3</v>
      </c>
    </row>
    <row r="394" spans="1:7">
      <c r="A394" s="49">
        <v>115.97328626779797</v>
      </c>
      <c r="B394" s="49">
        <v>118.59078334346799</v>
      </c>
      <c r="C394" s="49">
        <v>115.36352672215375</v>
      </c>
      <c r="D394" s="49">
        <v>117.03304215955544</v>
      </c>
      <c r="E394" s="49">
        <v>382550525.86466974</v>
      </c>
      <c r="F394" s="49" t="s">
        <v>481</v>
      </c>
      <c r="G394" s="25">
        <f t="shared" si="5"/>
        <v>-9.0551853750213684E-3</v>
      </c>
    </row>
    <row r="395" spans="1:7">
      <c r="A395" s="49">
        <v>117.84285562401162</v>
      </c>
      <c r="B395" s="49">
        <v>119.63244340348884</v>
      </c>
      <c r="C395" s="49">
        <v>117.22299840430442</v>
      </c>
      <c r="D395" s="49">
        <v>117.32297537522493</v>
      </c>
      <c r="E395" s="49">
        <v>293574045.4002611</v>
      </c>
      <c r="F395" s="49" t="s">
        <v>482</v>
      </c>
      <c r="G395" s="25">
        <f t="shared" si="5"/>
        <v>4.4311887515979809E-3</v>
      </c>
    </row>
    <row r="396" spans="1:7">
      <c r="A396" s="49">
        <v>113.34389193258842</v>
      </c>
      <c r="B396" s="49">
        <v>117.67289477344674</v>
      </c>
      <c r="C396" s="49">
        <v>113.19392647620764</v>
      </c>
      <c r="D396" s="49">
        <v>115.8633115997854</v>
      </c>
      <c r="E396" s="49">
        <v>310390417.05585605</v>
      </c>
      <c r="F396" s="49" t="s">
        <v>483</v>
      </c>
      <c r="G396" s="25">
        <f t="shared" si="5"/>
        <v>-2.1744757960134531E-2</v>
      </c>
    </row>
    <row r="397" spans="1:7">
      <c r="A397" s="49">
        <v>115.56338068702387</v>
      </c>
      <c r="B397" s="49">
        <v>118.7726414535724</v>
      </c>
      <c r="C397" s="49">
        <v>114.80355570802794</v>
      </c>
      <c r="D397" s="49">
        <v>118.14278653677316</v>
      </c>
      <c r="E397" s="49">
        <v>231979298.69708455</v>
      </c>
      <c r="F397" s="49" t="s">
        <v>484</v>
      </c>
      <c r="G397" s="25">
        <f t="shared" si="5"/>
        <v>-2.1832952526021798E-2</v>
      </c>
    </row>
    <row r="398" spans="1:7">
      <c r="A398" s="49">
        <v>116.753106640978</v>
      </c>
      <c r="B398" s="49">
        <v>118.15278423386522</v>
      </c>
      <c r="C398" s="49">
        <v>114.33366394470151</v>
      </c>
      <c r="D398" s="49">
        <v>116.76310433807005</v>
      </c>
      <c r="E398" s="49">
        <v>248829611.16893709</v>
      </c>
      <c r="F398" s="49" t="s">
        <v>485</v>
      </c>
      <c r="G398" s="25">
        <f t="shared" si="5"/>
        <v>-8.5623769158327256E-5</v>
      </c>
    </row>
    <row r="399" spans="1:7">
      <c r="A399" s="49">
        <v>119.07257236633394</v>
      </c>
      <c r="B399" s="49">
        <v>119.92737546770437</v>
      </c>
      <c r="C399" s="49">
        <v>117.57291780252622</v>
      </c>
      <c r="D399" s="49">
        <v>119.05257697214985</v>
      </c>
      <c r="E399" s="49">
        <v>238413232.3727847</v>
      </c>
      <c r="F399" s="49" t="s">
        <v>486</v>
      </c>
      <c r="G399" s="25">
        <f t="shared" si="5"/>
        <v>1.6795431642591119E-4</v>
      </c>
    </row>
    <row r="400" spans="1:7">
      <c r="A400" s="49">
        <v>119.11256315470216</v>
      </c>
      <c r="B400" s="49">
        <v>120.76218317489068</v>
      </c>
      <c r="C400" s="49">
        <v>115.35342904809077</v>
      </c>
      <c r="D400" s="49">
        <v>116.81309282353031</v>
      </c>
      <c r="E400" s="49">
        <v>367185055.33824909</v>
      </c>
      <c r="F400" s="49" t="s">
        <v>487</v>
      </c>
      <c r="G400" s="25">
        <f t="shared" si="5"/>
        <v>1.9685039370078705E-2</v>
      </c>
    </row>
    <row r="401" spans="1:7">
      <c r="A401" s="49">
        <v>116.87307900608256</v>
      </c>
      <c r="B401" s="49">
        <v>117.15299058012843</v>
      </c>
      <c r="C401" s="49">
        <v>107.38607601431349</v>
      </c>
      <c r="D401" s="49">
        <v>109.3554538745648</v>
      </c>
      <c r="E401" s="49">
        <v>441561818.30388993</v>
      </c>
      <c r="F401" s="49" t="s">
        <v>488</v>
      </c>
      <c r="G401" s="25">
        <f t="shared" si="5"/>
        <v>6.8744857848066498E-2</v>
      </c>
    </row>
    <row r="402" spans="1:7">
      <c r="A402" s="49">
        <v>108.06586126556773</v>
      </c>
      <c r="B402" s="49">
        <v>109.36545071649502</v>
      </c>
      <c r="C402" s="49">
        <v>104.91685605755167</v>
      </c>
      <c r="D402" s="49">
        <v>107.77595284959166</v>
      </c>
      <c r="E402" s="49">
        <v>268368488.64166257</v>
      </c>
      <c r="F402" s="49" t="s">
        <v>489</v>
      </c>
      <c r="G402" s="25">
        <f t="shared" si="5"/>
        <v>2.6899174473609122E-3</v>
      </c>
    </row>
    <row r="403" spans="1:7">
      <c r="A403" s="49">
        <v>106.43637603094355</v>
      </c>
      <c r="B403" s="49">
        <v>106.51635076638523</v>
      </c>
      <c r="C403" s="49">
        <v>103.65725397434522</v>
      </c>
      <c r="D403" s="49">
        <v>104.84687816404019</v>
      </c>
      <c r="E403" s="49">
        <v>273998545.65295905</v>
      </c>
      <c r="F403" s="49" t="s">
        <v>490</v>
      </c>
      <c r="G403" s="25">
        <f t="shared" si="5"/>
        <v>1.5160183066361688E-2</v>
      </c>
    </row>
    <row r="404" spans="1:7">
      <c r="A404" s="49">
        <v>102.79752556834718</v>
      </c>
      <c r="B404" s="49">
        <v>108.1158454752188</v>
      </c>
      <c r="C404" s="49">
        <v>100.91811928546775</v>
      </c>
      <c r="D404" s="49">
        <v>108.00588021398649</v>
      </c>
      <c r="E404" s="49">
        <v>413768769.06497198</v>
      </c>
      <c r="F404" s="49" t="s">
        <v>491</v>
      </c>
      <c r="G404" s="25">
        <f t="shared" si="5"/>
        <v>-4.8222880414661273E-2</v>
      </c>
    </row>
    <row r="405" spans="1:7">
      <c r="A405" s="49">
        <v>107.17614233377907</v>
      </c>
      <c r="B405" s="49">
        <v>109.61537176475026</v>
      </c>
      <c r="C405" s="49">
        <v>104.72691606087768</v>
      </c>
      <c r="D405" s="49">
        <v>104.9518450043074</v>
      </c>
      <c r="E405" s="49">
        <v>306947632.20444435</v>
      </c>
      <c r="F405" s="49" t="s">
        <v>492</v>
      </c>
      <c r="G405" s="25">
        <f t="shared" si="5"/>
        <v>2.1193503833880856E-2</v>
      </c>
    </row>
    <row r="406" spans="1:7">
      <c r="A406" s="49">
        <v>106.17645814075809</v>
      </c>
      <c r="B406" s="49">
        <v>113.2342285434862</v>
      </c>
      <c r="C406" s="49">
        <v>104.08711817734425</v>
      </c>
      <c r="D406" s="49">
        <v>105.37671078634131</v>
      </c>
      <c r="E406" s="49">
        <v>372587956.87708127</v>
      </c>
      <c r="F406" s="49" t="s">
        <v>493</v>
      </c>
      <c r="G406" s="25">
        <f t="shared" si="5"/>
        <v>7.5894127691868984E-3</v>
      </c>
    </row>
    <row r="407" spans="1:7">
      <c r="A407" s="49">
        <v>107.96589284626565</v>
      </c>
      <c r="B407" s="49">
        <v>116.17330007096787</v>
      </c>
      <c r="C407" s="49">
        <v>107.25611706922076</v>
      </c>
      <c r="D407" s="49">
        <v>115.97336323236368</v>
      </c>
      <c r="E407" s="49">
        <v>477305836.51429904</v>
      </c>
      <c r="F407" s="49" t="s">
        <v>494</v>
      </c>
      <c r="G407" s="25">
        <f t="shared" si="5"/>
        <v>-6.9045771916214083E-2</v>
      </c>
    </row>
    <row r="408" spans="1:7">
      <c r="A408" s="49">
        <v>119.33230212091418</v>
      </c>
      <c r="B408" s="49">
        <v>121.7115505003041</v>
      </c>
      <c r="C408" s="49">
        <v>117.18298110591907</v>
      </c>
      <c r="D408" s="49">
        <v>119.49225159179753</v>
      </c>
      <c r="E408" s="49">
        <v>333857017.37608278</v>
      </c>
      <c r="F408" s="49" t="s">
        <v>495</v>
      </c>
      <c r="G408" s="25">
        <f t="shared" si="5"/>
        <v>-1.3385760896845733E-3</v>
      </c>
    </row>
    <row r="409" spans="1:7">
      <c r="A409" s="49">
        <v>117.55286425733684</v>
      </c>
      <c r="B409" s="49">
        <v>124.39070413760032</v>
      </c>
      <c r="C409" s="49">
        <v>116.67314216747836</v>
      </c>
      <c r="D409" s="49">
        <v>121.31667524406082</v>
      </c>
      <c r="E409" s="49">
        <v>453166418.11749983</v>
      </c>
      <c r="F409" s="49" t="s">
        <v>496</v>
      </c>
      <c r="G409" s="25">
        <f t="shared" si="5"/>
        <v>-3.1024679658852139E-2</v>
      </c>
    </row>
    <row r="410" spans="1:7">
      <c r="A410" s="49">
        <v>125.57033148536507</v>
      </c>
      <c r="B410" s="49">
        <v>128.28947249038214</v>
      </c>
      <c r="C410" s="49">
        <v>122.60126943209276</v>
      </c>
      <c r="D410" s="49">
        <v>128.07953880984775</v>
      </c>
      <c r="E410" s="49">
        <v>448242673.16448075</v>
      </c>
      <c r="F410" s="49" t="s">
        <v>497</v>
      </c>
      <c r="G410" s="25">
        <f t="shared" si="5"/>
        <v>-1.9591008429597379E-2</v>
      </c>
    </row>
    <row r="411" spans="1:7">
      <c r="A411" s="49">
        <v>128.25948196459152</v>
      </c>
      <c r="B411" s="49">
        <v>129.15919773831038</v>
      </c>
      <c r="C411" s="49">
        <v>123.84087783143877</v>
      </c>
      <c r="D411" s="49">
        <v>125.01050833727332</v>
      </c>
      <c r="E411" s="49">
        <v>303230335.25612497</v>
      </c>
      <c r="F411" s="49" t="s">
        <v>498</v>
      </c>
      <c r="G411" s="25">
        <f t="shared" si="5"/>
        <v>2.5989604158336732E-2</v>
      </c>
    </row>
    <row r="412" spans="1:7">
      <c r="A412" s="49">
        <v>126.4200630494329</v>
      </c>
      <c r="B412" s="49">
        <v>131.21854717593359</v>
      </c>
      <c r="C412" s="49">
        <v>124.33072308601906</v>
      </c>
      <c r="D412" s="49">
        <v>129.52908088972814</v>
      </c>
      <c r="E412" s="49">
        <v>332069541.87884593</v>
      </c>
      <c r="F412" s="49" t="s">
        <v>499</v>
      </c>
      <c r="G412" s="25">
        <f t="shared" si="5"/>
        <v>-2.4002469707493979E-2</v>
      </c>
    </row>
    <row r="413" spans="1:7">
      <c r="A413" s="49">
        <v>129.32914405112396</v>
      </c>
      <c r="B413" s="49">
        <v>129.55907141551876</v>
      </c>
      <c r="C413" s="49">
        <v>125.18045465008689</v>
      </c>
      <c r="D413" s="49">
        <v>125.82025253362032</v>
      </c>
      <c r="E413" s="49">
        <v>323332442.64193046</v>
      </c>
      <c r="F413" s="49" t="s">
        <v>500</v>
      </c>
      <c r="G413" s="25">
        <f t="shared" si="5"/>
        <v>2.7888129667885009E-2</v>
      </c>
    </row>
    <row r="414" spans="1:7">
      <c r="A414" s="49">
        <v>123.70092204441583</v>
      </c>
      <c r="B414" s="49">
        <v>130.70870823749291</v>
      </c>
      <c r="C414" s="49">
        <v>123.06112416088241</v>
      </c>
      <c r="D414" s="49">
        <v>129.9789387765876</v>
      </c>
      <c r="E414" s="49">
        <v>376307916.6663444</v>
      </c>
      <c r="F414" s="49" t="s">
        <v>501</v>
      </c>
      <c r="G414" s="25">
        <f t="shared" si="5"/>
        <v>-4.830026149823119E-2</v>
      </c>
    </row>
    <row r="415" spans="1:7">
      <c r="A415" s="49">
        <v>128.45941880319569</v>
      </c>
      <c r="B415" s="49">
        <v>129.30915036726353</v>
      </c>
      <c r="C415" s="49">
        <v>126.6199998880371</v>
      </c>
      <c r="D415" s="49">
        <v>127.27479303446584</v>
      </c>
      <c r="E415" s="49">
        <v>257965039.15971026</v>
      </c>
      <c r="F415" s="49" t="s">
        <v>502</v>
      </c>
      <c r="G415" s="25">
        <f t="shared" si="5"/>
        <v>9.307622825275752E-3</v>
      </c>
    </row>
    <row r="416" spans="1:7">
      <c r="A416" s="49">
        <v>127.20981356191947</v>
      </c>
      <c r="B416" s="49">
        <v>129.83898298956464</v>
      </c>
      <c r="C416" s="49">
        <v>125.85024305941094</v>
      </c>
      <c r="D416" s="49">
        <v>128.3594503838936</v>
      </c>
      <c r="E416" s="49">
        <v>300182214.63836104</v>
      </c>
      <c r="F416" s="49" t="s">
        <v>503</v>
      </c>
      <c r="G416" s="25">
        <f t="shared" si="5"/>
        <v>-8.9563862928349058E-3</v>
      </c>
    </row>
    <row r="417" spans="1:7">
      <c r="A417" s="49">
        <v>129.95894509272716</v>
      </c>
      <c r="B417" s="49">
        <v>129.95894509272716</v>
      </c>
      <c r="C417" s="49">
        <v>123.38102310264914</v>
      </c>
      <c r="D417" s="49">
        <v>124.24075150864718</v>
      </c>
      <c r="E417" s="49">
        <v>318434140.72399944</v>
      </c>
      <c r="F417" s="49" t="s">
        <v>504</v>
      </c>
      <c r="G417" s="25">
        <f t="shared" si="5"/>
        <v>4.6025104602510414E-2</v>
      </c>
    </row>
    <row r="418" spans="1:7">
      <c r="A418" s="49">
        <v>124.54065676655347</v>
      </c>
      <c r="B418" s="49">
        <v>124.96052412762228</v>
      </c>
      <c r="C418" s="49">
        <v>121.14173051028214</v>
      </c>
      <c r="D418" s="49">
        <v>121.90149049697808</v>
      </c>
      <c r="E418" s="49">
        <v>302685462.18140531</v>
      </c>
      <c r="F418" s="49" t="s">
        <v>505</v>
      </c>
      <c r="G418" s="25">
        <f t="shared" si="5"/>
        <v>2.1649991799245649E-2</v>
      </c>
    </row>
    <row r="419" spans="1:7">
      <c r="A419" s="49">
        <v>122.82119995455739</v>
      </c>
      <c r="B419" s="49">
        <v>123.20107994790536</v>
      </c>
      <c r="C419" s="49">
        <v>117.43290215417431</v>
      </c>
      <c r="D419" s="49">
        <v>118.72249476317138</v>
      </c>
      <c r="E419" s="49">
        <v>318187158.72536057</v>
      </c>
      <c r="F419" s="49" t="s">
        <v>506</v>
      </c>
      <c r="G419" s="25">
        <f t="shared" si="5"/>
        <v>3.4523408555068968E-2</v>
      </c>
    </row>
    <row r="420" spans="1:7">
      <c r="A420" s="49">
        <v>118.04270951191711</v>
      </c>
      <c r="B420" s="49">
        <v>118.56254529228801</v>
      </c>
      <c r="C420" s="49">
        <v>114.03397589790298</v>
      </c>
      <c r="D420" s="49">
        <v>118.49256739877654</v>
      </c>
      <c r="E420" s="49">
        <v>339353577.22804463</v>
      </c>
      <c r="F420" s="49" t="s">
        <v>507</v>
      </c>
      <c r="G420" s="25">
        <f t="shared" si="5"/>
        <v>-3.7965072133636646E-3</v>
      </c>
    </row>
    <row r="421" spans="1:7">
      <c r="A421" s="49">
        <v>116.10332217745641</v>
      </c>
      <c r="B421" s="49">
        <v>116.1932937548283</v>
      </c>
      <c r="C421" s="49">
        <v>111.54476225728075</v>
      </c>
      <c r="D421" s="49">
        <v>112.40449066327879</v>
      </c>
      <c r="E421" s="49">
        <v>312745427.18856329</v>
      </c>
      <c r="F421" s="49" t="s">
        <v>508</v>
      </c>
      <c r="G421" s="25">
        <f t="shared" si="5"/>
        <v>3.2906438989683373E-2</v>
      </c>
    </row>
    <row r="422" spans="1:7">
      <c r="A422" s="49">
        <v>108.98557072314703</v>
      </c>
      <c r="B422" s="49">
        <v>111.03492331884004</v>
      </c>
      <c r="C422" s="49">
        <v>106.22644235040914</v>
      </c>
      <c r="D422" s="49">
        <v>106.28642340199039</v>
      </c>
      <c r="E422" s="49">
        <v>325662716.55869645</v>
      </c>
      <c r="F422" s="49" t="s">
        <v>509</v>
      </c>
      <c r="G422" s="25">
        <f t="shared" si="5"/>
        <v>2.5395033860045269E-2</v>
      </c>
    </row>
    <row r="423" spans="1:7">
      <c r="A423" s="49">
        <v>104.71691921894747</v>
      </c>
      <c r="B423" s="49">
        <v>106.56633497603627</v>
      </c>
      <c r="C423" s="49">
        <v>103.39733608415979</v>
      </c>
      <c r="D423" s="49">
        <v>105.60663815073615</v>
      </c>
      <c r="E423" s="49">
        <v>290936036.63081694</v>
      </c>
      <c r="F423" s="49" t="s">
        <v>510</v>
      </c>
      <c r="G423" s="25">
        <f t="shared" si="5"/>
        <v>-8.424839076107582E-3</v>
      </c>
    </row>
    <row r="424" spans="1:7">
      <c r="A424" s="49">
        <v>104.93684974141208</v>
      </c>
      <c r="B424" s="49">
        <v>105.4666823637132</v>
      </c>
      <c r="C424" s="49">
        <v>97.489202503405792</v>
      </c>
      <c r="D424" s="49">
        <v>101.96778768813978</v>
      </c>
      <c r="E424" s="49">
        <v>392033830.0195328</v>
      </c>
      <c r="F424" s="49" t="s">
        <v>511</v>
      </c>
      <c r="G424" s="25">
        <f t="shared" si="5"/>
        <v>2.911764705882347E-2</v>
      </c>
    </row>
    <row r="425" spans="1:7">
      <c r="A425" s="49">
        <v>98.878763531704948</v>
      </c>
      <c r="B425" s="49">
        <v>108.76564020068243</v>
      </c>
      <c r="C425" s="49">
        <v>98.65883300924034</v>
      </c>
      <c r="D425" s="49">
        <v>107.77595284959166</v>
      </c>
      <c r="E425" s="49">
        <v>411570399.80461711</v>
      </c>
      <c r="F425" s="49" t="s">
        <v>512</v>
      </c>
      <c r="G425" s="25">
        <f t="shared" si="5"/>
        <v>-8.2552638901771669E-2</v>
      </c>
    </row>
    <row r="426" spans="1:7">
      <c r="A426" s="49">
        <v>104.21707712243698</v>
      </c>
      <c r="B426" s="49">
        <v>107.67598443028956</v>
      </c>
      <c r="C426" s="49">
        <v>100.51824560825936</v>
      </c>
      <c r="D426" s="49">
        <v>103.80720660329838</v>
      </c>
      <c r="E426" s="49">
        <v>409141298.67752838</v>
      </c>
      <c r="F426" s="49" t="s">
        <v>513</v>
      </c>
      <c r="G426" s="25">
        <f t="shared" si="5"/>
        <v>3.9483821263481822E-3</v>
      </c>
    </row>
    <row r="427" spans="1:7">
      <c r="A427" s="49">
        <v>100.41827718895726</v>
      </c>
      <c r="B427" s="49">
        <v>103.37734240029936</v>
      </c>
      <c r="C427" s="49">
        <v>90.661359465072508</v>
      </c>
      <c r="D427" s="49">
        <v>92.030926809511257</v>
      </c>
      <c r="E427" s="49">
        <v>553017021.63495016</v>
      </c>
      <c r="F427" s="49" t="s">
        <v>514</v>
      </c>
      <c r="G427" s="25">
        <f t="shared" si="5"/>
        <v>9.1136215511622876E-2</v>
      </c>
    </row>
    <row r="428" spans="1:7">
      <c r="A428" s="49">
        <v>107.23612338536033</v>
      </c>
      <c r="B428" s="49">
        <v>108.68566546524075</v>
      </c>
      <c r="C428" s="49">
        <v>101.33798664653656</v>
      </c>
      <c r="D428" s="49">
        <v>103.7272318678567</v>
      </c>
      <c r="E428" s="49">
        <v>482179739.72694868</v>
      </c>
      <c r="F428" s="49" t="s">
        <v>515</v>
      </c>
      <c r="G428" s="25">
        <f t="shared" si="5"/>
        <v>3.3828064764841903E-2</v>
      </c>
    </row>
    <row r="429" spans="1:7">
      <c r="A429" s="49">
        <v>109.17551071982102</v>
      </c>
      <c r="B429" s="49">
        <v>120.12205263340074</v>
      </c>
      <c r="C429" s="49">
        <v>106.77666853024789</v>
      </c>
      <c r="D429" s="49">
        <v>117.49288320575558</v>
      </c>
      <c r="E429" s="49">
        <v>523627691.27931505</v>
      </c>
      <c r="F429" s="49" t="s">
        <v>516</v>
      </c>
      <c r="G429" s="25">
        <f t="shared" si="5"/>
        <v>-7.0790436484302055E-2</v>
      </c>
    </row>
    <row r="430" spans="1:7">
      <c r="A430" s="49">
        <v>116.98304426731487</v>
      </c>
      <c r="B430" s="49">
        <v>118.30262740210257</v>
      </c>
      <c r="C430" s="49">
        <v>110.84498332216606</v>
      </c>
      <c r="D430" s="49">
        <v>112.86434539206844</v>
      </c>
      <c r="E430" s="49">
        <v>473323660.91545326</v>
      </c>
      <c r="F430" s="49" t="s">
        <v>517</v>
      </c>
      <c r="G430" s="25">
        <f t="shared" si="5"/>
        <v>3.6492471213463107E-2</v>
      </c>
    </row>
    <row r="431" spans="1:7">
      <c r="A431" s="49">
        <v>103.69724134206608</v>
      </c>
      <c r="B431" s="49">
        <v>111.95463277641934</v>
      </c>
      <c r="C431" s="49">
        <v>102.50761715237111</v>
      </c>
      <c r="D431" s="49">
        <v>111.48478120569949</v>
      </c>
      <c r="E431" s="49">
        <v>486987067.9147408</v>
      </c>
      <c r="F431" s="49" t="s">
        <v>518</v>
      </c>
      <c r="G431" s="25">
        <f t="shared" si="5"/>
        <v>-6.9852941176470562E-2</v>
      </c>
    </row>
    <row r="432" spans="1:7">
      <c r="A432" s="49">
        <v>111.55475909921097</v>
      </c>
      <c r="B432" s="49">
        <v>116.24327796447935</v>
      </c>
      <c r="C432" s="49">
        <v>111.26485068323487</v>
      </c>
      <c r="D432" s="49">
        <v>113.65409590455501</v>
      </c>
      <c r="E432" s="49">
        <v>248230460.91196179</v>
      </c>
      <c r="F432" s="49" t="s">
        <v>519</v>
      </c>
      <c r="G432" s="25">
        <f t="shared" si="5"/>
        <v>-1.8471281555105801E-2</v>
      </c>
    </row>
    <row r="433" spans="1:7">
      <c r="A433" s="49">
        <v>113.02429486295181</v>
      </c>
      <c r="B433" s="49">
        <v>116.16330322903767</v>
      </c>
      <c r="C433" s="49">
        <v>111.54476225728075</v>
      </c>
      <c r="D433" s="49">
        <v>116.15330638710746</v>
      </c>
      <c r="E433" s="49">
        <v>293491759.74601316</v>
      </c>
      <c r="F433" s="49" t="s">
        <v>520</v>
      </c>
      <c r="G433" s="25">
        <f t="shared" si="5"/>
        <v>-2.693863499440563E-2</v>
      </c>
    </row>
    <row r="434" spans="1:7">
      <c r="A434" s="49">
        <v>112.24454119239543</v>
      </c>
      <c r="B434" s="49">
        <v>116.59316743203668</v>
      </c>
      <c r="C434" s="49">
        <v>106.26642971812998</v>
      </c>
      <c r="D434" s="49">
        <v>113.00430117909139</v>
      </c>
      <c r="E434" s="49">
        <v>460212357.27425927</v>
      </c>
      <c r="F434" s="49" t="s">
        <v>521</v>
      </c>
      <c r="G434" s="25">
        <f t="shared" si="5"/>
        <v>-6.7232837933476342E-3</v>
      </c>
    </row>
    <row r="435" spans="1:7">
      <c r="A435" s="49">
        <v>114.21391905264676</v>
      </c>
      <c r="B435" s="49">
        <v>119.91211895286634</v>
      </c>
      <c r="C435" s="49">
        <v>113.40417485629976</v>
      </c>
      <c r="D435" s="49">
        <v>119.13236528230998</v>
      </c>
      <c r="E435" s="49">
        <v>327880430.92837185</v>
      </c>
      <c r="F435" s="49" t="s">
        <v>522</v>
      </c>
      <c r="G435" s="25">
        <f t="shared" si="5"/>
        <v>-4.1285558445917636E-2</v>
      </c>
    </row>
    <row r="436" spans="1:7">
      <c r="A436" s="49">
        <v>122.55128522244172</v>
      </c>
      <c r="B436" s="49">
        <v>124.65062202778577</v>
      </c>
      <c r="C436" s="49">
        <v>122.06143996786143</v>
      </c>
      <c r="D436" s="49">
        <v>122.74122521911571</v>
      </c>
      <c r="E436" s="49">
        <v>173965922.65248561</v>
      </c>
      <c r="F436" s="49" t="s">
        <v>523</v>
      </c>
      <c r="G436" s="25">
        <f t="shared" si="5"/>
        <v>-1.5474833034696545E-3</v>
      </c>
    </row>
    <row r="437" spans="1:7">
      <c r="A437" s="49">
        <v>123.50098520581166</v>
      </c>
      <c r="B437" s="49">
        <v>124.03081782811276</v>
      </c>
      <c r="C437" s="49">
        <v>119.82214737549445</v>
      </c>
      <c r="D437" s="49">
        <v>120.31199263007473</v>
      </c>
      <c r="E437" s="49">
        <v>258150468.71965942</v>
      </c>
      <c r="F437" s="49" t="s">
        <v>524</v>
      </c>
      <c r="G437" s="25">
        <f t="shared" si="5"/>
        <v>2.6506024096385694E-2</v>
      </c>
    </row>
    <row r="438" spans="1:7">
      <c r="A438" s="49">
        <v>117.89275688296397</v>
      </c>
      <c r="B438" s="49">
        <v>121.56159787135094</v>
      </c>
      <c r="C438" s="49">
        <v>117.33293373487221</v>
      </c>
      <c r="D438" s="49">
        <v>120.31199263007473</v>
      </c>
      <c r="E438" s="49">
        <v>217292422.46350253</v>
      </c>
      <c r="F438" s="49" t="s">
        <v>525</v>
      </c>
      <c r="G438" s="25">
        <f t="shared" si="5"/>
        <v>-2.0108018280016515E-2</v>
      </c>
    </row>
    <row r="439" spans="1:7">
      <c r="A439" s="49">
        <v>121.05175893291026</v>
      </c>
      <c r="B439" s="49">
        <v>122.36134522576774</v>
      </c>
      <c r="C439" s="49">
        <v>116.52318953852523</v>
      </c>
      <c r="D439" s="49">
        <v>121.81151891960619</v>
      </c>
      <c r="E439" s="49">
        <v>321080929.59839797</v>
      </c>
      <c r="F439" s="49" t="s">
        <v>526</v>
      </c>
      <c r="G439" s="25">
        <f t="shared" si="5"/>
        <v>-6.2371768567910379E-3</v>
      </c>
    </row>
    <row r="440" spans="1:7">
      <c r="A440" s="49">
        <v>117.95273793454521</v>
      </c>
      <c r="B440" s="49">
        <v>121.81151891960619</v>
      </c>
      <c r="C440" s="49">
        <v>116.68313900940858</v>
      </c>
      <c r="D440" s="49">
        <v>121.31167682309569</v>
      </c>
      <c r="E440" s="49">
        <v>390209419.85807121</v>
      </c>
      <c r="F440" s="49" t="s">
        <v>527</v>
      </c>
      <c r="G440" s="25">
        <f t="shared" si="5"/>
        <v>-2.7688504326328744E-2</v>
      </c>
    </row>
    <row r="441" spans="1:7">
      <c r="A441" s="49">
        <v>126.32009463013081</v>
      </c>
      <c r="B441" s="49">
        <v>128.99924826742702</v>
      </c>
      <c r="C441" s="49">
        <v>124.54065676655347</v>
      </c>
      <c r="D441" s="49">
        <v>128.39943775161444</v>
      </c>
      <c r="E441" s="49">
        <v>214837362.13831791</v>
      </c>
      <c r="F441" s="49" t="s">
        <v>528</v>
      </c>
      <c r="G441" s="25">
        <f t="shared" si="5"/>
        <v>-1.6194331983805599E-2</v>
      </c>
    </row>
    <row r="442" spans="1:7">
      <c r="A442" s="49">
        <v>128.39943775161444</v>
      </c>
      <c r="B442" s="49">
        <v>131.3485061210263</v>
      </c>
      <c r="C442" s="49">
        <v>127.13983566840801</v>
      </c>
      <c r="D442" s="49">
        <v>130.51876824081893</v>
      </c>
      <c r="E442" s="49">
        <v>208391975.64027932</v>
      </c>
      <c r="F442" s="49" t="s">
        <v>529</v>
      </c>
      <c r="G442" s="25">
        <f t="shared" si="5"/>
        <v>-1.6237745098039325E-2</v>
      </c>
    </row>
    <row r="443" spans="1:7">
      <c r="A443" s="49">
        <v>129.19918510603122</v>
      </c>
      <c r="B443" s="49">
        <v>131.87833874332745</v>
      </c>
      <c r="C443" s="49">
        <v>127.17982303612885</v>
      </c>
      <c r="D443" s="49">
        <v>128.21949459687065</v>
      </c>
      <c r="E443" s="49">
        <v>252760358.48522967</v>
      </c>
      <c r="F443" s="49" t="s">
        <v>530</v>
      </c>
      <c r="G443" s="25">
        <f t="shared" si="5"/>
        <v>7.6407297676595043E-3</v>
      </c>
    </row>
    <row r="444" spans="1:7">
      <c r="A444" s="49">
        <v>127.35976619087263</v>
      </c>
      <c r="B444" s="49">
        <v>136.1070028798062</v>
      </c>
      <c r="C444" s="49">
        <v>127.00987672331527</v>
      </c>
      <c r="D444" s="49">
        <v>135.7071292025978</v>
      </c>
      <c r="E444" s="49">
        <v>374901134.39468503</v>
      </c>
      <c r="F444" s="49" t="s">
        <v>531</v>
      </c>
      <c r="G444" s="25">
        <f t="shared" si="5"/>
        <v>-6.1510128913443762E-2</v>
      </c>
    </row>
    <row r="445" spans="1:7">
      <c r="A445" s="49">
        <v>134.86739448046018</v>
      </c>
      <c r="B445" s="49">
        <v>135.05733447713416</v>
      </c>
      <c r="C445" s="49">
        <v>132.37818083983791</v>
      </c>
      <c r="D445" s="49">
        <v>133.98767239060172</v>
      </c>
      <c r="E445" s="49">
        <v>249057223.00920209</v>
      </c>
      <c r="F445" s="49" t="s">
        <v>532</v>
      </c>
      <c r="G445" s="25">
        <f t="shared" si="5"/>
        <v>6.5656942475564861E-3</v>
      </c>
    </row>
    <row r="446" spans="1:7">
      <c r="A446" s="49">
        <v>131.33850927909612</v>
      </c>
      <c r="B446" s="49">
        <v>133.7777387100673</v>
      </c>
      <c r="C446" s="49">
        <v>128.60937143214886</v>
      </c>
      <c r="D446" s="49">
        <v>130.30883456028451</v>
      </c>
      <c r="E446" s="49">
        <v>287111491.81287187</v>
      </c>
      <c r="F446" s="49" t="s">
        <v>533</v>
      </c>
      <c r="G446" s="25">
        <f t="shared" si="5"/>
        <v>7.9018028385116068E-3</v>
      </c>
    </row>
    <row r="447" spans="1:7">
      <c r="A447" s="49">
        <v>128.1595135452894</v>
      </c>
      <c r="B447" s="49">
        <v>130.72870192135332</v>
      </c>
      <c r="C447" s="49">
        <v>126.99987988138508</v>
      </c>
      <c r="D447" s="49">
        <v>127.4497377682445</v>
      </c>
      <c r="E447" s="49">
        <v>237752405.86905268</v>
      </c>
      <c r="F447" s="49" t="s">
        <v>534</v>
      </c>
      <c r="G447" s="25">
        <f t="shared" ref="G447:G510" si="6">A447/D447-1</f>
        <v>5.5690642403325441E-3</v>
      </c>
    </row>
    <row r="448" spans="1:7">
      <c r="A448" s="49">
        <v>125.79026200782968</v>
      </c>
      <c r="B448" s="49">
        <v>128.80930827075304</v>
      </c>
      <c r="C448" s="49">
        <v>125.64030937887655</v>
      </c>
      <c r="D448" s="49">
        <v>127.3397725070122</v>
      </c>
      <c r="E448" s="49">
        <v>214244348.86058614</v>
      </c>
      <c r="F448" s="49" t="s">
        <v>535</v>
      </c>
      <c r="G448" s="25">
        <f t="shared" si="6"/>
        <v>-1.2168315277123587E-2</v>
      </c>
    </row>
    <row r="449" spans="1:7">
      <c r="A449" s="49">
        <v>128.23948828073108</v>
      </c>
      <c r="B449" s="49">
        <v>128.23948828073108</v>
      </c>
      <c r="C449" s="49">
        <v>121.32167366502591</v>
      </c>
      <c r="D449" s="49">
        <v>121.6215789229322</v>
      </c>
      <c r="E449" s="49">
        <v>215817111.55001983</v>
      </c>
      <c r="F449" s="49" t="s">
        <v>536</v>
      </c>
      <c r="G449" s="25">
        <f t="shared" si="6"/>
        <v>5.4413940489889789E-2</v>
      </c>
    </row>
    <row r="450" spans="1:7">
      <c r="A450" s="49">
        <v>122.6312599578834</v>
      </c>
      <c r="B450" s="49">
        <v>123.37102626071892</v>
      </c>
      <c r="C450" s="49">
        <v>120.991777881329</v>
      </c>
      <c r="D450" s="49">
        <v>121.09174630063109</v>
      </c>
      <c r="E450" s="49">
        <v>218442954.80964702</v>
      </c>
      <c r="F450" s="49" t="s">
        <v>537</v>
      </c>
      <c r="G450" s="25">
        <f t="shared" si="6"/>
        <v>1.2713613473128049E-2</v>
      </c>
    </row>
    <row r="451" spans="1:7">
      <c r="A451" s="49">
        <v>124.26074519250758</v>
      </c>
      <c r="B451" s="49">
        <v>124.80057465673893</v>
      </c>
      <c r="C451" s="49">
        <v>118.79247265668285</v>
      </c>
      <c r="D451" s="49">
        <v>123.43100731230018</v>
      </c>
      <c r="E451" s="49">
        <v>284975531.26162285</v>
      </c>
      <c r="F451" s="49" t="s">
        <v>538</v>
      </c>
      <c r="G451" s="25">
        <f t="shared" si="6"/>
        <v>6.722280715963258E-3</v>
      </c>
    </row>
    <row r="452" spans="1:7">
      <c r="A452" s="49">
        <v>123.50098520581166</v>
      </c>
      <c r="B452" s="49">
        <v>127.66966829070913</v>
      </c>
      <c r="C452" s="49">
        <v>122.71123469332508</v>
      </c>
      <c r="D452" s="49">
        <v>124.54065676655347</v>
      </c>
      <c r="E452" s="49">
        <v>315616413.86619276</v>
      </c>
      <c r="F452" s="49" t="s">
        <v>539</v>
      </c>
      <c r="G452" s="25">
        <f t="shared" si="6"/>
        <v>-8.3480494461389831E-3</v>
      </c>
    </row>
    <row r="453" spans="1:7">
      <c r="A453" s="49">
        <v>123.95084309267108</v>
      </c>
      <c r="B453" s="49">
        <v>126.37007883978185</v>
      </c>
      <c r="C453" s="49">
        <v>122.88118100613865</v>
      </c>
      <c r="D453" s="49">
        <v>124.0608083539034</v>
      </c>
      <c r="E453" s="49">
        <v>252651482.10130778</v>
      </c>
      <c r="F453" s="49" t="s">
        <v>540</v>
      </c>
      <c r="G453" s="25">
        <f t="shared" si="6"/>
        <v>-8.8638195004042686E-4</v>
      </c>
    </row>
    <row r="454" spans="1:7">
      <c r="A454" s="49">
        <v>126.36008199785165</v>
      </c>
      <c r="B454" s="49">
        <v>128.07953880984775</v>
      </c>
      <c r="C454" s="49">
        <v>122.56128206437192</v>
      </c>
      <c r="D454" s="49">
        <v>126.09016726573597</v>
      </c>
      <c r="E454" s="49">
        <v>363090584.54061502</v>
      </c>
      <c r="F454" s="49" t="s">
        <v>541</v>
      </c>
      <c r="G454" s="25">
        <f t="shared" si="6"/>
        <v>2.1406485372237327E-3</v>
      </c>
    </row>
    <row r="455" spans="1:7">
      <c r="A455" s="49">
        <v>126.05017989801514</v>
      </c>
      <c r="B455" s="49">
        <v>126.46005041715374</v>
      </c>
      <c r="C455" s="49">
        <v>119.28231791126312</v>
      </c>
      <c r="D455" s="49">
        <v>121.16172419414256</v>
      </c>
      <c r="E455" s="49">
        <v>425921965.12910646</v>
      </c>
      <c r="F455" s="49" t="s">
        <v>542</v>
      </c>
      <c r="G455" s="25">
        <f t="shared" si="6"/>
        <v>4.0346534653465271E-2</v>
      </c>
    </row>
    <row r="456" spans="1:7">
      <c r="A456" s="49">
        <v>118.07270003770773</v>
      </c>
      <c r="B456" s="49">
        <v>124.42069466339095</v>
      </c>
      <c r="C456" s="49">
        <v>118.00272214419627</v>
      </c>
      <c r="D456" s="49">
        <v>123.20107994790536</v>
      </c>
      <c r="E456" s="49">
        <v>476211256.83839828</v>
      </c>
      <c r="F456" s="49" t="s">
        <v>543</v>
      </c>
      <c r="G456" s="25">
        <f t="shared" si="6"/>
        <v>-4.1626095423563769E-2</v>
      </c>
    </row>
    <row r="457" spans="1:7">
      <c r="A457" s="49">
        <v>126.5300283106652</v>
      </c>
      <c r="B457" s="49">
        <v>130.58874613433039</v>
      </c>
      <c r="C457" s="49">
        <v>124.26074519250758</v>
      </c>
      <c r="D457" s="49">
        <v>127.07985461682675</v>
      </c>
      <c r="E457" s="49">
        <v>655691736.02632403</v>
      </c>
      <c r="F457" s="49" t="s">
        <v>544</v>
      </c>
      <c r="G457" s="25">
        <f t="shared" si="6"/>
        <v>-4.3266205160479299E-3</v>
      </c>
    </row>
    <row r="458" spans="1:7">
      <c r="A458" s="49">
        <v>130.73869876328354</v>
      </c>
      <c r="B458" s="49">
        <v>140.71554700963287</v>
      </c>
      <c r="C458" s="49">
        <v>129.47909668007711</v>
      </c>
      <c r="D458" s="49">
        <v>139.75585018433276</v>
      </c>
      <c r="E458" s="49">
        <v>517931991.53758621</v>
      </c>
      <c r="F458" s="49" t="s">
        <v>545</v>
      </c>
      <c r="G458" s="25">
        <f t="shared" si="6"/>
        <v>-6.4520743919885493E-2</v>
      </c>
    </row>
    <row r="459" spans="1:7">
      <c r="A459" s="49">
        <v>135.53718288978425</v>
      </c>
      <c r="B459" s="49">
        <v>136.28694603454997</v>
      </c>
      <c r="C459" s="49">
        <v>130.64872718591164</v>
      </c>
      <c r="D459" s="49">
        <v>131.09858507277107</v>
      </c>
      <c r="E459" s="49">
        <v>294428036.42872387</v>
      </c>
      <c r="F459" s="49" t="s">
        <v>546</v>
      </c>
      <c r="G459" s="25">
        <f t="shared" si="6"/>
        <v>3.3856946774439844E-2</v>
      </c>
    </row>
    <row r="460" spans="1:7">
      <c r="A460" s="49">
        <v>130.93863560188771</v>
      </c>
      <c r="B460" s="49">
        <v>133.6877671326954</v>
      </c>
      <c r="C460" s="49">
        <v>129.53907773165838</v>
      </c>
      <c r="D460" s="49">
        <v>132.94800082985989</v>
      </c>
      <c r="E460" s="49">
        <v>288595584.49969989</v>
      </c>
      <c r="F460" s="49" t="s">
        <v>547</v>
      </c>
      <c r="G460" s="25">
        <f t="shared" si="6"/>
        <v>-1.5113918339724863E-2</v>
      </c>
    </row>
    <row r="461" spans="1:7">
      <c r="A461" s="49">
        <v>131.83835137560661</v>
      </c>
      <c r="B461" s="49">
        <v>132.79804820090675</v>
      </c>
      <c r="C461" s="49">
        <v>128.27947564845192</v>
      </c>
      <c r="D461" s="49">
        <v>129.91895772500635</v>
      </c>
      <c r="E461" s="49">
        <v>309418092.3930133</v>
      </c>
      <c r="F461" s="49" t="s">
        <v>548</v>
      </c>
      <c r="G461" s="25">
        <f t="shared" si="6"/>
        <v>1.4773776546629591E-2</v>
      </c>
    </row>
    <row r="462" spans="1:7">
      <c r="A462" s="49">
        <v>129.569068257449</v>
      </c>
      <c r="B462" s="49">
        <v>129.75900825412299</v>
      </c>
      <c r="C462" s="49">
        <v>127.11984198454759</v>
      </c>
      <c r="D462" s="49">
        <v>129.34913773498437</v>
      </c>
      <c r="E462" s="49">
        <v>260786895.32157999</v>
      </c>
      <c r="F462" s="49" t="s">
        <v>549</v>
      </c>
      <c r="G462" s="25">
        <f t="shared" si="6"/>
        <v>1.7002859571839668E-3</v>
      </c>
    </row>
    <row r="463" spans="1:7">
      <c r="A463" s="49">
        <v>125.16046096622648</v>
      </c>
      <c r="B463" s="49">
        <v>126.83993041050171</v>
      </c>
      <c r="C463" s="49">
        <v>122.5312915385813</v>
      </c>
      <c r="D463" s="49">
        <v>123.02113679316159</v>
      </c>
      <c r="E463" s="49">
        <v>299689645.08145726</v>
      </c>
      <c r="F463" s="49" t="s">
        <v>550</v>
      </c>
      <c r="G463" s="25">
        <f t="shared" si="6"/>
        <v>1.7389891110027644E-2</v>
      </c>
    </row>
    <row r="464" spans="1:7">
      <c r="A464" s="49">
        <v>120.87181577816648</v>
      </c>
      <c r="B464" s="49">
        <v>122.8311967964876</v>
      </c>
      <c r="C464" s="49">
        <v>118.70250107931095</v>
      </c>
      <c r="D464" s="49">
        <v>121.73154418416452</v>
      </c>
      <c r="E464" s="49">
        <v>222621463.41182551</v>
      </c>
      <c r="F464" s="49" t="s">
        <v>551</v>
      </c>
      <c r="G464" s="25">
        <f t="shared" si="6"/>
        <v>-7.0624948673728705E-3</v>
      </c>
    </row>
    <row r="465" spans="1:7">
      <c r="A465" s="49">
        <v>121.74154102609471</v>
      </c>
      <c r="B465" s="49">
        <v>123.05101979072384</v>
      </c>
      <c r="C465" s="49">
        <v>116.96344293836391</v>
      </c>
      <c r="D465" s="49">
        <v>120.32210602932112</v>
      </c>
      <c r="E465" s="49">
        <v>314287701.80672145</v>
      </c>
      <c r="F465" s="49" t="s">
        <v>552</v>
      </c>
      <c r="G465" s="25">
        <f t="shared" si="6"/>
        <v>1.1796959375259597E-2</v>
      </c>
    </row>
    <row r="466" spans="1:7">
      <c r="A466" s="49">
        <v>120.83989992251043</v>
      </c>
      <c r="B466" s="49">
        <v>121.64329013466315</v>
      </c>
      <c r="C466" s="49">
        <v>117.97504027409275</v>
      </c>
      <c r="D466" s="49">
        <v>119.72234476307882</v>
      </c>
      <c r="E466" s="49">
        <v>412549949.33269829</v>
      </c>
      <c r="F466" s="49" t="s">
        <v>553</v>
      </c>
      <c r="G466" s="25">
        <f t="shared" si="6"/>
        <v>9.3345579026467007E-3</v>
      </c>
    </row>
    <row r="467" spans="1:7">
      <c r="A467" s="49">
        <v>120.94985615465484</v>
      </c>
      <c r="B467" s="49">
        <v>125.53703023929847</v>
      </c>
      <c r="C467" s="49">
        <v>118.27292170299312</v>
      </c>
      <c r="D467" s="49">
        <v>123.99864259138683</v>
      </c>
      <c r="E467" s="49">
        <v>664960770.97256398</v>
      </c>
      <c r="F467" s="49" t="s">
        <v>554</v>
      </c>
      <c r="G467" s="25">
        <f t="shared" si="6"/>
        <v>-2.4587256545853253E-2</v>
      </c>
    </row>
    <row r="468" spans="1:7">
      <c r="A468" s="49">
        <v>122.39128239785732</v>
      </c>
      <c r="B468" s="49">
        <v>122.40077861790614</v>
      </c>
      <c r="C468" s="49">
        <v>117.42126070492897</v>
      </c>
      <c r="D468" s="49">
        <v>118.32390141062372</v>
      </c>
      <c r="E468" s="49">
        <v>528612109.2586301</v>
      </c>
      <c r="F468" s="49" t="s">
        <v>555</v>
      </c>
      <c r="G468" s="25">
        <f t="shared" si="6"/>
        <v>3.4374973599952785E-2</v>
      </c>
    </row>
    <row r="469" spans="1:7">
      <c r="A469" s="49">
        <v>116.3906709291025</v>
      </c>
      <c r="B469" s="49">
        <v>116.55360607309835</v>
      </c>
      <c r="C469" s="49">
        <v>113.99962268101632</v>
      </c>
      <c r="D469" s="49">
        <v>115.66995780750129</v>
      </c>
      <c r="E469" s="49">
        <v>403484552.30553693</v>
      </c>
      <c r="F469" s="49" t="s">
        <v>556</v>
      </c>
      <c r="G469" s="25">
        <f t="shared" si="6"/>
        <v>6.230771889798925E-3</v>
      </c>
    </row>
    <row r="470" spans="1:7">
      <c r="A470" s="49">
        <v>114.95424269645207</v>
      </c>
      <c r="B470" s="49">
        <v>114.95424269645207</v>
      </c>
      <c r="C470" s="49">
        <v>111.95843517157148</v>
      </c>
      <c r="D470" s="49">
        <v>113.57579138620504</v>
      </c>
      <c r="E470" s="49">
        <v>438566260.95241988</v>
      </c>
      <c r="F470" s="49" t="s">
        <v>557</v>
      </c>
      <c r="G470" s="25">
        <f t="shared" si="6"/>
        <v>1.2136840900889956E-2</v>
      </c>
    </row>
    <row r="471" spans="1:7">
      <c r="A471" s="49">
        <v>109.58937816991416</v>
      </c>
      <c r="B471" s="49">
        <v>112.67215107839989</v>
      </c>
      <c r="C471" s="49">
        <v>106.89744968659639</v>
      </c>
      <c r="D471" s="49">
        <v>112.47522946265032</v>
      </c>
      <c r="E471" s="49">
        <v>613506607.89640152</v>
      </c>
      <c r="F471" s="49" t="s">
        <v>558</v>
      </c>
      <c r="G471" s="25">
        <f t="shared" si="6"/>
        <v>-2.5657660860291642E-2</v>
      </c>
    </row>
    <row r="472" spans="1:7">
      <c r="A472" s="49">
        <v>110.45603319963438</v>
      </c>
      <c r="B472" s="49">
        <v>115.77306676518944</v>
      </c>
      <c r="C472" s="49">
        <v>109.6193662332263</v>
      </c>
      <c r="D472" s="49">
        <v>114.60438195781069</v>
      </c>
      <c r="E472" s="49">
        <v>487544318.81207788</v>
      </c>
      <c r="F472" s="49" t="s">
        <v>559</v>
      </c>
      <c r="G472" s="25">
        <f t="shared" si="6"/>
        <v>-3.6197121674662047E-2</v>
      </c>
    </row>
    <row r="473" spans="1:7">
      <c r="A473" s="49">
        <v>114.77931232713138</v>
      </c>
      <c r="B473" s="49">
        <v>115.44604693477081</v>
      </c>
      <c r="C473" s="49">
        <v>110.85687364590635</v>
      </c>
      <c r="D473" s="49">
        <v>113.00501858116439</v>
      </c>
      <c r="E473" s="49">
        <v>557663818.63153756</v>
      </c>
      <c r="F473" s="49" t="s">
        <v>560</v>
      </c>
      <c r="G473" s="25">
        <f t="shared" si="6"/>
        <v>1.5701017249004856E-2</v>
      </c>
    </row>
    <row r="474" spans="1:7">
      <c r="A474" s="49">
        <v>113.85567997711814</v>
      </c>
      <c r="B474" s="49">
        <v>114.89326696771744</v>
      </c>
      <c r="C474" s="49">
        <v>109.83927869751514</v>
      </c>
      <c r="D474" s="49">
        <v>110.20013505937098</v>
      </c>
      <c r="E474" s="49">
        <v>652987707.01498222</v>
      </c>
      <c r="F474" s="49" t="s">
        <v>561</v>
      </c>
      <c r="G474" s="25">
        <f t="shared" si="6"/>
        <v>3.3171873299226995E-2</v>
      </c>
    </row>
    <row r="475" spans="1:7">
      <c r="A475" s="49">
        <v>106.42663709259614</v>
      </c>
      <c r="B475" s="49">
        <v>106.43263470525855</v>
      </c>
      <c r="C475" s="49">
        <v>102.95901737160489</v>
      </c>
      <c r="D475" s="49">
        <v>104.40744082958018</v>
      </c>
      <c r="E475" s="49">
        <v>429664629.08571208</v>
      </c>
      <c r="F475" s="49" t="s">
        <v>562</v>
      </c>
      <c r="G475" s="25">
        <f t="shared" si="6"/>
        <v>1.9339581996955513E-2</v>
      </c>
    </row>
    <row r="476" spans="1:7">
      <c r="A476" s="49">
        <v>103.75769945781764</v>
      </c>
      <c r="B476" s="49">
        <v>106.27769637814595</v>
      </c>
      <c r="C476" s="49">
        <v>101.47960624820708</v>
      </c>
      <c r="D476" s="49">
        <v>101.98740412029227</v>
      </c>
      <c r="E476" s="49">
        <v>835397676.04387808</v>
      </c>
      <c r="F476" s="49" t="s">
        <v>563</v>
      </c>
      <c r="G476" s="25">
        <f t="shared" si="6"/>
        <v>1.7357980162308495E-2</v>
      </c>
    </row>
    <row r="477" spans="1:7">
      <c r="A477" s="49">
        <v>94.912220382853249</v>
      </c>
      <c r="B477" s="49">
        <v>95.981794640985456</v>
      </c>
      <c r="C477" s="49">
        <v>93.21189719305616</v>
      </c>
      <c r="D477" s="49">
        <v>95.421017857048852</v>
      </c>
      <c r="E477" s="49">
        <v>548866378.22152638</v>
      </c>
      <c r="F477" s="49" t="s">
        <v>564</v>
      </c>
      <c r="G477" s="25">
        <f t="shared" si="6"/>
        <v>-5.3321321195487492E-3</v>
      </c>
    </row>
    <row r="478" spans="1:7">
      <c r="A478" s="49">
        <v>95.348046902989367</v>
      </c>
      <c r="B478" s="49">
        <v>95.362041332535014</v>
      </c>
      <c r="C478" s="49">
        <v>93.142924647438278</v>
      </c>
      <c r="D478" s="49">
        <v>93.561757931697542</v>
      </c>
      <c r="E478" s="49">
        <v>329077396.47235781</v>
      </c>
      <c r="F478" s="49" t="s">
        <v>565</v>
      </c>
      <c r="G478" s="25">
        <f t="shared" si="6"/>
        <v>1.9092084317140046E-2</v>
      </c>
    </row>
    <row r="479" spans="1:7">
      <c r="A479" s="49">
        <v>94.742288024084573</v>
      </c>
      <c r="B479" s="49">
        <v>95.162120910454234</v>
      </c>
      <c r="C479" s="49">
        <v>93.402821196143307</v>
      </c>
      <c r="D479" s="49">
        <v>93.712697850368528</v>
      </c>
      <c r="E479" s="49">
        <v>318891343.54787415</v>
      </c>
      <c r="F479" s="49" t="s">
        <v>566</v>
      </c>
      <c r="G479" s="25">
        <f t="shared" si="6"/>
        <v>1.09866666666667E-2</v>
      </c>
    </row>
    <row r="480" spans="1:7">
      <c r="A480" s="49">
        <v>92.44220356804513</v>
      </c>
      <c r="B480" s="49">
        <v>94.702303939668425</v>
      </c>
      <c r="C480" s="49">
        <v>91.769471347743277</v>
      </c>
      <c r="D480" s="49">
        <v>94.331451556708572</v>
      </c>
      <c r="E480" s="49">
        <v>359834204.28619528</v>
      </c>
      <c r="F480" s="49" t="s">
        <v>567</v>
      </c>
      <c r="G480" s="25">
        <f t="shared" si="6"/>
        <v>-2.0027763354491523E-2</v>
      </c>
    </row>
    <row r="481" spans="1:7">
      <c r="A481" s="49">
        <v>94.321455535604528</v>
      </c>
      <c r="B481" s="49">
        <v>95.780864620773158</v>
      </c>
      <c r="C481" s="49">
        <v>94.065557395341116</v>
      </c>
      <c r="D481" s="49">
        <v>94.872236298437087</v>
      </c>
      <c r="E481" s="49">
        <v>324080768.36601889</v>
      </c>
      <c r="F481" s="49" t="s">
        <v>568</v>
      </c>
      <c r="G481" s="25">
        <f t="shared" si="6"/>
        <v>-5.8054999473184932E-3</v>
      </c>
    </row>
    <row r="482" spans="1:7">
      <c r="A482" s="49">
        <v>94.592347707523984</v>
      </c>
      <c r="B482" s="49">
        <v>94.824255397137705</v>
      </c>
      <c r="C482" s="49">
        <v>91.562553710889674</v>
      </c>
      <c r="D482" s="49">
        <v>92.435206353272307</v>
      </c>
      <c r="E482" s="49">
        <v>417901728.75004888</v>
      </c>
      <c r="F482" s="49" t="s">
        <v>569</v>
      </c>
      <c r="G482" s="25">
        <f t="shared" si="6"/>
        <v>2.3336793840297521E-2</v>
      </c>
    </row>
    <row r="483" spans="1:7">
      <c r="A483" s="49">
        <v>91.319650398061512</v>
      </c>
      <c r="B483" s="49">
        <v>91.614533020630674</v>
      </c>
      <c r="C483" s="49">
        <v>88.898614086663201</v>
      </c>
      <c r="D483" s="49">
        <v>89.563349490081819</v>
      </c>
      <c r="E483" s="49">
        <v>296625104.04283154</v>
      </c>
      <c r="F483" s="49" t="s">
        <v>570</v>
      </c>
      <c r="G483" s="25">
        <f t="shared" si="6"/>
        <v>1.960959385707417E-2</v>
      </c>
    </row>
    <row r="484" spans="1:7">
      <c r="A484" s="49">
        <v>90.363031178404952</v>
      </c>
      <c r="B484" s="49">
        <v>90.961792842536909</v>
      </c>
      <c r="C484" s="49">
        <v>88.493775231949598</v>
      </c>
      <c r="D484" s="49">
        <v>90.441999745126864</v>
      </c>
      <c r="E484" s="49">
        <v>289795476.60512906</v>
      </c>
      <c r="F484" s="49" t="s">
        <v>571</v>
      </c>
      <c r="G484" s="25">
        <f t="shared" si="6"/>
        <v>-8.7314043192820989E-4</v>
      </c>
    </row>
    <row r="485" spans="1:7">
      <c r="A485" s="49">
        <v>89.842238478884511</v>
      </c>
      <c r="B485" s="49">
        <v>91.364632493029688</v>
      </c>
      <c r="C485" s="49">
        <v>89.191497505011554</v>
      </c>
      <c r="D485" s="49">
        <v>90.268568778971783</v>
      </c>
      <c r="E485" s="49">
        <v>335458885.60048932</v>
      </c>
      <c r="F485" s="49" t="s">
        <v>572</v>
      </c>
      <c r="G485" s="25">
        <f t="shared" si="6"/>
        <v>-4.7229097110331741E-3</v>
      </c>
    </row>
    <row r="486" spans="1:7">
      <c r="A486" s="49">
        <v>88.711688492017672</v>
      </c>
      <c r="B486" s="49">
        <v>91.035763398706806</v>
      </c>
      <c r="C486" s="49">
        <v>88.195893803049231</v>
      </c>
      <c r="D486" s="49">
        <v>90.492979452757467</v>
      </c>
      <c r="E486" s="49">
        <v>378163147.18188041</v>
      </c>
      <c r="F486" s="49" t="s">
        <v>573</v>
      </c>
      <c r="G486" s="25">
        <f t="shared" si="6"/>
        <v>-1.9684300058544713E-2</v>
      </c>
    </row>
    <row r="487" spans="1:7">
      <c r="A487" s="49">
        <v>90.376026005840203</v>
      </c>
      <c r="B487" s="49">
        <v>91.157714856176085</v>
      </c>
      <c r="C487" s="49">
        <v>89.38442071231951</v>
      </c>
      <c r="D487" s="49">
        <v>89.446895844219753</v>
      </c>
      <c r="E487" s="49">
        <v>325850672.59249663</v>
      </c>
      <c r="F487" s="49" t="s">
        <v>574</v>
      </c>
      <c r="G487" s="25">
        <f t="shared" si="6"/>
        <v>1.0387505936914954E-2</v>
      </c>
    </row>
    <row r="488" spans="1:7">
      <c r="A488" s="49">
        <v>90.51796950551757</v>
      </c>
      <c r="B488" s="49">
        <v>91.744471298962083</v>
      </c>
      <c r="C488" s="49">
        <v>88.975583449164304</v>
      </c>
      <c r="D488" s="49">
        <v>91.061753053577306</v>
      </c>
      <c r="E488" s="49">
        <v>437515692.94233871</v>
      </c>
      <c r="F488" s="49" t="s">
        <v>575</v>
      </c>
      <c r="G488" s="25">
        <f t="shared" si="6"/>
        <v>-5.9715910338317135E-3</v>
      </c>
    </row>
    <row r="489" spans="1:7">
      <c r="A489" s="49">
        <v>92.103338452618203</v>
      </c>
      <c r="B489" s="49">
        <v>92.183306621450527</v>
      </c>
      <c r="C489" s="49">
        <v>89.019565942022069</v>
      </c>
      <c r="D489" s="49">
        <v>89.354432649007393</v>
      </c>
      <c r="E489" s="49">
        <v>376352296.66329902</v>
      </c>
      <c r="F489" s="49" t="s">
        <v>576</v>
      </c>
      <c r="G489" s="25">
        <f t="shared" si="6"/>
        <v>3.0764067569079234E-2</v>
      </c>
    </row>
    <row r="490" spans="1:7">
      <c r="A490" s="49">
        <v>88.753671780654628</v>
      </c>
      <c r="B490" s="49">
        <v>89.245476018973363</v>
      </c>
      <c r="C490" s="49">
        <v>87.005367689558156</v>
      </c>
      <c r="D490" s="49">
        <v>87.754069670250701</v>
      </c>
      <c r="E490" s="49">
        <v>398499278.71704251</v>
      </c>
      <c r="F490" s="49" t="s">
        <v>577</v>
      </c>
      <c r="G490" s="25">
        <f t="shared" si="6"/>
        <v>1.1390948752121544E-2</v>
      </c>
    </row>
    <row r="491" spans="1:7">
      <c r="A491" s="49">
        <v>85.782854308534141</v>
      </c>
      <c r="B491" s="49">
        <v>86.202687194903802</v>
      </c>
      <c r="C491" s="49">
        <v>83.166895585607051</v>
      </c>
      <c r="D491" s="49">
        <v>84.415398621501566</v>
      </c>
      <c r="E491" s="49">
        <v>378047961.35063654</v>
      </c>
      <c r="F491" s="49" t="s">
        <v>578</v>
      </c>
      <c r="G491" s="25">
        <f t="shared" si="6"/>
        <v>1.6199126099776251E-2</v>
      </c>
    </row>
    <row r="492" spans="1:7">
      <c r="A492" s="49">
        <v>83.00795885005283</v>
      </c>
      <c r="B492" s="49">
        <v>85.965781494738067</v>
      </c>
      <c r="C492" s="49">
        <v>81.22222965594284</v>
      </c>
      <c r="D492" s="49">
        <v>85.043148746835229</v>
      </c>
      <c r="E492" s="49">
        <v>560086022.4012171</v>
      </c>
      <c r="F492" s="49" t="s">
        <v>579</v>
      </c>
      <c r="G492" s="25">
        <f t="shared" si="6"/>
        <v>-2.3931262268298115E-2</v>
      </c>
    </row>
    <row r="493" spans="1:7">
      <c r="A493" s="49">
        <v>86.36762154312045</v>
      </c>
      <c r="B493" s="49">
        <v>88.783659843966745</v>
      </c>
      <c r="C493" s="49">
        <v>86.265662127859244</v>
      </c>
      <c r="D493" s="49">
        <v>87.205288111638936</v>
      </c>
      <c r="E493" s="49">
        <v>363853473.51160383</v>
      </c>
      <c r="F493" s="49" t="s">
        <v>580</v>
      </c>
      <c r="G493" s="25">
        <f t="shared" si="6"/>
        <v>-9.6056854653827628E-3</v>
      </c>
    </row>
    <row r="494" spans="1:7">
      <c r="A494" s="49">
        <v>87.722082402717774</v>
      </c>
      <c r="B494" s="49">
        <v>87.956988898662686</v>
      </c>
      <c r="C494" s="49">
        <v>85.232073545701581</v>
      </c>
      <c r="D494" s="49">
        <v>87.560146860832333</v>
      </c>
      <c r="E494" s="49">
        <v>389125589.02343667</v>
      </c>
      <c r="F494" s="49" t="s">
        <v>581</v>
      </c>
      <c r="G494" s="25">
        <f t="shared" si="6"/>
        <v>1.8494206290313731E-3</v>
      </c>
    </row>
    <row r="495" spans="1:7">
      <c r="A495" s="49">
        <v>87.700091156288892</v>
      </c>
      <c r="B495" s="49">
        <v>88.2957840419419</v>
      </c>
      <c r="C495" s="49">
        <v>83.353821180252595</v>
      </c>
      <c r="D495" s="49">
        <v>83.784649689836684</v>
      </c>
      <c r="E495" s="49">
        <v>551230108.72530174</v>
      </c>
      <c r="F495" s="49" t="s">
        <v>582</v>
      </c>
      <c r="G495" s="25">
        <f t="shared" si="6"/>
        <v>4.6732205492853618E-2</v>
      </c>
    </row>
    <row r="496" spans="1:7">
      <c r="A496" s="49">
        <v>82.599121586897624</v>
      </c>
      <c r="B496" s="49">
        <v>83.289836649165636</v>
      </c>
      <c r="C496" s="49">
        <v>78.191875882126695</v>
      </c>
      <c r="D496" s="49">
        <v>78.836629239358331</v>
      </c>
      <c r="E496" s="49">
        <v>424809757.38277119</v>
      </c>
      <c r="F496" s="49" t="s">
        <v>583</v>
      </c>
      <c r="G496" s="25">
        <f t="shared" si="6"/>
        <v>4.7725180336108508E-2</v>
      </c>
    </row>
    <row r="497" spans="1:7">
      <c r="A497" s="49">
        <v>79.645297350654005</v>
      </c>
      <c r="B497" s="49">
        <v>84.048544646983331</v>
      </c>
      <c r="C497" s="49">
        <v>79.151493908114475</v>
      </c>
      <c r="D497" s="49">
        <v>83.916597168410007</v>
      </c>
      <c r="E497" s="49">
        <v>512411413.17020744</v>
      </c>
      <c r="F497" s="49" t="s">
        <v>584</v>
      </c>
      <c r="G497" s="25">
        <f t="shared" si="6"/>
        <v>-5.0899344848123973E-2</v>
      </c>
    </row>
    <row r="498" spans="1:7">
      <c r="A498" s="49">
        <v>82.390204745823212</v>
      </c>
      <c r="B498" s="49">
        <v>82.736067076022962</v>
      </c>
      <c r="C498" s="49">
        <v>80.232063789461122</v>
      </c>
      <c r="D498" s="49">
        <v>80.736862855215108</v>
      </c>
      <c r="E498" s="49">
        <v>438733937.66924101</v>
      </c>
      <c r="F498" s="49" t="s">
        <v>585</v>
      </c>
      <c r="G498" s="25">
        <f t="shared" si="6"/>
        <v>2.0478153747105932E-2</v>
      </c>
    </row>
    <row r="499" spans="1:7">
      <c r="A499" s="49">
        <v>79.486360615099784</v>
      </c>
      <c r="B499" s="49">
        <v>80.041139786373961</v>
      </c>
      <c r="C499" s="49">
        <v>76.369601234860326</v>
      </c>
      <c r="D499" s="49">
        <v>78.072923230988621</v>
      </c>
      <c r="E499" s="49">
        <v>596577882.13254547</v>
      </c>
      <c r="F499" s="49" t="s">
        <v>586</v>
      </c>
      <c r="G499" s="25">
        <f t="shared" si="6"/>
        <v>1.8104066373041183E-2</v>
      </c>
    </row>
    <row r="500" spans="1:7">
      <c r="A500" s="49">
        <v>76.169680812779546</v>
      </c>
      <c r="B500" s="49">
        <v>84.290448357701081</v>
      </c>
      <c r="C500" s="49">
        <v>75.575917159199605</v>
      </c>
      <c r="D500" s="49">
        <v>83.11691548008686</v>
      </c>
      <c r="E500" s="49">
        <v>875546370.79181409</v>
      </c>
      <c r="F500" s="49" t="s">
        <v>587</v>
      </c>
      <c r="G500" s="25">
        <f t="shared" si="6"/>
        <v>-8.3583884546001075E-2</v>
      </c>
    </row>
    <row r="501" spans="1:7">
      <c r="A501" s="49">
        <v>84.637310290011243</v>
      </c>
      <c r="B501" s="49">
        <v>86.155695899693711</v>
      </c>
      <c r="C501" s="49">
        <v>82.369213101504712</v>
      </c>
      <c r="D501" s="49">
        <v>84.936191321022022</v>
      </c>
      <c r="E501" s="49">
        <v>447438371.07273191</v>
      </c>
      <c r="F501" s="49" t="s">
        <v>588</v>
      </c>
      <c r="G501" s="25">
        <f t="shared" si="6"/>
        <v>-3.5188890196540257E-3</v>
      </c>
    </row>
    <row r="502" spans="1:7">
      <c r="A502" s="49">
        <v>84.001563347794345</v>
      </c>
      <c r="B502" s="49">
        <v>88.73967735110898</v>
      </c>
      <c r="C502" s="49">
        <v>83.916597168410007</v>
      </c>
      <c r="D502" s="49">
        <v>88.30485043308326</v>
      </c>
      <c r="E502" s="49">
        <v>495596702.77187902</v>
      </c>
      <c r="F502" s="49" t="s">
        <v>589</v>
      </c>
      <c r="G502" s="25">
        <f t="shared" si="6"/>
        <v>-4.8732171156893767E-2</v>
      </c>
    </row>
    <row r="503" spans="1:7">
      <c r="A503" s="49">
        <v>87.380218480959627</v>
      </c>
      <c r="B503" s="49">
        <v>88.082938764573584</v>
      </c>
      <c r="C503" s="49">
        <v>86.029656069592875</v>
      </c>
      <c r="D503" s="49">
        <v>86.398109407487766</v>
      </c>
      <c r="E503" s="49">
        <v>370600478.07452404</v>
      </c>
      <c r="F503" s="49" t="s">
        <v>590</v>
      </c>
      <c r="G503" s="25">
        <f t="shared" si="6"/>
        <v>1.1367251901773123E-2</v>
      </c>
    </row>
    <row r="504" spans="1:7">
      <c r="A504" s="49">
        <v>85.966781096848464</v>
      </c>
      <c r="B504" s="49">
        <v>90.576946030031394</v>
      </c>
      <c r="C504" s="49">
        <v>85.894819740920497</v>
      </c>
      <c r="D504" s="49">
        <v>89.062548832769451</v>
      </c>
      <c r="E504" s="49">
        <v>443253315.88281286</v>
      </c>
      <c r="F504" s="49" t="s">
        <v>591</v>
      </c>
      <c r="G504" s="25">
        <f t="shared" si="6"/>
        <v>-3.475947832723536E-2</v>
      </c>
    </row>
    <row r="505" spans="1:7">
      <c r="A505" s="49">
        <v>88.150911708081054</v>
      </c>
      <c r="B505" s="49">
        <v>90.139110309653375</v>
      </c>
      <c r="C505" s="49">
        <v>87.495172723656069</v>
      </c>
      <c r="D505" s="49">
        <v>89.663309701122202</v>
      </c>
      <c r="E505" s="49">
        <v>426974678.78247243</v>
      </c>
      <c r="F505" s="49" t="s">
        <v>592</v>
      </c>
      <c r="G505" s="25">
        <f t="shared" si="6"/>
        <v>-1.6867523606729162E-2</v>
      </c>
    </row>
    <row r="506" spans="1:7">
      <c r="A506" s="49">
        <v>90.579944836362614</v>
      </c>
      <c r="B506" s="49">
        <v>90.702885899921185</v>
      </c>
      <c r="C506" s="49">
        <v>86.891413048972097</v>
      </c>
      <c r="D506" s="49">
        <v>87.385216491511656</v>
      </c>
      <c r="E506" s="49">
        <v>431809082.34135175</v>
      </c>
      <c r="F506" s="49" t="s">
        <v>593</v>
      </c>
      <c r="G506" s="25">
        <f t="shared" si="6"/>
        <v>3.6559139784946071E-2</v>
      </c>
    </row>
    <row r="507" spans="1:7">
      <c r="A507" s="49">
        <v>87.004368087447745</v>
      </c>
      <c r="B507" s="49">
        <v>87.365224449303568</v>
      </c>
      <c r="C507" s="49">
        <v>83.675693059802668</v>
      </c>
      <c r="D507" s="49">
        <v>83.892606717760316</v>
      </c>
      <c r="E507" s="49">
        <v>432100458.27680498</v>
      </c>
      <c r="F507" s="49" t="s">
        <v>594</v>
      </c>
      <c r="G507" s="25">
        <f t="shared" si="6"/>
        <v>3.7092200271667819E-2</v>
      </c>
    </row>
    <row r="508" spans="1:7">
      <c r="A508" s="49">
        <v>85.320038531417126</v>
      </c>
      <c r="B508" s="49">
        <v>87.600130945248495</v>
      </c>
      <c r="C508" s="49">
        <v>82.988966409955168</v>
      </c>
      <c r="D508" s="49">
        <v>87.407207737940524</v>
      </c>
      <c r="E508" s="49">
        <v>503747786.00309342</v>
      </c>
      <c r="F508" s="49" t="s">
        <v>595</v>
      </c>
      <c r="G508" s="25">
        <f t="shared" si="6"/>
        <v>-2.387868529997017E-2</v>
      </c>
    </row>
    <row r="509" spans="1:7">
      <c r="A509" s="49">
        <v>87.098330685825729</v>
      </c>
      <c r="B509" s="49">
        <v>88.794655467181187</v>
      </c>
      <c r="C509" s="49">
        <v>86.697490239553744</v>
      </c>
      <c r="D509" s="49">
        <v>88.664707192828672</v>
      </c>
      <c r="E509" s="49">
        <v>283332735.14754099</v>
      </c>
      <c r="F509" s="49" t="s">
        <v>596</v>
      </c>
      <c r="G509" s="25">
        <f t="shared" si="6"/>
        <v>-1.7666290868094459E-2</v>
      </c>
    </row>
    <row r="510" spans="1:7">
      <c r="A510" s="49">
        <v>87.972982532429157</v>
      </c>
      <c r="B510" s="49">
        <v>88.445794330650216</v>
      </c>
      <c r="C510" s="49">
        <v>85.89181093856817</v>
      </c>
      <c r="D510" s="49">
        <v>86.831436922347862</v>
      </c>
      <c r="E510" s="49">
        <v>399837551.20174086</v>
      </c>
      <c r="F510" s="49" t="s">
        <v>597</v>
      </c>
      <c r="G510" s="25">
        <f t="shared" si="6"/>
        <v>1.3146685699813476E-2</v>
      </c>
    </row>
    <row r="511" spans="1:7">
      <c r="A511" s="49">
        <v>85.870819294249685</v>
      </c>
      <c r="B511" s="49">
        <v>90.597927678328773</v>
      </c>
      <c r="C511" s="49">
        <v>85.845829241489582</v>
      </c>
      <c r="D511" s="49">
        <v>90.370028393177776</v>
      </c>
      <c r="E511" s="49">
        <v>435138056.90569645</v>
      </c>
      <c r="F511" s="49" t="s">
        <v>598</v>
      </c>
      <c r="G511" s="25">
        <f t="shared" ref="G511:G574" si="7">A511/D511-1</f>
        <v>-4.9786518593898599E-2</v>
      </c>
    </row>
    <row r="512" spans="1:7">
      <c r="A512" s="49">
        <v>88.928602149975319</v>
      </c>
      <c r="B512" s="49">
        <v>90.338041125644864</v>
      </c>
      <c r="C512" s="49">
        <v>88.364826559707495</v>
      </c>
      <c r="D512" s="49">
        <v>88.448793136981436</v>
      </c>
      <c r="E512" s="49">
        <v>370213854.24092305</v>
      </c>
      <c r="F512" s="49" t="s">
        <v>599</v>
      </c>
      <c r="G512" s="25">
        <f t="shared" si="7"/>
        <v>5.4247095520094657E-3</v>
      </c>
    </row>
    <row r="513" spans="1:7">
      <c r="A513" s="49">
        <v>89.416407979852437</v>
      </c>
      <c r="B513" s="49">
        <v>90.058152534731761</v>
      </c>
      <c r="C513" s="49">
        <v>87.585136913592436</v>
      </c>
      <c r="D513" s="49">
        <v>88.412807461006892</v>
      </c>
      <c r="E513" s="49">
        <v>433235930.0692178</v>
      </c>
      <c r="F513" s="49" t="s">
        <v>600</v>
      </c>
      <c r="G513" s="25">
        <f t="shared" si="7"/>
        <v>1.135130246020255E-2</v>
      </c>
    </row>
    <row r="514" spans="1:7">
      <c r="A514" s="49">
        <v>90.327045502430408</v>
      </c>
      <c r="B514" s="49">
        <v>92.188304632002541</v>
      </c>
      <c r="C514" s="49">
        <v>89.16850665647226</v>
      </c>
      <c r="D514" s="49">
        <v>90.26307096736457</v>
      </c>
      <c r="E514" s="49">
        <v>452621583.41899872</v>
      </c>
      <c r="F514" s="49" t="s">
        <v>601</v>
      </c>
      <c r="G514" s="25">
        <f t="shared" si="7"/>
        <v>7.0875646463397501E-4</v>
      </c>
    </row>
    <row r="515" spans="1:7">
      <c r="A515" s="49">
        <v>90.320048287657585</v>
      </c>
      <c r="B515" s="49">
        <v>91.263672679878894</v>
      </c>
      <c r="C515" s="49">
        <v>89.157511033257805</v>
      </c>
      <c r="D515" s="49">
        <v>89.96418993635379</v>
      </c>
      <c r="E515" s="49">
        <v>435385505.36286312</v>
      </c>
      <c r="F515" s="49" t="s">
        <v>602</v>
      </c>
      <c r="G515" s="25">
        <f t="shared" si="7"/>
        <v>3.95555555555549E-3</v>
      </c>
    </row>
    <row r="516" spans="1:7">
      <c r="A516" s="49">
        <v>90.214090463954776</v>
      </c>
      <c r="B516" s="49">
        <v>93.202900774062527</v>
      </c>
      <c r="C516" s="49">
        <v>89.08753888552954</v>
      </c>
      <c r="D516" s="49">
        <v>93.074951703930822</v>
      </c>
      <c r="E516" s="49">
        <v>586300512.87424254</v>
      </c>
      <c r="F516" s="49" t="s">
        <v>603</v>
      </c>
      <c r="G516" s="25">
        <f t="shared" si="7"/>
        <v>-3.0737176733396265E-2</v>
      </c>
    </row>
    <row r="517" spans="1:7">
      <c r="A517" s="49">
        <v>92.524170941098262</v>
      </c>
      <c r="B517" s="49">
        <v>96.336653390178853</v>
      </c>
      <c r="C517" s="49">
        <v>92.465194416584424</v>
      </c>
      <c r="D517" s="49">
        <v>95.812861884327191</v>
      </c>
      <c r="E517" s="49">
        <v>513852036.37919414</v>
      </c>
      <c r="F517" s="49" t="s">
        <v>604</v>
      </c>
      <c r="G517" s="25">
        <f t="shared" si="7"/>
        <v>-3.4324107208062449E-2</v>
      </c>
    </row>
    <row r="518" spans="1:7">
      <c r="A518" s="49">
        <v>94.964199692594249</v>
      </c>
      <c r="B518" s="49">
        <v>96.727487819325688</v>
      </c>
      <c r="C518" s="49">
        <v>93.472793343871587</v>
      </c>
      <c r="D518" s="49">
        <v>93.903621853455675</v>
      </c>
      <c r="E518" s="49">
        <v>552355856.64868832</v>
      </c>
      <c r="F518" s="49" t="s">
        <v>605</v>
      </c>
      <c r="G518" s="25">
        <f t="shared" si="7"/>
        <v>1.1294323032541742E-2</v>
      </c>
    </row>
    <row r="519" spans="1:7">
      <c r="A519" s="49">
        <v>94.251483387876249</v>
      </c>
      <c r="B519" s="49">
        <v>94.740278823842672</v>
      </c>
      <c r="C519" s="49">
        <v>90.797868092451779</v>
      </c>
      <c r="D519" s="49">
        <v>91.104735944324673</v>
      </c>
      <c r="E519" s="49">
        <v>586952902.45326865</v>
      </c>
      <c r="F519" s="49" t="s">
        <v>606</v>
      </c>
      <c r="G519" s="25">
        <f t="shared" si="7"/>
        <v>3.453988874381464E-2</v>
      </c>
    </row>
    <row r="520" spans="1:7">
      <c r="A520" s="49">
        <v>91.398618964783438</v>
      </c>
      <c r="B520" s="49">
        <v>92.611136324703395</v>
      </c>
      <c r="C520" s="49">
        <v>90.369028791067379</v>
      </c>
      <c r="D520" s="49">
        <v>92.263274790282836</v>
      </c>
      <c r="E520" s="49">
        <v>480563521.22534585</v>
      </c>
      <c r="F520" s="49" t="s">
        <v>607</v>
      </c>
      <c r="G520" s="25">
        <f t="shared" si="7"/>
        <v>-9.3716143011917108E-3</v>
      </c>
    </row>
    <row r="521" spans="1:7">
      <c r="A521" s="49">
        <v>90.336041921424055</v>
      </c>
      <c r="B521" s="49">
        <v>90.374026801619408</v>
      </c>
      <c r="C521" s="49">
        <v>88.18789698616601</v>
      </c>
      <c r="D521" s="49">
        <v>89.76127070794179</v>
      </c>
      <c r="E521" s="49">
        <v>479253479.97356135</v>
      </c>
      <c r="F521" s="49" t="s">
        <v>608</v>
      </c>
      <c r="G521" s="25">
        <f t="shared" si="7"/>
        <v>6.4033319598650884E-3</v>
      </c>
    </row>
    <row r="522" spans="1:7">
      <c r="A522" s="49">
        <v>89.362429465890628</v>
      </c>
      <c r="B522" s="49">
        <v>90.507973484413526</v>
      </c>
      <c r="C522" s="49">
        <v>84.97617540543817</v>
      </c>
      <c r="D522" s="49">
        <v>86.665502972020818</v>
      </c>
      <c r="E522" s="49">
        <v>672438826.41302264</v>
      </c>
      <c r="F522" s="49" t="s">
        <v>609</v>
      </c>
      <c r="G522" s="25">
        <f t="shared" si="7"/>
        <v>3.1118800461361174E-2</v>
      </c>
    </row>
    <row r="523" spans="1:7">
      <c r="A523" s="49">
        <v>88.419804675779716</v>
      </c>
      <c r="B523" s="49">
        <v>92.368233011875233</v>
      </c>
      <c r="C523" s="49">
        <v>87.050349784526333</v>
      </c>
      <c r="D523" s="49">
        <v>90.352035555190511</v>
      </c>
      <c r="E523" s="49">
        <v>669242214.51440549</v>
      </c>
      <c r="F523" s="49" t="s">
        <v>610</v>
      </c>
      <c r="G523" s="25">
        <f t="shared" si="7"/>
        <v>-2.1385582156923433E-2</v>
      </c>
    </row>
    <row r="524" spans="1:7">
      <c r="A524" s="49">
        <v>87.801550770494885</v>
      </c>
      <c r="B524" s="49">
        <v>89.510370578230408</v>
      </c>
      <c r="C524" s="49">
        <v>86.222679237111876</v>
      </c>
      <c r="D524" s="49">
        <v>86.895411457413715</v>
      </c>
      <c r="E524" s="49">
        <v>642341741.09590292</v>
      </c>
      <c r="F524" s="49" t="s">
        <v>611</v>
      </c>
      <c r="G524" s="25">
        <f t="shared" si="7"/>
        <v>1.0427930518808415E-2</v>
      </c>
    </row>
    <row r="525" spans="1:7">
      <c r="A525" s="49">
        <v>87.909007997363318</v>
      </c>
      <c r="B525" s="49">
        <v>90.609932899674732</v>
      </c>
      <c r="C525" s="49">
        <v>86.565542760980421</v>
      </c>
      <c r="D525" s="49">
        <v>89.541358243652923</v>
      </c>
      <c r="E525" s="49">
        <v>602557911.52402449</v>
      </c>
      <c r="F525" s="49" t="s">
        <v>612</v>
      </c>
      <c r="G525" s="25">
        <f t="shared" si="7"/>
        <v>-1.8230126036817285E-2</v>
      </c>
    </row>
    <row r="526" spans="1:7">
      <c r="A526" s="49">
        <v>90.851836610392482</v>
      </c>
      <c r="B526" s="49">
        <v>91.467591510401292</v>
      </c>
      <c r="C526" s="49">
        <v>88.399812633571642</v>
      </c>
      <c r="D526" s="49">
        <v>91.018770162829938</v>
      </c>
      <c r="E526" s="49">
        <v>635965934.22868395</v>
      </c>
      <c r="F526" s="49" t="s">
        <v>613</v>
      </c>
      <c r="G526" s="25">
        <f t="shared" si="7"/>
        <v>-1.8340563395750076E-3</v>
      </c>
    </row>
    <row r="527" spans="1:7">
      <c r="A527" s="49">
        <v>91.876428773556512</v>
      </c>
      <c r="B527" s="49">
        <v>91.923410072745497</v>
      </c>
      <c r="C527" s="49">
        <v>86.115821771509687</v>
      </c>
      <c r="D527" s="49">
        <v>88.013966218955716</v>
      </c>
      <c r="E527" s="49">
        <v>668341075.96075034</v>
      </c>
      <c r="F527" s="49" t="s">
        <v>614</v>
      </c>
      <c r="G527" s="25">
        <f t="shared" si="7"/>
        <v>4.3884655135208783E-2</v>
      </c>
    </row>
    <row r="528" spans="1:7">
      <c r="A528" s="49">
        <v>85.739871417786773</v>
      </c>
      <c r="B528" s="49">
        <v>88.761668597537863</v>
      </c>
      <c r="C528" s="49">
        <v>84.132511224257257</v>
      </c>
      <c r="D528" s="49">
        <v>86.394610800101347</v>
      </c>
      <c r="E528" s="49">
        <v>678634141.46442592</v>
      </c>
      <c r="F528" s="49" t="s">
        <v>615</v>
      </c>
      <c r="G528" s="25">
        <f t="shared" si="7"/>
        <v>-7.5784748174801964E-3</v>
      </c>
    </row>
    <row r="529" spans="1:7">
      <c r="A529" s="49">
        <v>87.493173519435274</v>
      </c>
      <c r="B529" s="49">
        <v>97.361245553342883</v>
      </c>
      <c r="C529" s="49">
        <v>86.47158016260245</v>
      </c>
      <c r="D529" s="49">
        <v>95.100045619398145</v>
      </c>
      <c r="E529" s="49">
        <v>1142723737.8864861</v>
      </c>
      <c r="F529" s="49" t="s">
        <v>616</v>
      </c>
      <c r="G529" s="25">
        <f t="shared" si="7"/>
        <v>-7.9988101482164287E-2</v>
      </c>
    </row>
    <row r="530" spans="1:7">
      <c r="A530" s="49">
        <v>92.63212796902188</v>
      </c>
      <c r="B530" s="49">
        <v>92.730088975841468</v>
      </c>
      <c r="C530" s="49">
        <v>89.566358292434117</v>
      </c>
      <c r="D530" s="49">
        <v>90.122127069797614</v>
      </c>
      <c r="E530" s="49">
        <v>608361220.60032868</v>
      </c>
      <c r="F530" s="49" t="s">
        <v>617</v>
      </c>
      <c r="G530" s="25">
        <f t="shared" si="7"/>
        <v>2.7851105836420365E-2</v>
      </c>
    </row>
    <row r="531" spans="1:7">
      <c r="A531" s="49">
        <v>88.664707192828672</v>
      </c>
      <c r="B531" s="49">
        <v>89.688299753882305</v>
      </c>
      <c r="C531" s="49">
        <v>86.995381664475218</v>
      </c>
      <c r="D531" s="49">
        <v>87.986976961974818</v>
      </c>
      <c r="E531" s="49">
        <v>582752171.0259378</v>
      </c>
      <c r="F531" s="49" t="s">
        <v>618</v>
      </c>
      <c r="G531" s="25">
        <f t="shared" si="7"/>
        <v>7.7026197995955226E-3</v>
      </c>
    </row>
    <row r="532" spans="1:7">
      <c r="A532" s="49">
        <v>85.929795818763523</v>
      </c>
      <c r="B532" s="49">
        <v>86.062742899447244</v>
      </c>
      <c r="C532" s="49">
        <v>83.383819239585819</v>
      </c>
      <c r="D532" s="49">
        <v>85.236071954143199</v>
      </c>
      <c r="E532" s="49">
        <v>520846539.41918343</v>
      </c>
      <c r="F532" s="49" t="s">
        <v>619</v>
      </c>
      <c r="G532" s="25">
        <f t="shared" si="7"/>
        <v>8.1388530550017268E-3</v>
      </c>
    </row>
    <row r="533" spans="1:7">
      <c r="A533" s="49">
        <v>85.199086676058243</v>
      </c>
      <c r="B533" s="49">
        <v>87.655993360359105</v>
      </c>
      <c r="C533" s="49">
        <v>83.681761880790276</v>
      </c>
      <c r="D533" s="49">
        <v>84.092579068441879</v>
      </c>
      <c r="E533" s="49">
        <v>615890397.3720119</v>
      </c>
      <c r="F533" s="49" t="s">
        <v>620</v>
      </c>
      <c r="G533" s="25">
        <f t="shared" si="7"/>
        <v>1.3158207535956201E-2</v>
      </c>
    </row>
    <row r="534" spans="1:7">
      <c r="A534" s="49">
        <v>82.242402391208003</v>
      </c>
      <c r="B534" s="49">
        <v>82.263393050431077</v>
      </c>
      <c r="C534" s="49">
        <v>79.399697385939049</v>
      </c>
      <c r="D534" s="49">
        <v>79.964416087903842</v>
      </c>
      <c r="E534" s="49">
        <v>479348313.60318369</v>
      </c>
      <c r="F534" s="49" t="s">
        <v>621</v>
      </c>
      <c r="G534" s="25">
        <f t="shared" si="7"/>
        <v>2.8487499999999999E-2</v>
      </c>
    </row>
    <row r="535" spans="1:7">
      <c r="A535" s="49">
        <v>79.076811069328116</v>
      </c>
      <c r="B535" s="49">
        <v>79.954420535892851</v>
      </c>
      <c r="C535" s="49">
        <v>78.315150006090832</v>
      </c>
      <c r="D535" s="49">
        <v>79.058819075708342</v>
      </c>
      <c r="E535" s="49">
        <v>507514721.99068528</v>
      </c>
      <c r="F535" s="49" t="s">
        <v>622</v>
      </c>
      <c r="G535" s="25">
        <f t="shared" si="7"/>
        <v>2.2757731307043727E-4</v>
      </c>
    </row>
    <row r="536" spans="1:7">
      <c r="A536" s="49">
        <v>77.628455582935956</v>
      </c>
      <c r="B536" s="49">
        <v>78.897890688331429</v>
      </c>
      <c r="C536" s="49">
        <v>77.090694884744806</v>
      </c>
      <c r="D536" s="49">
        <v>77.585474709288704</v>
      </c>
      <c r="E536" s="49">
        <v>393285332.88392562</v>
      </c>
      <c r="F536" s="49" t="s">
        <v>623</v>
      </c>
      <c r="G536" s="25">
        <f t="shared" si="7"/>
        <v>5.5398093274927618E-4</v>
      </c>
    </row>
    <row r="537" spans="1:7">
      <c r="A537" s="49">
        <v>78.665993881676499</v>
      </c>
      <c r="B537" s="49">
        <v>79.444647383332466</v>
      </c>
      <c r="C537" s="49">
        <v>77.127678427185458</v>
      </c>
      <c r="D537" s="49">
        <v>79.345691418423684</v>
      </c>
      <c r="E537" s="49">
        <v>391879547.5921725</v>
      </c>
      <c r="F537" s="49" t="s">
        <v>624</v>
      </c>
      <c r="G537" s="25">
        <f t="shared" si="7"/>
        <v>-8.5662816039102641E-3</v>
      </c>
    </row>
    <row r="538" spans="1:7">
      <c r="A538" s="49">
        <v>79.056819965306133</v>
      </c>
      <c r="B538" s="49">
        <v>80.610118752261656</v>
      </c>
      <c r="C538" s="49">
        <v>78.47008106226113</v>
      </c>
      <c r="D538" s="49">
        <v>79.664549527574209</v>
      </c>
      <c r="E538" s="49">
        <v>504196996.26993018</v>
      </c>
      <c r="F538" s="49" t="s">
        <v>625</v>
      </c>
      <c r="G538" s="25">
        <f t="shared" si="7"/>
        <v>-7.6286072772899782E-3</v>
      </c>
    </row>
    <row r="539" spans="1:7">
      <c r="A539" s="49">
        <v>78.781942285003964</v>
      </c>
      <c r="B539" s="49">
        <v>82.357351239334378</v>
      </c>
      <c r="C539" s="49">
        <v>77.535496949233774</v>
      </c>
      <c r="D539" s="49">
        <v>80.754064696771891</v>
      </c>
      <c r="E539" s="49">
        <v>829757445.19988906</v>
      </c>
      <c r="F539" s="49" t="s">
        <v>626</v>
      </c>
      <c r="G539" s="25">
        <f t="shared" si="7"/>
        <v>-2.4421339274662723E-2</v>
      </c>
    </row>
    <row r="540" spans="1:7">
      <c r="A540" s="49">
        <v>78.503066383897405</v>
      </c>
      <c r="B540" s="49">
        <v>78.540049926338057</v>
      </c>
      <c r="C540" s="49">
        <v>74.186987025552796</v>
      </c>
      <c r="D540" s="49">
        <v>74.991628962437318</v>
      </c>
      <c r="E540" s="49">
        <v>865484706.64652348</v>
      </c>
      <c r="F540" s="49" t="s">
        <v>627</v>
      </c>
      <c r="G540" s="25">
        <f t="shared" si="7"/>
        <v>4.6824391869376925E-2</v>
      </c>
    </row>
    <row r="541" spans="1:7">
      <c r="A541" s="49">
        <v>67.441988528538104</v>
      </c>
      <c r="B541" s="49">
        <v>68.857358693294003</v>
      </c>
      <c r="C541" s="49">
        <v>66.218532962393169</v>
      </c>
      <c r="D541" s="49">
        <v>67.975751005924849</v>
      </c>
      <c r="E541" s="49">
        <v>690605310.48326719</v>
      </c>
      <c r="F541" s="49" t="s">
        <v>628</v>
      </c>
      <c r="G541" s="25">
        <f t="shared" si="7"/>
        <v>-7.8522483310293767E-3</v>
      </c>
    </row>
    <row r="542" spans="1:7">
      <c r="A542" s="49">
        <v>69.421107826713722</v>
      </c>
      <c r="B542" s="49">
        <v>71.923994050265108</v>
      </c>
      <c r="C542" s="49">
        <v>67.703871991225995</v>
      </c>
      <c r="D542" s="49">
        <v>71.914998053455221</v>
      </c>
      <c r="E542" s="49">
        <v>705146748.49891841</v>
      </c>
      <c r="F542" s="49" t="s">
        <v>629</v>
      </c>
      <c r="G542" s="25">
        <f t="shared" si="7"/>
        <v>-3.4678304863302145E-2</v>
      </c>
    </row>
    <row r="543" spans="1:7">
      <c r="A543" s="49">
        <v>72.580701817387023</v>
      </c>
      <c r="B543" s="49">
        <v>74.368906072152768</v>
      </c>
      <c r="C543" s="49">
        <v>72.468751634863963</v>
      </c>
      <c r="D543" s="49">
        <v>74.06704040142094</v>
      </c>
      <c r="E543" s="49">
        <v>495547038.77834249</v>
      </c>
      <c r="F543" s="49" t="s">
        <v>630</v>
      </c>
      <c r="G543" s="25">
        <f t="shared" si="7"/>
        <v>-2.0067476383265892E-2</v>
      </c>
    </row>
    <row r="544" spans="1:7">
      <c r="A544" s="49">
        <v>72.625681801436471</v>
      </c>
      <c r="B544" s="49">
        <v>73.942096001283588</v>
      </c>
      <c r="C544" s="49">
        <v>72.367796559552986</v>
      </c>
      <c r="D544" s="49">
        <v>73.836143149967114</v>
      </c>
      <c r="E544" s="49">
        <v>420308762.87589276</v>
      </c>
      <c r="F544" s="49" t="s">
        <v>631</v>
      </c>
      <c r="G544" s="25">
        <f t="shared" si="7"/>
        <v>-1.6393886474705188E-2</v>
      </c>
    </row>
    <row r="545" spans="1:7">
      <c r="A545" s="49">
        <v>73.867129361201179</v>
      </c>
      <c r="B545" s="49">
        <v>74.202979908770374</v>
      </c>
      <c r="C545" s="49">
        <v>71.906002056645335</v>
      </c>
      <c r="D545" s="49">
        <v>73.169439830834207</v>
      </c>
      <c r="E545" s="49">
        <v>505142106.65399051</v>
      </c>
      <c r="F545" s="49" t="s">
        <v>632</v>
      </c>
      <c r="G545" s="25">
        <f t="shared" si="7"/>
        <v>9.5352585994918915E-3</v>
      </c>
    </row>
    <row r="546" spans="1:7">
      <c r="A546" s="49">
        <v>72.095917544854103</v>
      </c>
      <c r="B546" s="49">
        <v>73.417329520706716</v>
      </c>
      <c r="C546" s="49">
        <v>69.589033100498327</v>
      </c>
      <c r="D546" s="49">
        <v>70.368686157355384</v>
      </c>
      <c r="E546" s="49">
        <v>602848296.25976777</v>
      </c>
      <c r="F546" s="49" t="s">
        <v>633</v>
      </c>
      <c r="G546" s="25">
        <f t="shared" si="7"/>
        <v>2.4545454545454426E-2</v>
      </c>
    </row>
    <row r="547" spans="1:7">
      <c r="A547" s="49">
        <v>72.215864168985959</v>
      </c>
      <c r="B547" s="49">
        <v>74.577813109182429</v>
      </c>
      <c r="C547" s="49">
        <v>71.218308078289368</v>
      </c>
      <c r="D547" s="49">
        <v>72.567707599772746</v>
      </c>
      <c r="E547" s="49">
        <v>613983279.08789468</v>
      </c>
      <c r="F547" s="49" t="s">
        <v>634</v>
      </c>
      <c r="G547" s="25">
        <f t="shared" si="7"/>
        <v>-4.8484848484849907E-3</v>
      </c>
    </row>
    <row r="548" spans="1:7">
      <c r="A548" s="49">
        <v>72.100915320859599</v>
      </c>
      <c r="B548" s="49">
        <v>72.152892191316738</v>
      </c>
      <c r="C548" s="49">
        <v>70.180769779548811</v>
      </c>
      <c r="D548" s="49">
        <v>70.501626999101532</v>
      </c>
      <c r="E548" s="49">
        <v>436831192.03422755</v>
      </c>
      <c r="F548" s="49" t="s">
        <v>635</v>
      </c>
      <c r="G548" s="25">
        <f t="shared" si="7"/>
        <v>2.2684417223143738E-2</v>
      </c>
    </row>
    <row r="549" spans="1:7">
      <c r="A549" s="49">
        <v>69.610023759721386</v>
      </c>
      <c r="B549" s="49">
        <v>70.762510906588318</v>
      </c>
      <c r="C549" s="49">
        <v>69.424106492317009</v>
      </c>
      <c r="D549" s="49">
        <v>70.042831161797181</v>
      </c>
      <c r="E549" s="49">
        <v>414606526.52743053</v>
      </c>
      <c r="F549" s="49" t="s">
        <v>636</v>
      </c>
      <c r="G549" s="25">
        <f t="shared" si="7"/>
        <v>-6.1791820075921544E-3</v>
      </c>
    </row>
    <row r="550" spans="1:7">
      <c r="A550" s="49">
        <v>70.067820041824646</v>
      </c>
      <c r="B550" s="49">
        <v>70.188766221157607</v>
      </c>
      <c r="C550" s="49">
        <v>67.569931594278742</v>
      </c>
      <c r="D550" s="49">
        <v>68.288611783868788</v>
      </c>
      <c r="E550" s="49">
        <v>495795079.10640788</v>
      </c>
      <c r="F550" s="49" t="s">
        <v>637</v>
      </c>
      <c r="G550" s="25">
        <f t="shared" si="7"/>
        <v>2.605424552467106E-2</v>
      </c>
    </row>
    <row r="551" spans="1:7">
      <c r="A551" s="49">
        <v>68.192654484563306</v>
      </c>
      <c r="B551" s="49">
        <v>69.722963501893545</v>
      </c>
      <c r="C551" s="49">
        <v>66.270509832850308</v>
      </c>
      <c r="D551" s="49">
        <v>69.599028652509304</v>
      </c>
      <c r="E551" s="49">
        <v>683415342.39336109</v>
      </c>
      <c r="F551" s="49" t="s">
        <v>638</v>
      </c>
      <c r="G551" s="25">
        <f t="shared" si="7"/>
        <v>-2.0206807410598771E-2</v>
      </c>
    </row>
    <row r="552" spans="1:7">
      <c r="A552" s="49">
        <v>69.301161202581866</v>
      </c>
      <c r="B552" s="49">
        <v>69.46608781076317</v>
      </c>
      <c r="C552" s="49">
        <v>67.175107289844718</v>
      </c>
      <c r="D552" s="49">
        <v>68.194653594965501</v>
      </c>
      <c r="E552" s="49">
        <v>680380642.5622108</v>
      </c>
      <c r="F552" s="49" t="s">
        <v>639</v>
      </c>
      <c r="G552" s="25">
        <f t="shared" si="7"/>
        <v>1.6225723708318096E-2</v>
      </c>
    </row>
    <row r="553" spans="1:7">
      <c r="A553" s="49">
        <v>66.130572104696483</v>
      </c>
      <c r="B553" s="49">
        <v>66.570376393179956</v>
      </c>
      <c r="C553" s="49">
        <v>63.661670757982449</v>
      </c>
      <c r="D553" s="49">
        <v>63.945544435094504</v>
      </c>
      <c r="E553" s="49">
        <v>476789725.54602724</v>
      </c>
      <c r="F553" s="49" t="s">
        <v>640</v>
      </c>
      <c r="G553" s="25">
        <f t="shared" si="7"/>
        <v>3.4170131615969046E-2</v>
      </c>
    </row>
    <row r="554" spans="1:7">
      <c r="A554" s="49">
        <v>62.99896565965394</v>
      </c>
      <c r="B554" s="49">
        <v>63.162892712634147</v>
      </c>
      <c r="C554" s="49">
        <v>61.622578147740903</v>
      </c>
      <c r="D554" s="49">
        <v>62.07237798823536</v>
      </c>
      <c r="E554" s="49">
        <v>369310058.70831627</v>
      </c>
      <c r="F554" s="49" t="s">
        <v>641</v>
      </c>
      <c r="G554" s="25">
        <f t="shared" si="7"/>
        <v>1.492753623188392E-2</v>
      </c>
    </row>
    <row r="555" spans="1:7">
      <c r="A555" s="49">
        <v>61.499632858005747</v>
      </c>
      <c r="B555" s="49">
        <v>62.24132280832508</v>
      </c>
      <c r="C555" s="49">
        <v>60.673000706697039</v>
      </c>
      <c r="D555" s="49">
        <v>61.412671555510151</v>
      </c>
      <c r="E555" s="49">
        <v>453996807.28102779</v>
      </c>
      <c r="F555" s="49" t="s">
        <v>642</v>
      </c>
      <c r="G555" s="25">
        <f t="shared" si="7"/>
        <v>1.4160156250000444E-3</v>
      </c>
    </row>
    <row r="556" spans="1:7">
      <c r="A556" s="49">
        <v>62.746078193775951</v>
      </c>
      <c r="B556" s="49">
        <v>63.464758383365982</v>
      </c>
      <c r="C556" s="49">
        <v>62.232306820411168</v>
      </c>
      <c r="D556" s="49">
        <v>62.8720221491144</v>
      </c>
      <c r="E556" s="49">
        <v>410918075.90864819</v>
      </c>
      <c r="F556" s="49" t="s">
        <v>643</v>
      </c>
      <c r="G556" s="25">
        <f t="shared" si="7"/>
        <v>-2.0031796502384402E-3</v>
      </c>
    </row>
    <row r="557" spans="1:7">
      <c r="A557" s="49">
        <v>62.437215636636417</v>
      </c>
      <c r="B557" s="49">
        <v>62.461204961462791</v>
      </c>
      <c r="C557" s="49">
        <v>60.879908633324497</v>
      </c>
      <c r="D557" s="49">
        <v>61.204764073681609</v>
      </c>
      <c r="E557" s="49">
        <v>348888165.07246661</v>
      </c>
      <c r="F557" s="49" t="s">
        <v>644</v>
      </c>
      <c r="G557" s="25">
        <f t="shared" si="7"/>
        <v>2.0136529918996393E-2</v>
      </c>
    </row>
    <row r="558" spans="1:7">
      <c r="A558" s="49">
        <v>61.003853478260737</v>
      </c>
      <c r="B558" s="49">
        <v>61.755518989487044</v>
      </c>
      <c r="C558" s="49">
        <v>60.546057196157498</v>
      </c>
      <c r="D558" s="49">
        <v>60.932885058982734</v>
      </c>
      <c r="E558" s="49">
        <v>390482276.0873425</v>
      </c>
      <c r="F558" s="49" t="s">
        <v>645</v>
      </c>
      <c r="G558" s="25">
        <f t="shared" si="7"/>
        <v>1.1646981627295716E-3</v>
      </c>
    </row>
    <row r="559" spans="1:7">
      <c r="A559" s="49">
        <v>61.589592826104635</v>
      </c>
      <c r="B559" s="49">
        <v>62.691102657715518</v>
      </c>
      <c r="C559" s="49">
        <v>60.822933986861862</v>
      </c>
      <c r="D559" s="49">
        <v>62.322266788510056</v>
      </c>
      <c r="E559" s="49">
        <v>482991674.1659587</v>
      </c>
      <c r="F559" s="49" t="s">
        <v>646</v>
      </c>
      <c r="G559" s="25">
        <f t="shared" si="7"/>
        <v>-1.1756214915797925E-2</v>
      </c>
    </row>
    <row r="560" spans="1:7">
      <c r="A560" s="49">
        <v>61.33470624982445</v>
      </c>
      <c r="B560" s="49">
        <v>62.821044833858359</v>
      </c>
      <c r="C560" s="49">
        <v>59.911339643459755</v>
      </c>
      <c r="D560" s="49">
        <v>60.277176847061916</v>
      </c>
      <c r="E560" s="49">
        <v>560520078.71511412</v>
      </c>
      <c r="F560" s="49" t="s">
        <v>647</v>
      </c>
      <c r="G560" s="25">
        <f t="shared" si="7"/>
        <v>1.7544441496418317E-2</v>
      </c>
    </row>
    <row r="561" spans="1:7">
      <c r="A561" s="49">
        <v>59.846368555388338</v>
      </c>
      <c r="B561" s="49">
        <v>59.883352097828997</v>
      </c>
      <c r="C561" s="49">
        <v>58.558941456373084</v>
      </c>
      <c r="D561" s="49">
        <v>59.543503329455405</v>
      </c>
      <c r="E561" s="49">
        <v>294785570.29775864</v>
      </c>
      <c r="F561" s="49" t="s">
        <v>648</v>
      </c>
      <c r="G561" s="25">
        <f t="shared" si="7"/>
        <v>5.0864529125398406E-3</v>
      </c>
    </row>
    <row r="562" spans="1:7">
      <c r="A562" s="49">
        <v>59.627465966347692</v>
      </c>
      <c r="B562" s="49">
        <v>60.304164837491577</v>
      </c>
      <c r="C562" s="49">
        <v>59.043725728906004</v>
      </c>
      <c r="D562" s="49">
        <v>60.022290270781724</v>
      </c>
      <c r="E562" s="49">
        <v>453156193.3768869</v>
      </c>
      <c r="F562" s="49" t="s">
        <v>649</v>
      </c>
      <c r="G562" s="25">
        <f t="shared" si="7"/>
        <v>-6.5779613315792851E-3</v>
      </c>
    </row>
    <row r="563" spans="1:7">
      <c r="A563" s="49">
        <v>59.464538468568591</v>
      </c>
      <c r="B563" s="49">
        <v>59.473534465378485</v>
      </c>
      <c r="C563" s="49">
        <v>57.199546382878722</v>
      </c>
      <c r="D563" s="49">
        <v>57.963206556518202</v>
      </c>
      <c r="E563" s="49">
        <v>543743336.43858373</v>
      </c>
      <c r="F563" s="49" t="s">
        <v>650</v>
      </c>
      <c r="G563" s="25">
        <f t="shared" si="7"/>
        <v>2.5901464070771985E-2</v>
      </c>
    </row>
    <row r="564" spans="1:7">
      <c r="A564" s="49">
        <v>57.081598869149069</v>
      </c>
      <c r="B564" s="49">
        <v>57.574379583290771</v>
      </c>
      <c r="C564" s="49">
        <v>56.082043668050268</v>
      </c>
      <c r="D564" s="49">
        <v>57.234530814917179</v>
      </c>
      <c r="E564" s="49">
        <v>491869142.85427672</v>
      </c>
      <c r="F564" s="49" t="s">
        <v>651</v>
      </c>
      <c r="G564" s="25">
        <f t="shared" si="7"/>
        <v>-2.672022354173853E-3</v>
      </c>
    </row>
    <row r="565" spans="1:7">
      <c r="A565" s="49">
        <v>56.028067687190926</v>
      </c>
      <c r="B565" s="49">
        <v>56.445561903585876</v>
      </c>
      <c r="C565" s="49">
        <v>54.715651708148201</v>
      </c>
      <c r="D565" s="49">
        <v>56.32193691631398</v>
      </c>
      <c r="E565" s="49">
        <v>474605544.02448642</v>
      </c>
      <c r="F565" s="49" t="s">
        <v>652</v>
      </c>
      <c r="G565" s="25">
        <f t="shared" si="7"/>
        <v>-5.2176690861981401E-3</v>
      </c>
    </row>
    <row r="566" spans="1:7">
      <c r="A566" s="49">
        <v>56.356921348352436</v>
      </c>
      <c r="B566" s="49">
        <v>56.809709858898181</v>
      </c>
      <c r="C566" s="49">
        <v>54.875580540324016</v>
      </c>
      <c r="D566" s="49">
        <v>54.99352805405367</v>
      </c>
      <c r="E566" s="49">
        <v>449779791.55706739</v>
      </c>
      <c r="F566" s="49" t="s">
        <v>653</v>
      </c>
      <c r="G566" s="25">
        <f t="shared" si="7"/>
        <v>2.4791886291759102E-2</v>
      </c>
    </row>
    <row r="567" spans="1:7">
      <c r="A567" s="49">
        <v>54.685665052115247</v>
      </c>
      <c r="B567" s="49">
        <v>54.945549404400936</v>
      </c>
      <c r="C567" s="49">
        <v>54.305914040113784</v>
      </c>
      <c r="D567" s="49">
        <v>54.595705084016352</v>
      </c>
      <c r="E567" s="49">
        <v>353150681.03488302</v>
      </c>
      <c r="F567" s="49" t="s">
        <v>654</v>
      </c>
      <c r="G567" s="25">
        <f t="shared" si="7"/>
        <v>1.6477480776273534E-3</v>
      </c>
    </row>
    <row r="568" spans="1:7">
      <c r="A568" s="49">
        <v>54.797615234638307</v>
      </c>
      <c r="B568" s="49">
        <v>55.321382160014082</v>
      </c>
      <c r="C568" s="49">
        <v>53.536176570851623</v>
      </c>
      <c r="D568" s="49">
        <v>54.974536505232798</v>
      </c>
      <c r="E568" s="49">
        <v>597024325.76409066</v>
      </c>
      <c r="F568" s="49" t="s">
        <v>655</v>
      </c>
      <c r="G568" s="25">
        <f t="shared" si="7"/>
        <v>-3.2182403316424191E-3</v>
      </c>
    </row>
    <row r="569" spans="1:7">
      <c r="A569" s="49">
        <v>54.325825179719672</v>
      </c>
      <c r="B569" s="49">
        <v>54.575713979994376</v>
      </c>
      <c r="C569" s="49">
        <v>53.465208151573606</v>
      </c>
      <c r="D569" s="49">
        <v>53.592151662113153</v>
      </c>
      <c r="E569" s="49">
        <v>534033297.42389941</v>
      </c>
      <c r="F569" s="49" t="s">
        <v>656</v>
      </c>
      <c r="G569" s="25">
        <f t="shared" si="7"/>
        <v>1.3689943300507323E-2</v>
      </c>
    </row>
    <row r="570" spans="1:7">
      <c r="A570" s="49">
        <v>53.116363386390127</v>
      </c>
      <c r="B570" s="49">
        <v>54.300836299692207</v>
      </c>
      <c r="C570" s="49">
        <v>51.667008344796869</v>
      </c>
      <c r="D570" s="49">
        <v>52.377692092778119</v>
      </c>
      <c r="E570" s="49">
        <v>773444087.08007431</v>
      </c>
      <c r="F570" s="49" t="s">
        <v>657</v>
      </c>
      <c r="G570" s="25">
        <f t="shared" si="7"/>
        <v>1.4102784298009485E-2</v>
      </c>
    </row>
    <row r="571" spans="1:7">
      <c r="A571" s="49">
        <v>52.229757923015491</v>
      </c>
      <c r="B571" s="49">
        <v>52.25174813743967</v>
      </c>
      <c r="C571" s="49">
        <v>49.456991795167433</v>
      </c>
      <c r="D571" s="49">
        <v>49.489977116803686</v>
      </c>
      <c r="E571" s="49">
        <v>642795814.87215233</v>
      </c>
      <c r="F571" s="49" t="s">
        <v>658</v>
      </c>
      <c r="G571" s="25">
        <f t="shared" si="7"/>
        <v>5.5360316690903133E-2</v>
      </c>
    </row>
    <row r="572" spans="1:7">
      <c r="A572" s="49">
        <v>49.075161708347693</v>
      </c>
      <c r="B572" s="49">
        <v>49.52496154884215</v>
      </c>
      <c r="C572" s="49">
        <v>48.284523539830545</v>
      </c>
      <c r="D572" s="49">
        <v>48.440444155649949</v>
      </c>
      <c r="E572" s="49">
        <v>415223961.16167742</v>
      </c>
      <c r="F572" s="49" t="s">
        <v>659</v>
      </c>
      <c r="G572" s="25">
        <f t="shared" si="7"/>
        <v>1.310304981222421E-2</v>
      </c>
    </row>
    <row r="573" spans="1:7">
      <c r="A573" s="49">
        <v>47.97665054234011</v>
      </c>
      <c r="B573" s="49">
        <v>48.478427253291706</v>
      </c>
      <c r="C573" s="49">
        <v>47.486868493801694</v>
      </c>
      <c r="D573" s="49">
        <v>47.745753290886292</v>
      </c>
      <c r="E573" s="49">
        <v>306671297.05596066</v>
      </c>
      <c r="F573" s="49" t="s">
        <v>660</v>
      </c>
      <c r="G573" s="25">
        <f t="shared" si="7"/>
        <v>4.8359746268342718E-3</v>
      </c>
    </row>
    <row r="574" spans="1:7">
      <c r="A574" s="49">
        <v>47.547841361068727</v>
      </c>
      <c r="B574" s="49">
        <v>48.162667765264594</v>
      </c>
      <c r="C574" s="49">
        <v>47.298952115995121</v>
      </c>
      <c r="D574" s="49">
        <v>47.463878724176425</v>
      </c>
      <c r="E574" s="49">
        <v>321038967.78011161</v>
      </c>
      <c r="F574" s="49" t="s">
        <v>661</v>
      </c>
      <c r="G574" s="25">
        <f t="shared" si="7"/>
        <v>1.7689796777931033E-3</v>
      </c>
    </row>
    <row r="575" spans="1:7">
      <c r="A575" s="49">
        <v>48.146574926526903</v>
      </c>
      <c r="B575" s="49">
        <v>49.273073638165251</v>
      </c>
      <c r="C575" s="49">
        <v>47.573829796297289</v>
      </c>
      <c r="D575" s="49">
        <v>49.222096322909209</v>
      </c>
      <c r="E575" s="49">
        <v>411437226.82640594</v>
      </c>
      <c r="F575" s="49" t="s">
        <v>662</v>
      </c>
      <c r="G575" s="25">
        <f t="shared" ref="G575:G638" si="8">A575/D575-1</f>
        <v>-2.1850377710990188E-2</v>
      </c>
    </row>
    <row r="576" spans="1:7">
      <c r="A576" s="49">
        <v>49.499972668814678</v>
      </c>
      <c r="B576" s="49">
        <v>49.974761389336606</v>
      </c>
      <c r="C576" s="49">
        <v>48.7293156087675</v>
      </c>
      <c r="D576" s="49">
        <v>49.790843232334424</v>
      </c>
      <c r="E576" s="49">
        <v>389466534.28650558</v>
      </c>
      <c r="F576" s="49" t="s">
        <v>663</v>
      </c>
      <c r="G576" s="25">
        <f t="shared" si="8"/>
        <v>-5.8418485134401621E-3</v>
      </c>
    </row>
    <row r="577" spans="1:7">
      <c r="A577" s="49">
        <v>49.499972668814678</v>
      </c>
      <c r="B577" s="49">
        <v>49.861801656060429</v>
      </c>
      <c r="C577" s="49">
        <v>49.390021596693813</v>
      </c>
      <c r="D577" s="49">
        <v>49.620918848147632</v>
      </c>
      <c r="E577" s="49">
        <v>246697210.6482259</v>
      </c>
      <c r="F577" s="49" t="s">
        <v>664</v>
      </c>
      <c r="G577" s="25">
        <f t="shared" si="8"/>
        <v>-2.4374030578329098E-3</v>
      </c>
    </row>
    <row r="578" spans="1:7">
      <c r="A578" s="49">
        <v>49.395019372699302</v>
      </c>
      <c r="B578" s="49">
        <v>49.657902390588291</v>
      </c>
      <c r="C578" s="49">
        <v>49.063167045934506</v>
      </c>
      <c r="D578" s="49">
        <v>49.488977561602589</v>
      </c>
      <c r="E578" s="49">
        <v>233751952.61167547</v>
      </c>
      <c r="F578" s="49" t="s">
        <v>665</v>
      </c>
      <c r="G578" s="25">
        <f t="shared" si="8"/>
        <v>-1.8985679949909962E-3</v>
      </c>
    </row>
    <row r="579" spans="1:7">
      <c r="A579" s="49">
        <v>49.257080754947673</v>
      </c>
      <c r="B579" s="49">
        <v>49.577937974500387</v>
      </c>
      <c r="C579" s="49">
        <v>48.938222645797154</v>
      </c>
      <c r="D579" s="49">
        <v>48.946219087405943</v>
      </c>
      <c r="E579" s="49">
        <v>244308188.01358309</v>
      </c>
      <c r="F579" s="49" t="s">
        <v>666</v>
      </c>
      <c r="G579" s="25">
        <f t="shared" si="8"/>
        <v>6.3510864237870113E-3</v>
      </c>
    </row>
    <row r="580" spans="1:7">
      <c r="A580" s="49">
        <v>48.808280469654314</v>
      </c>
      <c r="B580" s="49">
        <v>49.361034495861944</v>
      </c>
      <c r="C580" s="49">
        <v>48.445441931655445</v>
      </c>
      <c r="D580" s="49">
        <v>49.17311811805537</v>
      </c>
      <c r="E580" s="49">
        <v>252619124.70909321</v>
      </c>
      <c r="F580" s="49" t="s">
        <v>667</v>
      </c>
      <c r="G580" s="25">
        <f t="shared" si="8"/>
        <v>-7.4194531964629773E-3</v>
      </c>
    </row>
    <row r="581" spans="1:7">
      <c r="A581" s="49">
        <v>48.968209301830115</v>
      </c>
      <c r="B581" s="49">
        <v>49.07316259794549</v>
      </c>
      <c r="C581" s="49">
        <v>48.397463282002704</v>
      </c>
      <c r="D581" s="49">
        <v>48.789288920833435</v>
      </c>
      <c r="E581" s="49">
        <v>300559038.32999551</v>
      </c>
      <c r="F581" s="49" t="s">
        <v>668</v>
      </c>
      <c r="G581" s="25">
        <f t="shared" si="8"/>
        <v>3.6672061625451224E-3</v>
      </c>
    </row>
    <row r="582" spans="1:7">
      <c r="A582" s="49">
        <v>48.089600280064275</v>
      </c>
      <c r="B582" s="49">
        <v>49.976760499738802</v>
      </c>
      <c r="C582" s="49">
        <v>48.07660606244999</v>
      </c>
      <c r="D582" s="49">
        <v>49.632913510560819</v>
      </c>
      <c r="E582" s="49">
        <v>398071451.74433577</v>
      </c>
      <c r="F582" s="49" t="s">
        <v>669</v>
      </c>
      <c r="G582" s="25">
        <f t="shared" si="8"/>
        <v>-3.1094552411640275E-2</v>
      </c>
    </row>
    <row r="583" spans="1:7">
      <c r="A583" s="49">
        <v>49.581936195304777</v>
      </c>
      <c r="B583" s="49">
        <v>49.677893494610267</v>
      </c>
      <c r="C583" s="49">
        <v>48.87325155772573</v>
      </c>
      <c r="D583" s="49">
        <v>49.402016259106993</v>
      </c>
      <c r="E583" s="49">
        <v>464651136.31487507</v>
      </c>
      <c r="F583" s="49" t="s">
        <v>670</v>
      </c>
      <c r="G583" s="25">
        <f t="shared" si="8"/>
        <v>3.6419553253479453E-3</v>
      </c>
    </row>
    <row r="584" spans="1:7">
      <c r="A584" s="49">
        <v>50.054725805424511</v>
      </c>
      <c r="B584" s="49">
        <v>50.410557461463675</v>
      </c>
      <c r="C584" s="49">
        <v>49.128138134005923</v>
      </c>
      <c r="D584" s="49">
        <v>49.378026934280626</v>
      </c>
      <c r="E584" s="49">
        <v>412770769.98493761</v>
      </c>
      <c r="F584" s="49" t="s">
        <v>671</v>
      </c>
      <c r="G584" s="25">
        <f t="shared" si="8"/>
        <v>1.3704453441295561E-2</v>
      </c>
    </row>
    <row r="585" spans="1:7">
      <c r="A585" s="49">
        <v>48.868253781720234</v>
      </c>
      <c r="B585" s="49">
        <v>49.382025155085024</v>
      </c>
      <c r="C585" s="49">
        <v>48.098596276874162</v>
      </c>
      <c r="D585" s="49">
        <v>48.172563361755472</v>
      </c>
      <c r="E585" s="49">
        <v>480161155.15421247</v>
      </c>
      <c r="F585" s="49" t="s">
        <v>672</v>
      </c>
      <c r="G585" s="25">
        <f t="shared" si="8"/>
        <v>1.4441631738390637E-2</v>
      </c>
    </row>
    <row r="586" spans="1:7">
      <c r="A586" s="49">
        <v>48.328493973126889</v>
      </c>
      <c r="B586" s="49">
        <v>48.648351637478498</v>
      </c>
      <c r="C586" s="49">
        <v>47.400906746507204</v>
      </c>
      <c r="D586" s="49">
        <v>48.368476181170834</v>
      </c>
      <c r="E586" s="49">
        <v>391405836.88617098</v>
      </c>
      <c r="F586" s="49" t="s">
        <v>673</v>
      </c>
      <c r="G586" s="25">
        <f t="shared" si="8"/>
        <v>-8.2661706964237691E-4</v>
      </c>
    </row>
    <row r="587" spans="1:7">
      <c r="A587" s="49">
        <v>48.066610510438998</v>
      </c>
      <c r="B587" s="49">
        <v>48.572385442194992</v>
      </c>
      <c r="C587" s="49">
        <v>47.586824013911574</v>
      </c>
      <c r="D587" s="49">
        <v>47.607814673134655</v>
      </c>
      <c r="E587" s="49">
        <v>447991125.96057546</v>
      </c>
      <c r="F587" s="49" t="s">
        <v>674</v>
      </c>
      <c r="G587" s="25">
        <f t="shared" si="8"/>
        <v>9.6369858699529853E-3</v>
      </c>
    </row>
    <row r="588" spans="1:7">
      <c r="A588" s="49">
        <v>47.63580221876542</v>
      </c>
      <c r="B588" s="49">
        <v>47.644798215575314</v>
      </c>
      <c r="C588" s="49">
        <v>46.025518789795257</v>
      </c>
      <c r="D588" s="49">
        <v>46.025518789795257</v>
      </c>
      <c r="E588" s="49">
        <v>372552570.97420931</v>
      </c>
      <c r="F588" s="49" t="s">
        <v>675</v>
      </c>
      <c r="G588" s="25">
        <f t="shared" si="8"/>
        <v>3.4986752378056707E-2</v>
      </c>
    </row>
    <row r="589" spans="1:7">
      <c r="A589" s="49">
        <v>46.606260361633652</v>
      </c>
      <c r="B589" s="49">
        <v>47.50985826342697</v>
      </c>
      <c r="C589" s="49">
        <v>45.809614866357919</v>
      </c>
      <c r="D589" s="49">
        <v>47.469876055383018</v>
      </c>
      <c r="E589" s="49">
        <v>509954917.38691622</v>
      </c>
      <c r="F589" s="49" t="s">
        <v>676</v>
      </c>
      <c r="G589" s="25">
        <f t="shared" si="8"/>
        <v>-1.8192920763934306E-2</v>
      </c>
    </row>
    <row r="590" spans="1:7">
      <c r="A590" s="49">
        <v>47.484869383399499</v>
      </c>
      <c r="B590" s="49">
        <v>47.719614922377552</v>
      </c>
      <c r="C590" s="49">
        <v>46.529294611149048</v>
      </c>
      <c r="D590" s="49">
        <v>46.574274595198496</v>
      </c>
      <c r="E590" s="49">
        <v>359383553.40966666</v>
      </c>
      <c r="F590" s="49" t="s">
        <v>677</v>
      </c>
      <c r="G590" s="25">
        <f t="shared" si="8"/>
        <v>1.9551454018671421E-2</v>
      </c>
    </row>
    <row r="591" spans="1:7">
      <c r="A591" s="49">
        <v>46.575274150399594</v>
      </c>
      <c r="B591" s="49">
        <v>46.608259472035854</v>
      </c>
      <c r="C591" s="49">
        <v>45.583715390909589</v>
      </c>
      <c r="D591" s="49">
        <v>45.679672690215071</v>
      </c>
      <c r="E591" s="49">
        <v>350978664.92450374</v>
      </c>
      <c r="F591" s="49" t="s">
        <v>678</v>
      </c>
      <c r="G591" s="25">
        <f t="shared" si="8"/>
        <v>1.9606126914660793E-2</v>
      </c>
    </row>
    <row r="592" spans="1:7">
      <c r="A592" s="49">
        <v>45.482760315598604</v>
      </c>
      <c r="B592" s="49">
        <v>47.365922314468747</v>
      </c>
      <c r="C592" s="49">
        <v>45.391800792298618</v>
      </c>
      <c r="D592" s="49">
        <v>47.1934990422792</v>
      </c>
      <c r="E592" s="49">
        <v>380758911.14530027</v>
      </c>
      <c r="F592" s="49" t="s">
        <v>679</v>
      </c>
      <c r="G592" s="25">
        <f t="shared" si="8"/>
        <v>-3.6249457264187934E-2</v>
      </c>
    </row>
    <row r="593" spans="1:7">
      <c r="A593" s="49">
        <v>46.545287494366633</v>
      </c>
      <c r="B593" s="49">
        <v>46.579272371203992</v>
      </c>
      <c r="C593" s="49">
        <v>45.250863508943688</v>
      </c>
      <c r="D593" s="49">
        <v>45.445776773157952</v>
      </c>
      <c r="E593" s="49">
        <v>371883033.16452724</v>
      </c>
      <c r="F593" s="49" t="s">
        <v>680</v>
      </c>
      <c r="G593" s="25">
        <f t="shared" si="8"/>
        <v>2.4193903136409789E-2</v>
      </c>
    </row>
    <row r="594" spans="1:7">
      <c r="A594" s="49">
        <v>45.485758981201883</v>
      </c>
      <c r="B594" s="49">
        <v>46.052456967190487</v>
      </c>
      <c r="C594" s="49">
        <v>44.986025307490593</v>
      </c>
      <c r="D594" s="49">
        <v>46.052456967190487</v>
      </c>
      <c r="E594" s="49">
        <v>437776622.84649086</v>
      </c>
      <c r="F594" s="49" t="s">
        <v>681</v>
      </c>
      <c r="G594" s="25">
        <f t="shared" si="8"/>
        <v>-1.2305488638583162E-2</v>
      </c>
    </row>
    <row r="595" spans="1:7">
      <c r="A595" s="49">
        <v>46.740090502217221</v>
      </c>
      <c r="B595" s="49">
        <v>47.174858798346051</v>
      </c>
      <c r="C595" s="49">
        <v>46.162398375406973</v>
      </c>
      <c r="D595" s="49">
        <v>46.500218338835808</v>
      </c>
      <c r="E595" s="49">
        <v>369513832.49526876</v>
      </c>
      <c r="F595" s="49" t="s">
        <v>682</v>
      </c>
      <c r="G595" s="25">
        <f t="shared" si="8"/>
        <v>5.1585169263834718E-3</v>
      </c>
    </row>
    <row r="596" spans="1:7">
      <c r="A596" s="49">
        <v>46.74508783895434</v>
      </c>
      <c r="B596" s="49">
        <v>48.08437408450061</v>
      </c>
      <c r="C596" s="49">
        <v>46.397273202051281</v>
      </c>
      <c r="D596" s="49">
        <v>47.998419892622266</v>
      </c>
      <c r="E596" s="49">
        <v>526527086.00944132</v>
      </c>
      <c r="F596" s="49" t="s">
        <v>683</v>
      </c>
      <c r="G596" s="25">
        <f t="shared" si="8"/>
        <v>-2.6111944027986111E-2</v>
      </c>
    </row>
    <row r="597" spans="1:7">
      <c r="A597" s="49">
        <v>48.114358104923276</v>
      </c>
      <c r="B597" s="49">
        <v>48.73602679502013</v>
      </c>
      <c r="C597" s="49">
        <v>47.834507247644957</v>
      </c>
      <c r="D597" s="49">
        <v>48.353230800957284</v>
      </c>
      <c r="E597" s="49">
        <v>382208234.20105612</v>
      </c>
      <c r="F597" s="49" t="s">
        <v>684</v>
      </c>
      <c r="G597" s="25">
        <f t="shared" si="8"/>
        <v>-4.9401599867713308E-3</v>
      </c>
    </row>
    <row r="598" spans="1:7">
      <c r="A598" s="49">
        <v>47.795528021095478</v>
      </c>
      <c r="B598" s="49">
        <v>48.297160682766872</v>
      </c>
      <c r="C598" s="49">
        <v>47.447713384192419</v>
      </c>
      <c r="D598" s="49">
        <v>48.210306970275852</v>
      </c>
      <c r="E598" s="49">
        <v>401704819.10725719</v>
      </c>
      <c r="F598" s="49" t="s">
        <v>685</v>
      </c>
      <c r="G598" s="25">
        <f t="shared" si="8"/>
        <v>-8.6035326312298155E-3</v>
      </c>
    </row>
    <row r="599" spans="1:7">
      <c r="A599" s="49">
        <v>48.216303774360391</v>
      </c>
      <c r="B599" s="49">
        <v>48.504150370418088</v>
      </c>
      <c r="C599" s="49">
        <v>47.626618039381057</v>
      </c>
      <c r="D599" s="49">
        <v>47.774539206799602</v>
      </c>
      <c r="E599" s="49">
        <v>395872762.64735216</v>
      </c>
      <c r="F599" s="49" t="s">
        <v>686</v>
      </c>
      <c r="G599" s="25">
        <f t="shared" si="8"/>
        <v>9.2468619246863781E-3</v>
      </c>
    </row>
    <row r="600" spans="1:7">
      <c r="A600" s="49">
        <v>47.75055199046146</v>
      </c>
      <c r="B600" s="49">
        <v>48.89494210326032</v>
      </c>
      <c r="C600" s="49">
        <v>47.719568502691359</v>
      </c>
      <c r="D600" s="49">
        <v>48.44419232424621</v>
      </c>
      <c r="E600" s="49">
        <v>294801666.86768305</v>
      </c>
      <c r="F600" s="49" t="s">
        <v>687</v>
      </c>
      <c r="G600" s="25">
        <f t="shared" si="8"/>
        <v>-1.4318338287943377E-2</v>
      </c>
    </row>
    <row r="601" spans="1:7">
      <c r="A601" s="49">
        <v>48.690051297038693</v>
      </c>
      <c r="B601" s="49">
        <v>50.30812896447501</v>
      </c>
      <c r="C601" s="49">
        <v>47.664597798583117</v>
      </c>
      <c r="D601" s="49">
        <v>49.825446203710747</v>
      </c>
      <c r="E601" s="49">
        <v>901122315.12371612</v>
      </c>
      <c r="F601" s="49" t="s">
        <v>688</v>
      </c>
      <c r="G601" s="25">
        <f t="shared" si="8"/>
        <v>-2.2787450854529379E-2</v>
      </c>
    </row>
    <row r="602" spans="1:7">
      <c r="A602" s="49">
        <v>49.91739719967363</v>
      </c>
      <c r="B602" s="49">
        <v>50.490091989746773</v>
      </c>
      <c r="C602" s="49">
        <v>49.195781774834522</v>
      </c>
      <c r="D602" s="49">
        <v>50.099300256904534</v>
      </c>
      <c r="E602" s="49">
        <v>566048377.12701786</v>
      </c>
      <c r="F602" s="49" t="s">
        <v>689</v>
      </c>
      <c r="G602" s="25">
        <f t="shared" si="8"/>
        <v>-3.6308502573513257E-3</v>
      </c>
    </row>
    <row r="603" spans="1:7">
      <c r="A603" s="49">
        <v>50.382149516225127</v>
      </c>
      <c r="B603" s="49">
        <v>50.521075477516874</v>
      </c>
      <c r="C603" s="49">
        <v>49.154813608263666</v>
      </c>
      <c r="D603" s="49">
        <v>49.285733836102551</v>
      </c>
      <c r="E603" s="49">
        <v>416364377.55885017</v>
      </c>
      <c r="F603" s="49" t="s">
        <v>690</v>
      </c>
      <c r="G603" s="25">
        <f t="shared" si="8"/>
        <v>2.2246106424399725E-2</v>
      </c>
    </row>
    <row r="604" spans="1:7">
      <c r="A604" s="49">
        <v>49.271741293238641</v>
      </c>
      <c r="B604" s="49">
        <v>49.6905181118087</v>
      </c>
      <c r="C604" s="49">
        <v>48.980896295138663</v>
      </c>
      <c r="D604" s="49">
        <v>49.497620913756144</v>
      </c>
      <c r="E604" s="49">
        <v>326070592.34142965</v>
      </c>
      <c r="F604" s="49" t="s">
        <v>691</v>
      </c>
      <c r="G604" s="25">
        <f t="shared" si="8"/>
        <v>-4.5634439867539012E-3</v>
      </c>
    </row>
    <row r="605" spans="1:7">
      <c r="A605" s="49">
        <v>49.453644350469546</v>
      </c>
      <c r="B605" s="49">
        <v>49.498310546225859</v>
      </c>
      <c r="C605" s="49">
        <v>48.304256900933574</v>
      </c>
      <c r="D605" s="49">
        <v>48.65307100518406</v>
      </c>
      <c r="E605" s="49">
        <v>339937308.48352301</v>
      </c>
      <c r="F605" s="49" t="s">
        <v>692</v>
      </c>
      <c r="G605" s="25">
        <f t="shared" si="8"/>
        <v>1.6454734074241362E-2</v>
      </c>
    </row>
    <row r="606" spans="1:7">
      <c r="A606" s="49">
        <v>48.861959680795373</v>
      </c>
      <c r="B606" s="49">
        <v>49.933388677232394</v>
      </c>
      <c r="C606" s="49">
        <v>48.174326145768639</v>
      </c>
      <c r="D606" s="49">
        <v>49.908401993546825</v>
      </c>
      <c r="E606" s="49">
        <v>475750759.8684507</v>
      </c>
      <c r="F606" s="49" t="s">
        <v>693</v>
      </c>
      <c r="G606" s="25">
        <f t="shared" si="8"/>
        <v>-2.096725743466521E-2</v>
      </c>
    </row>
    <row r="607" spans="1:7">
      <c r="A607" s="49">
        <v>49.629550603615925</v>
      </c>
      <c r="B607" s="49">
        <v>49.807455791457137</v>
      </c>
      <c r="C607" s="49">
        <v>49.013888712277087</v>
      </c>
      <c r="D607" s="49">
        <v>49.653537819954067</v>
      </c>
      <c r="E607" s="49">
        <v>417176079.91420186</v>
      </c>
      <c r="F607" s="49" t="s">
        <v>694</v>
      </c>
      <c r="G607" s="25">
        <f t="shared" si="8"/>
        <v>-4.8309178743966008E-4</v>
      </c>
    </row>
    <row r="608" spans="1:7">
      <c r="A608" s="49">
        <v>48.594102431686125</v>
      </c>
      <c r="B608" s="49">
        <v>49.089838236007729</v>
      </c>
      <c r="C608" s="49">
        <v>48.073389938352427</v>
      </c>
      <c r="D608" s="49">
        <v>48.294262227459349</v>
      </c>
      <c r="E608" s="49">
        <v>384340419.9152723</v>
      </c>
      <c r="F608" s="49" t="s">
        <v>695</v>
      </c>
      <c r="G608" s="25">
        <f t="shared" si="8"/>
        <v>6.2086092715232244E-3</v>
      </c>
    </row>
    <row r="609" spans="1:7">
      <c r="A609" s="49">
        <v>48.309254237670686</v>
      </c>
      <c r="B609" s="49">
        <v>48.446181264267587</v>
      </c>
      <c r="C609" s="49">
        <v>47.257824582855605</v>
      </c>
      <c r="D609" s="49">
        <v>47.474699002572827</v>
      </c>
      <c r="E609" s="49">
        <v>422666694.50421482</v>
      </c>
      <c r="F609" s="49" t="s">
        <v>696</v>
      </c>
      <c r="G609" s="25">
        <f t="shared" si="8"/>
        <v>1.7578947368421138E-2</v>
      </c>
    </row>
    <row r="610" spans="1:7">
      <c r="A610" s="49">
        <v>46.924991961490406</v>
      </c>
      <c r="B610" s="49">
        <v>48.204310166191313</v>
      </c>
      <c r="C610" s="49">
        <v>46.725098492005891</v>
      </c>
      <c r="D610" s="49">
        <v>47.441716580107887</v>
      </c>
      <c r="E610" s="49">
        <v>540784020.00207853</v>
      </c>
      <c r="F610" s="49" t="s">
        <v>697</v>
      </c>
      <c r="G610" s="25">
        <f t="shared" si="8"/>
        <v>-1.0891777445383166E-2</v>
      </c>
    </row>
    <row r="611" spans="1:7">
      <c r="A611" s="49">
        <v>46.549192238859511</v>
      </c>
      <c r="B611" s="49">
        <v>46.842036171654328</v>
      </c>
      <c r="C611" s="49">
        <v>45.943515026321428</v>
      </c>
      <c r="D611" s="49">
        <v>46.07544471618121</v>
      </c>
      <c r="E611" s="49">
        <v>346903719.1601252</v>
      </c>
      <c r="F611" s="49" t="s">
        <v>698</v>
      </c>
      <c r="G611" s="25">
        <f t="shared" si="8"/>
        <v>1.0281995661605148E-2</v>
      </c>
    </row>
    <row r="612" spans="1:7">
      <c r="A612" s="49">
        <v>45.93052195080493</v>
      </c>
      <c r="B612" s="49">
        <v>46.193381863177073</v>
      </c>
      <c r="C612" s="49">
        <v>45.133446741235417</v>
      </c>
      <c r="D612" s="49">
        <v>45.694647656813203</v>
      </c>
      <c r="E612" s="49">
        <v>343348355.38644749</v>
      </c>
      <c r="F612" s="49" t="s">
        <v>699</v>
      </c>
      <c r="G612" s="25">
        <f t="shared" si="8"/>
        <v>5.1619676720837671E-3</v>
      </c>
    </row>
    <row r="613" spans="1:7">
      <c r="A613" s="49">
        <v>45.726630611930723</v>
      </c>
      <c r="B613" s="49">
        <v>45.910532603856481</v>
      </c>
      <c r="C613" s="49">
        <v>44.87508443192668</v>
      </c>
      <c r="D613" s="49">
        <v>45.260379094358093</v>
      </c>
      <c r="E613" s="49">
        <v>400946915.40789825</v>
      </c>
      <c r="F613" s="49" t="s">
        <v>700</v>
      </c>
      <c r="G613" s="25">
        <f t="shared" si="8"/>
        <v>1.030153805385936E-2</v>
      </c>
    </row>
    <row r="614" spans="1:7">
      <c r="A614" s="49">
        <v>44.981027970753473</v>
      </c>
      <c r="B614" s="49">
        <v>45.284856049696465</v>
      </c>
      <c r="C614" s="49">
        <v>43.69971083135772</v>
      </c>
      <c r="D614" s="49">
        <v>43.99655263354223</v>
      </c>
      <c r="E614" s="49">
        <v>424835879.92642081</v>
      </c>
      <c r="F614" s="49" t="s">
        <v>701</v>
      </c>
      <c r="G614" s="25">
        <f t="shared" si="8"/>
        <v>2.2376192639709247E-2</v>
      </c>
    </row>
    <row r="615" spans="1:7">
      <c r="A615" s="49">
        <v>43.482826416967022</v>
      </c>
      <c r="B615" s="49">
        <v>43.860625074292756</v>
      </c>
      <c r="C615" s="49">
        <v>42.8711524003444</v>
      </c>
      <c r="D615" s="49">
        <v>43.304921229125796</v>
      </c>
      <c r="E615" s="49">
        <v>409389932.6027683</v>
      </c>
      <c r="F615" s="49" t="s">
        <v>702</v>
      </c>
      <c r="G615" s="25">
        <f t="shared" si="8"/>
        <v>4.1081979320534145E-3</v>
      </c>
    </row>
    <row r="616" spans="1:7">
      <c r="A616" s="49">
        <v>42.302455479660942</v>
      </c>
      <c r="B616" s="49">
        <v>42.358425651116612</v>
      </c>
      <c r="C616" s="49">
        <v>40.847231021813663</v>
      </c>
      <c r="D616" s="49">
        <v>40.862223032025</v>
      </c>
      <c r="E616" s="49">
        <v>437826109.20552754</v>
      </c>
      <c r="F616" s="49" t="s">
        <v>703</v>
      </c>
      <c r="G616" s="25">
        <f t="shared" si="8"/>
        <v>3.5246062029155478E-2</v>
      </c>
    </row>
    <row r="617" spans="1:7">
      <c r="A617" s="49">
        <v>40.758278427893053</v>
      </c>
      <c r="B617" s="49">
        <v>40.857225695287887</v>
      </c>
      <c r="C617" s="49">
        <v>39.209114034061514</v>
      </c>
      <c r="D617" s="49">
        <v>40.428454203243597</v>
      </c>
      <c r="E617" s="49">
        <v>518244744.39883536</v>
      </c>
      <c r="F617" s="49" t="s">
        <v>704</v>
      </c>
      <c r="G617" s="25">
        <f t="shared" si="8"/>
        <v>8.158220024721885E-3</v>
      </c>
    </row>
    <row r="618" spans="1:7">
      <c r="A618" s="49">
        <v>41.13907548726106</v>
      </c>
      <c r="B618" s="49">
        <v>41.743753232451724</v>
      </c>
      <c r="C618" s="49">
        <v>40.459437691013697</v>
      </c>
      <c r="D618" s="49">
        <v>41.065114903551788</v>
      </c>
      <c r="E618" s="49">
        <v>388234934.33841759</v>
      </c>
      <c r="F618" s="49" t="s">
        <v>705</v>
      </c>
      <c r="G618" s="25">
        <f t="shared" si="8"/>
        <v>1.8010562951784603E-3</v>
      </c>
    </row>
    <row r="619" spans="1:7">
      <c r="A619" s="49">
        <v>40.478427570614727</v>
      </c>
      <c r="B619" s="49">
        <v>41.184051517895071</v>
      </c>
      <c r="C619" s="49">
        <v>39.993685907114767</v>
      </c>
      <c r="D619" s="49">
        <v>41.108091999490959</v>
      </c>
      <c r="E619" s="49">
        <v>417006529.60279149</v>
      </c>
      <c r="F619" s="49" t="s">
        <v>706</v>
      </c>
      <c r="G619" s="25">
        <f t="shared" si="8"/>
        <v>-1.5317286652078876E-2</v>
      </c>
    </row>
    <row r="620" spans="1:7">
      <c r="A620" s="49">
        <v>40.304520252163194</v>
      </c>
      <c r="B620" s="49">
        <v>42.233042472382444</v>
      </c>
      <c r="C620" s="49">
        <v>39.858947714008735</v>
      </c>
      <c r="D620" s="49">
        <v>41.83070689167748</v>
      </c>
      <c r="E620" s="49">
        <v>541289639.32151222</v>
      </c>
      <c r="F620" s="49" t="s">
        <v>707</v>
      </c>
      <c r="G620" s="25">
        <f t="shared" si="8"/>
        <v>-3.6484839796430357E-2</v>
      </c>
    </row>
    <row r="621" spans="1:7">
      <c r="A621" s="49">
        <v>41.756746307968214</v>
      </c>
      <c r="B621" s="49">
        <v>43.626749714995874</v>
      </c>
      <c r="C621" s="49">
        <v>41.532865622145557</v>
      </c>
      <c r="D621" s="49">
        <v>43.374883943445383</v>
      </c>
      <c r="E621" s="49">
        <v>398591530.8062194</v>
      </c>
      <c r="F621" s="49" t="s">
        <v>708</v>
      </c>
      <c r="G621" s="25">
        <f t="shared" si="8"/>
        <v>-3.7305866629798623E-2</v>
      </c>
    </row>
    <row r="622" spans="1:7">
      <c r="A622" s="49">
        <v>43.639742790512365</v>
      </c>
      <c r="B622" s="49">
        <v>43.673724680324739</v>
      </c>
      <c r="C622" s="49">
        <v>42.668260528817612</v>
      </c>
      <c r="D622" s="49">
        <v>43.054054924922731</v>
      </c>
      <c r="E622" s="49">
        <v>401677324.46216363</v>
      </c>
      <c r="F622" s="49" t="s">
        <v>709</v>
      </c>
      <c r="G622" s="25">
        <f t="shared" si="8"/>
        <v>1.3603547136523009E-2</v>
      </c>
    </row>
    <row r="623" spans="1:7">
      <c r="A623" s="49">
        <v>42.952109255485624</v>
      </c>
      <c r="B623" s="49">
        <v>43.224953846658515</v>
      </c>
      <c r="C623" s="49">
        <v>40.923190540217774</v>
      </c>
      <c r="D623" s="49">
        <v>41.207039266885793</v>
      </c>
      <c r="E623" s="49">
        <v>478785516.33930671</v>
      </c>
      <c r="F623" s="49" t="s">
        <v>710</v>
      </c>
      <c r="G623" s="25">
        <f t="shared" si="8"/>
        <v>4.2348832132722114E-2</v>
      </c>
    </row>
    <row r="624" spans="1:7">
      <c r="A624" s="49">
        <v>41.364955107778563</v>
      </c>
      <c r="B624" s="49">
        <v>42.447378245037221</v>
      </c>
      <c r="C624" s="49">
        <v>41.056119697424975</v>
      </c>
      <c r="D624" s="49">
        <v>41.867687183532119</v>
      </c>
      <c r="E624" s="49">
        <v>477520402.47314519</v>
      </c>
      <c r="F624" s="49" t="s">
        <v>711</v>
      </c>
      <c r="G624" s="25">
        <f t="shared" si="8"/>
        <v>-1.2007639054666841E-2</v>
      </c>
    </row>
    <row r="625" spans="1:7">
      <c r="A625" s="49">
        <v>42.078574793838285</v>
      </c>
      <c r="B625" s="49">
        <v>43.273937741355702</v>
      </c>
      <c r="C625" s="49">
        <v>41.859691444752741</v>
      </c>
      <c r="D625" s="49">
        <v>42.788196610508322</v>
      </c>
      <c r="E625" s="49">
        <v>501500205.37696779</v>
      </c>
      <c r="F625" s="49" t="s">
        <v>712</v>
      </c>
      <c r="G625" s="25">
        <f t="shared" si="8"/>
        <v>-1.6584522669407464E-2</v>
      </c>
    </row>
    <row r="626" spans="1:7">
      <c r="A626" s="49">
        <v>42.173524191843427</v>
      </c>
      <c r="B626" s="49">
        <v>43.195979288256737</v>
      </c>
      <c r="C626" s="49">
        <v>41.802721805949652</v>
      </c>
      <c r="D626" s="49">
        <v>42.568313794075358</v>
      </c>
      <c r="E626" s="49">
        <v>627628648.01702523</v>
      </c>
      <c r="F626" s="49" t="s">
        <v>713</v>
      </c>
      <c r="G626" s="25">
        <f t="shared" si="8"/>
        <v>-9.2742598201500659E-3</v>
      </c>
    </row>
    <row r="627" spans="1:7">
      <c r="A627" s="49">
        <v>43.914596311053579</v>
      </c>
      <c r="B627" s="49">
        <v>44.730161666550408</v>
      </c>
      <c r="C627" s="49">
        <v>42.457372918511446</v>
      </c>
      <c r="D627" s="49">
        <v>43.976563286593773</v>
      </c>
      <c r="E627" s="49">
        <v>812765591.68724573</v>
      </c>
      <c r="F627" s="49" t="s">
        <v>714</v>
      </c>
      <c r="G627" s="25">
        <f t="shared" si="8"/>
        <v>-1.4090909090908044E-3</v>
      </c>
    </row>
    <row r="628" spans="1:7">
      <c r="A628" s="49">
        <v>46.07044737944409</v>
      </c>
      <c r="B628" s="49">
        <v>46.200378134609032</v>
      </c>
      <c r="C628" s="49">
        <v>44.888077507443178</v>
      </c>
      <c r="D628" s="49">
        <v>45.038997076903982</v>
      </c>
      <c r="E628" s="49">
        <v>375299144.05638295</v>
      </c>
      <c r="F628" s="49" t="s">
        <v>715</v>
      </c>
      <c r="G628" s="25">
        <f t="shared" si="8"/>
        <v>2.2901271553158908E-2</v>
      </c>
    </row>
    <row r="629" spans="1:7">
      <c r="A629" s="49">
        <v>45.436785081178179</v>
      </c>
      <c r="B629" s="49">
        <v>47.090903541162554</v>
      </c>
      <c r="C629" s="49">
        <v>45.255881491294687</v>
      </c>
      <c r="D629" s="49">
        <v>46.934986634964631</v>
      </c>
      <c r="E629" s="49">
        <v>475679361.8381058</v>
      </c>
      <c r="F629" s="49" t="s">
        <v>716</v>
      </c>
      <c r="G629" s="25">
        <f t="shared" si="8"/>
        <v>-3.1920783645655759E-2</v>
      </c>
    </row>
    <row r="630" spans="1:7">
      <c r="A630" s="49">
        <v>46.919994624753294</v>
      </c>
      <c r="B630" s="49">
        <v>47.583640943441885</v>
      </c>
      <c r="C630" s="49">
        <v>46.305322206088405</v>
      </c>
      <c r="D630" s="49">
        <v>46.752084110386299</v>
      </c>
      <c r="E630" s="49">
        <v>481581515.63553828</v>
      </c>
      <c r="F630" s="49" t="s">
        <v>717</v>
      </c>
      <c r="G630" s="25">
        <f t="shared" si="8"/>
        <v>3.5915086474120894E-3</v>
      </c>
    </row>
    <row r="631" spans="1:7">
      <c r="A631" s="49">
        <v>46.781068663461554</v>
      </c>
      <c r="B631" s="49">
        <v>46.83404043287495</v>
      </c>
      <c r="C631" s="49">
        <v>46.025471348810079</v>
      </c>
      <c r="D631" s="49">
        <v>46.171393581533771</v>
      </c>
      <c r="E631" s="49">
        <v>378338412.93078238</v>
      </c>
      <c r="F631" s="49" t="s">
        <v>718</v>
      </c>
      <c r="G631" s="25">
        <f t="shared" si="8"/>
        <v>1.3204606459433776E-2</v>
      </c>
    </row>
    <row r="632" spans="1:7">
      <c r="A632" s="49">
        <v>45.773605577259588</v>
      </c>
      <c r="B632" s="49">
        <v>46.234360024421399</v>
      </c>
      <c r="C632" s="49">
        <v>45.063983760589551</v>
      </c>
      <c r="D632" s="49">
        <v>45.285865511717368</v>
      </c>
      <c r="E632" s="49">
        <v>368778510.82428551</v>
      </c>
      <c r="F632" s="49" t="s">
        <v>719</v>
      </c>
      <c r="G632" s="25">
        <f t="shared" si="8"/>
        <v>1.0770249393069919E-2</v>
      </c>
    </row>
    <row r="633" spans="1:7">
      <c r="A633" s="49">
        <v>45.248885219862728</v>
      </c>
      <c r="B633" s="49">
        <v>45.580708379207032</v>
      </c>
      <c r="C633" s="49">
        <v>44.344367270445289</v>
      </c>
      <c r="D633" s="49">
        <v>44.818114793123598</v>
      </c>
      <c r="E633" s="49">
        <v>409893050.58986086</v>
      </c>
      <c r="F633" s="49" t="s">
        <v>720</v>
      </c>
      <c r="G633" s="25">
        <f t="shared" si="8"/>
        <v>9.611524909682867E-3</v>
      </c>
    </row>
    <row r="634" spans="1:7">
      <c r="A634" s="49">
        <v>45.737624752752374</v>
      </c>
      <c r="B634" s="49">
        <v>45.764610371132783</v>
      </c>
      <c r="C634" s="49">
        <v>44.002549437626762</v>
      </c>
      <c r="D634" s="49">
        <v>44.169460484646336</v>
      </c>
      <c r="E634" s="49">
        <v>434667546.78911549</v>
      </c>
      <c r="F634" s="49" t="s">
        <v>721</v>
      </c>
      <c r="G634" s="25">
        <f t="shared" si="8"/>
        <v>3.5503360260674688E-2</v>
      </c>
    </row>
    <row r="635" spans="1:7">
      <c r="A635" s="49">
        <v>44.664196821620514</v>
      </c>
      <c r="B635" s="49">
        <v>44.876083899274107</v>
      </c>
      <c r="C635" s="49">
        <v>43.864622943682448</v>
      </c>
      <c r="D635" s="49">
        <v>44.026536653964904</v>
      </c>
      <c r="E635" s="49">
        <v>393692791.48009127</v>
      </c>
      <c r="F635" s="49" t="s">
        <v>722</v>
      </c>
      <c r="G635" s="25">
        <f t="shared" si="8"/>
        <v>1.4483541430192926E-2</v>
      </c>
    </row>
    <row r="636" spans="1:7">
      <c r="A636" s="49">
        <v>44.017541447838106</v>
      </c>
      <c r="B636" s="49">
        <v>44.119487117275206</v>
      </c>
      <c r="C636" s="49">
        <v>43.268950399292059</v>
      </c>
      <c r="D636" s="49">
        <v>43.71870071095875</v>
      </c>
      <c r="E636" s="49">
        <v>362013687.52371871</v>
      </c>
      <c r="F636" s="49" t="s">
        <v>723</v>
      </c>
      <c r="G636" s="25">
        <f t="shared" si="8"/>
        <v>6.8355356408029699E-3</v>
      </c>
    </row>
    <row r="637" spans="1:7">
      <c r="A637" s="49">
        <v>43.493820557788666</v>
      </c>
      <c r="B637" s="49">
        <v>45.105961389181303</v>
      </c>
      <c r="C637" s="49">
        <v>43.222964906637145</v>
      </c>
      <c r="D637" s="49">
        <v>44.784132903311225</v>
      </c>
      <c r="E637" s="49">
        <v>471100472.88110113</v>
      </c>
      <c r="F637" s="49" t="s">
        <v>724</v>
      </c>
      <c r="G637" s="25">
        <f t="shared" si="8"/>
        <v>-2.8811819317978937E-2</v>
      </c>
    </row>
    <row r="638" spans="1:7">
      <c r="A638" s="49">
        <v>44.758146752278236</v>
      </c>
      <c r="B638" s="49">
        <v>45.150937419815314</v>
      </c>
      <c r="C638" s="49">
        <v>43.83763732530204</v>
      </c>
      <c r="D638" s="49">
        <v>44.006547307016454</v>
      </c>
      <c r="E638" s="49">
        <v>433529130.40869629</v>
      </c>
      <c r="F638" s="49" t="s">
        <v>725</v>
      </c>
      <c r="G638" s="25">
        <f t="shared" si="8"/>
        <v>1.7079264138087691E-2</v>
      </c>
    </row>
    <row r="639" spans="1:7">
      <c r="A639" s="49">
        <v>43.475830145535063</v>
      </c>
      <c r="B639" s="49">
        <v>44.120486584622626</v>
      </c>
      <c r="C639" s="49">
        <v>43.283872446789076</v>
      </c>
      <c r="D639" s="49">
        <v>43.803655435489667</v>
      </c>
      <c r="E639" s="49">
        <v>398041948.0695582</v>
      </c>
      <c r="F639" s="49" t="s">
        <v>726</v>
      </c>
      <c r="G639" s="25">
        <f t="shared" ref="G639:G702" si="9">A639/D639-1</f>
        <v>-7.4839710680629778E-3</v>
      </c>
    </row>
    <row r="640" spans="1:7">
      <c r="A640" s="49">
        <v>43.066048533091802</v>
      </c>
      <c r="B640" s="49">
        <v>43.423168210999364</v>
      </c>
      <c r="C640" s="49">
        <v>42.092567336702203</v>
      </c>
      <c r="D640" s="49">
        <v>42.437383571562997</v>
      </c>
      <c r="E640" s="49">
        <v>424889108.27863985</v>
      </c>
      <c r="F640" s="49" t="s">
        <v>727</v>
      </c>
      <c r="G640" s="25">
        <f t="shared" si="9"/>
        <v>1.4813942534149804E-2</v>
      </c>
    </row>
    <row r="641" spans="1:7">
      <c r="A641" s="49">
        <v>42.445379310342375</v>
      </c>
      <c r="B641" s="49">
        <v>42.849164118701104</v>
      </c>
      <c r="C641" s="49">
        <v>41.606836200528299</v>
      </c>
      <c r="D641" s="49">
        <v>42.307452816398062</v>
      </c>
      <c r="E641" s="49">
        <v>445172322.18480521</v>
      </c>
      <c r="F641" s="49" t="s">
        <v>728</v>
      </c>
      <c r="G641" s="25">
        <f t="shared" si="9"/>
        <v>3.2600992204110391E-3</v>
      </c>
    </row>
    <row r="642" spans="1:7">
      <c r="A642" s="49">
        <v>41.888675997827995</v>
      </c>
      <c r="B642" s="49">
        <v>42.797191816635127</v>
      </c>
      <c r="C642" s="49">
        <v>41.632812356887811</v>
      </c>
      <c r="D642" s="49">
        <v>41.978628059096025</v>
      </c>
      <c r="E642" s="49">
        <v>402496480.78789181</v>
      </c>
      <c r="F642" s="49" t="s">
        <v>729</v>
      </c>
      <c r="G642" s="25">
        <f t="shared" si="9"/>
        <v>-2.1428061236636875E-3</v>
      </c>
    </row>
    <row r="643" spans="1:7">
      <c r="A643" s="49">
        <v>42.199510342876422</v>
      </c>
      <c r="B643" s="49">
        <v>42.513343089967115</v>
      </c>
      <c r="C643" s="49">
        <v>41.155066964819817</v>
      </c>
      <c r="D643" s="49">
        <v>41.568846446652771</v>
      </c>
      <c r="E643" s="49">
        <v>419314308.84735417</v>
      </c>
      <c r="F643" s="49" t="s">
        <v>730</v>
      </c>
      <c r="G643" s="25">
        <f t="shared" si="9"/>
        <v>1.5171551537592309E-2</v>
      </c>
    </row>
    <row r="644" spans="1:7">
      <c r="A644" s="49">
        <v>41.5878363262538</v>
      </c>
      <c r="B644" s="49">
        <v>42.092567336702203</v>
      </c>
      <c r="C644" s="49">
        <v>41.20903820158064</v>
      </c>
      <c r="D644" s="49">
        <v>41.549856567051741</v>
      </c>
      <c r="E644" s="49">
        <v>479491712.49650997</v>
      </c>
      <c r="F644" s="49" t="s">
        <v>731</v>
      </c>
      <c r="G644" s="25">
        <f t="shared" si="9"/>
        <v>9.1407678244981305E-4</v>
      </c>
    </row>
    <row r="645" spans="1:7">
      <c r="A645" s="49">
        <v>40.995152189232208</v>
      </c>
      <c r="B645" s="49">
        <v>42.077575326490866</v>
      </c>
      <c r="C645" s="49">
        <v>40.958171897377568</v>
      </c>
      <c r="D645" s="49">
        <v>41.560850707873385</v>
      </c>
      <c r="E645" s="49">
        <v>450976173.62123173</v>
      </c>
      <c r="F645" s="49" t="s">
        <v>732</v>
      </c>
      <c r="G645" s="25">
        <f t="shared" si="9"/>
        <v>-1.361133155375982E-2</v>
      </c>
    </row>
    <row r="646" spans="1:7">
      <c r="A646" s="49">
        <v>42.216501287782599</v>
      </c>
      <c r="B646" s="49">
        <v>43.879614953893785</v>
      </c>
      <c r="C646" s="49">
        <v>42.200509810223842</v>
      </c>
      <c r="D646" s="49">
        <v>43.576776347624744</v>
      </c>
      <c r="E646" s="49">
        <v>367303335.06811684</v>
      </c>
      <c r="F646" s="49" t="s">
        <v>733</v>
      </c>
      <c r="G646" s="25">
        <f t="shared" si="9"/>
        <v>-3.1215596330275375E-2</v>
      </c>
    </row>
    <row r="647" spans="1:7">
      <c r="A647" s="49">
        <v>43.496818959830932</v>
      </c>
      <c r="B647" s="49">
        <v>43.942581396781414</v>
      </c>
      <c r="C647" s="49">
        <v>42.979094873866032</v>
      </c>
      <c r="D647" s="49">
        <v>43.809652239574206</v>
      </c>
      <c r="E647" s="49">
        <v>373263059.53071254</v>
      </c>
      <c r="F647" s="49" t="s">
        <v>734</v>
      </c>
      <c r="G647" s="25">
        <f t="shared" si="9"/>
        <v>-7.140738712842043E-3</v>
      </c>
    </row>
    <row r="648" spans="1:7">
      <c r="A648" s="49">
        <v>43.942581396781414</v>
      </c>
      <c r="B648" s="49">
        <v>44.218434384670047</v>
      </c>
      <c r="C648" s="49">
        <v>41.977628591748605</v>
      </c>
      <c r="D648" s="49">
        <v>42.725230167620701</v>
      </c>
      <c r="E648" s="49">
        <v>500537402.53755385</v>
      </c>
      <c r="F648" s="49" t="s">
        <v>735</v>
      </c>
      <c r="G648" s="25">
        <f t="shared" si="9"/>
        <v>2.849256105548803E-2</v>
      </c>
    </row>
    <row r="649" spans="1:7">
      <c r="A649" s="49">
        <v>43.876616551851519</v>
      </c>
      <c r="B649" s="49">
        <v>45.574711575122492</v>
      </c>
      <c r="C649" s="49">
        <v>43.784665555888637</v>
      </c>
      <c r="D649" s="49">
        <v>45.316848999487469</v>
      </c>
      <c r="E649" s="49">
        <v>507100618.45142645</v>
      </c>
      <c r="F649" s="49" t="s">
        <v>736</v>
      </c>
      <c r="G649" s="25">
        <f t="shared" si="9"/>
        <v>-3.1781389912000302E-2</v>
      </c>
    </row>
    <row r="650" spans="1:7">
      <c r="A650" s="49">
        <v>45.556721162868882</v>
      </c>
      <c r="B650" s="49">
        <v>45.962494911248974</v>
      </c>
      <c r="C650" s="49">
        <v>45.106960856528723</v>
      </c>
      <c r="D650" s="49">
        <v>45.925524614067818</v>
      </c>
      <c r="E650" s="49">
        <v>370294438.28695565</v>
      </c>
      <c r="F650" s="49" t="s">
        <v>737</v>
      </c>
      <c r="G650" s="25">
        <f t="shared" si="9"/>
        <v>-8.0304678998912582E-3</v>
      </c>
    </row>
    <row r="651" spans="1:7">
      <c r="A651" s="49">
        <v>45.460772297516321</v>
      </c>
      <c r="B651" s="49">
        <v>45.905535267119369</v>
      </c>
      <c r="C651" s="49">
        <v>44.479295362347337</v>
      </c>
      <c r="D651" s="49">
        <v>44.576243695047332</v>
      </c>
      <c r="E651" s="49">
        <v>398567648.08502638</v>
      </c>
      <c r="F651" s="49" t="s">
        <v>738</v>
      </c>
      <c r="G651" s="25">
        <f t="shared" si="9"/>
        <v>1.9843049327354256E-2</v>
      </c>
    </row>
    <row r="652" spans="1:7">
      <c r="A652" s="49">
        <v>44.846099878851426</v>
      </c>
      <c r="B652" s="49">
        <v>45.648672158831765</v>
      </c>
      <c r="C652" s="49">
        <v>44.507280448075171</v>
      </c>
      <c r="D652" s="49">
        <v>44.714170188991645</v>
      </c>
      <c r="E652" s="49">
        <v>349442471.43306679</v>
      </c>
      <c r="F652" s="49" t="s">
        <v>739</v>
      </c>
      <c r="G652" s="25">
        <f t="shared" si="9"/>
        <v>2.9505118691046661E-3</v>
      </c>
    </row>
    <row r="653" spans="1:7">
      <c r="A653" s="49">
        <v>45.15393582185758</v>
      </c>
      <c r="B653" s="49">
        <v>46.138411159068831</v>
      </c>
      <c r="C653" s="49">
        <v>44.288397098989627</v>
      </c>
      <c r="D653" s="49">
        <v>46.123419148857494</v>
      </c>
      <c r="E653" s="49">
        <v>474218143.51640058</v>
      </c>
      <c r="F653" s="49" t="s">
        <v>740</v>
      </c>
      <c r="G653" s="25">
        <f t="shared" si="9"/>
        <v>-2.1019329115021357E-2</v>
      </c>
    </row>
    <row r="654" spans="1:7">
      <c r="A654" s="49">
        <v>45.547725956742084</v>
      </c>
      <c r="B654" s="49">
        <v>46.581175193977039</v>
      </c>
      <c r="C654" s="49">
        <v>45.246886285167882</v>
      </c>
      <c r="D654" s="49">
        <v>45.91752887528844</v>
      </c>
      <c r="E654" s="49">
        <v>474152498.55044025</v>
      </c>
      <c r="F654" s="49" t="s">
        <v>741</v>
      </c>
      <c r="G654" s="25">
        <f t="shared" si="9"/>
        <v>-8.0536328414086977E-3</v>
      </c>
    </row>
    <row r="655" spans="1:7">
      <c r="A655" s="49">
        <v>46.216369612167796</v>
      </c>
      <c r="B655" s="49">
        <v>46.319314748952316</v>
      </c>
      <c r="C655" s="49">
        <v>45.127949670824592</v>
      </c>
      <c r="D655" s="49">
        <v>45.50075099141322</v>
      </c>
      <c r="E655" s="49">
        <v>433560827.29212296</v>
      </c>
      <c r="F655" s="49" t="s">
        <v>742</v>
      </c>
      <c r="G655" s="25">
        <f t="shared" si="9"/>
        <v>1.5727622185612411E-2</v>
      </c>
    </row>
    <row r="656" spans="1:7">
      <c r="A656" s="49">
        <v>47.035932837054311</v>
      </c>
      <c r="B656" s="49">
        <v>48.523140250019118</v>
      </c>
      <c r="C656" s="49">
        <v>46.55518904294405</v>
      </c>
      <c r="D656" s="49">
        <v>48.415197776497486</v>
      </c>
      <c r="E656" s="49">
        <v>468919341.09563392</v>
      </c>
      <c r="F656" s="49" t="s">
        <v>743</v>
      </c>
      <c r="G656" s="25">
        <f t="shared" si="9"/>
        <v>-2.8488264073821878E-2</v>
      </c>
    </row>
    <row r="657" spans="1:7">
      <c r="A657" s="49">
        <v>48.518142913281984</v>
      </c>
      <c r="B657" s="49">
        <v>48.820766684715842</v>
      </c>
      <c r="C657" s="49">
        <v>47.830566034227481</v>
      </c>
      <c r="D657" s="49">
        <v>48.193342788728621</v>
      </c>
      <c r="E657" s="49">
        <v>382888056.68105012</v>
      </c>
      <c r="F657" s="49" t="s">
        <v>744</v>
      </c>
      <c r="G657" s="25">
        <f t="shared" si="9"/>
        <v>6.7395226344275638E-3</v>
      </c>
    </row>
    <row r="658" spans="1:7">
      <c r="A658" s="49">
        <v>48.479166898335571</v>
      </c>
      <c r="B658" s="49">
        <v>49.769372931561392</v>
      </c>
      <c r="C658" s="49">
        <v>48.111992849840483</v>
      </c>
      <c r="D658" s="49">
        <v>49.731396301613614</v>
      </c>
      <c r="E658" s="49">
        <v>464115731.81288487</v>
      </c>
      <c r="F658" s="49" t="s">
        <v>745</v>
      </c>
      <c r="G658" s="25">
        <f t="shared" si="9"/>
        <v>-2.5179856115107979E-2</v>
      </c>
    </row>
    <row r="659" spans="1:7">
      <c r="A659" s="49">
        <v>49.324646607172944</v>
      </c>
      <c r="B659" s="49">
        <v>49.713407371638354</v>
      </c>
      <c r="C659" s="49">
        <v>48.927890762718526</v>
      </c>
      <c r="D659" s="49">
        <v>49.349631232138591</v>
      </c>
      <c r="E659" s="49">
        <v>528895041.17716813</v>
      </c>
      <c r="F659" s="49" t="s">
        <v>746</v>
      </c>
      <c r="G659" s="25">
        <f t="shared" si="9"/>
        <v>-5.0627784528156639E-4</v>
      </c>
    </row>
    <row r="660" spans="1:7">
      <c r="A660" s="49">
        <v>49.233702572298</v>
      </c>
      <c r="B660" s="49">
        <v>49.896294826386864</v>
      </c>
      <c r="C660" s="49">
        <v>48.395218558451013</v>
      </c>
      <c r="D660" s="49">
        <v>49.013837872600341</v>
      </c>
      <c r="E660" s="49">
        <v>735658410.93371689</v>
      </c>
      <c r="F660" s="49" t="s">
        <v>747</v>
      </c>
      <c r="G660" s="25">
        <f t="shared" si="9"/>
        <v>4.4857678819019142E-3</v>
      </c>
    </row>
    <row r="661" spans="1:7">
      <c r="A661" s="49">
        <v>48.753997772957653</v>
      </c>
      <c r="B661" s="49">
        <v>49.050815117549497</v>
      </c>
      <c r="C661" s="49">
        <v>46.362479465096264</v>
      </c>
      <c r="D661" s="49">
        <v>46.637300345868354</v>
      </c>
      <c r="E661" s="49">
        <v>701828615.56307268</v>
      </c>
      <c r="F661" s="49" t="s">
        <v>748</v>
      </c>
      <c r="G661" s="25">
        <f t="shared" si="9"/>
        <v>4.5386362662323876E-2</v>
      </c>
    </row>
    <row r="662" spans="1:7">
      <c r="A662" s="49">
        <v>46.806196410636105</v>
      </c>
      <c r="B662" s="49">
        <v>46.951107235436837</v>
      </c>
      <c r="C662" s="49">
        <v>44.860393818311806</v>
      </c>
      <c r="D662" s="49">
        <v>46.453413506121223</v>
      </c>
      <c r="E662" s="49">
        <v>685613883.48055851</v>
      </c>
      <c r="F662" s="49" t="s">
        <v>749</v>
      </c>
      <c r="G662" s="25">
        <f t="shared" si="9"/>
        <v>7.5943375930467294E-3</v>
      </c>
    </row>
    <row r="663" spans="1:7">
      <c r="A663" s="49">
        <v>45.989698866758879</v>
      </c>
      <c r="B663" s="49">
        <v>47.775599859303064</v>
      </c>
      <c r="C663" s="49">
        <v>44.996310178124908</v>
      </c>
      <c r="D663" s="49">
        <v>46.983087555392856</v>
      </c>
      <c r="E663" s="49">
        <v>925909955.89532518</v>
      </c>
      <c r="F663" s="49" t="s">
        <v>750</v>
      </c>
      <c r="G663" s="25">
        <f t="shared" si="9"/>
        <v>-2.1143537820131009E-2</v>
      </c>
    </row>
    <row r="664" spans="1:7">
      <c r="A664" s="49">
        <v>47.133994690185339</v>
      </c>
      <c r="B664" s="49">
        <v>50.235086340920986</v>
      </c>
      <c r="C664" s="49">
        <v>47.129997150190839</v>
      </c>
      <c r="D664" s="49">
        <v>50.185117090989699</v>
      </c>
      <c r="E664" s="49">
        <v>1156755496.2198687</v>
      </c>
      <c r="F664" s="49" t="s">
        <v>751</v>
      </c>
      <c r="G664" s="25">
        <f t="shared" si="9"/>
        <v>-6.0797355424565991E-2</v>
      </c>
    </row>
    <row r="665" spans="1:7">
      <c r="A665" s="49">
        <v>47.087023595249939</v>
      </c>
      <c r="B665" s="49">
        <v>47.170971935134496</v>
      </c>
      <c r="C665" s="49">
        <v>45.18019701787204</v>
      </c>
      <c r="D665" s="49">
        <v>45.837792346967774</v>
      </c>
      <c r="E665" s="49">
        <v>779525489.24716485</v>
      </c>
      <c r="F665" s="49" t="s">
        <v>752</v>
      </c>
      <c r="G665" s="25">
        <f t="shared" si="9"/>
        <v>2.7253303100335691E-2</v>
      </c>
    </row>
    <row r="666" spans="1:7">
      <c r="A666" s="49">
        <v>45.639914117239876</v>
      </c>
      <c r="B666" s="49">
        <v>48.157364928778094</v>
      </c>
      <c r="C666" s="49">
        <v>45.305220081200119</v>
      </c>
      <c r="D666" s="49">
        <v>48.105396908849556</v>
      </c>
      <c r="E666" s="49">
        <v>757672879.86236179</v>
      </c>
      <c r="F666" s="49" t="s">
        <v>753</v>
      </c>
      <c r="G666" s="25">
        <f t="shared" si="9"/>
        <v>-5.125168796094326E-2</v>
      </c>
    </row>
    <row r="667" spans="1:7">
      <c r="A667" s="49">
        <v>46.938115230454699</v>
      </c>
      <c r="B667" s="49">
        <v>47.036054960320016</v>
      </c>
      <c r="C667" s="49">
        <v>44.19480340922707</v>
      </c>
      <c r="D667" s="49">
        <v>44.466636128853267</v>
      </c>
      <c r="E667" s="49">
        <v>692999565.68526435</v>
      </c>
      <c r="F667" s="49" t="s">
        <v>754</v>
      </c>
      <c r="G667" s="25">
        <f t="shared" si="9"/>
        <v>5.5580527711601491E-2</v>
      </c>
    </row>
    <row r="668" spans="1:7">
      <c r="A668" s="49">
        <v>43.272371055495519</v>
      </c>
      <c r="B668" s="49">
        <v>43.55118947626211</v>
      </c>
      <c r="C668" s="49">
        <v>41.634379042747952</v>
      </c>
      <c r="D668" s="49">
        <v>42.608779416408034</v>
      </c>
      <c r="E668" s="49">
        <v>584127108.97476733</v>
      </c>
      <c r="F668" s="49" t="s">
        <v>755</v>
      </c>
      <c r="G668" s="25">
        <f t="shared" si="9"/>
        <v>1.5574058871818952E-2</v>
      </c>
    </row>
    <row r="669" spans="1:7">
      <c r="A669" s="49">
        <v>43.316843687934366</v>
      </c>
      <c r="B669" s="49">
        <v>44.03490180944695</v>
      </c>
      <c r="C669" s="49">
        <v>42.974554325905054</v>
      </c>
      <c r="D669" s="49">
        <v>43.942958389573384</v>
      </c>
      <c r="E669" s="49">
        <v>452673214.64910406</v>
      </c>
      <c r="F669" s="49" t="s">
        <v>756</v>
      </c>
      <c r="G669" s="25">
        <f t="shared" si="9"/>
        <v>-1.4248351148510308E-2</v>
      </c>
    </row>
    <row r="670" spans="1:7">
      <c r="A670" s="49">
        <v>43.45925605023853</v>
      </c>
      <c r="B670" s="49">
        <v>44.647524813604527</v>
      </c>
      <c r="C670" s="49">
        <v>43.379305250348473</v>
      </c>
      <c r="D670" s="49">
        <v>44.492620138817536</v>
      </c>
      <c r="E670" s="49">
        <v>527775262.51174998</v>
      </c>
      <c r="F670" s="49" t="s">
        <v>757</v>
      </c>
      <c r="G670" s="25">
        <f t="shared" si="9"/>
        <v>-2.3225516621742992E-2</v>
      </c>
    </row>
    <row r="671" spans="1:7">
      <c r="A671" s="49">
        <v>43.912976839614608</v>
      </c>
      <c r="B671" s="49">
        <v>45.240160117789586</v>
      </c>
      <c r="C671" s="49">
        <v>43.683118289930697</v>
      </c>
      <c r="D671" s="49">
        <v>44.532595538762571</v>
      </c>
      <c r="E671" s="49">
        <v>676927821.54052842</v>
      </c>
      <c r="F671" s="49" t="s">
        <v>758</v>
      </c>
      <c r="G671" s="25">
        <f t="shared" si="9"/>
        <v>-1.3913824057450896E-2</v>
      </c>
    </row>
    <row r="672" spans="1:7">
      <c r="A672" s="49">
        <v>43.726091844871597</v>
      </c>
      <c r="B672" s="49">
        <v>43.773062939807012</v>
      </c>
      <c r="C672" s="49">
        <v>40.286208679601835</v>
      </c>
      <c r="D672" s="49">
        <v>40.461101054361336</v>
      </c>
      <c r="E672" s="49">
        <v>690710617.97927952</v>
      </c>
      <c r="F672" s="49" t="s">
        <v>759</v>
      </c>
      <c r="G672" s="25">
        <f t="shared" si="9"/>
        <v>8.0694561082843341E-2</v>
      </c>
    </row>
    <row r="673" spans="1:7">
      <c r="A673" s="49">
        <v>40.829874118854235</v>
      </c>
      <c r="B673" s="49">
        <v>41.992158872255956</v>
      </c>
      <c r="C673" s="49">
        <v>40.614006959151077</v>
      </c>
      <c r="D673" s="49">
        <v>41.725323077622889</v>
      </c>
      <c r="E673" s="49">
        <v>533413309.91865343</v>
      </c>
      <c r="F673" s="49" t="s">
        <v>760</v>
      </c>
      <c r="G673" s="25">
        <f t="shared" si="9"/>
        <v>-2.1460563818830658E-2</v>
      </c>
    </row>
    <row r="674" spans="1:7">
      <c r="A674" s="49">
        <v>42.361931321747477</v>
      </c>
      <c r="B674" s="49">
        <v>43.547201930117595</v>
      </c>
      <c r="C674" s="49">
        <v>41.809271417507453</v>
      </c>
      <c r="D674" s="49">
        <v>42.134071542060816</v>
      </c>
      <c r="E674" s="49">
        <v>493008500.90558332</v>
      </c>
      <c r="F674" s="49" t="s">
        <v>761</v>
      </c>
      <c r="G674" s="25">
        <f t="shared" si="9"/>
        <v>5.4079696394686572E-3</v>
      </c>
    </row>
    <row r="675" spans="1:7">
      <c r="A675" s="49">
        <v>42.527829231519348</v>
      </c>
      <c r="B675" s="49">
        <v>44.284748059103386</v>
      </c>
      <c r="C675" s="49">
        <v>42.10808753209654</v>
      </c>
      <c r="D675" s="49">
        <v>44.246771429155608</v>
      </c>
      <c r="E675" s="49">
        <v>586809958.9311775</v>
      </c>
      <c r="F675" s="49" t="s">
        <v>762</v>
      </c>
      <c r="G675" s="25">
        <f t="shared" si="9"/>
        <v>-3.884898586077612E-2</v>
      </c>
    </row>
    <row r="676" spans="1:7">
      <c r="A676" s="49">
        <v>44.636531578619639</v>
      </c>
      <c r="B676" s="49">
        <v>45.214176107825317</v>
      </c>
      <c r="C676" s="49">
        <v>44.028915493305185</v>
      </c>
      <c r="D676" s="49">
        <v>44.8254153433599</v>
      </c>
      <c r="E676" s="49">
        <v>354061178.11111373</v>
      </c>
      <c r="F676" s="49" t="s">
        <v>763</v>
      </c>
      <c r="G676" s="25">
        <f t="shared" si="9"/>
        <v>-4.2137649655541454E-3</v>
      </c>
    </row>
    <row r="677" spans="1:7">
      <c r="A677" s="49">
        <v>45.388568790085507</v>
      </c>
      <c r="B677" s="49">
        <v>45.511992837415782</v>
      </c>
      <c r="C677" s="49">
        <v>44.536043417007825</v>
      </c>
      <c r="D677" s="49">
        <v>45.083256673005344</v>
      </c>
      <c r="E677" s="49">
        <v>322351786.79187512</v>
      </c>
      <c r="F677" s="49" t="s">
        <v>764</v>
      </c>
      <c r="G677" s="25">
        <f t="shared" si="9"/>
        <v>6.7721841679413419E-3</v>
      </c>
    </row>
    <row r="678" spans="1:7">
      <c r="A678" s="49">
        <v>44.652521738597656</v>
      </c>
      <c r="B678" s="49">
        <v>45.613930107275607</v>
      </c>
      <c r="C678" s="49">
        <v>44.365698243992071</v>
      </c>
      <c r="D678" s="49">
        <v>44.957334163178501</v>
      </c>
      <c r="E678" s="49">
        <v>362889357.45354158</v>
      </c>
      <c r="F678" s="49" t="s">
        <v>765</v>
      </c>
      <c r="G678" s="25">
        <f t="shared" si="9"/>
        <v>-6.7800377903745046E-3</v>
      </c>
    </row>
    <row r="679" spans="1:7">
      <c r="A679" s="49">
        <v>44.487623213824406</v>
      </c>
      <c r="B679" s="49">
        <v>45.090252367995724</v>
      </c>
      <c r="C679" s="49">
        <v>43.773062939807012</v>
      </c>
      <c r="D679" s="49">
        <v>43.773062939807012</v>
      </c>
      <c r="E679" s="49">
        <v>325276645.58405185</v>
      </c>
      <c r="F679" s="49" t="s">
        <v>766</v>
      </c>
      <c r="G679" s="25">
        <f t="shared" si="9"/>
        <v>1.6324200913241826E-2</v>
      </c>
    </row>
    <row r="680" spans="1:7">
      <c r="A680" s="49">
        <v>44.241774504162478</v>
      </c>
      <c r="B680" s="49">
        <v>45.811808337003498</v>
      </c>
      <c r="C680" s="49">
        <v>43.360316935374584</v>
      </c>
      <c r="D680" s="49">
        <v>45.802813872015868</v>
      </c>
      <c r="E680" s="49">
        <v>530467808.43119073</v>
      </c>
      <c r="F680" s="49" t="s">
        <v>767</v>
      </c>
      <c r="G680" s="25">
        <f t="shared" si="9"/>
        <v>-3.4081735070149E-2</v>
      </c>
    </row>
    <row r="681" spans="1:7">
      <c r="A681" s="49">
        <v>46.478398131086863</v>
      </c>
      <c r="B681" s="49">
        <v>46.871156435546773</v>
      </c>
      <c r="C681" s="49">
        <v>45.998693331746509</v>
      </c>
      <c r="D681" s="49">
        <v>46.430927343652144</v>
      </c>
      <c r="E681" s="49">
        <v>239423215.60663003</v>
      </c>
      <c r="F681" s="49" t="s">
        <v>768</v>
      </c>
      <c r="G681" s="25">
        <f t="shared" si="9"/>
        <v>1.0223958501489605E-3</v>
      </c>
    </row>
    <row r="682" spans="1:7">
      <c r="A682" s="49">
        <v>46.700261600781779</v>
      </c>
      <c r="B682" s="49">
        <v>47.101014985230698</v>
      </c>
      <c r="C682" s="49">
        <v>46.47740873993822</v>
      </c>
      <c r="D682" s="49">
        <v>46.725246225747419</v>
      </c>
      <c r="E682" s="49">
        <v>251209774.35645908</v>
      </c>
      <c r="F682" s="49" t="s">
        <v>769</v>
      </c>
      <c r="G682" s="25">
        <f t="shared" si="9"/>
        <v>-5.3471360739176799E-4</v>
      </c>
    </row>
    <row r="683" spans="1:7">
      <c r="A683" s="49">
        <v>46.721248685752919</v>
      </c>
      <c r="B683" s="49">
        <v>46.998078330372245</v>
      </c>
      <c r="C683" s="49">
        <v>46.35247562126002</v>
      </c>
      <c r="D683" s="49">
        <v>46.639299115865605</v>
      </c>
      <c r="E683" s="49">
        <v>331398050.25633776</v>
      </c>
      <c r="F683" s="49" t="s">
        <v>770</v>
      </c>
      <c r="G683" s="25">
        <f t="shared" si="9"/>
        <v>1.75709265449564E-3</v>
      </c>
    </row>
    <row r="684" spans="1:7">
      <c r="A684" s="49">
        <v>45.871771436921044</v>
      </c>
      <c r="B684" s="49">
        <v>47.365852009866508</v>
      </c>
      <c r="C684" s="49">
        <v>45.721863687127183</v>
      </c>
      <c r="D684" s="49">
        <v>46.490390751070372</v>
      </c>
      <c r="E684" s="49">
        <v>456256118.1396746</v>
      </c>
      <c r="F684" s="49" t="s">
        <v>771</v>
      </c>
      <c r="G684" s="25">
        <f t="shared" si="9"/>
        <v>-1.330639093703645E-2</v>
      </c>
    </row>
    <row r="685" spans="1:7">
      <c r="A685" s="49">
        <v>45.424046957536717</v>
      </c>
      <c r="B685" s="49">
        <v>46.024677341710778</v>
      </c>
      <c r="C685" s="49">
        <v>44.602552488666369</v>
      </c>
      <c r="D685" s="49">
        <v>45.992697021754758</v>
      </c>
      <c r="E685" s="49">
        <v>364461404.26449072</v>
      </c>
      <c r="F685" s="49" t="s">
        <v>772</v>
      </c>
      <c r="G685" s="25">
        <f t="shared" si="9"/>
        <v>-1.2363920818756702E-2</v>
      </c>
    </row>
    <row r="686" spans="1:7">
      <c r="A686" s="49">
        <v>45.650907352224763</v>
      </c>
      <c r="B686" s="49">
        <v>46.15409769903281</v>
      </c>
      <c r="C686" s="49">
        <v>44.895372293263705</v>
      </c>
      <c r="D686" s="49">
        <v>44.913361223238972</v>
      </c>
      <c r="E686" s="49">
        <v>348295111.97251433</v>
      </c>
      <c r="F686" s="49" t="s">
        <v>773</v>
      </c>
      <c r="G686" s="25">
        <f t="shared" si="9"/>
        <v>1.6421530451035782E-2</v>
      </c>
    </row>
    <row r="687" spans="1:7">
      <c r="A687" s="49">
        <v>44.584563558691102</v>
      </c>
      <c r="B687" s="49">
        <v>45.081257903008087</v>
      </c>
      <c r="C687" s="49">
        <v>44.012915339477182</v>
      </c>
      <c r="D687" s="49">
        <v>44.703490373527565</v>
      </c>
      <c r="E687" s="49">
        <v>383335491.85429657</v>
      </c>
      <c r="F687" s="49" t="s">
        <v>774</v>
      </c>
      <c r="G687" s="25">
        <f t="shared" si="9"/>
        <v>-2.6603474100735935E-3</v>
      </c>
    </row>
    <row r="688" spans="1:7">
      <c r="A688" s="49">
        <v>44.281749904107507</v>
      </c>
      <c r="B688" s="49">
        <v>45.837792346967774</v>
      </c>
      <c r="C688" s="49">
        <v>44.072878439394728</v>
      </c>
      <c r="D688" s="49">
        <v>45.759840317074961</v>
      </c>
      <c r="E688" s="49">
        <v>964361713.77926683</v>
      </c>
      <c r="F688" s="49" t="s">
        <v>775</v>
      </c>
      <c r="G688" s="25">
        <f t="shared" si="9"/>
        <v>-3.2301039573687351E-2</v>
      </c>
    </row>
    <row r="689" spans="1:7">
      <c r="A689" s="49">
        <v>45.492005137443265</v>
      </c>
      <c r="B689" s="49">
        <v>47.058041430289791</v>
      </c>
      <c r="C689" s="49">
        <v>45.034286808072686</v>
      </c>
      <c r="D689" s="49">
        <v>46.478398131086863</v>
      </c>
      <c r="E689" s="49">
        <v>538195500.97272372</v>
      </c>
      <c r="F689" s="49" t="s">
        <v>776</v>
      </c>
      <c r="G689" s="25">
        <f t="shared" si="9"/>
        <v>-2.1222611649859169E-2</v>
      </c>
    </row>
    <row r="690" spans="1:7">
      <c r="A690" s="49">
        <v>47.048047580303525</v>
      </c>
      <c r="B690" s="49">
        <v>47.788591864285195</v>
      </c>
      <c r="C690" s="49">
        <v>46.71325360576391</v>
      </c>
      <c r="D690" s="49">
        <v>47.434809574771684</v>
      </c>
      <c r="E690" s="49">
        <v>427764865.98044205</v>
      </c>
      <c r="F690" s="49" t="s">
        <v>777</v>
      </c>
      <c r="G690" s="25">
        <f t="shared" si="9"/>
        <v>-8.1535479521321896E-3</v>
      </c>
    </row>
    <row r="691" spans="1:7">
      <c r="A691" s="49">
        <v>47.464791124730461</v>
      </c>
      <c r="B691" s="49">
        <v>47.866533900328015</v>
      </c>
      <c r="C691" s="49">
        <v>45.705873527149173</v>
      </c>
      <c r="D691" s="49">
        <v>46.672278820820253</v>
      </c>
      <c r="E691" s="49">
        <v>570541303.68584406</v>
      </c>
      <c r="F691" s="49" t="s">
        <v>778</v>
      </c>
      <c r="G691" s="25">
        <f t="shared" si="9"/>
        <v>1.698036444615747E-2</v>
      </c>
    </row>
    <row r="692" spans="1:7">
      <c r="A692" s="49">
        <v>46.432426421150083</v>
      </c>
      <c r="B692" s="49">
        <v>46.467404896101975</v>
      </c>
      <c r="C692" s="49">
        <v>45.234573555647266</v>
      </c>
      <c r="D692" s="49">
        <v>46.260532201386454</v>
      </c>
      <c r="E692" s="49">
        <v>510802364.15593582</v>
      </c>
      <c r="F692" s="49" t="s">
        <v>779</v>
      </c>
      <c r="G692" s="25">
        <f t="shared" si="9"/>
        <v>3.7157856078118279E-3</v>
      </c>
    </row>
    <row r="693" spans="1:7">
      <c r="A693" s="49">
        <v>45.441036502513356</v>
      </c>
      <c r="B693" s="49">
        <v>48.058425813914141</v>
      </c>
      <c r="C693" s="49">
        <v>45.032288038075436</v>
      </c>
      <c r="D693" s="49">
        <v>46.554161507832681</v>
      </c>
      <c r="E693" s="49">
        <v>772550449.58818901</v>
      </c>
      <c r="F693" s="49" t="s">
        <v>780</v>
      </c>
      <c r="G693" s="25">
        <f t="shared" si="9"/>
        <v>-2.3910322284121599E-2</v>
      </c>
    </row>
    <row r="694" spans="1:7">
      <c r="A694" s="49">
        <v>45.948724081815222</v>
      </c>
      <c r="B694" s="49">
        <v>46.126614611570609</v>
      </c>
      <c r="C694" s="49">
        <v>44.464637358856017</v>
      </c>
      <c r="D694" s="49">
        <v>44.490621368820285</v>
      </c>
      <c r="E694" s="49">
        <v>478497966.90723294</v>
      </c>
      <c r="F694" s="49" t="s">
        <v>781</v>
      </c>
      <c r="G694" s="25">
        <f t="shared" si="9"/>
        <v>3.2773260254278958E-2</v>
      </c>
    </row>
    <row r="695" spans="1:7">
      <c r="A695" s="49">
        <v>43.87500020966683</v>
      </c>
      <c r="B695" s="49">
        <v>43.907979914621485</v>
      </c>
      <c r="C695" s="49">
        <v>42.750971914012503</v>
      </c>
      <c r="D695" s="49">
        <v>43.006534645861073</v>
      </c>
      <c r="E695" s="49">
        <v>481573188.17253733</v>
      </c>
      <c r="F695" s="49" t="s">
        <v>782</v>
      </c>
      <c r="G695" s="25">
        <f t="shared" si="9"/>
        <v>2.019380475449073E-2</v>
      </c>
    </row>
    <row r="696" spans="1:7">
      <c r="A696" s="49">
        <v>42.378920866724116</v>
      </c>
      <c r="B696" s="49">
        <v>42.731703771238998</v>
      </c>
      <c r="C696" s="49">
        <v>42.041128737188622</v>
      </c>
      <c r="D696" s="49">
        <v>42.454874126619671</v>
      </c>
      <c r="E696" s="49">
        <v>298427593.38004857</v>
      </c>
      <c r="F696" s="49" t="s">
        <v>783</v>
      </c>
      <c r="G696" s="25">
        <f t="shared" si="9"/>
        <v>-1.7890350980438452E-3</v>
      </c>
    </row>
    <row r="697" spans="1:7">
      <c r="A697" s="49">
        <v>42.154059242033327</v>
      </c>
      <c r="B697" s="49">
        <v>42.784671176166164</v>
      </c>
      <c r="C697" s="49">
        <v>41.623385807763064</v>
      </c>
      <c r="D697" s="49">
        <v>42.630765886377802</v>
      </c>
      <c r="E697" s="49">
        <v>354125897.91388136</v>
      </c>
      <c r="F697" s="49" t="s">
        <v>784</v>
      </c>
      <c r="G697" s="25">
        <f t="shared" si="9"/>
        <v>-1.1182220971938994E-2</v>
      </c>
    </row>
    <row r="698" spans="1:7">
      <c r="A698" s="49">
        <v>42.476860596589432</v>
      </c>
      <c r="B698" s="49">
        <v>43.187423330612333</v>
      </c>
      <c r="C698" s="49">
        <v>42.154059242033327</v>
      </c>
      <c r="D698" s="49">
        <v>42.29597191183818</v>
      </c>
      <c r="E698" s="49">
        <v>356100472.27982998</v>
      </c>
      <c r="F698" s="49" t="s">
        <v>785</v>
      </c>
      <c r="G698" s="25">
        <f t="shared" si="9"/>
        <v>4.27673550399299E-3</v>
      </c>
    </row>
    <row r="699" spans="1:7">
      <c r="A699" s="49">
        <v>42.077106597139142</v>
      </c>
      <c r="B699" s="49">
        <v>42.153059857034705</v>
      </c>
      <c r="C699" s="49">
        <v>41.320572153179462</v>
      </c>
      <c r="D699" s="49">
        <v>41.818265882495083</v>
      </c>
      <c r="E699" s="49">
        <v>304325950.87801576</v>
      </c>
      <c r="F699" s="49" t="s">
        <v>786</v>
      </c>
      <c r="G699" s="25">
        <f t="shared" si="9"/>
        <v>6.1896568205714875E-3</v>
      </c>
    </row>
    <row r="700" spans="1:7">
      <c r="A700" s="49">
        <v>42.29097498684505</v>
      </c>
      <c r="B700" s="49">
        <v>43.150446085663177</v>
      </c>
      <c r="C700" s="49">
        <v>42.059117667163882</v>
      </c>
      <c r="D700" s="49">
        <v>42.109086917095169</v>
      </c>
      <c r="E700" s="49">
        <v>323816707.72025931</v>
      </c>
      <c r="F700" s="49" t="s">
        <v>787</v>
      </c>
      <c r="G700" s="25">
        <f t="shared" si="9"/>
        <v>4.3194493888689678E-3</v>
      </c>
    </row>
    <row r="701" spans="1:7">
      <c r="A701" s="49">
        <v>42.386915946713124</v>
      </c>
      <c r="B701" s="49">
        <v>42.8716176710466</v>
      </c>
      <c r="C701" s="49">
        <v>42.176045712003088</v>
      </c>
      <c r="D701" s="49">
        <v>42.490851986570199</v>
      </c>
      <c r="E701" s="49">
        <v>198331163.93838251</v>
      </c>
      <c r="F701" s="49" t="s">
        <v>788</v>
      </c>
      <c r="G701" s="25">
        <f t="shared" si="9"/>
        <v>-2.4460803913728402E-3</v>
      </c>
    </row>
    <row r="702" spans="1:7">
      <c r="A702" s="49">
        <v>42.275984211865662</v>
      </c>
      <c r="B702" s="49">
        <v>42.523831691524848</v>
      </c>
      <c r="C702" s="49">
        <v>41.475476827966453</v>
      </c>
      <c r="D702" s="49">
        <v>41.654366742720462</v>
      </c>
      <c r="E702" s="49">
        <v>501456146.21906042</v>
      </c>
      <c r="F702" s="49" t="s">
        <v>789</v>
      </c>
      <c r="G702" s="25">
        <f t="shared" si="9"/>
        <v>1.4923224568138105E-2</v>
      </c>
    </row>
    <row r="703" spans="1:7">
      <c r="A703" s="49">
        <v>40.796894413899587</v>
      </c>
      <c r="B703" s="49">
        <v>41.574415942830399</v>
      </c>
      <c r="C703" s="49">
        <v>40.57503094420467</v>
      </c>
      <c r="D703" s="49">
        <v>41.53244177288812</v>
      </c>
      <c r="E703" s="49">
        <v>380748460.82665926</v>
      </c>
      <c r="F703" s="49" t="s">
        <v>790</v>
      </c>
      <c r="G703" s="25">
        <f t="shared" ref="G703:G766" si="10">A703/D703-1</f>
        <v>-1.7710188170749208E-2</v>
      </c>
    </row>
    <row r="704" spans="1:7">
      <c r="A704" s="49">
        <v>41.091712988494173</v>
      </c>
      <c r="B704" s="49">
        <v>41.819265267493705</v>
      </c>
      <c r="C704" s="49">
        <v>40.493081374317363</v>
      </c>
      <c r="D704" s="49">
        <v>40.634994044122216</v>
      </c>
      <c r="E704" s="49">
        <v>582997814.45708704</v>
      </c>
      <c r="F704" s="49" t="s">
        <v>791</v>
      </c>
      <c r="G704" s="25">
        <f t="shared" si="10"/>
        <v>1.1239547466797895E-2</v>
      </c>
    </row>
    <row r="705" spans="1:7">
      <c r="A705" s="49">
        <v>41.850246202451103</v>
      </c>
      <c r="B705" s="49">
        <v>41.91420684236315</v>
      </c>
      <c r="C705" s="49">
        <v>40.423124424413565</v>
      </c>
      <c r="D705" s="49">
        <v>40.77390855893119</v>
      </c>
      <c r="E705" s="49">
        <v>462459112.9900322</v>
      </c>
      <c r="F705" s="49" t="s">
        <v>792</v>
      </c>
      <c r="G705" s="25">
        <f t="shared" si="10"/>
        <v>2.639770582612333E-2</v>
      </c>
    </row>
    <row r="706" spans="1:7">
      <c r="A706" s="49">
        <v>40.607011264160697</v>
      </c>
      <c r="B706" s="49">
        <v>42.737700081230749</v>
      </c>
      <c r="C706" s="49">
        <v>40.075338444891806</v>
      </c>
      <c r="D706" s="49">
        <v>42.434886426647161</v>
      </c>
      <c r="E706" s="49">
        <v>594687653.72430134</v>
      </c>
      <c r="F706" s="49" t="s">
        <v>793</v>
      </c>
      <c r="G706" s="25">
        <f t="shared" si="10"/>
        <v>-4.3074821600998625E-2</v>
      </c>
    </row>
    <row r="707" spans="1:7">
      <c r="A707" s="49">
        <v>42.183041406993468</v>
      </c>
      <c r="B707" s="49">
        <v>42.782672406168906</v>
      </c>
      <c r="C707" s="49">
        <v>41.989160717260077</v>
      </c>
      <c r="D707" s="49">
        <v>42.437884581643033</v>
      </c>
      <c r="E707" s="49">
        <v>358360232.03518504</v>
      </c>
      <c r="F707" s="49" t="s">
        <v>794</v>
      </c>
      <c r="G707" s="25">
        <f t="shared" si="10"/>
        <v>-6.0050866616428999E-3</v>
      </c>
    </row>
    <row r="708" spans="1:7">
      <c r="A708" s="49">
        <v>42.998539565872072</v>
      </c>
      <c r="B708" s="49">
        <v>43.398793257821673</v>
      </c>
      <c r="C708" s="49">
        <v>42.208026031959115</v>
      </c>
      <c r="D708" s="49">
        <v>42.227014346933004</v>
      </c>
      <c r="E708" s="49">
        <v>417994497.19020891</v>
      </c>
      <c r="F708" s="49" t="s">
        <v>795</v>
      </c>
      <c r="G708" s="25">
        <f t="shared" si="10"/>
        <v>1.8270892007668182E-2</v>
      </c>
    </row>
    <row r="709" spans="1:7">
      <c r="A709" s="49">
        <v>43.018527265844583</v>
      </c>
      <c r="B709" s="49">
        <v>43.588176715061245</v>
      </c>
      <c r="C709" s="49">
        <v>42.054120742170753</v>
      </c>
      <c r="D709" s="49">
        <v>43.474246825217918</v>
      </c>
      <c r="E709" s="49">
        <v>551942355.30703115</v>
      </c>
      <c r="F709" s="49" t="s">
        <v>796</v>
      </c>
      <c r="G709" s="25">
        <f t="shared" si="10"/>
        <v>-1.0482517643272571E-2</v>
      </c>
    </row>
    <row r="710" spans="1:7">
      <c r="A710" s="49">
        <v>43.781058019796014</v>
      </c>
      <c r="B710" s="49">
        <v>43.962946089545895</v>
      </c>
      <c r="C710" s="49">
        <v>42.64775543135444</v>
      </c>
      <c r="D710" s="49">
        <v>42.971556170909174</v>
      </c>
      <c r="E710" s="49">
        <v>451430740.52581072</v>
      </c>
      <c r="F710" s="49" t="s">
        <v>797</v>
      </c>
      <c r="G710" s="25">
        <f t="shared" si="10"/>
        <v>1.8838085492348444E-2</v>
      </c>
    </row>
    <row r="711" spans="1:7">
      <c r="A711" s="49">
        <v>42.6657443613297</v>
      </c>
      <c r="B711" s="49">
        <v>43.694111524915577</v>
      </c>
      <c r="C711" s="49">
        <v>42.634263733872992</v>
      </c>
      <c r="D711" s="49">
        <v>43.423278190288002</v>
      </c>
      <c r="E711" s="49">
        <v>656112920.34768963</v>
      </c>
      <c r="F711" s="49" t="s">
        <v>798</v>
      </c>
      <c r="G711" s="25">
        <f t="shared" si="10"/>
        <v>-1.7445339470655852E-2</v>
      </c>
    </row>
    <row r="712" spans="1:7">
      <c r="A712" s="49">
        <v>42.626768346383294</v>
      </c>
      <c r="B712" s="49">
        <v>43.26237720550926</v>
      </c>
      <c r="C712" s="49">
        <v>42.121079537078678</v>
      </c>
      <c r="D712" s="49">
        <v>42.575799711453385</v>
      </c>
      <c r="E712" s="49">
        <v>568971958.53642046</v>
      </c>
      <c r="F712" s="49" t="s">
        <v>799</v>
      </c>
      <c r="G712" s="25">
        <f t="shared" si="10"/>
        <v>1.1971268954509284E-3</v>
      </c>
    </row>
    <row r="713" spans="1:7">
      <c r="A713" s="49">
        <v>42.970556785910553</v>
      </c>
      <c r="B713" s="49">
        <v>42.973554940906425</v>
      </c>
      <c r="C713" s="49">
        <v>40.527060464270633</v>
      </c>
      <c r="D713" s="49">
        <v>40.798893183896837</v>
      </c>
      <c r="E713" s="49">
        <v>740920687.24087763</v>
      </c>
      <c r="F713" s="49" t="s">
        <v>800</v>
      </c>
      <c r="G713" s="25">
        <f t="shared" si="10"/>
        <v>5.3228493043308012E-2</v>
      </c>
    </row>
    <row r="714" spans="1:7">
      <c r="A714" s="49">
        <v>40.996771413624735</v>
      </c>
      <c r="B714" s="49">
        <v>41.075722828516163</v>
      </c>
      <c r="C714" s="49">
        <v>39.715559845386544</v>
      </c>
      <c r="D714" s="49">
        <v>40.16128555477362</v>
      </c>
      <c r="E714" s="49">
        <v>613585515.93553197</v>
      </c>
      <c r="F714" s="49" t="s">
        <v>801</v>
      </c>
      <c r="G714" s="25">
        <f t="shared" si="10"/>
        <v>2.0803264818593625E-2</v>
      </c>
    </row>
    <row r="715" spans="1:7">
      <c r="A715" s="49">
        <v>39.457718515741107</v>
      </c>
      <c r="B715" s="49">
        <v>39.50567900182515</v>
      </c>
      <c r="C715" s="49">
        <v>38.594249876928473</v>
      </c>
      <c r="D715" s="49">
        <v>39.175891946128651</v>
      </c>
      <c r="E715" s="49">
        <v>389913147.12132525</v>
      </c>
      <c r="F715" s="49" t="s">
        <v>802</v>
      </c>
      <c r="G715" s="25">
        <f t="shared" si="10"/>
        <v>7.1938775510203001E-3</v>
      </c>
    </row>
    <row r="716" spans="1:7">
      <c r="A716" s="49">
        <v>38.746156396719584</v>
      </c>
      <c r="B716" s="49">
        <v>39.686577680426396</v>
      </c>
      <c r="C716" s="49">
        <v>38.543281241998564</v>
      </c>
      <c r="D716" s="49">
        <v>39.012992191352652</v>
      </c>
      <c r="E716" s="49">
        <v>427980678.70556456</v>
      </c>
      <c r="F716" s="49" t="s">
        <v>803</v>
      </c>
      <c r="G716" s="25">
        <f t="shared" si="10"/>
        <v>-6.8396649332683745E-3</v>
      </c>
    </row>
    <row r="717" spans="1:7">
      <c r="A717" s="49">
        <v>38.486316297076897</v>
      </c>
      <c r="B717" s="49">
        <v>38.8400985865904</v>
      </c>
      <c r="C717" s="49">
        <v>37.481934373458039</v>
      </c>
      <c r="D717" s="49">
        <v>37.700799688157069</v>
      </c>
      <c r="E717" s="49">
        <v>418029488.7100417</v>
      </c>
      <c r="F717" s="49" t="s">
        <v>804</v>
      </c>
      <c r="G717" s="25">
        <f t="shared" si="10"/>
        <v>2.0835542360301273E-2</v>
      </c>
    </row>
    <row r="718" spans="1:7">
      <c r="A718" s="49">
        <v>37.451952823499262</v>
      </c>
      <c r="B718" s="49">
        <v>39.474708060717745</v>
      </c>
      <c r="C718" s="49">
        <v>37.333026008662799</v>
      </c>
      <c r="D718" s="49">
        <v>38.891067221520309</v>
      </c>
      <c r="E718" s="49">
        <v>512312963.17640942</v>
      </c>
      <c r="F718" s="49" t="s">
        <v>805</v>
      </c>
      <c r="G718" s="25">
        <f t="shared" si="10"/>
        <v>-3.7003726069638865E-2</v>
      </c>
    </row>
    <row r="719" spans="1:7">
      <c r="A719" s="49">
        <v>38.626230196884514</v>
      </c>
      <c r="B719" s="49">
        <v>39.131866676411178</v>
      </c>
      <c r="C719" s="49">
        <v>38.120593717357849</v>
      </c>
      <c r="D719" s="49">
        <v>38.802103754980742</v>
      </c>
      <c r="E719" s="49">
        <v>389008611.53082323</v>
      </c>
      <c r="F719" s="49" t="s">
        <v>806</v>
      </c>
      <c r="G719" s="25">
        <f t="shared" si="10"/>
        <v>-4.5325779036826663E-3</v>
      </c>
    </row>
    <row r="720" spans="1:7">
      <c r="A720" s="49">
        <v>39.142858773792184</v>
      </c>
      <c r="B720" s="49">
        <v>39.536605694795924</v>
      </c>
      <c r="C720" s="49">
        <v>38.679192120629395</v>
      </c>
      <c r="D720" s="49">
        <v>38.881046999808021</v>
      </c>
      <c r="E720" s="49">
        <v>396378576.26020449</v>
      </c>
      <c r="F720" s="49" t="s">
        <v>807</v>
      </c>
      <c r="G720" s="25">
        <f t="shared" si="10"/>
        <v>6.7336605926651139E-3</v>
      </c>
    </row>
    <row r="721" spans="1:7">
      <c r="A721" s="49">
        <v>39.298746700286571</v>
      </c>
      <c r="B721" s="49">
        <v>40.470903993734744</v>
      </c>
      <c r="C721" s="49">
        <v>39.02994994805757</v>
      </c>
      <c r="D721" s="49">
        <v>40.068193516957585</v>
      </c>
      <c r="E721" s="49">
        <v>483078263.04118657</v>
      </c>
      <c r="F721" s="49" t="s">
        <v>808</v>
      </c>
      <c r="G721" s="25">
        <f t="shared" si="10"/>
        <v>-1.9203431678180616E-2</v>
      </c>
    </row>
    <row r="722" spans="1:7">
      <c r="A722" s="49">
        <v>39.74142844026742</v>
      </c>
      <c r="B722" s="49">
        <v>40.021227282693246</v>
      </c>
      <c r="C722" s="49">
        <v>38.312455780735554</v>
      </c>
      <c r="D722" s="49">
        <v>38.461348736169292</v>
      </c>
      <c r="E722" s="49">
        <v>636330102.21335244</v>
      </c>
      <c r="F722" s="49" t="s">
        <v>809</v>
      </c>
      <c r="G722" s="25">
        <f t="shared" si="10"/>
        <v>3.3282236483151095E-2</v>
      </c>
    </row>
    <row r="723" spans="1:7">
      <c r="A723" s="49">
        <v>37.80681930120889</v>
      </c>
      <c r="B723" s="49">
        <v>40.26605126981584</v>
      </c>
      <c r="C723" s="49">
        <v>37.794827922247791</v>
      </c>
      <c r="D723" s="49">
        <v>39.459631034681422</v>
      </c>
      <c r="E723" s="49">
        <v>1003300991.4057255</v>
      </c>
      <c r="F723" s="49" t="s">
        <v>810</v>
      </c>
      <c r="G723" s="25">
        <f t="shared" si="10"/>
        <v>-4.1886142625607969E-2</v>
      </c>
    </row>
    <row r="724" spans="1:7">
      <c r="A724" s="49">
        <v>40.08218345907887</v>
      </c>
      <c r="B724" s="49">
        <v>41.907870905907345</v>
      </c>
      <c r="C724" s="49">
        <v>39.920299843103933</v>
      </c>
      <c r="D724" s="49">
        <v>40.5658357438435</v>
      </c>
      <c r="E724" s="49">
        <v>924064966.66814029</v>
      </c>
      <c r="F724" s="49" t="s">
        <v>811</v>
      </c>
      <c r="G724" s="25">
        <f t="shared" si="10"/>
        <v>-1.1922650572730564E-2</v>
      </c>
    </row>
    <row r="725" spans="1:7">
      <c r="A725" s="49">
        <v>38.918020418271439</v>
      </c>
      <c r="B725" s="49">
        <v>39.141859492212092</v>
      </c>
      <c r="C725" s="49">
        <v>37.523023332462706</v>
      </c>
      <c r="D725" s="49">
        <v>37.862779069694056</v>
      </c>
      <c r="E725" s="49">
        <v>714910365.8391</v>
      </c>
      <c r="F725" s="49" t="s">
        <v>812</v>
      </c>
      <c r="G725" s="25">
        <f t="shared" si="10"/>
        <v>2.7870150435471253E-2</v>
      </c>
    </row>
    <row r="726" spans="1:7">
      <c r="A726" s="49">
        <v>37.952714411902356</v>
      </c>
      <c r="B726" s="49">
        <v>39.45163678204068</v>
      </c>
      <c r="C726" s="49">
        <v>36.608680686678333</v>
      </c>
      <c r="D726" s="49">
        <v>38.495324309892432</v>
      </c>
      <c r="E726" s="49">
        <v>1545020643.5882914</v>
      </c>
      <c r="F726" s="49" t="s">
        <v>813</v>
      </c>
      <c r="G726" s="25">
        <f t="shared" si="10"/>
        <v>-1.4095475430262461E-2</v>
      </c>
    </row>
    <row r="727" spans="1:7">
      <c r="A727" s="49">
        <v>30.516060892856085</v>
      </c>
      <c r="B727" s="49">
        <v>30.585011321882451</v>
      </c>
      <c r="C727" s="49">
        <v>29.784586776228586</v>
      </c>
      <c r="D727" s="49">
        <v>30.188296534585842</v>
      </c>
      <c r="E727" s="49">
        <v>721937164.03080893</v>
      </c>
      <c r="F727" s="49" t="s">
        <v>814</v>
      </c>
      <c r="G727" s="25">
        <f t="shared" si="10"/>
        <v>1.0857332009268417E-2</v>
      </c>
    </row>
    <row r="728" spans="1:7">
      <c r="A728" s="49">
        <v>30.665953129869919</v>
      </c>
      <c r="B728" s="49">
        <v>31.265522077925247</v>
      </c>
      <c r="C728" s="49">
        <v>30.608994079804663</v>
      </c>
      <c r="D728" s="49">
        <v>30.977728982858693</v>
      </c>
      <c r="E728" s="49">
        <v>356509383.43837398</v>
      </c>
      <c r="F728" s="49" t="s">
        <v>815</v>
      </c>
      <c r="G728" s="25">
        <f t="shared" si="10"/>
        <v>-1.0064516129032364E-2</v>
      </c>
    </row>
    <row r="729" spans="1:7">
      <c r="A729" s="49">
        <v>31.153602540954921</v>
      </c>
      <c r="B729" s="49">
        <v>31.497355404506642</v>
      </c>
      <c r="C729" s="49">
        <v>30.657958877229184</v>
      </c>
      <c r="D729" s="49">
        <v>30.878800106429562</v>
      </c>
      <c r="E729" s="49">
        <v>372267114.10578698</v>
      </c>
      <c r="F729" s="49" t="s">
        <v>816</v>
      </c>
      <c r="G729" s="25">
        <f t="shared" si="10"/>
        <v>8.8993883693084808E-3</v>
      </c>
    </row>
    <row r="730" spans="1:7">
      <c r="A730" s="49">
        <v>31.241539320003035</v>
      </c>
      <c r="B730" s="49">
        <v>31.557312299312176</v>
      </c>
      <c r="C730" s="49">
        <v>30.893789330130947</v>
      </c>
      <c r="D730" s="49">
        <v>31.513343909788119</v>
      </c>
      <c r="E730" s="49">
        <v>474248359.46267194</v>
      </c>
      <c r="F730" s="49" t="s">
        <v>817</v>
      </c>
      <c r="G730" s="25">
        <f t="shared" si="10"/>
        <v>-8.6250634195840226E-3</v>
      </c>
    </row>
    <row r="731" spans="1:7">
      <c r="A731" s="49">
        <v>31.655241894161211</v>
      </c>
      <c r="B731" s="49">
        <v>31.805134131175045</v>
      </c>
      <c r="C731" s="49">
        <v>30.298217508395982</v>
      </c>
      <c r="D731" s="49">
        <v>30.388152850604286</v>
      </c>
      <c r="E731" s="49">
        <v>749263295.66777968</v>
      </c>
      <c r="F731" s="49" t="s">
        <v>818</v>
      </c>
      <c r="G731" s="25">
        <f t="shared" si="10"/>
        <v>4.1696810259782779E-2</v>
      </c>
    </row>
    <row r="732" spans="1:7">
      <c r="A732" s="49">
        <v>30.156319524022887</v>
      </c>
      <c r="B732" s="49">
        <v>30.177304437204828</v>
      </c>
      <c r="C732" s="49">
        <v>29.408866894929712</v>
      </c>
      <c r="D732" s="49">
        <v>29.562746265448112</v>
      </c>
      <c r="E732" s="49">
        <v>432846375.45313776</v>
      </c>
      <c r="F732" s="49" t="s">
        <v>819</v>
      </c>
      <c r="G732" s="25">
        <f t="shared" si="10"/>
        <v>2.0078420767982719E-2</v>
      </c>
    </row>
    <row r="733" spans="1:7">
      <c r="A733" s="49">
        <v>29.1920127992339</v>
      </c>
      <c r="B733" s="49">
        <v>29.848540797354485</v>
      </c>
      <c r="C733" s="49">
        <v>28.811286517218768</v>
      </c>
      <c r="D733" s="49">
        <v>28.8202800514396</v>
      </c>
      <c r="E733" s="49">
        <v>449728033.57240701</v>
      </c>
      <c r="F733" s="49" t="s">
        <v>820</v>
      </c>
      <c r="G733" s="25">
        <f t="shared" si="10"/>
        <v>1.2898304497070079E-2</v>
      </c>
    </row>
    <row r="734" spans="1:7">
      <c r="A734" s="49">
        <v>28.932199588409922</v>
      </c>
      <c r="B734" s="49">
        <v>28.9481880936914</v>
      </c>
      <c r="C734" s="49">
        <v>28.131775042756058</v>
      </c>
      <c r="D734" s="49">
        <v>28.488018926058935</v>
      </c>
      <c r="E734" s="49">
        <v>294137184.00861138</v>
      </c>
      <c r="F734" s="49" t="s">
        <v>821</v>
      </c>
      <c r="G734" s="25">
        <f t="shared" si="10"/>
        <v>1.5591841029868103E-2</v>
      </c>
    </row>
    <row r="735" spans="1:7">
      <c r="A735" s="49">
        <v>28.319639979813395</v>
      </c>
      <c r="B735" s="49">
        <v>28.759323875053973</v>
      </c>
      <c r="C735" s="49">
        <v>28.025851195266284</v>
      </c>
      <c r="D735" s="49">
        <v>28.508504198450829</v>
      </c>
      <c r="E735" s="49">
        <v>274419398.35886317</v>
      </c>
      <c r="F735" s="49" t="s">
        <v>822</v>
      </c>
      <c r="G735" s="25">
        <f t="shared" si="10"/>
        <v>-6.6248378842582722E-3</v>
      </c>
    </row>
    <row r="736" spans="1:7">
      <c r="A736" s="49">
        <v>28.557468995875343</v>
      </c>
      <c r="B736" s="49">
        <v>28.929201743669648</v>
      </c>
      <c r="C736" s="49">
        <v>28.225707511284728</v>
      </c>
      <c r="D736" s="49">
        <v>28.875240538344666</v>
      </c>
      <c r="E736" s="49">
        <v>322380634.66582805</v>
      </c>
      <c r="F736" s="49" t="s">
        <v>823</v>
      </c>
      <c r="G736" s="25">
        <f t="shared" si="10"/>
        <v>-1.1004983388704259E-2</v>
      </c>
    </row>
    <row r="737" spans="1:7">
      <c r="A737" s="49">
        <v>28.864248440963657</v>
      </c>
      <c r="B737" s="49">
        <v>29.09208464122468</v>
      </c>
      <c r="C737" s="49">
        <v>28.440832849846981</v>
      </c>
      <c r="D737" s="49">
        <v>28.984162230574722</v>
      </c>
      <c r="E737" s="49">
        <v>369615519.14718133</v>
      </c>
      <c r="F737" s="49" t="s">
        <v>824</v>
      </c>
      <c r="G737" s="25">
        <f t="shared" si="10"/>
        <v>-4.1372177210825534E-3</v>
      </c>
    </row>
    <row r="738" spans="1:7">
      <c r="A738" s="49">
        <v>28.550474024814697</v>
      </c>
      <c r="B738" s="49">
        <v>28.952185220011771</v>
      </c>
      <c r="C738" s="49">
        <v>28.42956095362354</v>
      </c>
      <c r="D738" s="49">
        <v>28.878238383084948</v>
      </c>
      <c r="E738" s="49">
        <v>315095831.11793494</v>
      </c>
      <c r="F738" s="49" t="s">
        <v>825</v>
      </c>
      <c r="G738" s="25">
        <f t="shared" si="10"/>
        <v>-1.134987369805196E-2</v>
      </c>
    </row>
    <row r="739" spans="1:7">
      <c r="A739" s="49">
        <v>29.130057341268184</v>
      </c>
      <c r="B739" s="49">
        <v>29.199007770294546</v>
      </c>
      <c r="C739" s="49">
        <v>28.329632795614319</v>
      </c>
      <c r="D739" s="49">
        <v>28.501509227390184</v>
      </c>
      <c r="E739" s="49">
        <v>345226917.89051551</v>
      </c>
      <c r="F739" s="49" t="s">
        <v>826</v>
      </c>
      <c r="G739" s="25">
        <f t="shared" si="10"/>
        <v>2.205315195287838E-2</v>
      </c>
    </row>
    <row r="740" spans="1:7">
      <c r="A740" s="49">
        <v>28.659395717044752</v>
      </c>
      <c r="B740" s="49">
        <v>28.734341835551668</v>
      </c>
      <c r="C740" s="49">
        <v>27.711077497537239</v>
      </c>
      <c r="D740" s="49">
        <v>27.805509606855953</v>
      </c>
      <c r="E740" s="49">
        <v>361753971.25466931</v>
      </c>
      <c r="F740" s="49" t="s">
        <v>827</v>
      </c>
      <c r="G740" s="25">
        <f t="shared" si="10"/>
        <v>3.0709241523063424E-2</v>
      </c>
    </row>
    <row r="741" spans="1:7">
      <c r="A741" s="49">
        <v>27.542198910501654</v>
      </c>
      <c r="B741" s="49">
        <v>27.838985539789039</v>
      </c>
      <c r="C741" s="49">
        <v>27.220430241711956</v>
      </c>
      <c r="D741" s="49">
        <v>27.63113497112986</v>
      </c>
      <c r="E741" s="49">
        <v>322081799.97703844</v>
      </c>
      <c r="F741" s="49" t="s">
        <v>828</v>
      </c>
      <c r="G741" s="25">
        <f t="shared" si="10"/>
        <v>-3.218690101623789E-3</v>
      </c>
    </row>
    <row r="742" spans="1:7">
      <c r="A742" s="49">
        <v>27.782026489723783</v>
      </c>
      <c r="B742" s="49">
        <v>28.346620582475889</v>
      </c>
      <c r="C742" s="49">
        <v>27.452263568293358</v>
      </c>
      <c r="D742" s="49">
        <v>27.819999189767287</v>
      </c>
      <c r="E742" s="49">
        <v>383663031.15946579</v>
      </c>
      <c r="F742" s="49" t="s">
        <v>829</v>
      </c>
      <c r="G742" s="25">
        <f t="shared" si="10"/>
        <v>-1.3649425287356465E-3</v>
      </c>
    </row>
    <row r="743" spans="1:7">
      <c r="A743" s="49">
        <v>28.18973337440141</v>
      </c>
      <c r="B743" s="49">
        <v>28.815273650723334</v>
      </c>
      <c r="C743" s="49">
        <v>28.062824613729695</v>
      </c>
      <c r="D743" s="49">
        <v>28.659395717044752</v>
      </c>
      <c r="E743" s="49">
        <v>403019106.94964999</v>
      </c>
      <c r="F743" s="49" t="s">
        <v>830</v>
      </c>
      <c r="G743" s="25">
        <f t="shared" si="10"/>
        <v>-1.6387726638772748E-2</v>
      </c>
    </row>
    <row r="744" spans="1:7">
      <c r="A744" s="49">
        <v>28.889230480465962</v>
      </c>
      <c r="B744" s="49">
        <v>29.037563838214851</v>
      </c>
      <c r="C744" s="49">
        <v>27.760042294961757</v>
      </c>
      <c r="D744" s="49">
        <v>27.819999189767287</v>
      </c>
      <c r="E744" s="49">
        <v>570738559.94360352</v>
      </c>
      <c r="F744" s="49" t="s">
        <v>831</v>
      </c>
      <c r="G744" s="25">
        <f t="shared" si="10"/>
        <v>3.8433908045977239E-2</v>
      </c>
    </row>
    <row r="745" spans="1:7">
      <c r="A745" s="49">
        <v>27.729064565978899</v>
      </c>
      <c r="B745" s="49">
        <v>27.738058100199726</v>
      </c>
      <c r="C745" s="49">
        <v>27.05203130983482</v>
      </c>
      <c r="D745" s="49">
        <v>27.205441018010575</v>
      </c>
      <c r="E745" s="49">
        <v>292426224.8214699</v>
      </c>
      <c r="F745" s="49" t="s">
        <v>832</v>
      </c>
      <c r="G745" s="25">
        <f t="shared" si="10"/>
        <v>1.9247015610652118E-2</v>
      </c>
    </row>
    <row r="746" spans="1:7">
      <c r="A746" s="49">
        <v>27.206440299590668</v>
      </c>
      <c r="B746" s="49">
        <v>27.475247044635474</v>
      </c>
      <c r="C746" s="49">
        <v>26.605882062771045</v>
      </c>
      <c r="D746" s="49">
        <v>27.343341876063302</v>
      </c>
      <c r="E746" s="49">
        <v>377432344.91042531</v>
      </c>
      <c r="F746" s="49" t="s">
        <v>833</v>
      </c>
      <c r="G746" s="25">
        <f t="shared" si="10"/>
        <v>-5.0067609545737524E-3</v>
      </c>
    </row>
    <row r="747" spans="1:7">
      <c r="A747" s="49">
        <v>26.936634272965772</v>
      </c>
      <c r="B747" s="49">
        <v>27.310365583920259</v>
      </c>
      <c r="C747" s="49">
        <v>26.685914524520634</v>
      </c>
      <c r="D747" s="49">
        <v>26.982601225650011</v>
      </c>
      <c r="E747" s="49">
        <v>406628940.32581121</v>
      </c>
      <c r="F747" s="49" t="s">
        <v>834</v>
      </c>
      <c r="G747" s="25">
        <f t="shared" si="10"/>
        <v>-1.7035775127767216E-3</v>
      </c>
    </row>
    <row r="748" spans="1:7">
      <c r="A748" s="49">
        <v>26.22214794319984</v>
      </c>
      <c r="B748" s="49">
        <v>27.227425212772609</v>
      </c>
      <c r="C748" s="49">
        <v>26.206159437918359</v>
      </c>
      <c r="D748" s="49">
        <v>27.058546625737019</v>
      </c>
      <c r="E748" s="49">
        <v>378799296.95598781</v>
      </c>
      <c r="F748" s="49" t="s">
        <v>835</v>
      </c>
      <c r="G748" s="25">
        <f t="shared" si="10"/>
        <v>-3.0910702415244629E-2</v>
      </c>
    </row>
    <row r="749" spans="1:7">
      <c r="A749" s="49">
        <v>27.022572488853701</v>
      </c>
      <c r="B749" s="49">
        <v>27.346329727987776</v>
      </c>
      <c r="C749" s="49">
        <v>26.651849015455291</v>
      </c>
      <c r="D749" s="49">
        <v>26.993593323031025</v>
      </c>
      <c r="E749" s="49">
        <v>339525782.08105302</v>
      </c>
      <c r="F749" s="49" t="s">
        <v>836</v>
      </c>
      <c r="G749" s="25">
        <f t="shared" si="10"/>
        <v>1.0735571761744112E-3</v>
      </c>
    </row>
    <row r="750" spans="1:7">
      <c r="A750" s="49">
        <v>27.099517170520802</v>
      </c>
      <c r="B750" s="49">
        <v>27.163471191646703</v>
      </c>
      <c r="C750" s="49">
        <v>26.702802383224196</v>
      </c>
      <c r="D750" s="49">
        <v>26.932637146645401</v>
      </c>
      <c r="E750" s="49">
        <v>345350876.94516814</v>
      </c>
      <c r="F750" s="49" t="s">
        <v>837</v>
      </c>
      <c r="G750" s="25">
        <f t="shared" si="10"/>
        <v>6.19620065301274E-3</v>
      </c>
    </row>
    <row r="751" spans="1:7">
      <c r="A751" s="49">
        <v>27.084527946819421</v>
      </c>
      <c r="B751" s="49">
        <v>28.009862689984811</v>
      </c>
      <c r="C751" s="49">
        <v>26.980602662489829</v>
      </c>
      <c r="D751" s="49">
        <v>27.651120602731702</v>
      </c>
      <c r="E751" s="49">
        <v>428020758.63394749</v>
      </c>
      <c r="F751" s="49" t="s">
        <v>838</v>
      </c>
      <c r="G751" s="25">
        <f t="shared" si="10"/>
        <v>-2.0490766506450653E-2</v>
      </c>
    </row>
    <row r="752" spans="1:7">
      <c r="A752" s="49">
        <v>27.91093381355568</v>
      </c>
      <c r="B752" s="49">
        <v>27.979884242582045</v>
      </c>
      <c r="C752" s="49">
        <v>27.212435989071221</v>
      </c>
      <c r="D752" s="49">
        <v>27.34134331290312</v>
      </c>
      <c r="E752" s="49">
        <v>358918264.02614373</v>
      </c>
      <c r="F752" s="49" t="s">
        <v>839</v>
      </c>
      <c r="G752" s="25">
        <f t="shared" si="10"/>
        <v>2.0832571908921294E-2</v>
      </c>
    </row>
    <row r="753" spans="1:7">
      <c r="A753" s="49">
        <v>27.647123476411338</v>
      </c>
      <c r="B753" s="49">
        <v>28.08980521639219</v>
      </c>
      <c r="C753" s="49">
        <v>27.337346186582749</v>
      </c>
      <c r="D753" s="49">
        <v>27.513719385469024</v>
      </c>
      <c r="E753" s="49">
        <v>605246361.03488135</v>
      </c>
      <c r="F753" s="49" t="s">
        <v>840</v>
      </c>
      <c r="G753" s="25">
        <f t="shared" si="10"/>
        <v>4.8486389307571542E-3</v>
      </c>
    </row>
    <row r="754" spans="1:7">
      <c r="A754" s="49">
        <v>26.982601225650011</v>
      </c>
      <c r="B754" s="49">
        <v>26.986598351970382</v>
      </c>
      <c r="C754" s="49">
        <v>26.414189877261958</v>
      </c>
      <c r="D754" s="49">
        <v>26.546414815939759</v>
      </c>
      <c r="E754" s="49">
        <v>321702417.42105758</v>
      </c>
      <c r="F754" s="49" t="s">
        <v>841</v>
      </c>
      <c r="G754" s="25">
        <f t="shared" si="10"/>
        <v>1.6431085430351322E-2</v>
      </c>
    </row>
    <row r="755" spans="1:7">
      <c r="A755" s="49">
        <v>26.73877652010751</v>
      </c>
      <c r="B755" s="49">
        <v>26.863686717619036</v>
      </c>
      <c r="C755" s="49">
        <v>26.201163030017899</v>
      </c>
      <c r="D755" s="49">
        <v>26.484958998764093</v>
      </c>
      <c r="E755" s="49">
        <v>395944584.47186393</v>
      </c>
      <c r="F755" s="49" t="s">
        <v>842</v>
      </c>
      <c r="G755" s="25">
        <f t="shared" si="10"/>
        <v>9.5834591005128367E-3</v>
      </c>
    </row>
    <row r="756" spans="1:7">
      <c r="A756" s="49">
        <v>26.443988453980307</v>
      </c>
      <c r="B756" s="49">
        <v>26.867583915781402</v>
      </c>
      <c r="C756" s="49">
        <v>26.310084722247954</v>
      </c>
      <c r="D756" s="49">
        <v>26.714793762185295</v>
      </c>
      <c r="E756" s="49">
        <v>353869506.89851367</v>
      </c>
      <c r="F756" s="49" t="s">
        <v>843</v>
      </c>
      <c r="G756" s="25">
        <f t="shared" si="10"/>
        <v>-1.0136904316600526E-2</v>
      </c>
    </row>
    <row r="757" spans="1:7">
      <c r="A757" s="49">
        <v>26.475965464543258</v>
      </c>
      <c r="B757" s="49">
        <v>27.448256449157181</v>
      </c>
      <c r="C757" s="49">
        <v>26.428499589488879</v>
      </c>
      <c r="D757" s="49">
        <v>27.350336847123948</v>
      </c>
      <c r="E757" s="49">
        <v>446579781.80566311</v>
      </c>
      <c r="F757" s="49" t="s">
        <v>844</v>
      </c>
      <c r="G757" s="25">
        <f t="shared" si="10"/>
        <v>-3.1969309462915652E-2</v>
      </c>
    </row>
    <row r="758" spans="1:7">
      <c r="A758" s="49">
        <v>27.149481249525412</v>
      </c>
      <c r="B758" s="49">
        <v>27.770035110762677</v>
      </c>
      <c r="C758" s="49">
        <v>27.106512141581447</v>
      </c>
      <c r="D758" s="49">
        <v>27.703582885686547</v>
      </c>
      <c r="E758" s="49">
        <v>314604187.911668</v>
      </c>
      <c r="F758" s="49" t="s">
        <v>845</v>
      </c>
      <c r="G758" s="25">
        <f t="shared" si="10"/>
        <v>-2.0001082114451729E-2</v>
      </c>
    </row>
    <row r="759" spans="1:7">
      <c r="A759" s="49">
        <v>27.559186697363224</v>
      </c>
      <c r="B759" s="49">
        <v>27.601146530911294</v>
      </c>
      <c r="C759" s="49">
        <v>26.649840459479304</v>
      </c>
      <c r="D759" s="49">
        <v>26.803729822813509</v>
      </c>
      <c r="E759" s="49">
        <v>395562730.14011008</v>
      </c>
      <c r="F759" s="49" t="s">
        <v>846</v>
      </c>
      <c r="G759" s="25">
        <f t="shared" si="10"/>
        <v>2.8184766804608019E-2</v>
      </c>
    </row>
    <row r="760" spans="1:7">
      <c r="A760" s="49">
        <v>27.017576080953241</v>
      </c>
      <c r="B760" s="49">
        <v>27.060545188897205</v>
      </c>
      <c r="C760" s="49">
        <v>26.408014317096985</v>
      </c>
      <c r="D760" s="49">
        <v>26.564901525171464</v>
      </c>
      <c r="E760" s="49">
        <v>397940228.18203413</v>
      </c>
      <c r="F760" s="49" t="s">
        <v>847</v>
      </c>
      <c r="G760" s="25">
        <f t="shared" si="10"/>
        <v>1.7040325007523505E-2</v>
      </c>
    </row>
    <row r="761" spans="1:7">
      <c r="A761" s="49">
        <v>26.861688154458854</v>
      </c>
      <c r="B761" s="49">
        <v>26.978604099329644</v>
      </c>
      <c r="C761" s="49">
        <v>26.376037306534037</v>
      </c>
      <c r="D761" s="49">
        <v>26.809725512294062</v>
      </c>
      <c r="E761" s="49">
        <v>515385002.84621811</v>
      </c>
      <c r="F761" s="49" t="s">
        <v>848</v>
      </c>
      <c r="G761" s="25">
        <f t="shared" si="10"/>
        <v>1.9382012001936122E-3</v>
      </c>
    </row>
    <row r="762" spans="1:7">
      <c r="A762" s="49">
        <v>27.433277218271598</v>
      </c>
      <c r="B762" s="49">
        <v>27.979884242582045</v>
      </c>
      <c r="C762" s="49">
        <v>27.287382107578136</v>
      </c>
      <c r="D762" s="49">
        <v>27.945908668858912</v>
      </c>
      <c r="E762" s="49">
        <v>368856523.86986417</v>
      </c>
      <c r="F762" s="49" t="s">
        <v>849</v>
      </c>
      <c r="G762" s="25">
        <f t="shared" si="10"/>
        <v>-1.8343703068011363E-2</v>
      </c>
    </row>
    <row r="763" spans="1:7">
      <c r="A763" s="49">
        <v>27.944909387278813</v>
      </c>
      <c r="B763" s="49">
        <v>27.979884242582045</v>
      </c>
      <c r="C763" s="49">
        <v>27.316361273400815</v>
      </c>
      <c r="D763" s="49">
        <v>27.489236986756762</v>
      </c>
      <c r="E763" s="49">
        <v>399002251.16048437</v>
      </c>
      <c r="F763" s="49" t="s">
        <v>850</v>
      </c>
      <c r="G763" s="25">
        <f t="shared" si="10"/>
        <v>1.6576393180413707E-2</v>
      </c>
    </row>
    <row r="764" spans="1:7">
      <c r="A764" s="49">
        <v>27.757044450221478</v>
      </c>
      <c r="B764" s="49">
        <v>27.814313277576563</v>
      </c>
      <c r="C764" s="49">
        <v>27.085527228399513</v>
      </c>
      <c r="D764" s="49">
        <v>27.120502083702736</v>
      </c>
      <c r="E764" s="49">
        <v>434244740.06611407</v>
      </c>
      <c r="F764" s="49" t="s">
        <v>851</v>
      </c>
      <c r="G764" s="25">
        <f t="shared" si="10"/>
        <v>2.3470891672807692E-2</v>
      </c>
    </row>
    <row r="765" spans="1:7">
      <c r="A765" s="49">
        <v>27.363327507665144</v>
      </c>
      <c r="B765" s="49">
        <v>27.479244170955845</v>
      </c>
      <c r="C765" s="49">
        <v>27.082529383659232</v>
      </c>
      <c r="D765" s="49">
        <v>27.209438144330946</v>
      </c>
      <c r="E765" s="49">
        <v>364777803.63604993</v>
      </c>
      <c r="F765" s="49" t="s">
        <v>852</v>
      </c>
      <c r="G765" s="25">
        <f t="shared" si="10"/>
        <v>5.6557346946268794E-3</v>
      </c>
    </row>
    <row r="766" spans="1:7">
      <c r="A766" s="49">
        <v>26.964614157208349</v>
      </c>
      <c r="B766" s="49">
        <v>27.058546625737019</v>
      </c>
      <c r="C766" s="49">
        <v>26.577892185712667</v>
      </c>
      <c r="D766" s="49">
        <v>26.805728385973691</v>
      </c>
      <c r="E766" s="49">
        <v>393976910.85596621</v>
      </c>
      <c r="F766" s="49" t="s">
        <v>853</v>
      </c>
      <c r="G766" s="25">
        <f t="shared" si="10"/>
        <v>5.927306616961614E-3</v>
      </c>
    </row>
    <row r="767" spans="1:7">
      <c r="A767" s="49">
        <v>26.391026530235422</v>
      </c>
      <c r="B767" s="49">
        <v>26.493952532984917</v>
      </c>
      <c r="C767" s="49">
        <v>25.83142884538378</v>
      </c>
      <c r="D767" s="49">
        <v>26.427999948698837</v>
      </c>
      <c r="E767" s="49">
        <v>356359795.97176003</v>
      </c>
      <c r="F767" s="49" t="s">
        <v>854</v>
      </c>
      <c r="G767" s="25">
        <f t="shared" ref="G767:G830" si="11">A767/D767-1</f>
        <v>-1.3990244640225136E-3</v>
      </c>
    </row>
    <row r="768" spans="1:7">
      <c r="A768" s="49">
        <v>26.51193960142658</v>
      </c>
      <c r="B768" s="49">
        <v>26.980602662489829</v>
      </c>
      <c r="C768" s="49">
        <v>26.346058859131269</v>
      </c>
      <c r="D768" s="49">
        <v>26.817719764934797</v>
      </c>
      <c r="E768" s="49">
        <v>361285294.54799294</v>
      </c>
      <c r="F768" s="49" t="s">
        <v>855</v>
      </c>
      <c r="G768" s="25">
        <f t="shared" si="11"/>
        <v>-1.1402168647762334E-2</v>
      </c>
    </row>
    <row r="769" spans="1:7">
      <c r="A769" s="49">
        <v>26.759761433289452</v>
      </c>
      <c r="B769" s="49">
        <v>27.14748268636523</v>
      </c>
      <c r="C769" s="49">
        <v>26.336066043330352</v>
      </c>
      <c r="D769" s="49">
        <v>27.011580391472688</v>
      </c>
      <c r="E769" s="49">
        <v>455741483.75473249</v>
      </c>
      <c r="F769" s="49" t="s">
        <v>856</v>
      </c>
      <c r="G769" s="25">
        <f t="shared" si="11"/>
        <v>-9.3226295734526454E-3</v>
      </c>
    </row>
    <row r="770" spans="1:7">
      <c r="A770" s="49">
        <v>27.171465444287442</v>
      </c>
      <c r="B770" s="49">
        <v>27.479244170955845</v>
      </c>
      <c r="C770" s="49">
        <v>26.670825372661238</v>
      </c>
      <c r="D770" s="49">
        <v>27.096019684990477</v>
      </c>
      <c r="E770" s="49">
        <v>565294879.09491026</v>
      </c>
      <c r="F770" s="49" t="s">
        <v>857</v>
      </c>
      <c r="G770" s="25">
        <f t="shared" si="11"/>
        <v>2.7843853146725106E-3</v>
      </c>
    </row>
    <row r="771" spans="1:7">
      <c r="A771" s="49">
        <v>26.448984861880771</v>
      </c>
      <c r="B771" s="49">
        <v>27.569179513164141</v>
      </c>
      <c r="C771" s="49">
        <v>26.218150816879469</v>
      </c>
      <c r="D771" s="49">
        <v>26.406015753936803</v>
      </c>
      <c r="E771" s="49">
        <v>797868314.48091328</v>
      </c>
      <c r="F771" s="49" t="s">
        <v>858</v>
      </c>
      <c r="G771" s="25">
        <f t="shared" si="11"/>
        <v>1.6272469252602839E-3</v>
      </c>
    </row>
    <row r="772" spans="1:7">
      <c r="A772" s="49">
        <v>26.180178116835965</v>
      </c>
      <c r="B772" s="49">
        <v>26.373039461793763</v>
      </c>
      <c r="C772" s="49">
        <v>25.36276578432053</v>
      </c>
      <c r="D772" s="49">
        <v>26.161191766814213</v>
      </c>
      <c r="E772" s="49">
        <v>547801311.36759675</v>
      </c>
      <c r="F772" s="49" t="s">
        <v>859</v>
      </c>
      <c r="G772" s="25">
        <f t="shared" si="11"/>
        <v>7.2574484339194001E-4</v>
      </c>
    </row>
    <row r="773" spans="1:7">
      <c r="A773" s="49">
        <v>25.88139292438839</v>
      </c>
      <c r="B773" s="49">
        <v>26.005303840319826</v>
      </c>
      <c r="C773" s="49">
        <v>25.111776229848768</v>
      </c>
      <c r="D773" s="49">
        <v>25.596597674062107</v>
      </c>
      <c r="E773" s="49">
        <v>433058307.70948982</v>
      </c>
      <c r="F773" s="49" t="s">
        <v>860</v>
      </c>
      <c r="G773" s="25">
        <f t="shared" si="11"/>
        <v>1.1126293187585512E-2</v>
      </c>
    </row>
    <row r="774" spans="1:7">
      <c r="A774" s="49">
        <v>25.706518647872251</v>
      </c>
      <c r="B774" s="49">
        <v>26.380034432854409</v>
      </c>
      <c r="C774" s="49">
        <v>25.649559597806999</v>
      </c>
      <c r="D774" s="49">
        <v>25.963334013955951</v>
      </c>
      <c r="E774" s="49">
        <v>849156611.01417911</v>
      </c>
      <c r="F774" s="49" t="s">
        <v>861</v>
      </c>
      <c r="G774" s="25">
        <f t="shared" si="11"/>
        <v>-9.8914633207605185E-3</v>
      </c>
    </row>
    <row r="775" spans="1:7">
      <c r="A775" s="49">
        <v>25.522650837135284</v>
      </c>
      <c r="B775" s="49">
        <v>25.56961707139962</v>
      </c>
      <c r="C775" s="49">
        <v>23.876834074723405</v>
      </c>
      <c r="D775" s="49">
        <v>24.009738524875672</v>
      </c>
      <c r="E775" s="49">
        <v>585366799.16187382</v>
      </c>
      <c r="F775" s="49" t="s">
        <v>862</v>
      </c>
      <c r="G775" s="25">
        <f t="shared" si="11"/>
        <v>6.3012444333458095E-2</v>
      </c>
    </row>
    <row r="776" spans="1:7">
      <c r="A776" s="49">
        <v>24.210594122474205</v>
      </c>
      <c r="B776" s="49">
        <v>24.268552454119554</v>
      </c>
      <c r="C776" s="49">
        <v>23.343217710954161</v>
      </c>
      <c r="D776" s="49">
        <v>23.743929624571141</v>
      </c>
      <c r="E776" s="49">
        <v>524862811.89291942</v>
      </c>
      <c r="F776" s="49" t="s">
        <v>863</v>
      </c>
      <c r="G776" s="25">
        <f t="shared" si="11"/>
        <v>1.9654054964016732E-2</v>
      </c>
    </row>
    <row r="777" spans="1:7">
      <c r="A777" s="49">
        <v>24.045712661758991</v>
      </c>
      <c r="B777" s="49">
        <v>24.201600588253374</v>
      </c>
      <c r="C777" s="49">
        <v>23.443145868963384</v>
      </c>
      <c r="D777" s="49">
        <v>23.479120005846703</v>
      </c>
      <c r="E777" s="49">
        <v>475251560.18204027</v>
      </c>
      <c r="F777" s="49" t="s">
        <v>864</v>
      </c>
      <c r="G777" s="25">
        <f t="shared" si="11"/>
        <v>2.4131767109295321E-2</v>
      </c>
    </row>
    <row r="778" spans="1:7">
      <c r="A778" s="49">
        <v>22.949500768397829</v>
      </c>
      <c r="B778" s="49">
        <v>23.281262252988444</v>
      </c>
      <c r="C778" s="49">
        <v>22.280981391316136</v>
      </c>
      <c r="D778" s="49">
        <v>22.735654510258097</v>
      </c>
      <c r="E778" s="49">
        <v>422193632.31039149</v>
      </c>
      <c r="F778" s="49" t="s">
        <v>865</v>
      </c>
      <c r="G778" s="25">
        <f t="shared" si="11"/>
        <v>9.4057665260196543E-3</v>
      </c>
    </row>
    <row r="779" spans="1:7">
      <c r="A779" s="49">
        <v>22.948501486817737</v>
      </c>
      <c r="B779" s="49">
        <v>23.610025892838785</v>
      </c>
      <c r="C779" s="49">
        <v>22.709673189175696</v>
      </c>
      <c r="D779" s="49">
        <v>23.392182508378681</v>
      </c>
      <c r="E779" s="49">
        <v>475207048.20374894</v>
      </c>
      <c r="F779" s="49" t="s">
        <v>866</v>
      </c>
      <c r="G779" s="25">
        <f t="shared" si="11"/>
        <v>-1.8967063949762997E-2</v>
      </c>
    </row>
    <row r="780" spans="1:7">
      <c r="A780" s="49">
        <v>23.419163111041172</v>
      </c>
      <c r="B780" s="49">
        <v>24.436431759575047</v>
      </c>
      <c r="C780" s="49">
        <v>23.366041302243467</v>
      </c>
      <c r="D780" s="49">
        <v>24.157632198729317</v>
      </c>
      <c r="E780" s="49">
        <v>501617361.89887834</v>
      </c>
      <c r="F780" s="49" t="s">
        <v>867</v>
      </c>
      <c r="G780" s="25">
        <f t="shared" si="11"/>
        <v>-3.0568769389865413E-2</v>
      </c>
    </row>
    <row r="781" spans="1:7">
      <c r="A781" s="49">
        <v>24.16362788820987</v>
      </c>
      <c r="B781" s="49">
        <v>24.182614238231622</v>
      </c>
      <c r="C781" s="49">
        <v>23.406672091290019</v>
      </c>
      <c r="D781" s="49">
        <v>23.470126471625875</v>
      </c>
      <c r="E781" s="49">
        <v>513942616.60722929</v>
      </c>
      <c r="F781" s="49" t="s">
        <v>868</v>
      </c>
      <c r="G781" s="25">
        <f t="shared" si="11"/>
        <v>2.9548260739983734E-2</v>
      </c>
    </row>
    <row r="782" spans="1:7">
      <c r="A782" s="49">
        <v>23.271269437187524</v>
      </c>
      <c r="B782" s="49">
        <v>24.107668119724707</v>
      </c>
      <c r="C782" s="49">
        <v>23.224303202923188</v>
      </c>
      <c r="D782" s="49">
        <v>23.583045290176294</v>
      </c>
      <c r="E782" s="49">
        <v>515524242.87902963</v>
      </c>
      <c r="F782" s="49" t="s">
        <v>869</v>
      </c>
      <c r="G782" s="25">
        <f t="shared" si="11"/>
        <v>-1.322033898305075E-2</v>
      </c>
    </row>
    <row r="783" spans="1:7">
      <c r="A783" s="49">
        <v>23.533081211171691</v>
      </c>
      <c r="B783" s="49">
        <v>24.226464855586787</v>
      </c>
      <c r="C783" s="49">
        <v>23.466140715241128</v>
      </c>
      <c r="D783" s="49">
        <v>23.869781914583633</v>
      </c>
      <c r="E783" s="49">
        <v>437818065.17239362</v>
      </c>
      <c r="F783" s="49" t="s">
        <v>870</v>
      </c>
      <c r="G783" s="25">
        <f t="shared" si="11"/>
        <v>-1.410573019128547E-2</v>
      </c>
    </row>
    <row r="784" spans="1:7">
      <c r="A784" s="49">
        <v>23.868782802704072</v>
      </c>
      <c r="B784" s="49">
        <v>23.878773921499679</v>
      </c>
      <c r="C784" s="49">
        <v>23.109457774237974</v>
      </c>
      <c r="D784" s="49">
        <v>23.299289031354498</v>
      </c>
      <c r="E784" s="49">
        <v>412759880.48640114</v>
      </c>
      <c r="F784" s="49" t="s">
        <v>871</v>
      </c>
      <c r="G784" s="25">
        <f t="shared" si="11"/>
        <v>2.4442538593481888E-2</v>
      </c>
    </row>
    <row r="785" spans="1:7">
      <c r="A785" s="49">
        <v>23.293294360077134</v>
      </c>
      <c r="B785" s="49">
        <v>23.359635388879962</v>
      </c>
      <c r="C785" s="49">
        <v>22.412077682304634</v>
      </c>
      <c r="D785" s="49">
        <v>22.468027947560032</v>
      </c>
      <c r="E785" s="49">
        <v>390421391.21749741</v>
      </c>
      <c r="F785" s="49" t="s">
        <v>872</v>
      </c>
      <c r="G785" s="25">
        <f t="shared" si="11"/>
        <v>3.6730700818214279E-2</v>
      </c>
    </row>
    <row r="786" spans="1:7">
      <c r="A786" s="49">
        <v>22.67784144226777</v>
      </c>
      <c r="B786" s="49">
        <v>23.234916252954406</v>
      </c>
      <c r="C786" s="49">
        <v>22.488010185151246</v>
      </c>
      <c r="D786" s="49">
        <v>23.171402710770732</v>
      </c>
      <c r="E786" s="49">
        <v>460434541.32713258</v>
      </c>
      <c r="F786" s="49" t="s">
        <v>873</v>
      </c>
      <c r="G786" s="25">
        <f t="shared" si="11"/>
        <v>-2.1300448430493168E-2</v>
      </c>
    </row>
    <row r="787" spans="1:7">
      <c r="A787" s="49">
        <v>23.19538139588019</v>
      </c>
      <c r="B787" s="49">
        <v>23.803840530532629</v>
      </c>
      <c r="C787" s="49">
        <v>23.185390277084583</v>
      </c>
      <c r="D787" s="49">
        <v>23.351242849091651</v>
      </c>
      <c r="E787" s="49">
        <v>456368109.84621924</v>
      </c>
      <c r="F787" s="49" t="s">
        <v>874</v>
      </c>
      <c r="G787" s="25">
        <f t="shared" si="11"/>
        <v>-6.6746534314563455E-3</v>
      </c>
    </row>
    <row r="788" spans="1:7">
      <c r="A788" s="49">
        <v>23.480128281554975</v>
      </c>
      <c r="B788" s="49">
        <v>23.85873173719569</v>
      </c>
      <c r="C788" s="49">
        <v>23.433170023215624</v>
      </c>
      <c r="D788" s="49">
        <v>23.648978189200726</v>
      </c>
      <c r="E788" s="49">
        <v>453396340.5571726</v>
      </c>
      <c r="F788" s="49" t="s">
        <v>875</v>
      </c>
      <c r="G788" s="25">
        <f t="shared" si="11"/>
        <v>-7.1398394592310233E-3</v>
      </c>
    </row>
    <row r="789" spans="1:7">
      <c r="A789" s="49">
        <v>23.265319227449439</v>
      </c>
      <c r="B789" s="49">
        <v>23.453152260806839</v>
      </c>
      <c r="C789" s="49">
        <v>22.926620300278373</v>
      </c>
      <c r="D789" s="49">
        <v>23.204373402796236</v>
      </c>
      <c r="E789" s="49">
        <v>590240114.3096391</v>
      </c>
      <c r="F789" s="49" t="s">
        <v>876</v>
      </c>
      <c r="G789" s="25">
        <f t="shared" si="11"/>
        <v>2.6264800861142135E-3</v>
      </c>
    </row>
    <row r="790" spans="1:7">
      <c r="A790" s="49">
        <v>23.642983517923362</v>
      </c>
      <c r="B790" s="49">
        <v>23.866784578944952</v>
      </c>
      <c r="C790" s="49">
        <v>23.004551026884105</v>
      </c>
      <c r="D790" s="49">
        <v>23.419182456901776</v>
      </c>
      <c r="E790" s="49">
        <v>1118989207.1863074</v>
      </c>
      <c r="F790" s="49" t="s">
        <v>877</v>
      </c>
      <c r="G790" s="25">
        <f t="shared" si="11"/>
        <v>9.556313993174026E-3</v>
      </c>
    </row>
    <row r="791" spans="1:7">
      <c r="A791" s="49">
        <v>20.735567948401854</v>
      </c>
      <c r="B791" s="49">
        <v>21.085257106248083</v>
      </c>
      <c r="C791" s="49">
        <v>20.402863692508156</v>
      </c>
      <c r="D791" s="49">
        <v>20.688609690062503</v>
      </c>
      <c r="E791" s="49">
        <v>513640494.62174833</v>
      </c>
      <c r="F791" s="49" t="s">
        <v>878</v>
      </c>
      <c r="G791" s="25">
        <f t="shared" si="11"/>
        <v>2.2697638479740601E-3</v>
      </c>
    </row>
    <row r="792" spans="1:7">
      <c r="A792" s="49">
        <v>20.636655872325353</v>
      </c>
      <c r="B792" s="49">
        <v>21.474710916900825</v>
      </c>
      <c r="C792" s="49">
        <v>20.599688732781605</v>
      </c>
      <c r="D792" s="49">
        <v>20.981349470773775</v>
      </c>
      <c r="E792" s="49">
        <v>410379015.99198037</v>
      </c>
      <c r="F792" s="49" t="s">
        <v>879</v>
      </c>
      <c r="G792" s="25">
        <f t="shared" si="11"/>
        <v>-1.6428571428571237E-2</v>
      </c>
    </row>
    <row r="793" spans="1:7">
      <c r="A793" s="49">
        <v>21.36900488004331</v>
      </c>
      <c r="B793" s="49">
        <v>21.720692261648662</v>
      </c>
      <c r="C793" s="49">
        <v>20.956371673784759</v>
      </c>
      <c r="D793" s="49">
        <v>21.611789066776549</v>
      </c>
      <c r="E793" s="49">
        <v>466301772.13473517</v>
      </c>
      <c r="F793" s="49" t="s">
        <v>880</v>
      </c>
      <c r="G793" s="25">
        <f t="shared" si="11"/>
        <v>-1.1233877305718676E-2</v>
      </c>
    </row>
    <row r="794" spans="1:7">
      <c r="A794" s="49">
        <v>21.982459574093554</v>
      </c>
      <c r="B794" s="49">
        <v>22.529972884092793</v>
      </c>
      <c r="C794" s="49">
        <v>21.907326360750591</v>
      </c>
      <c r="D794" s="49">
        <v>22.113343230316001</v>
      </c>
      <c r="E794" s="49">
        <v>412392534.23869026</v>
      </c>
      <c r="F794" s="49" t="s">
        <v>881</v>
      </c>
      <c r="G794" s="25">
        <f t="shared" si="11"/>
        <v>-5.9187638368048967E-3</v>
      </c>
    </row>
    <row r="795" spans="1:7">
      <c r="A795" s="49">
        <v>22.743782826318771</v>
      </c>
      <c r="B795" s="49">
        <v>22.834702007358793</v>
      </c>
      <c r="C795" s="49">
        <v>22.086367209567861</v>
      </c>
      <c r="D795" s="49">
        <v>22.528973772213234</v>
      </c>
      <c r="E795" s="49">
        <v>421562658.41340113</v>
      </c>
      <c r="F795" s="49" t="s">
        <v>882</v>
      </c>
      <c r="G795" s="25">
        <f t="shared" si="11"/>
        <v>9.5347908998180131E-3</v>
      </c>
    </row>
    <row r="796" spans="1:7">
      <c r="A796" s="49">
        <v>22.950598985387831</v>
      </c>
      <c r="B796" s="49">
        <v>23.028329889617648</v>
      </c>
      <c r="C796" s="49">
        <v>21.347024418692975</v>
      </c>
      <c r="D796" s="49">
        <v>21.558836137159837</v>
      </c>
      <c r="E796" s="49">
        <v>676073935.08025253</v>
      </c>
      <c r="F796" s="49" t="s">
        <v>883</v>
      </c>
      <c r="G796" s="25">
        <f t="shared" si="11"/>
        <v>6.4556492724070935E-2</v>
      </c>
    </row>
    <row r="797" spans="1:7">
      <c r="A797" s="49">
        <v>21.768649631867572</v>
      </c>
      <c r="B797" s="49">
        <v>22.028418720553343</v>
      </c>
      <c r="C797" s="49">
        <v>20.943383219350473</v>
      </c>
      <c r="D797" s="49">
        <v>21.518871661977407</v>
      </c>
      <c r="E797" s="49">
        <v>475340779.86224937</v>
      </c>
      <c r="F797" s="49" t="s">
        <v>884</v>
      </c>
      <c r="G797" s="25">
        <f t="shared" si="11"/>
        <v>1.1607391586962557E-2</v>
      </c>
    </row>
    <row r="798" spans="1:7">
      <c r="A798" s="49">
        <v>21.246114118857349</v>
      </c>
      <c r="B798" s="49">
        <v>22.058032396663521</v>
      </c>
      <c r="C798" s="49">
        <v>20.792517325536814</v>
      </c>
      <c r="D798" s="49">
        <v>21.670736667670628</v>
      </c>
      <c r="E798" s="49">
        <v>551226305.34848404</v>
      </c>
      <c r="F798" s="49" t="s">
        <v>885</v>
      </c>
      <c r="G798" s="25">
        <f t="shared" si="11"/>
        <v>-1.95942830797603E-2</v>
      </c>
    </row>
    <row r="799" spans="1:7">
      <c r="A799" s="49">
        <v>22.317162053746372</v>
      </c>
      <c r="B799" s="49">
        <v>22.999555467486299</v>
      </c>
      <c r="C799" s="49">
        <v>22.100354775881708</v>
      </c>
      <c r="D799" s="49">
        <v>22.58592314934819</v>
      </c>
      <c r="E799" s="49">
        <v>524341458.36637062</v>
      </c>
      <c r="F799" s="49" t="s">
        <v>886</v>
      </c>
      <c r="G799" s="25">
        <f t="shared" si="11"/>
        <v>-1.1899495709103869E-2</v>
      </c>
    </row>
    <row r="800" spans="1:7">
      <c r="A800" s="49">
        <v>22.185279285644366</v>
      </c>
      <c r="B800" s="49">
        <v>22.857681580588689</v>
      </c>
      <c r="C800" s="49">
        <v>21.988464236489712</v>
      </c>
      <c r="D800" s="49">
        <v>22.367117647724406</v>
      </c>
      <c r="E800" s="49">
        <v>560148699.50910604</v>
      </c>
      <c r="F800" s="49" t="s">
        <v>887</v>
      </c>
      <c r="G800" s="25">
        <f t="shared" si="11"/>
        <v>-8.1297181399919705E-3</v>
      </c>
    </row>
    <row r="801" spans="1:7">
      <c r="A801" s="49">
        <v>22.153307705498424</v>
      </c>
      <c r="B801" s="49">
        <v>22.239231327140644</v>
      </c>
      <c r="C801" s="49">
        <v>21.131216252707876</v>
      </c>
      <c r="D801" s="49">
        <v>21.363010208765946</v>
      </c>
      <c r="E801" s="49">
        <v>664739979.16234314</v>
      </c>
      <c r="F801" s="49" t="s">
        <v>888</v>
      </c>
      <c r="G801" s="25">
        <f t="shared" si="11"/>
        <v>3.6993733046487565E-2</v>
      </c>
    </row>
    <row r="802" spans="1:7">
      <c r="A802" s="49">
        <v>21.070270428054673</v>
      </c>
      <c r="B802" s="49">
        <v>21.550843242123349</v>
      </c>
      <c r="C802" s="49">
        <v>20.767539528547797</v>
      </c>
      <c r="D802" s="49">
        <v>20.787521766139008</v>
      </c>
      <c r="E802" s="49">
        <v>452599052.46932572</v>
      </c>
      <c r="F802" s="49" t="s">
        <v>889</v>
      </c>
      <c r="G802" s="25">
        <f t="shared" si="11"/>
        <v>1.3601845621455277E-2</v>
      </c>
    </row>
    <row r="803" spans="1:7">
      <c r="A803" s="49">
        <v>21.081260658729843</v>
      </c>
      <c r="B803" s="49">
        <v>21.725677829927669</v>
      </c>
      <c r="C803" s="49">
        <v>20.770536864186475</v>
      </c>
      <c r="D803" s="49">
        <v>20.981349470773775</v>
      </c>
      <c r="E803" s="49">
        <v>429747617.64298815</v>
      </c>
      <c r="F803" s="49" t="s">
        <v>890</v>
      </c>
      <c r="G803" s="25">
        <f t="shared" si="11"/>
        <v>4.761904761904745E-3</v>
      </c>
    </row>
    <row r="804" spans="1:7">
      <c r="A804" s="49">
        <v>21.689719793382281</v>
      </c>
      <c r="B804" s="49">
        <v>21.929506644476838</v>
      </c>
      <c r="C804" s="49">
        <v>20.681615906905581</v>
      </c>
      <c r="D804" s="49">
        <v>20.981349470773775</v>
      </c>
      <c r="E804" s="49">
        <v>564777390.34404385</v>
      </c>
      <c r="F804" s="49" t="s">
        <v>891</v>
      </c>
      <c r="G804" s="25">
        <f t="shared" si="11"/>
        <v>3.3761904761904882E-2</v>
      </c>
    </row>
    <row r="805" spans="1:7">
      <c r="A805" s="49">
        <v>20.92440009363882</v>
      </c>
      <c r="B805" s="49">
        <v>21.173178951649422</v>
      </c>
      <c r="C805" s="49">
        <v>19.593583070064025</v>
      </c>
      <c r="D805" s="49">
        <v>19.673512020428877</v>
      </c>
      <c r="E805" s="49">
        <v>661064144.57851768</v>
      </c>
      <c r="F805" s="49" t="s">
        <v>892</v>
      </c>
      <c r="G805" s="25">
        <f t="shared" si="11"/>
        <v>6.358234726524814E-2</v>
      </c>
    </row>
    <row r="806" spans="1:7">
      <c r="A806" s="49">
        <v>19.519648790976536</v>
      </c>
      <c r="B806" s="49">
        <v>19.669515572910637</v>
      </c>
      <c r="C806" s="49">
        <v>18.933170117674432</v>
      </c>
      <c r="D806" s="49">
        <v>19.152475175237996</v>
      </c>
      <c r="E806" s="49">
        <v>498459271.86752605</v>
      </c>
      <c r="F806" s="49" t="s">
        <v>893</v>
      </c>
      <c r="G806" s="25">
        <f t="shared" si="11"/>
        <v>1.9171079057878293E-2</v>
      </c>
    </row>
    <row r="807" spans="1:7">
      <c r="A807" s="49">
        <v>19.144981836141291</v>
      </c>
      <c r="B807" s="49">
        <v>20.122113254351614</v>
      </c>
      <c r="C807" s="49">
        <v>19.132992493586563</v>
      </c>
      <c r="D807" s="49">
        <v>19.932281997235087</v>
      </c>
      <c r="E807" s="49">
        <v>489045481.28770041</v>
      </c>
      <c r="F807" s="49" t="s">
        <v>894</v>
      </c>
      <c r="G807" s="25">
        <f t="shared" si="11"/>
        <v>-3.9498746867167922E-2</v>
      </c>
    </row>
    <row r="808" spans="1:7">
      <c r="A808" s="49">
        <v>20.346913427252758</v>
      </c>
      <c r="B808" s="49">
        <v>20.609679851577212</v>
      </c>
      <c r="C808" s="49">
        <v>19.38776602287453</v>
      </c>
      <c r="D808" s="49">
        <v>19.444715400009489</v>
      </c>
      <c r="E808" s="49">
        <v>542623895.37235665</v>
      </c>
      <c r="F808" s="49" t="s">
        <v>895</v>
      </c>
      <c r="G808" s="25">
        <f t="shared" si="11"/>
        <v>4.6398109135751486E-2</v>
      </c>
    </row>
    <row r="809" spans="1:7">
      <c r="A809" s="49">
        <v>19.78441343906011</v>
      </c>
      <c r="B809" s="49">
        <v>20.148090163220189</v>
      </c>
      <c r="C809" s="49">
        <v>19.260878814170326</v>
      </c>
      <c r="D809" s="49">
        <v>19.683503139224484</v>
      </c>
      <c r="E809" s="49">
        <v>489970572.88045222</v>
      </c>
      <c r="F809" s="49" t="s">
        <v>896</v>
      </c>
      <c r="G809" s="25">
        <f t="shared" si="11"/>
        <v>5.1266433175980453E-3</v>
      </c>
    </row>
    <row r="810" spans="1:7">
      <c r="A810" s="49">
        <v>19.305838848750554</v>
      </c>
      <c r="B810" s="49">
        <v>19.352797107089906</v>
      </c>
      <c r="C810" s="49">
        <v>18.563498722236989</v>
      </c>
      <c r="D810" s="49">
        <v>18.895703422190905</v>
      </c>
      <c r="E810" s="49">
        <v>449936707.98677421</v>
      </c>
      <c r="F810" s="49" t="s">
        <v>897</v>
      </c>
      <c r="G810" s="25">
        <f t="shared" si="11"/>
        <v>2.1705221414408449E-2</v>
      </c>
    </row>
    <row r="811" spans="1:7">
      <c r="A811" s="49">
        <v>19.24789035973604</v>
      </c>
      <c r="B811" s="49">
        <v>19.477686092034986</v>
      </c>
      <c r="C811" s="49">
        <v>18.803285573331546</v>
      </c>
      <c r="D811" s="49">
        <v>18.810279356488472</v>
      </c>
      <c r="E811" s="49">
        <v>496645180.73611343</v>
      </c>
      <c r="F811" s="49" t="s">
        <v>898</v>
      </c>
      <c r="G811" s="25">
        <f t="shared" si="11"/>
        <v>2.3264460615074034E-2</v>
      </c>
    </row>
    <row r="812" spans="1:7">
      <c r="A812" s="49">
        <v>19.175954304407671</v>
      </c>
      <c r="B812" s="49">
        <v>19.227908122144825</v>
      </c>
      <c r="C812" s="49">
        <v>17.801675914071989</v>
      </c>
      <c r="D812" s="49">
        <v>18.047956992383689</v>
      </c>
      <c r="E812" s="49">
        <v>655744970.51130807</v>
      </c>
      <c r="F812" s="49" t="s">
        <v>899</v>
      </c>
      <c r="G812" s="25">
        <f t="shared" si="11"/>
        <v>6.25E-2</v>
      </c>
    </row>
    <row r="813" spans="1:7">
      <c r="A813" s="49">
        <v>17.823156819482541</v>
      </c>
      <c r="B813" s="49">
        <v>17.840141721435074</v>
      </c>
      <c r="C813" s="49">
        <v>16.810057373608036</v>
      </c>
      <c r="D813" s="49">
        <v>16.995892183206319</v>
      </c>
      <c r="E813" s="49">
        <v>565469324.86523485</v>
      </c>
      <c r="F813" s="49" t="s">
        <v>900</v>
      </c>
      <c r="G813" s="25">
        <f t="shared" si="11"/>
        <v>4.86743871612485E-2</v>
      </c>
    </row>
    <row r="814" spans="1:7">
      <c r="A814" s="49">
        <v>16.750110660834398</v>
      </c>
      <c r="B814" s="49">
        <v>17.181726992804602</v>
      </c>
      <c r="C814" s="49">
        <v>16.716140856929336</v>
      </c>
      <c r="D814" s="49">
        <v>17.020869980195336</v>
      </c>
      <c r="E814" s="49">
        <v>453334215.38253522</v>
      </c>
      <c r="F814" s="49" t="s">
        <v>901</v>
      </c>
      <c r="G814" s="25">
        <f t="shared" si="11"/>
        <v>-1.5907490021131676E-2</v>
      </c>
    </row>
    <row r="815" spans="1:7">
      <c r="A815" s="49">
        <v>17.361567131125522</v>
      </c>
      <c r="B815" s="49">
        <v>17.857126623387604</v>
      </c>
      <c r="C815" s="49">
        <v>17.266651502567257</v>
      </c>
      <c r="D815" s="49">
        <v>17.651309576198109</v>
      </c>
      <c r="E815" s="49">
        <v>440014335.72516191</v>
      </c>
      <c r="F815" s="49" t="s">
        <v>902</v>
      </c>
      <c r="G815" s="25">
        <f t="shared" si="11"/>
        <v>-1.6414784626704981E-2</v>
      </c>
    </row>
    <row r="816" spans="1:7">
      <c r="A816" s="49">
        <v>17.686278491982733</v>
      </c>
      <c r="B816" s="49">
        <v>17.712255400851308</v>
      </c>
      <c r="C816" s="49">
        <v>16.883991652695528</v>
      </c>
      <c r="D816" s="49">
        <v>16.883991652695528</v>
      </c>
      <c r="E816" s="49">
        <v>511556483.76911432</v>
      </c>
      <c r="F816" s="49" t="s">
        <v>903</v>
      </c>
      <c r="G816" s="25">
        <f t="shared" si="11"/>
        <v>4.7517604591987617E-2</v>
      </c>
    </row>
    <row r="817" spans="1:7">
      <c r="A817" s="49">
        <v>16.883991652695528</v>
      </c>
      <c r="B817" s="49">
        <v>16.906971225925421</v>
      </c>
      <c r="C817" s="49">
        <v>16.150643533098005</v>
      </c>
      <c r="D817" s="49">
        <v>16.263543175488358</v>
      </c>
      <c r="E817" s="49">
        <v>447684657.89505732</v>
      </c>
      <c r="F817" s="49" t="s">
        <v>904</v>
      </c>
      <c r="G817" s="25">
        <f t="shared" si="11"/>
        <v>3.8149649834132049E-2</v>
      </c>
    </row>
    <row r="818" spans="1:7">
      <c r="A818" s="49">
        <v>16.496336243425993</v>
      </c>
      <c r="B818" s="49">
        <v>16.622224340250636</v>
      </c>
      <c r="C818" s="49">
        <v>15.478241238153682</v>
      </c>
      <c r="D818" s="49">
        <v>16.085701260926562</v>
      </c>
      <c r="E818" s="49">
        <v>551899212.97149789</v>
      </c>
      <c r="F818" s="49" t="s">
        <v>905</v>
      </c>
      <c r="G818" s="25">
        <f t="shared" si="11"/>
        <v>2.5527950310558989E-2</v>
      </c>
    </row>
    <row r="819" spans="1:7">
      <c r="A819" s="49">
        <v>15.986789184850055</v>
      </c>
      <c r="B819" s="49">
        <v>16.013765205598194</v>
      </c>
      <c r="C819" s="49">
        <v>15.549178181602489</v>
      </c>
      <c r="D819" s="49">
        <v>15.825442607419808</v>
      </c>
      <c r="E819" s="49">
        <v>353598968.47123027</v>
      </c>
      <c r="F819" s="49" t="s">
        <v>906</v>
      </c>
      <c r="G819" s="25">
        <f t="shared" si="11"/>
        <v>1.0195391145306765E-2</v>
      </c>
    </row>
    <row r="820" spans="1:7">
      <c r="A820" s="49">
        <v>15.894870891930477</v>
      </c>
      <c r="B820" s="49">
        <v>15.947813830428396</v>
      </c>
      <c r="C820" s="49">
        <v>15.458259000562469</v>
      </c>
      <c r="D820" s="49">
        <v>15.493227916347092</v>
      </c>
      <c r="E820" s="49">
        <v>384442691.4119994</v>
      </c>
      <c r="F820" s="49" t="s">
        <v>907</v>
      </c>
      <c r="G820" s="25">
        <f t="shared" si="11"/>
        <v>2.5923776359063844E-2</v>
      </c>
    </row>
    <row r="821" spans="1:7">
      <c r="A821" s="49">
        <v>15.614120453773932</v>
      </c>
      <c r="B821" s="49">
        <v>16.041740338225893</v>
      </c>
      <c r="C821" s="49">
        <v>15.127552968427892</v>
      </c>
      <c r="D821" s="49">
        <v>15.270425967205068</v>
      </c>
      <c r="E821" s="49">
        <v>504678775.53585649</v>
      </c>
      <c r="F821" s="49" t="s">
        <v>908</v>
      </c>
      <c r="G821" s="25">
        <f t="shared" si="11"/>
        <v>2.2507197068829976E-2</v>
      </c>
    </row>
    <row r="822" spans="1:7">
      <c r="A822" s="49">
        <v>14.845803418391787</v>
      </c>
      <c r="B822" s="49">
        <v>14.996669312205446</v>
      </c>
      <c r="C822" s="49">
        <v>14.021536117754247</v>
      </c>
      <c r="D822" s="49">
        <v>14.461145344760936</v>
      </c>
      <c r="E822" s="49">
        <v>405403667.28309911</v>
      </c>
      <c r="F822" s="49" t="s">
        <v>909</v>
      </c>
      <c r="G822" s="25">
        <f t="shared" si="11"/>
        <v>2.6599419649025791E-2</v>
      </c>
    </row>
    <row r="823" spans="1:7">
      <c r="A823" s="49">
        <v>14.252330961932758</v>
      </c>
      <c r="B823" s="49">
        <v>14.551065413921393</v>
      </c>
      <c r="C823" s="49">
        <v>14.135384916430183</v>
      </c>
      <c r="D823" s="49">
        <v>14.478130246713466</v>
      </c>
      <c r="E823" s="49">
        <v>389514045.38511807</v>
      </c>
      <c r="F823" s="49" t="s">
        <v>910</v>
      </c>
      <c r="G823" s="25">
        <f t="shared" si="11"/>
        <v>-1.559588710233939E-2</v>
      </c>
    </row>
    <row r="824" spans="1:7">
      <c r="A824" s="49">
        <v>14.735901111640116</v>
      </c>
      <c r="B824" s="49">
        <v>14.839808747114423</v>
      </c>
      <c r="C824" s="49">
        <v>14.228352276823301</v>
      </c>
      <c r="D824" s="49">
        <v>14.554062749560075</v>
      </c>
      <c r="E824" s="49">
        <v>431707007.8174507</v>
      </c>
      <c r="F824" s="49" t="s">
        <v>911</v>
      </c>
      <c r="G824" s="25">
        <f t="shared" si="11"/>
        <v>1.2493993272465254E-2</v>
      </c>
    </row>
    <row r="825" spans="1:7">
      <c r="A825" s="49">
        <v>14.302286555910792</v>
      </c>
      <c r="B825" s="49">
        <v>14.982681745891599</v>
      </c>
      <c r="C825" s="49">
        <v>14.083481054287008</v>
      </c>
      <c r="D825" s="49">
        <v>14.837810523355301</v>
      </c>
      <c r="E825" s="49">
        <v>401633278.72395551</v>
      </c>
      <c r="F825" s="49" t="s">
        <v>912</v>
      </c>
      <c r="G825" s="25">
        <f t="shared" si="11"/>
        <v>-3.6091845666958333E-2</v>
      </c>
    </row>
    <row r="826" spans="1:7">
      <c r="A826" s="49">
        <v>14.601021007899426</v>
      </c>
      <c r="B826" s="49">
        <v>14.615997694974039</v>
      </c>
      <c r="C826" s="49">
        <v>14.220359381786817</v>
      </c>
      <c r="D826" s="49">
        <v>14.321269681622443</v>
      </c>
      <c r="E826" s="49">
        <v>310765827.4832375</v>
      </c>
      <c r="F826" s="49" t="s">
        <v>913</v>
      </c>
      <c r="G826" s="25">
        <f t="shared" si="11"/>
        <v>1.9533975163945838E-2</v>
      </c>
    </row>
    <row r="827" spans="1:7">
      <c r="A827" s="49">
        <v>14.590030777224261</v>
      </c>
      <c r="B827" s="49">
        <v>14.669959727589113</v>
      </c>
      <c r="C827" s="49">
        <v>14.214364710509454</v>
      </c>
      <c r="D827" s="49">
        <v>14.38920928943257</v>
      </c>
      <c r="E827" s="49">
        <v>355238734.78120589</v>
      </c>
      <c r="F827" s="49" t="s">
        <v>914</v>
      </c>
      <c r="G827" s="25">
        <f t="shared" si="11"/>
        <v>1.3956394945146444E-2</v>
      </c>
    </row>
    <row r="828" spans="1:7">
      <c r="A828" s="49">
        <v>14.023534341513368</v>
      </c>
      <c r="B828" s="49">
        <v>14.249333626294076</v>
      </c>
      <c r="C828" s="49">
        <v>13.871669335820147</v>
      </c>
      <c r="D828" s="49">
        <v>13.914631146641257</v>
      </c>
      <c r="E828" s="49">
        <v>351378516.44239885</v>
      </c>
      <c r="F828" s="49" t="s">
        <v>915</v>
      </c>
      <c r="G828" s="25">
        <f t="shared" si="11"/>
        <v>7.8265240180943607E-3</v>
      </c>
    </row>
    <row r="829" spans="1:7">
      <c r="A829" s="49">
        <v>14.108458851276025</v>
      </c>
      <c r="B829" s="49">
        <v>15.086589381365906</v>
      </c>
      <c r="C829" s="49">
        <v>14.043516579104582</v>
      </c>
      <c r="D829" s="49">
        <v>15.060612472497329</v>
      </c>
      <c r="E829" s="49">
        <v>465315516.22069949</v>
      </c>
      <c r="F829" s="49" t="s">
        <v>916</v>
      </c>
      <c r="G829" s="25">
        <f t="shared" si="11"/>
        <v>-6.3221440891601421E-2</v>
      </c>
    </row>
    <row r="830" spans="1:7">
      <c r="A830" s="49">
        <v>15.192495240599335</v>
      </c>
      <c r="B830" s="49">
        <v>15.325377120580901</v>
      </c>
      <c r="C830" s="49">
        <v>14.869782103501244</v>
      </c>
      <c r="D830" s="49">
        <v>15.18250412180373</v>
      </c>
      <c r="E830" s="49">
        <v>349636149.01026952</v>
      </c>
      <c r="F830" s="49" t="s">
        <v>917</v>
      </c>
      <c r="G830" s="25">
        <f t="shared" si="11"/>
        <v>6.5806791260847319E-4</v>
      </c>
    </row>
    <row r="831" spans="1:7">
      <c r="A831" s="49">
        <v>15.325377120580901</v>
      </c>
      <c r="B831" s="49">
        <v>16.123667512349865</v>
      </c>
      <c r="C831" s="49">
        <v>14.868782991621682</v>
      </c>
      <c r="D831" s="49">
        <v>16.079207033709416</v>
      </c>
      <c r="E831" s="49">
        <v>565547544.33354342</v>
      </c>
      <c r="F831" s="49" t="s">
        <v>918</v>
      </c>
      <c r="G831" s="25">
        <f t="shared" ref="G831:G894" si="12">A831/D831-1</f>
        <v>-4.6882281666511316E-2</v>
      </c>
    </row>
    <row r="832" spans="1:7">
      <c r="A832" s="49">
        <v>16.486345124630382</v>
      </c>
      <c r="B832" s="49">
        <v>16.612233221455028</v>
      </c>
      <c r="C832" s="49">
        <v>16.087699484685682</v>
      </c>
      <c r="D832" s="49">
        <v>16.09968882724041</v>
      </c>
      <c r="E832" s="49">
        <v>325314298.27751112</v>
      </c>
      <c r="F832" s="49" t="s">
        <v>919</v>
      </c>
      <c r="G832" s="25">
        <f t="shared" si="12"/>
        <v>2.4016383269206854E-2</v>
      </c>
    </row>
    <row r="833" spans="1:7">
      <c r="A833" s="49">
        <v>16.070714582733149</v>
      </c>
      <c r="B833" s="49">
        <v>16.295514755634297</v>
      </c>
      <c r="C833" s="49">
        <v>15.83792151479552</v>
      </c>
      <c r="D833" s="49">
        <v>16.049733233262376</v>
      </c>
      <c r="E833" s="49">
        <v>403618251.61895508</v>
      </c>
      <c r="F833" s="49" t="s">
        <v>920</v>
      </c>
      <c r="G833" s="25">
        <f t="shared" si="12"/>
        <v>1.3072709163346463E-3</v>
      </c>
    </row>
    <row r="834" spans="1:7">
      <c r="A834" s="49">
        <v>16.239564490378903</v>
      </c>
      <c r="B834" s="49">
        <v>16.594249207622937</v>
      </c>
      <c r="C834" s="49">
        <v>16.130661295506791</v>
      </c>
      <c r="D834" s="49">
        <v>16.557282068079193</v>
      </c>
      <c r="E834" s="49">
        <v>354353478.56706804</v>
      </c>
      <c r="F834" s="49" t="s">
        <v>921</v>
      </c>
      <c r="G834" s="25">
        <f t="shared" si="12"/>
        <v>-1.9188993482983419E-2</v>
      </c>
    </row>
    <row r="835" spans="1:7">
      <c r="A835" s="49">
        <v>16.556282956199631</v>
      </c>
      <c r="B835" s="49">
        <v>17.025865539593138</v>
      </c>
      <c r="C835" s="49">
        <v>16.395425943590364</v>
      </c>
      <c r="D835" s="49">
        <v>16.849222559286815</v>
      </c>
      <c r="E835" s="49">
        <v>478657035.09630483</v>
      </c>
      <c r="F835" s="49" t="s">
        <v>922</v>
      </c>
      <c r="G835" s="25">
        <f t="shared" si="12"/>
        <v>-1.7385941817578021E-2</v>
      </c>
    </row>
    <row r="836" spans="1:7">
      <c r="A836" s="49">
        <v>16.936944582312243</v>
      </c>
      <c r="B836" s="49">
        <v>17.304617753990559</v>
      </c>
      <c r="C836" s="49">
        <v>16.685168388662955</v>
      </c>
      <c r="D836" s="49">
        <v>17.130772286947007</v>
      </c>
      <c r="E836" s="49">
        <v>478967480.809488</v>
      </c>
      <c r="F836" s="49" t="s">
        <v>923</v>
      </c>
      <c r="G836" s="25">
        <f t="shared" si="12"/>
        <v>-1.1314592324740302E-2</v>
      </c>
    </row>
    <row r="837" spans="1:7">
      <c r="A837" s="49">
        <v>17.658303359355035</v>
      </c>
      <c r="B837" s="49">
        <v>18.235790025741096</v>
      </c>
      <c r="C837" s="49">
        <v>17.404528941946626</v>
      </c>
      <c r="D837" s="49">
        <v>17.971025377657519</v>
      </c>
      <c r="E837" s="49">
        <v>497329788.75048393</v>
      </c>
      <c r="F837" s="49" t="s">
        <v>924</v>
      </c>
      <c r="G837" s="25">
        <f t="shared" si="12"/>
        <v>-1.740145660754977E-2</v>
      </c>
    </row>
    <row r="838" spans="1:7">
      <c r="A838" s="49">
        <v>18.055949887420176</v>
      </c>
      <c r="B838" s="49">
        <v>18.773312216944728</v>
      </c>
      <c r="C838" s="49">
        <v>17.695270498898779</v>
      </c>
      <c r="D838" s="49">
        <v>18.514542240138518</v>
      </c>
      <c r="E838" s="49">
        <v>657172408.24793792</v>
      </c>
      <c r="F838" s="49" t="s">
        <v>925</v>
      </c>
      <c r="G838" s="25">
        <f t="shared" si="12"/>
        <v>-2.4769305488100968E-2</v>
      </c>
    </row>
    <row r="839" spans="1:7">
      <c r="A839" s="49">
        <v>17.519426808096103</v>
      </c>
      <c r="B839" s="49">
        <v>17.522424143734785</v>
      </c>
      <c r="C839" s="49">
        <v>16.782082240980341</v>
      </c>
      <c r="D839" s="49">
        <v>17.021869092074898</v>
      </c>
      <c r="E839" s="49">
        <v>457734323.2082305</v>
      </c>
      <c r="F839" s="49" t="s">
        <v>926</v>
      </c>
      <c r="G839" s="25">
        <f t="shared" si="12"/>
        <v>2.9230498327170285E-2</v>
      </c>
    </row>
    <row r="840" spans="1:7">
      <c r="A840" s="49">
        <v>16.985901064410712</v>
      </c>
      <c r="B840" s="49">
        <v>17.567384178315017</v>
      </c>
      <c r="C840" s="49">
        <v>16.959924155542137</v>
      </c>
      <c r="D840" s="49">
        <v>17.144759853260858</v>
      </c>
      <c r="E840" s="49">
        <v>465751833.7231915</v>
      </c>
      <c r="F840" s="49" t="s">
        <v>927</v>
      </c>
      <c r="G840" s="25">
        <f t="shared" si="12"/>
        <v>-9.2657342657344044E-3</v>
      </c>
    </row>
    <row r="841" spans="1:7">
      <c r="A841" s="49">
        <v>17.153751860176904</v>
      </c>
      <c r="B841" s="49">
        <v>17.163742978972508</v>
      </c>
      <c r="C841" s="49">
        <v>15.944826485908509</v>
      </c>
      <c r="D841" s="49">
        <v>16.258547616090553</v>
      </c>
      <c r="E841" s="49">
        <v>515913733.53168774</v>
      </c>
      <c r="F841" s="49" t="s">
        <v>928</v>
      </c>
      <c r="G841" s="25">
        <f t="shared" si="12"/>
        <v>5.5060529711792761E-2</v>
      </c>
    </row>
    <row r="842" spans="1:7">
      <c r="A842" s="49">
        <v>16.105683498517774</v>
      </c>
      <c r="B842" s="49">
        <v>16.171624882568779</v>
      </c>
      <c r="C842" s="49">
        <v>15.653085817076796</v>
      </c>
      <c r="D842" s="49">
        <v>15.757992564430666</v>
      </c>
      <c r="E842" s="49">
        <v>372718599.0059008</v>
      </c>
      <c r="F842" s="49" t="s">
        <v>929</v>
      </c>
      <c r="G842" s="25">
        <f t="shared" si="12"/>
        <v>2.2064417955871107E-2</v>
      </c>
    </row>
    <row r="843" spans="1:7">
      <c r="A843" s="49">
        <v>15.972801618536208</v>
      </c>
      <c r="B843" s="49">
        <v>16.558281179958751</v>
      </c>
      <c r="C843" s="49">
        <v>15.804950822770017</v>
      </c>
      <c r="D843" s="49">
        <v>16.515319369137647</v>
      </c>
      <c r="E843" s="49">
        <v>353007783.42770964</v>
      </c>
      <c r="F843" s="49" t="s">
        <v>930</v>
      </c>
      <c r="G843" s="25">
        <f t="shared" si="12"/>
        <v>-3.2849364791288749E-2</v>
      </c>
    </row>
    <row r="844" spans="1:7">
      <c r="A844" s="49">
        <v>16.595248319502495</v>
      </c>
      <c r="B844" s="49">
        <v>16.979906393133348</v>
      </c>
      <c r="C844" s="49">
        <v>16.45738087124192</v>
      </c>
      <c r="D844" s="49">
        <v>16.664187039192182</v>
      </c>
      <c r="E844" s="49">
        <v>352568293.1073733</v>
      </c>
      <c r="F844" s="49" t="s">
        <v>931</v>
      </c>
      <c r="G844" s="25">
        <f t="shared" si="12"/>
        <v>-4.1369386653876683E-3</v>
      </c>
    </row>
    <row r="845" spans="1:7">
      <c r="A845" s="49">
        <v>16.861012079465631</v>
      </c>
      <c r="B845" s="49">
        <v>16.91753183849238</v>
      </c>
      <c r="C845" s="49">
        <v>16.430394859374985</v>
      </c>
      <c r="D845" s="49">
        <v>16.644204801600967</v>
      </c>
      <c r="E845" s="49">
        <v>371718710.98491228</v>
      </c>
      <c r="F845" s="49" t="s">
        <v>932</v>
      </c>
      <c r="G845" s="25">
        <f t="shared" si="12"/>
        <v>1.3025991956300054E-2</v>
      </c>
    </row>
    <row r="846" spans="1:7">
      <c r="A846" s="49">
        <v>17.119782056271841</v>
      </c>
      <c r="B846" s="49">
        <v>17.249666600614727</v>
      </c>
      <c r="C846" s="49">
        <v>16.620226116491512</v>
      </c>
      <c r="D846" s="49">
        <v>16.983902840651592</v>
      </c>
      <c r="E846" s="49">
        <v>471395225.7349844</v>
      </c>
      <c r="F846" s="49" t="s">
        <v>933</v>
      </c>
      <c r="G846" s="25">
        <f t="shared" si="12"/>
        <v>8.0004706159186867E-3</v>
      </c>
    </row>
    <row r="847" spans="1:7">
      <c r="A847" s="49">
        <v>16.907970337804979</v>
      </c>
      <c r="B847" s="49">
        <v>16.914964120961908</v>
      </c>
      <c r="C847" s="49">
        <v>15.583147985507551</v>
      </c>
      <c r="D847" s="49">
        <v>15.683059173463617</v>
      </c>
      <c r="E847" s="49">
        <v>565800719.18330228</v>
      </c>
      <c r="F847" s="49" t="s">
        <v>934</v>
      </c>
      <c r="G847" s="25">
        <f t="shared" si="12"/>
        <v>7.8104096324138172E-2</v>
      </c>
    </row>
    <row r="848" spans="1:7">
      <c r="A848" s="49">
        <v>15.621114236930854</v>
      </c>
      <c r="B848" s="49">
        <v>15.913779143345636</v>
      </c>
      <c r="C848" s="49">
        <v>15.502250332960347</v>
      </c>
      <c r="D848" s="49">
        <v>15.808899228077541</v>
      </c>
      <c r="E848" s="49">
        <v>298726132.35730577</v>
      </c>
      <c r="F848" s="49" t="s">
        <v>935</v>
      </c>
      <c r="G848" s="25">
        <f t="shared" si="12"/>
        <v>-1.1878435584760427E-2</v>
      </c>
    </row>
    <row r="849" spans="1:7">
      <c r="A849" s="49">
        <v>15.808899228077541</v>
      </c>
      <c r="B849" s="49">
        <v>16.338293086097448</v>
      </c>
      <c r="C849" s="49">
        <v>15.707015881817105</v>
      </c>
      <c r="D849" s="49">
        <v>16.007671638918978</v>
      </c>
      <c r="E849" s="49">
        <v>304500256.01531965</v>
      </c>
      <c r="F849" s="49" t="s">
        <v>936</v>
      </c>
      <c r="G849" s="25">
        <f t="shared" si="12"/>
        <v>-1.2417321851990515E-2</v>
      </c>
    </row>
    <row r="850" spans="1:7">
      <c r="A850" s="49">
        <v>16.251392584875312</v>
      </c>
      <c r="B850" s="49">
        <v>16.468144409762711</v>
      </c>
      <c r="C850" s="49">
        <v>16.153504663958426</v>
      </c>
      <c r="D850" s="49">
        <v>16.299337688997873</v>
      </c>
      <c r="E850" s="49">
        <v>168126580.33643603</v>
      </c>
      <c r="F850" s="49" t="s">
        <v>937</v>
      </c>
      <c r="G850" s="25">
        <f t="shared" si="12"/>
        <v>-2.9415369530582103E-3</v>
      </c>
    </row>
    <row r="851" spans="1:7">
      <c r="A851" s="49">
        <v>16.500107812511082</v>
      </c>
      <c r="B851" s="49">
        <v>16.508098663198176</v>
      </c>
      <c r="C851" s="49">
        <v>16.029656466871842</v>
      </c>
      <c r="D851" s="49">
        <v>16.079589295102814</v>
      </c>
      <c r="E851" s="49">
        <v>427730109.57653463</v>
      </c>
      <c r="F851" s="49" t="s">
        <v>938</v>
      </c>
      <c r="G851" s="25">
        <f t="shared" si="12"/>
        <v>2.6152317058019792E-2</v>
      </c>
    </row>
    <row r="852" spans="1:7">
      <c r="A852" s="49">
        <v>16.019657914949619</v>
      </c>
      <c r="B852" s="49">
        <v>16.039205533442921</v>
      </c>
      <c r="C852" s="49">
        <v>15.10430596874312</v>
      </c>
      <c r="D852" s="49">
        <v>15.310469916470117</v>
      </c>
      <c r="E852" s="49">
        <v>473407489.15635329</v>
      </c>
      <c r="F852" s="49" t="s">
        <v>939</v>
      </c>
      <c r="G852" s="25">
        <f t="shared" si="12"/>
        <v>4.6320459290188021E-2</v>
      </c>
    </row>
    <row r="853" spans="1:7">
      <c r="A853" s="49">
        <v>15.299482496775363</v>
      </c>
      <c r="B853" s="49">
        <v>15.459299510517225</v>
      </c>
      <c r="C853" s="49">
        <v>15.062753545170237</v>
      </c>
      <c r="D853" s="49">
        <v>15.129676919674639</v>
      </c>
      <c r="E853" s="49">
        <v>405202725.81615955</v>
      </c>
      <c r="F853" s="49" t="s">
        <v>940</v>
      </c>
      <c r="G853" s="25">
        <f t="shared" si="12"/>
        <v>1.1223344556677839E-2</v>
      </c>
    </row>
    <row r="854" spans="1:7">
      <c r="A854" s="49">
        <v>15.391377279676934</v>
      </c>
      <c r="B854" s="49">
        <v>15.983699086857699</v>
      </c>
      <c r="C854" s="49">
        <v>15.102717787169057</v>
      </c>
      <c r="D854" s="49">
        <v>15.94774025876578</v>
      </c>
      <c r="E854" s="49">
        <v>492635059.03801441</v>
      </c>
      <c r="F854" s="49" t="s">
        <v>941</v>
      </c>
      <c r="G854" s="25">
        <f t="shared" si="12"/>
        <v>-3.4886634097456959E-2</v>
      </c>
    </row>
    <row r="855" spans="1:7">
      <c r="A855" s="49">
        <v>15.659070777694549</v>
      </c>
      <c r="B855" s="49">
        <v>16.247397159531765</v>
      </c>
      <c r="C855" s="49">
        <v>15.517233177998646</v>
      </c>
      <c r="D855" s="49">
        <v>15.69702731845824</v>
      </c>
      <c r="E855" s="49">
        <v>711707514.34337711</v>
      </c>
      <c r="F855" s="49" t="s">
        <v>942</v>
      </c>
      <c r="G855" s="25">
        <f t="shared" si="12"/>
        <v>-2.4180719058224387E-3</v>
      </c>
    </row>
    <row r="856" spans="1:7">
      <c r="A856" s="49">
        <v>15.89180430395613</v>
      </c>
      <c r="B856" s="49">
        <v>16.343287367776885</v>
      </c>
      <c r="C856" s="49">
        <v>15.854846619528324</v>
      </c>
      <c r="D856" s="49">
        <v>16.143016672431617</v>
      </c>
      <c r="E856" s="49">
        <v>650290553.96984506</v>
      </c>
      <c r="F856" s="49" t="s">
        <v>943</v>
      </c>
      <c r="G856" s="25">
        <f t="shared" si="12"/>
        <v>-1.5561674349534482E-2</v>
      </c>
    </row>
    <row r="857" spans="1:7">
      <c r="A857" s="49">
        <v>16.646939693886416</v>
      </c>
      <c r="B857" s="49">
        <v>16.978559997400772</v>
      </c>
      <c r="C857" s="49">
        <v>16.363264494494615</v>
      </c>
      <c r="D857" s="49">
        <v>16.702376220528123</v>
      </c>
      <c r="E857" s="49">
        <v>546500513.02468991</v>
      </c>
      <c r="F857" s="49" t="s">
        <v>944</v>
      </c>
      <c r="G857" s="25">
        <f t="shared" si="12"/>
        <v>-3.3190802260562036E-3</v>
      </c>
    </row>
    <row r="858" spans="1:7">
      <c r="A858" s="49">
        <v>16.276363993272479</v>
      </c>
      <c r="B858" s="49">
        <v>16.521083795564703</v>
      </c>
      <c r="C858" s="49">
        <v>15.903790579986769</v>
      </c>
      <c r="D858" s="49">
        <v>16.199452055409211</v>
      </c>
      <c r="E858" s="49">
        <v>528456827.10863459</v>
      </c>
      <c r="F858" s="49" t="s">
        <v>945</v>
      </c>
      <c r="G858" s="25">
        <f t="shared" si="12"/>
        <v>4.7478110741150381E-3</v>
      </c>
    </row>
    <row r="859" spans="1:7">
      <c r="A859" s="49">
        <v>16.30832739602085</v>
      </c>
      <c r="B859" s="49">
        <v>16.370256488845818</v>
      </c>
      <c r="C859" s="49">
        <v>15.464293792196656</v>
      </c>
      <c r="D859" s="49">
        <v>15.78942152952775</v>
      </c>
      <c r="E859" s="49">
        <v>656237985.83423519</v>
      </c>
      <c r="F859" s="49" t="s">
        <v>946</v>
      </c>
      <c r="G859" s="25">
        <f t="shared" si="12"/>
        <v>3.2864146765775759E-2</v>
      </c>
    </row>
    <row r="860" spans="1:7">
      <c r="A860" s="49">
        <v>15.731987290214271</v>
      </c>
      <c r="B860" s="49">
        <v>15.754960985939663</v>
      </c>
      <c r="C860" s="49">
        <v>14.530363118142667</v>
      </c>
      <c r="D860" s="49">
        <v>14.783073771121982</v>
      </c>
      <c r="E860" s="49">
        <v>701621669.5246048</v>
      </c>
      <c r="F860" s="49" t="s">
        <v>947</v>
      </c>
      <c r="G860" s="25">
        <f t="shared" si="12"/>
        <v>6.4189189189189033E-2</v>
      </c>
    </row>
    <row r="861" spans="1:7">
      <c r="A861" s="49">
        <v>13.760244883174082</v>
      </c>
      <c r="B861" s="49">
        <v>14.194747389284764</v>
      </c>
      <c r="C861" s="49">
        <v>13.743274314027369</v>
      </c>
      <c r="D861" s="49">
        <v>14.145304000658376</v>
      </c>
      <c r="E861" s="49">
        <v>454933951.63444227</v>
      </c>
      <c r="F861" s="49" t="s">
        <v>948</v>
      </c>
      <c r="G861" s="25">
        <f t="shared" si="12"/>
        <v>-2.7221692617307669E-2</v>
      </c>
    </row>
    <row r="862" spans="1:7">
      <c r="A862" s="49">
        <v>14.585300216616432</v>
      </c>
      <c r="B862" s="49">
        <v>14.873979686251023</v>
      </c>
      <c r="C862" s="49">
        <v>14.199741670964196</v>
      </c>
      <c r="D862" s="49">
        <v>14.784072627457867</v>
      </c>
      <c r="E862" s="49">
        <v>595973583.60008562</v>
      </c>
      <c r="F862" s="49" t="s">
        <v>949</v>
      </c>
      <c r="G862" s="25">
        <f t="shared" si="12"/>
        <v>-1.3445037497466283E-2</v>
      </c>
    </row>
    <row r="863" spans="1:7">
      <c r="A863" s="49">
        <v>14.284644459514556</v>
      </c>
      <c r="B863" s="49">
        <v>14.395517512797973</v>
      </c>
      <c r="C863" s="49">
        <v>13.9380413109619</v>
      </c>
      <c r="D863" s="49">
        <v>14.211727946994834</v>
      </c>
      <c r="E863" s="49">
        <v>410530458.95335424</v>
      </c>
      <c r="F863" s="49" t="s">
        <v>950</v>
      </c>
      <c r="G863" s="25">
        <f t="shared" si="12"/>
        <v>5.1307281416923534E-3</v>
      </c>
    </row>
    <row r="864" spans="1:7">
      <c r="A864" s="49">
        <v>14.139810290810999</v>
      </c>
      <c r="B864" s="49">
        <v>14.212726803330721</v>
      </c>
      <c r="C864" s="49">
        <v>13.681335232639039</v>
      </c>
      <c r="D864" s="49">
        <v>13.970004713710274</v>
      </c>
      <c r="E864" s="49">
        <v>613277293.23181987</v>
      </c>
      <c r="F864" s="49" t="s">
        <v>951</v>
      </c>
      <c r="G864" s="25">
        <f t="shared" si="12"/>
        <v>1.2155012155012024E-2</v>
      </c>
    </row>
    <row r="865" spans="1:7">
      <c r="A865" s="49">
        <v>13.405650883934333</v>
      </c>
      <c r="B865" s="49">
        <v>13.765239164853515</v>
      </c>
      <c r="C865" s="49">
        <v>12.941182687747053</v>
      </c>
      <c r="D865" s="49">
        <v>13.028083188969191</v>
      </c>
      <c r="E865" s="49">
        <v>500637421.05227244</v>
      </c>
      <c r="F865" s="49" t="s">
        <v>952</v>
      </c>
      <c r="G865" s="25">
        <f t="shared" si="12"/>
        <v>2.8981062638963495E-2</v>
      </c>
    </row>
    <row r="866" spans="1:7">
      <c r="A866" s="49">
        <v>13.203881904085234</v>
      </c>
      <c r="B866" s="49">
        <v>14.193748532948876</v>
      </c>
      <c r="C866" s="49">
        <v>13.196130778918755</v>
      </c>
      <c r="D866" s="49">
        <v>13.834160252029692</v>
      </c>
      <c r="E866" s="49">
        <v>673397981.10501206</v>
      </c>
      <c r="F866" s="49" t="s">
        <v>953</v>
      </c>
      <c r="G866" s="25">
        <f t="shared" si="12"/>
        <v>-4.555956678700368E-2</v>
      </c>
    </row>
    <row r="867" spans="1:7">
      <c r="A867" s="49">
        <v>13.5275113569125</v>
      </c>
      <c r="B867" s="49">
        <v>13.909074477221189</v>
      </c>
      <c r="C867" s="49">
        <v>13.503538804851221</v>
      </c>
      <c r="D867" s="49">
        <v>13.795204854930116</v>
      </c>
      <c r="E867" s="49">
        <v>433312463.91485953</v>
      </c>
      <c r="F867" s="49" t="s">
        <v>954</v>
      </c>
      <c r="G867" s="25">
        <f t="shared" si="12"/>
        <v>-1.9404822243139663E-2</v>
      </c>
    </row>
    <row r="868" spans="1:7">
      <c r="A868" s="49">
        <v>13.481563965461715</v>
      </c>
      <c r="B868" s="49">
        <v>13.822173975999052</v>
      </c>
      <c r="C868" s="49">
        <v>13.281792698284391</v>
      </c>
      <c r="D868" s="49">
        <v>13.762242595845855</v>
      </c>
      <c r="E868" s="49">
        <v>486897837.58372664</v>
      </c>
      <c r="F868" s="49" t="s">
        <v>955</v>
      </c>
      <c r="G868" s="25">
        <f t="shared" si="12"/>
        <v>-2.0394832341413816E-2</v>
      </c>
    </row>
    <row r="869" spans="1:7">
      <c r="A869" s="49">
        <v>13.818178550655507</v>
      </c>
      <c r="B869" s="49">
        <v>13.834160252029692</v>
      </c>
      <c r="C869" s="49">
        <v>13.04606260301515</v>
      </c>
      <c r="D869" s="49">
        <v>13.089013425458273</v>
      </c>
      <c r="E869" s="49">
        <v>521636506.9532311</v>
      </c>
      <c r="F869" s="49" t="s">
        <v>956</v>
      </c>
      <c r="G869" s="25">
        <f t="shared" si="12"/>
        <v>5.5708180708180732E-2</v>
      </c>
    </row>
    <row r="870" spans="1:7">
      <c r="A870" s="49">
        <v>13.16093108164211</v>
      </c>
      <c r="B870" s="49">
        <v>13.822173975999052</v>
      </c>
      <c r="C870" s="49">
        <v>13.106992839504233</v>
      </c>
      <c r="D870" s="49">
        <v>13.614411858134638</v>
      </c>
      <c r="E870" s="49">
        <v>583780729.06991982</v>
      </c>
      <c r="F870" s="49" t="s">
        <v>957</v>
      </c>
      <c r="G870" s="25">
        <f t="shared" si="12"/>
        <v>-3.330887747615574E-2</v>
      </c>
    </row>
    <row r="871" spans="1:7">
      <c r="A871" s="49">
        <v>12.881251307593857</v>
      </c>
      <c r="B871" s="49">
        <v>13.372688624850072</v>
      </c>
      <c r="C871" s="49">
        <v>12.693466316447171</v>
      </c>
      <c r="D871" s="49">
        <v>12.854282186524918</v>
      </c>
      <c r="E871" s="49">
        <v>536146461.46749586</v>
      </c>
      <c r="F871" s="49" t="s">
        <v>958</v>
      </c>
      <c r="G871" s="25">
        <f t="shared" si="12"/>
        <v>2.0980651177247012E-3</v>
      </c>
    </row>
    <row r="872" spans="1:7">
      <c r="A872" s="49">
        <v>13.245833870192474</v>
      </c>
      <c r="B872" s="49">
        <v>13.284789267292052</v>
      </c>
      <c r="C872" s="49">
        <v>12.64951663766816</v>
      </c>
      <c r="D872" s="49">
        <v>12.678982899576816</v>
      </c>
      <c r="E872" s="49">
        <v>506061093.91228509</v>
      </c>
      <c r="F872" s="49" t="s">
        <v>959</v>
      </c>
      <c r="G872" s="25">
        <f t="shared" si="12"/>
        <v>4.4707921377082904E-2</v>
      </c>
    </row>
    <row r="873" spans="1:7">
      <c r="A873" s="49">
        <v>12.58459097583553</v>
      </c>
      <c r="B873" s="49">
        <v>12.695464029118945</v>
      </c>
      <c r="C873" s="49">
        <v>12.050202836136188</v>
      </c>
      <c r="D873" s="49">
        <v>12.493695049269848</v>
      </c>
      <c r="E873" s="49">
        <v>518049875.05103666</v>
      </c>
      <c r="F873" s="49" t="s">
        <v>960</v>
      </c>
      <c r="G873" s="25">
        <f t="shared" si="12"/>
        <v>7.2753437799808474E-3</v>
      </c>
    </row>
    <row r="874" spans="1:7">
      <c r="A874" s="49">
        <v>12.45174308316261</v>
      </c>
      <c r="B874" s="49">
        <v>12.483706485910982</v>
      </c>
      <c r="C874" s="49">
        <v>11.873405264684257</v>
      </c>
      <c r="D874" s="49">
        <v>12.084363722823511</v>
      </c>
      <c r="E874" s="49">
        <v>610192264.99573743</v>
      </c>
      <c r="F874" s="49" t="s">
        <v>961</v>
      </c>
      <c r="G874" s="25">
        <f t="shared" si="12"/>
        <v>3.0401216709923684E-2</v>
      </c>
    </row>
    <row r="875" spans="1:7">
      <c r="A875" s="49">
        <v>12.180054159801449</v>
      </c>
      <c r="B875" s="49">
        <v>12.754396552936255</v>
      </c>
      <c r="C875" s="49">
        <v>12.09115594590754</v>
      </c>
      <c r="D875" s="49">
        <v>12.099146796594631</v>
      </c>
      <c r="E875" s="49">
        <v>653144588.02617371</v>
      </c>
      <c r="F875" s="49" t="s">
        <v>962</v>
      </c>
      <c r="G875" s="25">
        <f t="shared" si="12"/>
        <v>6.6870304631387878E-3</v>
      </c>
    </row>
    <row r="876" spans="1:7">
      <c r="A876" s="49">
        <v>12.037217703769663</v>
      </c>
      <c r="B876" s="49">
        <v>12.335875748199761</v>
      </c>
      <c r="C876" s="49">
        <v>11.820465878882265</v>
      </c>
      <c r="D876" s="49">
        <v>11.865414413997165</v>
      </c>
      <c r="E876" s="49">
        <v>523729580.72659236</v>
      </c>
      <c r="F876" s="49" t="s">
        <v>963</v>
      </c>
      <c r="G876" s="25">
        <f t="shared" si="12"/>
        <v>1.4479333277211737E-2</v>
      </c>
    </row>
    <row r="877" spans="1:7">
      <c r="A877" s="49">
        <v>11.953313771555186</v>
      </c>
      <c r="B877" s="49">
        <v>12.477713347895662</v>
      </c>
      <c r="C877" s="49">
        <v>11.604712910330756</v>
      </c>
      <c r="D877" s="49">
        <v>12.329882610184441</v>
      </c>
      <c r="E877" s="49">
        <v>660117012.13741291</v>
      </c>
      <c r="F877" s="49" t="s">
        <v>964</v>
      </c>
      <c r="G877" s="25">
        <f t="shared" si="12"/>
        <v>-3.0541153596889137E-2</v>
      </c>
    </row>
    <row r="878" spans="1:7">
      <c r="A878" s="49">
        <v>11.874404121020142</v>
      </c>
      <c r="B878" s="49">
        <v>11.93433550117334</v>
      </c>
      <c r="C878" s="49">
        <v>11.503828420406206</v>
      </c>
      <c r="D878" s="49">
        <v>11.504827276742095</v>
      </c>
      <c r="E878" s="49">
        <v>581439141.07976723</v>
      </c>
      <c r="F878" s="49" t="s">
        <v>965</v>
      </c>
      <c r="G878" s="25">
        <f t="shared" si="12"/>
        <v>3.2123632575099537E-2</v>
      </c>
    </row>
    <row r="879" spans="1:7">
      <c r="A879" s="49">
        <v>11.214160082999086</v>
      </c>
      <c r="B879" s="49">
        <v>12.09714908392286</v>
      </c>
      <c r="C879" s="49">
        <v>11.191186387273696</v>
      </c>
      <c r="D879" s="49">
        <v>12.043210841784981</v>
      </c>
      <c r="E879" s="49">
        <v>714248850.77865815</v>
      </c>
      <c r="F879" s="49" t="s">
        <v>966</v>
      </c>
      <c r="G879" s="25">
        <f t="shared" si="12"/>
        <v>-6.8839678195239284E-2</v>
      </c>
    </row>
    <row r="880" spans="1:7">
      <c r="A880" s="49">
        <v>11.946321777203979</v>
      </c>
      <c r="B880" s="49">
        <v>12.064176836275243</v>
      </c>
      <c r="C880" s="49">
        <v>10.800633559942026</v>
      </c>
      <c r="D880" s="49">
        <v>10.958452861012111</v>
      </c>
      <c r="E880" s="49">
        <v>851076355.48551476</v>
      </c>
      <c r="F880" s="49" t="s">
        <v>967</v>
      </c>
      <c r="G880" s="25">
        <f t="shared" si="12"/>
        <v>9.0146750524109143E-2</v>
      </c>
    </row>
    <row r="881" spans="1:7">
      <c r="A881" s="49">
        <v>11.486847862696134</v>
      </c>
      <c r="B881" s="49">
        <v>11.721579101629489</v>
      </c>
      <c r="C881" s="49">
        <v>11.332025130633708</v>
      </c>
      <c r="D881" s="49">
        <v>11.565757513231178</v>
      </c>
      <c r="E881" s="49">
        <v>493154192.75261384</v>
      </c>
      <c r="F881" s="49" t="s">
        <v>968</v>
      </c>
      <c r="G881" s="25">
        <f t="shared" si="12"/>
        <v>-6.8226962604716057E-3</v>
      </c>
    </row>
    <row r="882" spans="1:7">
      <c r="A882" s="49">
        <v>11.572749507582383</v>
      </c>
      <c r="B882" s="49">
        <v>11.832452154912904</v>
      </c>
      <c r="C882" s="49">
        <v>11.270096037808738</v>
      </c>
      <c r="D882" s="49">
        <v>11.547778099185217</v>
      </c>
      <c r="E882" s="49">
        <v>668245878.83053231</v>
      </c>
      <c r="F882" s="49" t="s">
        <v>969</v>
      </c>
      <c r="G882" s="25">
        <f t="shared" si="12"/>
        <v>2.1624426952686626E-3</v>
      </c>
    </row>
    <row r="883" spans="1:7">
      <c r="A883" s="49">
        <v>11.656653439796861</v>
      </c>
      <c r="B883" s="49">
        <v>12.110453850316869</v>
      </c>
      <c r="C883" s="49">
        <v>11.39507294255487</v>
      </c>
      <c r="D883" s="49">
        <v>12.023233715067249</v>
      </c>
      <c r="E883" s="49">
        <v>699499242.18061817</v>
      </c>
      <c r="F883" s="49" t="s">
        <v>970</v>
      </c>
      <c r="G883" s="25">
        <f t="shared" si="12"/>
        <v>-3.0489324582537058E-2</v>
      </c>
    </row>
    <row r="884" spans="1:7">
      <c r="A884" s="49">
        <v>12.062189112166829</v>
      </c>
      <c r="B884" s="49">
        <v>12.65550977568348</v>
      </c>
      <c r="C884" s="49">
        <v>12.008250870028951</v>
      </c>
      <c r="D884" s="49">
        <v>12.490698480262187</v>
      </c>
      <c r="E884" s="49">
        <v>673248129.72536683</v>
      </c>
      <c r="F884" s="49" t="s">
        <v>971</v>
      </c>
      <c r="G884" s="25">
        <f t="shared" si="12"/>
        <v>-3.4306277489004278E-2</v>
      </c>
    </row>
    <row r="885" spans="1:7">
      <c r="A885" s="49">
        <v>13.114983690191327</v>
      </c>
      <c r="B885" s="49">
        <v>13.640382122867688</v>
      </c>
      <c r="C885" s="49">
        <v>13.088014569122388</v>
      </c>
      <c r="D885" s="49">
        <v>13.204880760421121</v>
      </c>
      <c r="E885" s="49">
        <v>644894432.61950529</v>
      </c>
      <c r="F885" s="49" t="s">
        <v>972</v>
      </c>
      <c r="G885" s="25">
        <f t="shared" si="12"/>
        <v>-6.807866868381085E-3</v>
      </c>
    </row>
    <row r="886" spans="1:7">
      <c r="A886" s="49">
        <v>13.193893340726369</v>
      </c>
      <c r="B886" s="49">
        <v>13.30576525034567</v>
      </c>
      <c r="C886" s="49">
        <v>12.606565815225036</v>
      </c>
      <c r="D886" s="49">
        <v>12.895934495731389</v>
      </c>
      <c r="E886" s="49">
        <v>507711381.28673202</v>
      </c>
      <c r="F886" s="49" t="s">
        <v>973</v>
      </c>
      <c r="G886" s="25">
        <f t="shared" si="12"/>
        <v>2.310486650607646E-2</v>
      </c>
    </row>
    <row r="887" spans="1:7">
      <c r="A887" s="49">
        <v>13.151941374619129</v>
      </c>
      <c r="B887" s="49">
        <v>13.204880760421121</v>
      </c>
      <c r="C887" s="49">
        <v>12.864270749883783</v>
      </c>
      <c r="D887" s="49">
        <v>12.864270749883783</v>
      </c>
      <c r="E887" s="49">
        <v>584850542.57723618</v>
      </c>
      <c r="F887" s="49" t="s">
        <v>974</v>
      </c>
      <c r="G887" s="25">
        <f t="shared" si="12"/>
        <v>2.2361984626135589E-2</v>
      </c>
    </row>
    <row r="888" spans="1:7">
      <c r="A888" s="49">
        <v>12.497690474613394</v>
      </c>
      <c r="B888" s="49">
        <v>12.663500626370574</v>
      </c>
      <c r="C888" s="49">
        <v>12.09115594590754</v>
      </c>
      <c r="D888" s="49">
        <v>12.332879179192101</v>
      </c>
      <c r="E888" s="49">
        <v>548105318.38298714</v>
      </c>
      <c r="F888" s="49" t="s">
        <v>975</v>
      </c>
      <c r="G888" s="25">
        <f t="shared" si="12"/>
        <v>1.3363570097999489E-2</v>
      </c>
    </row>
    <row r="889" spans="1:7">
      <c r="A889" s="49">
        <v>12.125117061327686</v>
      </c>
      <c r="B889" s="49">
        <v>12.618552091255674</v>
      </c>
      <c r="C889" s="49">
        <v>12.06119025583094</v>
      </c>
      <c r="D889" s="49">
        <v>12.073176531861581</v>
      </c>
      <c r="E889" s="49">
        <v>566286061.04592538</v>
      </c>
      <c r="F889" s="49" t="s">
        <v>976</v>
      </c>
      <c r="G889" s="25">
        <f t="shared" si="12"/>
        <v>4.3021427980476368E-3</v>
      </c>
    </row>
    <row r="890" spans="1:7">
      <c r="A890" s="49">
        <v>12.206024424534501</v>
      </c>
      <c r="B890" s="49">
        <v>12.485704198582754</v>
      </c>
      <c r="C890" s="49">
        <v>11.932347777064926</v>
      </c>
      <c r="D890" s="49">
        <v>12.433763669116651</v>
      </c>
      <c r="E890" s="49">
        <v>533373119.69603771</v>
      </c>
      <c r="F890" s="49" t="s">
        <v>977</v>
      </c>
      <c r="G890" s="25">
        <f t="shared" si="12"/>
        <v>-1.8316195372750643E-2</v>
      </c>
    </row>
    <row r="891" spans="1:7">
      <c r="A891" s="49">
        <v>12.721434293851997</v>
      </c>
      <c r="B891" s="49">
        <v>12.808334795074131</v>
      </c>
      <c r="C891" s="49">
        <v>12.339731333656283</v>
      </c>
      <c r="D891" s="49">
        <v>12.395807128352958</v>
      </c>
      <c r="E891" s="49">
        <v>543034929.56125081</v>
      </c>
      <c r="F891" s="49" t="s">
        <v>978</v>
      </c>
      <c r="G891" s="25">
        <f t="shared" si="12"/>
        <v>2.6269137792103159E-2</v>
      </c>
    </row>
    <row r="892" spans="1:7">
      <c r="A892" s="49">
        <v>12.398803697360618</v>
      </c>
      <c r="B892" s="49">
        <v>12.721434293851997</v>
      </c>
      <c r="C892" s="49">
        <v>12.243980965298192</v>
      </c>
      <c r="D892" s="49">
        <v>12.492696192933961</v>
      </c>
      <c r="E892" s="49">
        <v>554488208.26508498</v>
      </c>
      <c r="F892" s="49" t="s">
        <v>979</v>
      </c>
      <c r="G892" s="25">
        <f t="shared" si="12"/>
        <v>-7.5157911569521119E-3</v>
      </c>
    </row>
    <row r="893" spans="1:7">
      <c r="A893" s="49">
        <v>12.214015275221595</v>
      </c>
      <c r="B893" s="49">
        <v>12.644522355988727</v>
      </c>
      <c r="C893" s="49">
        <v>12.200031286519181</v>
      </c>
      <c r="D893" s="49">
        <v>12.476714491559775</v>
      </c>
      <c r="E893" s="49">
        <v>547969382.91847467</v>
      </c>
      <c r="F893" s="49" t="s">
        <v>980</v>
      </c>
      <c r="G893" s="25">
        <f t="shared" si="12"/>
        <v>-2.105515971499472E-2</v>
      </c>
    </row>
    <row r="894" spans="1:7">
      <c r="A894" s="49">
        <v>12.501685899956939</v>
      </c>
      <c r="B894" s="49">
        <v>12.596577251866169</v>
      </c>
      <c r="C894" s="49">
        <v>12.242982108962305</v>
      </c>
      <c r="D894" s="49">
        <v>12.405795691711825</v>
      </c>
      <c r="E894" s="49">
        <v>664068781.63437092</v>
      </c>
      <c r="F894" s="49" t="s">
        <v>981</v>
      </c>
      <c r="G894" s="25">
        <f t="shared" si="12"/>
        <v>7.7294685990336731E-3</v>
      </c>
    </row>
    <row r="895" spans="1:7">
      <c r="A895" s="49">
        <v>12.546634435071839</v>
      </c>
      <c r="B895" s="49">
        <v>13.133931994883094</v>
      </c>
      <c r="C895" s="49">
        <v>12.413786542398919</v>
      </c>
      <c r="D895" s="49">
        <v>13.055052310038127</v>
      </c>
      <c r="E895" s="49">
        <v>760031380.61505187</v>
      </c>
      <c r="F895" s="49" t="s">
        <v>982</v>
      </c>
      <c r="G895" s="25">
        <f t="shared" ref="G895:G958" si="13">A895/D895-1</f>
        <v>-3.8944146901300547E-2</v>
      </c>
    </row>
    <row r="896" spans="1:7">
      <c r="A896" s="49">
        <v>13.245833870192474</v>
      </c>
      <c r="B896" s="49">
        <v>14.01495324882517</v>
      </c>
      <c r="C896" s="49">
        <v>13.095006563473593</v>
      </c>
      <c r="D896" s="49">
        <v>13.197888766069914</v>
      </c>
      <c r="E896" s="49">
        <v>808604171.57295704</v>
      </c>
      <c r="F896" s="49" t="s">
        <v>983</v>
      </c>
      <c r="G896" s="25">
        <f t="shared" si="13"/>
        <v>3.6327858926816781E-3</v>
      </c>
    </row>
    <row r="897" spans="1:7">
      <c r="A897" s="49">
        <v>13.16093108164211</v>
      </c>
      <c r="B897" s="49">
        <v>13.467340251238689</v>
      </c>
      <c r="C897" s="49">
        <v>13.042067177671601</v>
      </c>
      <c r="D897" s="49">
        <v>13.199387050573746</v>
      </c>
      <c r="E897" s="49">
        <v>525418652.45731574</v>
      </c>
      <c r="F897" s="49" t="s">
        <v>984</v>
      </c>
      <c r="G897" s="25">
        <f t="shared" si="13"/>
        <v>-2.9134662681146173E-3</v>
      </c>
    </row>
    <row r="898" spans="1:7">
      <c r="A898" s="49">
        <v>13.366695486834754</v>
      </c>
      <c r="B898" s="49">
        <v>13.447602850041569</v>
      </c>
      <c r="C898" s="49">
        <v>12.99512092988493</v>
      </c>
      <c r="D898" s="49">
        <v>12.997118642556705</v>
      </c>
      <c r="E898" s="49">
        <v>570337554.59370148</v>
      </c>
      <c r="F898" s="49" t="s">
        <v>985</v>
      </c>
      <c r="G898" s="25">
        <f t="shared" si="13"/>
        <v>2.8435290501075849E-2</v>
      </c>
    </row>
    <row r="899" spans="1:7">
      <c r="A899" s="49">
        <v>13.182905921031615</v>
      </c>
      <c r="B899" s="49">
        <v>13.196889909734029</v>
      </c>
      <c r="C899" s="49">
        <v>12.602570389881489</v>
      </c>
      <c r="D899" s="49">
        <v>12.726928003699374</v>
      </c>
      <c r="E899" s="49">
        <v>671519392.63079035</v>
      </c>
      <c r="F899" s="49" t="s">
        <v>986</v>
      </c>
      <c r="G899" s="25">
        <f t="shared" si="13"/>
        <v>3.582780677314279E-2</v>
      </c>
    </row>
    <row r="900" spans="1:7">
      <c r="A900" s="49">
        <v>12.914213566678114</v>
      </c>
      <c r="B900" s="49">
        <v>13.21785590422429</v>
      </c>
      <c r="C900" s="49">
        <v>12.775372535989876</v>
      </c>
      <c r="D900" s="49">
        <v>13.00031498283154</v>
      </c>
      <c r="E900" s="49">
        <v>524224696.97327566</v>
      </c>
      <c r="F900" s="49" t="s">
        <v>987</v>
      </c>
      <c r="G900" s="25">
        <f t="shared" si="13"/>
        <v>-6.6230253857028076E-3</v>
      </c>
    </row>
    <row r="901" spans="1:7">
      <c r="A901" s="49">
        <v>13.112985977519552</v>
      </c>
      <c r="B901" s="49">
        <v>13.274790715369827</v>
      </c>
      <c r="C901" s="49">
        <v>12.898231865303929</v>
      </c>
      <c r="D901" s="49">
        <v>13.238841875841265</v>
      </c>
      <c r="E901" s="49">
        <v>589180364.43911695</v>
      </c>
      <c r="F901" s="49" t="s">
        <v>988</v>
      </c>
      <c r="G901" s="25">
        <f t="shared" si="13"/>
        <v>-9.506564056133926E-3</v>
      </c>
    </row>
    <row r="902" spans="1:7">
      <c r="A902" s="49">
        <v>13.115982546527212</v>
      </c>
      <c r="B902" s="49">
        <v>13.906077908213529</v>
      </c>
      <c r="C902" s="49">
        <v>13.084019143778841</v>
      </c>
      <c r="D902" s="49">
        <v>13.786215147907136</v>
      </c>
      <c r="E902" s="49">
        <v>715774235.30620146</v>
      </c>
      <c r="F902" s="49" t="s">
        <v>989</v>
      </c>
      <c r="G902" s="25">
        <f t="shared" si="13"/>
        <v>-4.861614258803082E-2</v>
      </c>
    </row>
    <row r="903" spans="1:7">
      <c r="A903" s="49">
        <v>14.488411152035429</v>
      </c>
      <c r="B903" s="49">
        <v>14.530363118142667</v>
      </c>
      <c r="C903" s="49">
        <v>14.181762256918235</v>
      </c>
      <c r="D903" s="49">
        <v>14.352566690354848</v>
      </c>
      <c r="E903" s="49">
        <v>484713589.53762162</v>
      </c>
      <c r="F903" s="49" t="s">
        <v>990</v>
      </c>
      <c r="G903" s="25">
        <f t="shared" si="13"/>
        <v>9.4648200988238784E-3</v>
      </c>
    </row>
    <row r="904" spans="1:7">
      <c r="A904" s="49">
        <v>14.370546104400807</v>
      </c>
      <c r="B904" s="49">
        <v>14.457446605622945</v>
      </c>
      <c r="C904" s="49">
        <v>14.109844600734398</v>
      </c>
      <c r="D904" s="49">
        <v>14.140809147146884</v>
      </c>
      <c r="E904" s="49">
        <v>487686169.17027164</v>
      </c>
      <c r="F904" s="49" t="s">
        <v>991</v>
      </c>
      <c r="G904" s="25">
        <f t="shared" si="13"/>
        <v>1.6246379882743467E-2</v>
      </c>
    </row>
    <row r="905" spans="1:7">
      <c r="A905" s="49">
        <v>13.974000139053819</v>
      </c>
      <c r="B905" s="49">
        <v>13.99197955309978</v>
      </c>
      <c r="C905" s="49">
        <v>13.353710354468227</v>
      </c>
      <c r="D905" s="49">
        <v>13.443607424698024</v>
      </c>
      <c r="E905" s="49">
        <v>625588583.21236002</v>
      </c>
      <c r="F905" s="49" t="s">
        <v>992</v>
      </c>
      <c r="G905" s="25">
        <f t="shared" si="13"/>
        <v>3.945315402333005E-2</v>
      </c>
    </row>
    <row r="906" spans="1:7">
      <c r="A906" s="49">
        <v>13.69831579034911</v>
      </c>
      <c r="B906" s="49">
        <v>13.822173975999052</v>
      </c>
      <c r="C906" s="49">
        <v>13.330736658742836</v>
      </c>
      <c r="D906" s="49">
        <v>13.547488483630232</v>
      </c>
      <c r="E906" s="49">
        <v>513244439.24655795</v>
      </c>
      <c r="F906" s="49" t="s">
        <v>993</v>
      </c>
      <c r="G906" s="25">
        <f t="shared" si="13"/>
        <v>1.1133230111332049E-2</v>
      </c>
    </row>
    <row r="907" spans="1:7">
      <c r="A907" s="49">
        <v>13.445605137369805</v>
      </c>
      <c r="B907" s="49">
        <v>13.759152854646752</v>
      </c>
      <c r="C907" s="49">
        <v>13.331769341925305</v>
      </c>
      <c r="D907" s="49">
        <v>13.711221993406964</v>
      </c>
      <c r="E907" s="49">
        <v>536523984.23111534</v>
      </c>
      <c r="F907" s="49" t="s">
        <v>994</v>
      </c>
      <c r="G907" s="25">
        <f t="shared" si="13"/>
        <v>-1.9372223436020519E-2</v>
      </c>
    </row>
    <row r="908" spans="1:7">
      <c r="A908" s="49">
        <v>13.627342986237334</v>
      </c>
      <c r="B908" s="49">
        <v>14.150588221438358</v>
      </c>
      <c r="C908" s="49">
        <v>13.571423648124247</v>
      </c>
      <c r="D908" s="49">
        <v>14.079690489187838</v>
      </c>
      <c r="E908" s="49">
        <v>744229441.26838088</v>
      </c>
      <c r="F908" s="49" t="s">
        <v>995</v>
      </c>
      <c r="G908" s="25">
        <f t="shared" si="13"/>
        <v>-3.212765957446817E-2</v>
      </c>
    </row>
    <row r="909" spans="1:7">
      <c r="A909" s="49">
        <v>13.916925272894391</v>
      </c>
      <c r="B909" s="49">
        <v>14.35928717975327</v>
      </c>
      <c r="C909" s="49">
        <v>13.251095711101087</v>
      </c>
      <c r="D909" s="49">
        <v>14.188533486586524</v>
      </c>
      <c r="E909" s="49">
        <v>1180565615.8964906</v>
      </c>
      <c r="F909" s="49" t="s">
        <v>996</v>
      </c>
      <c r="G909" s="25">
        <f t="shared" si="13"/>
        <v>-1.9142796818917507E-2</v>
      </c>
    </row>
    <row r="910" spans="1:7">
      <c r="A910" s="49">
        <v>15.072258740695121</v>
      </c>
      <c r="B910" s="49">
        <v>15.517616326381489</v>
      </c>
      <c r="C910" s="49">
        <v>14.936963899249729</v>
      </c>
      <c r="D910" s="49">
        <v>15.361841027352177</v>
      </c>
      <c r="E910" s="49">
        <v>574537418.43345153</v>
      </c>
      <c r="F910" s="49" t="s">
        <v>997</v>
      </c>
      <c r="G910" s="25">
        <f t="shared" si="13"/>
        <v>-1.8850754030161343E-2</v>
      </c>
    </row>
    <row r="911" spans="1:7">
      <c r="A911" s="49">
        <v>15.445720034521807</v>
      </c>
      <c r="B911" s="49">
        <v>16.015897571353456</v>
      </c>
      <c r="C911" s="49">
        <v>15.160131986301399</v>
      </c>
      <c r="D911" s="49">
        <v>15.937011362229637</v>
      </c>
      <c r="E911" s="49">
        <v>530945458.97444755</v>
      </c>
      <c r="F911" s="49" t="s">
        <v>998</v>
      </c>
      <c r="G911" s="25">
        <f t="shared" si="13"/>
        <v>-3.082706766917287E-2</v>
      </c>
    </row>
    <row r="912" spans="1:7">
      <c r="A912" s="49">
        <v>15.778240384372838</v>
      </c>
      <c r="B912" s="49">
        <v>16.31446689449297</v>
      </c>
      <c r="C912" s="49">
        <v>15.744289357661319</v>
      </c>
      <c r="D912" s="49">
        <v>15.996924938779372</v>
      </c>
      <c r="E912" s="49">
        <v>496847594.72319347</v>
      </c>
      <c r="F912" s="49" t="s">
        <v>999</v>
      </c>
      <c r="G912" s="25">
        <f t="shared" si="13"/>
        <v>-1.3670411985018727E-2</v>
      </c>
    </row>
    <row r="913" spans="1:7">
      <c r="A913" s="49">
        <v>16.236579244978316</v>
      </c>
      <c r="B913" s="49">
        <v>17.898182434624314</v>
      </c>
      <c r="C913" s="49">
        <v>16.213612373967582</v>
      </c>
      <c r="D913" s="49">
        <v>17.831278940810439</v>
      </c>
      <c r="E913" s="49">
        <v>770236872.13351214</v>
      </c>
      <c r="F913" s="49" t="s">
        <v>1000</v>
      </c>
      <c r="G913" s="25">
        <f t="shared" si="13"/>
        <v>-8.9432715461723489E-2</v>
      </c>
    </row>
    <row r="914" spans="1:7">
      <c r="A914" s="49">
        <v>17.887198278923528</v>
      </c>
      <c r="B914" s="49">
        <v>17.921149305635044</v>
      </c>
      <c r="C914" s="49">
        <v>16.80875390102829</v>
      </c>
      <c r="D914" s="49">
        <v>16.819738056729072</v>
      </c>
      <c r="E914" s="49">
        <v>771803028.01008725</v>
      </c>
      <c r="F914" s="49" t="s">
        <v>1001</v>
      </c>
      <c r="G914" s="25">
        <f t="shared" si="13"/>
        <v>6.3464735217288126E-2</v>
      </c>
    </row>
    <row r="915" spans="1:7">
      <c r="A915" s="49">
        <v>17.197193588992405</v>
      </c>
      <c r="B915" s="49">
        <v>17.380928557078263</v>
      </c>
      <c r="C915" s="49">
        <v>16.870664596796349</v>
      </c>
      <c r="D915" s="49">
        <v>16.987496071068332</v>
      </c>
      <c r="E915" s="49">
        <v>523414631.639754</v>
      </c>
      <c r="F915" s="49" t="s">
        <v>1002</v>
      </c>
      <c r="G915" s="25">
        <f t="shared" si="13"/>
        <v>1.2344227604044189E-2</v>
      </c>
    </row>
    <row r="916" spans="1:7">
      <c r="A916" s="49">
        <v>17.156252645016753</v>
      </c>
      <c r="B916" s="49">
        <v>17.439843574018838</v>
      </c>
      <c r="C916" s="49">
        <v>16.945556567483518</v>
      </c>
      <c r="D916" s="49">
        <v>16.964029920253019</v>
      </c>
      <c r="E916" s="49">
        <v>370519462.83947909</v>
      </c>
      <c r="F916" s="49" t="s">
        <v>1003</v>
      </c>
      <c r="G916" s="25">
        <f t="shared" si="13"/>
        <v>1.1331194631662544E-2</v>
      </c>
    </row>
    <row r="917" spans="1:7">
      <c r="A917" s="49">
        <v>17.009464382469904</v>
      </c>
      <c r="B917" s="49">
        <v>17.532709617670928</v>
      </c>
      <c r="C917" s="49">
        <v>16.941562329046867</v>
      </c>
      <c r="D917" s="49">
        <v>17.464807564247891</v>
      </c>
      <c r="E917" s="49">
        <v>410183534.60503775</v>
      </c>
      <c r="F917" s="49" t="s">
        <v>1004</v>
      </c>
      <c r="G917" s="25">
        <f t="shared" si="13"/>
        <v>-2.6072041166380622E-2</v>
      </c>
    </row>
    <row r="918" spans="1:7">
      <c r="A918" s="49">
        <v>17.823290463937145</v>
      </c>
      <c r="B918" s="49">
        <v>18.493323961685018</v>
      </c>
      <c r="C918" s="49">
        <v>17.744404254813322</v>
      </c>
      <c r="D918" s="49">
        <v>18.37948816624052</v>
      </c>
      <c r="E918" s="49">
        <v>442225307.28082496</v>
      </c>
      <c r="F918" s="49" t="s">
        <v>1005</v>
      </c>
      <c r="G918" s="25">
        <f t="shared" si="13"/>
        <v>-3.0261871128979601E-2</v>
      </c>
    </row>
    <row r="919" spans="1:7">
      <c r="A919" s="49">
        <v>18.745959542803067</v>
      </c>
      <c r="B919" s="49">
        <v>18.837817041249906</v>
      </c>
      <c r="C919" s="49">
        <v>18.156809373397337</v>
      </c>
      <c r="D919" s="49">
        <v>18.274639407278482</v>
      </c>
      <c r="E919" s="49">
        <v>416045828.59959567</v>
      </c>
      <c r="F919" s="49" t="s">
        <v>1006</v>
      </c>
      <c r="G919" s="25">
        <f t="shared" si="13"/>
        <v>2.5790940385771233E-2</v>
      </c>
    </row>
    <row r="920" spans="1:7">
      <c r="A920" s="49">
        <v>18.308590433989998</v>
      </c>
      <c r="B920" s="49">
        <v>18.661081976024278</v>
      </c>
      <c r="C920" s="49">
        <v>18.11886410824917</v>
      </c>
      <c r="D920" s="49">
        <v>18.496319640512503</v>
      </c>
      <c r="E920" s="49">
        <v>447443603.66712838</v>
      </c>
      <c r="F920" s="49" t="s">
        <v>1007</v>
      </c>
      <c r="G920" s="25">
        <f t="shared" si="13"/>
        <v>-1.0149543810397899E-2</v>
      </c>
    </row>
    <row r="921" spans="1:7">
      <c r="A921" s="49">
        <v>18.851806861374268</v>
      </c>
      <c r="B921" s="49">
        <v>19.114428038583942</v>
      </c>
      <c r="C921" s="49">
        <v>18.474351329110934</v>
      </c>
      <c r="D921" s="49">
        <v>18.892248525545337</v>
      </c>
      <c r="E921" s="49">
        <v>451890538.99202645</v>
      </c>
      <c r="F921" s="49" t="s">
        <v>1008</v>
      </c>
      <c r="G921" s="25">
        <f t="shared" si="13"/>
        <v>-2.1406485372233997E-3</v>
      </c>
    </row>
    <row r="922" spans="1:7">
      <c r="A922" s="49">
        <v>19.004586481576094</v>
      </c>
      <c r="B922" s="49">
        <v>19.13639634998551</v>
      </c>
      <c r="C922" s="49">
        <v>18.586190005337109</v>
      </c>
      <c r="D922" s="49">
        <v>18.674063250943384</v>
      </c>
      <c r="E922" s="49">
        <v>458325728.17957127</v>
      </c>
      <c r="F922" s="49" t="s">
        <v>1009</v>
      </c>
      <c r="G922" s="25">
        <f t="shared" si="13"/>
        <v>1.7699588257312548E-2</v>
      </c>
    </row>
    <row r="923" spans="1:7">
      <c r="A923" s="49">
        <v>18.682051727816685</v>
      </c>
      <c r="B923" s="49">
        <v>18.691038764299144</v>
      </c>
      <c r="C923" s="49">
        <v>17.927140663290018</v>
      </c>
      <c r="D923" s="49">
        <v>18.133842502386603</v>
      </c>
      <c r="E923" s="49">
        <v>478783785.7782945</v>
      </c>
      <c r="F923" s="49" t="s">
        <v>1010</v>
      </c>
      <c r="G923" s="25">
        <f t="shared" si="13"/>
        <v>3.023127753303978E-2</v>
      </c>
    </row>
    <row r="924" spans="1:7">
      <c r="A924" s="49">
        <v>17.916156507589232</v>
      </c>
      <c r="B924" s="49">
        <v>18.680054608598358</v>
      </c>
      <c r="C924" s="49">
        <v>17.850251573384522</v>
      </c>
      <c r="D924" s="49">
        <v>18.104884273720899</v>
      </c>
      <c r="E924" s="49">
        <v>510061237.53323025</v>
      </c>
      <c r="F924" s="49" t="s">
        <v>1011</v>
      </c>
      <c r="G924" s="25">
        <f t="shared" si="13"/>
        <v>-1.0424135458606765E-2</v>
      </c>
    </row>
    <row r="925" spans="1:7">
      <c r="A925" s="49">
        <v>18.070933247009382</v>
      </c>
      <c r="B925" s="49">
        <v>18.091902998801789</v>
      </c>
      <c r="C925" s="49">
        <v>17.292066737458914</v>
      </c>
      <c r="D925" s="49">
        <v>17.672507962953642</v>
      </c>
      <c r="E925" s="49">
        <v>598284223.11333811</v>
      </c>
      <c r="F925" s="49" t="s">
        <v>1012</v>
      </c>
      <c r="G925" s="25">
        <f t="shared" si="13"/>
        <v>2.2544920329980789E-2</v>
      </c>
    </row>
    <row r="926" spans="1:7">
      <c r="A926" s="49">
        <v>17.061389482146343</v>
      </c>
      <c r="B926" s="49">
        <v>17.422059227379656</v>
      </c>
      <c r="C926" s="49">
        <v>16.699910903629604</v>
      </c>
      <c r="D926" s="49">
        <v>17.227150377267275</v>
      </c>
      <c r="E926" s="49">
        <v>669226597.85993075</v>
      </c>
      <c r="F926" s="49" t="s">
        <v>1013</v>
      </c>
      <c r="G926" s="25">
        <f t="shared" si="13"/>
        <v>-9.6220728031530811E-3</v>
      </c>
    </row>
    <row r="927" spans="1:7">
      <c r="A927" s="49">
        <v>17.767371125824056</v>
      </c>
      <c r="B927" s="49">
        <v>18.212728711510422</v>
      </c>
      <c r="C927" s="49">
        <v>17.217164781175651</v>
      </c>
      <c r="D927" s="49">
        <v>17.476790279557839</v>
      </c>
      <c r="E927" s="49">
        <v>985202256.30330205</v>
      </c>
      <c r="F927" s="49" t="s">
        <v>1014</v>
      </c>
      <c r="G927" s="25">
        <f t="shared" si="13"/>
        <v>1.6626671237572888E-2</v>
      </c>
    </row>
    <row r="928" spans="1:7">
      <c r="A928" s="49">
        <v>18.961648418382115</v>
      </c>
      <c r="B928" s="49">
        <v>19.201222839812324</v>
      </c>
      <c r="C928" s="49">
        <v>18.639113664622705</v>
      </c>
      <c r="D928" s="49">
        <v>18.782906248342073</v>
      </c>
      <c r="E928" s="49">
        <v>386625181.36888409</v>
      </c>
      <c r="F928" s="49" t="s">
        <v>1015</v>
      </c>
      <c r="G928" s="25">
        <f t="shared" si="13"/>
        <v>9.5162147793725893E-3</v>
      </c>
    </row>
    <row r="929" spans="1:7">
      <c r="A929" s="49">
        <v>19.187322890052787</v>
      </c>
      <c r="B929" s="49">
        <v>19.246237906993361</v>
      </c>
      <c r="C929" s="49">
        <v>18.732978267883958</v>
      </c>
      <c r="D929" s="49">
        <v>18.821850073099402</v>
      </c>
      <c r="E929" s="49">
        <v>410243180.51846492</v>
      </c>
      <c r="F929" s="49" t="s">
        <v>1016</v>
      </c>
      <c r="G929" s="25">
        <f t="shared" si="13"/>
        <v>1.9417475728155331E-2</v>
      </c>
    </row>
    <row r="930" spans="1:7">
      <c r="A930" s="49">
        <v>18.865786695902539</v>
      </c>
      <c r="B930" s="49">
        <v>18.940678666589712</v>
      </c>
      <c r="C930" s="49">
        <v>18.110875631375873</v>
      </c>
      <c r="D930" s="49">
        <v>18.157807933006499</v>
      </c>
      <c r="E930" s="49">
        <v>418748731.83665359</v>
      </c>
      <c r="F930" s="49" t="s">
        <v>1017</v>
      </c>
      <c r="G930" s="25">
        <f t="shared" si="13"/>
        <v>3.8990321161460617E-2</v>
      </c>
    </row>
    <row r="931" spans="1:7">
      <c r="A931" s="49">
        <v>18.499315319339992</v>
      </c>
      <c r="B931" s="49">
        <v>18.910252555298538</v>
      </c>
      <c r="C931" s="49">
        <v>18.06594044896357</v>
      </c>
      <c r="D931" s="49">
        <v>18.095897237238439</v>
      </c>
      <c r="E931" s="49">
        <v>490233047.18953013</v>
      </c>
      <c r="F931" s="49" t="s">
        <v>1018</v>
      </c>
      <c r="G931" s="25">
        <f t="shared" si="13"/>
        <v>2.2293345105396822E-2</v>
      </c>
    </row>
    <row r="932" spans="1:7">
      <c r="A932" s="49">
        <v>18.414437752561199</v>
      </c>
      <c r="B932" s="49">
        <v>18.818854394271913</v>
      </c>
      <c r="C932" s="49">
        <v>17.96408736882902</v>
      </c>
      <c r="D932" s="49">
        <v>18.155810813788175</v>
      </c>
      <c r="E932" s="49">
        <v>477156331.60821909</v>
      </c>
      <c r="F932" s="49" t="s">
        <v>1019</v>
      </c>
      <c r="G932" s="25">
        <f t="shared" si="13"/>
        <v>1.4244857551424461E-2</v>
      </c>
    </row>
    <row r="933" spans="1:7">
      <c r="A933" s="49">
        <v>18.136838181214092</v>
      </c>
      <c r="B933" s="49">
        <v>18.217721509556235</v>
      </c>
      <c r="C933" s="49">
        <v>17.666516605298668</v>
      </c>
      <c r="D933" s="49">
        <v>17.787342318007301</v>
      </c>
      <c r="E933" s="49">
        <v>436088557.9633345</v>
      </c>
      <c r="F933" s="49" t="s">
        <v>1020</v>
      </c>
      <c r="G933" s="25">
        <f t="shared" si="13"/>
        <v>1.9648571268174875E-2</v>
      </c>
    </row>
    <row r="934" spans="1:7">
      <c r="A934" s="49">
        <v>17.958096011174046</v>
      </c>
      <c r="B934" s="49">
        <v>18.113871310203361</v>
      </c>
      <c r="C934" s="49">
        <v>17.41487958378978</v>
      </c>
      <c r="D934" s="49">
        <v>17.949108974691587</v>
      </c>
      <c r="E934" s="49">
        <v>475330942.33423352</v>
      </c>
      <c r="F934" s="49" t="s">
        <v>1021</v>
      </c>
      <c r="G934" s="25">
        <f t="shared" si="13"/>
        <v>5.0069541029196252E-4</v>
      </c>
    </row>
    <row r="935" spans="1:7">
      <c r="A935" s="49">
        <v>17.764375446996571</v>
      </c>
      <c r="B935" s="49">
        <v>17.910165149934262</v>
      </c>
      <c r="C935" s="49">
        <v>16.888648655357361</v>
      </c>
      <c r="D935" s="49">
        <v>17.007467263251577</v>
      </c>
      <c r="E935" s="49">
        <v>570598114.2958647</v>
      </c>
      <c r="F935" s="49" t="s">
        <v>1022</v>
      </c>
      <c r="G935" s="25">
        <f t="shared" si="13"/>
        <v>4.4504462188821092E-2</v>
      </c>
    </row>
    <row r="936" spans="1:7">
      <c r="A936" s="49">
        <v>16.509186018279614</v>
      </c>
      <c r="B936" s="49">
        <v>16.894630027416241</v>
      </c>
      <c r="C936" s="49">
        <v>16.454265239775687</v>
      </c>
      <c r="D936" s="49">
        <v>16.864673239141375</v>
      </c>
      <c r="E936" s="49">
        <v>398438817.62230396</v>
      </c>
      <c r="F936" s="49" t="s">
        <v>1023</v>
      </c>
      <c r="G936" s="25">
        <f t="shared" si="13"/>
        <v>-2.1078808692047923E-2</v>
      </c>
    </row>
    <row r="937" spans="1:7">
      <c r="A937" s="49">
        <v>16.99947878637828</v>
      </c>
      <c r="B937" s="49">
        <v>17.099334747294506</v>
      </c>
      <c r="C937" s="49">
        <v>16.625018932942435</v>
      </c>
      <c r="D937" s="49">
        <v>16.994485988332467</v>
      </c>
      <c r="E937" s="49">
        <v>481440973.16666287</v>
      </c>
      <c r="F937" s="49" t="s">
        <v>1024</v>
      </c>
      <c r="G937" s="25">
        <f t="shared" si="13"/>
        <v>2.937892943182252E-4</v>
      </c>
    </row>
    <row r="938" spans="1:7">
      <c r="A938" s="49">
        <v>17.294053871081147</v>
      </c>
      <c r="B938" s="49">
        <v>17.941120497818289</v>
      </c>
      <c r="C938" s="49">
        <v>17.111816742409033</v>
      </c>
      <c r="D938" s="49">
        <v>17.867227086740282</v>
      </c>
      <c r="E938" s="49">
        <v>537445010.86944652</v>
      </c>
      <c r="F938" s="49" t="s">
        <v>1025</v>
      </c>
      <c r="G938" s="25">
        <f t="shared" si="13"/>
        <v>-3.2079584194936506E-2</v>
      </c>
    </row>
    <row r="939" spans="1:7">
      <c r="A939" s="49">
        <v>18.024000945378756</v>
      </c>
      <c r="B939" s="49">
        <v>18.117865548640008</v>
      </c>
      <c r="C939" s="49">
        <v>17.519288976523786</v>
      </c>
      <c r="D939" s="49">
        <v>17.859238609866985</v>
      </c>
      <c r="E939" s="49">
        <v>557852806.07067287</v>
      </c>
      <c r="F939" s="49" t="s">
        <v>1026</v>
      </c>
      <c r="G939" s="25">
        <f t="shared" si="13"/>
        <v>9.2256080514396821E-3</v>
      </c>
    </row>
    <row r="940" spans="1:7">
      <c r="A940" s="49">
        <v>17.781350960352327</v>
      </c>
      <c r="B940" s="49">
        <v>17.90667019130219</v>
      </c>
      <c r="C940" s="49">
        <v>16.776799993535096</v>
      </c>
      <c r="D940" s="49">
        <v>16.922589696472787</v>
      </c>
      <c r="E940" s="49">
        <v>761634841.84790277</v>
      </c>
      <c r="F940" s="49" t="s">
        <v>1027</v>
      </c>
      <c r="G940" s="25">
        <f t="shared" si="13"/>
        <v>5.0746444798489332E-2</v>
      </c>
    </row>
    <row r="941" spans="1:7">
      <c r="A941" s="49">
        <v>16.967524878885087</v>
      </c>
      <c r="B941" s="49">
        <v>17.085354912766235</v>
      </c>
      <c r="C941" s="49">
        <v>16.148715984968128</v>
      </c>
      <c r="D941" s="49">
        <v>16.462253716648988</v>
      </c>
      <c r="E941" s="49">
        <v>703379220.98536539</v>
      </c>
      <c r="F941" s="49" t="s">
        <v>1028</v>
      </c>
      <c r="G941" s="25">
        <f t="shared" si="13"/>
        <v>3.069270896518228E-2</v>
      </c>
    </row>
    <row r="942" spans="1:7">
      <c r="A942" s="49">
        <v>16.077808267121515</v>
      </c>
      <c r="B942" s="49">
        <v>16.872661716014672</v>
      </c>
      <c r="C942" s="49">
        <v>15.978950865814452</v>
      </c>
      <c r="D942" s="49">
        <v>16.27851874856313</v>
      </c>
      <c r="E942" s="49">
        <v>671484650.33803129</v>
      </c>
      <c r="F942" s="49" t="s">
        <v>1029</v>
      </c>
      <c r="G942" s="25">
        <f t="shared" si="13"/>
        <v>-1.2329775487670225E-2</v>
      </c>
    </row>
    <row r="943" spans="1:7">
      <c r="A943" s="49">
        <v>15.739296559615511</v>
      </c>
      <c r="B943" s="49">
        <v>15.759267751798754</v>
      </c>
      <c r="C943" s="49">
        <v>15.422753163511073</v>
      </c>
      <c r="D943" s="49">
        <v>15.636444919871797</v>
      </c>
      <c r="E943" s="49">
        <v>386492169.78021044</v>
      </c>
      <c r="F943" s="49" t="s">
        <v>1030</v>
      </c>
      <c r="G943" s="25">
        <f t="shared" si="13"/>
        <v>6.5776869531899429E-3</v>
      </c>
    </row>
    <row r="944" spans="1:7">
      <c r="A944" s="49">
        <v>15.34985831204223</v>
      </c>
      <c r="B944" s="49">
        <v>15.450702846971524</v>
      </c>
      <c r="C944" s="49">
        <v>14.706785923741736</v>
      </c>
      <c r="D944" s="49">
        <v>15.086238575223394</v>
      </c>
      <c r="E944" s="49">
        <v>456892944.41095853</v>
      </c>
      <c r="F944" s="49" t="s">
        <v>1031</v>
      </c>
      <c r="G944" s="25">
        <f t="shared" si="13"/>
        <v>1.7474185861795055E-2</v>
      </c>
    </row>
    <row r="945" spans="1:7">
      <c r="A945" s="49">
        <v>15.142157913336478</v>
      </c>
      <c r="B945" s="49">
        <v>15.352853990869717</v>
      </c>
      <c r="C945" s="49">
        <v>14.444164746532062</v>
      </c>
      <c r="D945" s="49">
        <v>14.568984697677344</v>
      </c>
      <c r="E945" s="49">
        <v>522671190.7943719</v>
      </c>
      <c r="F945" s="49" t="s">
        <v>1032</v>
      </c>
      <c r="G945" s="25">
        <f t="shared" si="13"/>
        <v>3.9342015078820847E-2</v>
      </c>
    </row>
    <row r="946" spans="1:7">
      <c r="A946" s="49">
        <v>15.060276025385175</v>
      </c>
      <c r="B946" s="49">
        <v>15.408773328982804</v>
      </c>
      <c r="C946" s="49">
        <v>14.855571305506913</v>
      </c>
      <c r="D946" s="49">
        <v>15.246008112689355</v>
      </c>
      <c r="E946" s="49">
        <v>459144447.45531476</v>
      </c>
      <c r="F946" s="49" t="s">
        <v>1033</v>
      </c>
      <c r="G946" s="25">
        <f t="shared" si="13"/>
        <v>-1.2182342153523651E-2</v>
      </c>
    </row>
    <row r="947" spans="1:7">
      <c r="A947" s="49">
        <v>15.130175198026533</v>
      </c>
      <c r="B947" s="49">
        <v>15.504625065866289</v>
      </c>
      <c r="C947" s="49">
        <v>15.016349388178126</v>
      </c>
      <c r="D947" s="49">
        <v>15.503636491853216</v>
      </c>
      <c r="E947" s="49">
        <v>439021091.95843244</v>
      </c>
      <c r="F947" s="49" t="s">
        <v>1034</v>
      </c>
      <c r="G947" s="25">
        <f t="shared" si="13"/>
        <v>-2.4088625531366592E-2</v>
      </c>
    </row>
    <row r="948" spans="1:7">
      <c r="A948" s="49">
        <v>15.815187089911841</v>
      </c>
      <c r="B948" s="49">
        <v>16.013890466539038</v>
      </c>
      <c r="C948" s="49">
        <v>15.366833825397986</v>
      </c>
      <c r="D948" s="49">
        <v>15.407774769373642</v>
      </c>
      <c r="E948" s="49">
        <v>468646794.54900557</v>
      </c>
      <c r="F948" s="49" t="s">
        <v>1035</v>
      </c>
      <c r="G948" s="25">
        <f t="shared" si="13"/>
        <v>2.6441996111471022E-2</v>
      </c>
    </row>
    <row r="949" spans="1:7">
      <c r="A949" s="49">
        <v>15.835158282095088</v>
      </c>
      <c r="B949" s="49">
        <v>15.922032968092202</v>
      </c>
      <c r="C949" s="49">
        <v>15.366833825397986</v>
      </c>
      <c r="D949" s="49">
        <v>15.433238039407279</v>
      </c>
      <c r="E949" s="49">
        <v>493613756.73258102</v>
      </c>
      <c r="F949" s="49" t="s">
        <v>1036</v>
      </c>
      <c r="G949" s="25">
        <f t="shared" si="13"/>
        <v>2.6042509139141412E-2</v>
      </c>
    </row>
    <row r="950" spans="1:7">
      <c r="A950" s="49">
        <v>15.108206886624965</v>
      </c>
      <c r="B950" s="49">
        <v>15.296924667160537</v>
      </c>
      <c r="C950" s="49">
        <v>14.767698059900631</v>
      </c>
      <c r="D950" s="49">
        <v>14.988379733525491</v>
      </c>
      <c r="E950" s="49">
        <v>529829020.86722696</v>
      </c>
      <c r="F950" s="49" t="s">
        <v>1037</v>
      </c>
      <c r="G950" s="25">
        <f t="shared" si="13"/>
        <v>7.9946702198536723E-3</v>
      </c>
    </row>
    <row r="951" spans="1:7">
      <c r="A951" s="49">
        <v>14.942445991504027</v>
      </c>
      <c r="B951" s="49">
        <v>14.949435908768164</v>
      </c>
      <c r="C951" s="49">
        <v>14.034755306775537</v>
      </c>
      <c r="D951" s="49">
        <v>14.154582459875007</v>
      </c>
      <c r="E951" s="49">
        <v>653148398.96956158</v>
      </c>
      <c r="F951" s="49" t="s">
        <v>1038</v>
      </c>
      <c r="G951" s="25">
        <f t="shared" si="13"/>
        <v>5.5661375661375523E-2</v>
      </c>
    </row>
    <row r="952" spans="1:7">
      <c r="A952" s="49">
        <v>14.502081203863472</v>
      </c>
      <c r="B952" s="49">
        <v>15.041213522446267</v>
      </c>
      <c r="C952" s="49">
        <v>14.371269895063216</v>
      </c>
      <c r="D952" s="49">
        <v>14.877539616908482</v>
      </c>
      <c r="E952" s="49">
        <v>578443264.37816393</v>
      </c>
      <c r="F952" s="49" t="s">
        <v>1039</v>
      </c>
      <c r="G952" s="25">
        <f t="shared" si="13"/>
        <v>-2.5236593059936974E-2</v>
      </c>
    </row>
    <row r="953" spans="1:7">
      <c r="A953" s="49">
        <v>15.137165115290669</v>
      </c>
      <c r="B953" s="49">
        <v>15.544577435828868</v>
      </c>
      <c r="C953" s="49">
        <v>14.840592911369479</v>
      </c>
      <c r="D953" s="49">
        <v>15.338874156341445</v>
      </c>
      <c r="E953" s="49">
        <v>687059664.44564962</v>
      </c>
      <c r="F953" s="49" t="s">
        <v>1040</v>
      </c>
      <c r="G953" s="25">
        <f t="shared" si="13"/>
        <v>-1.3150185534795966E-2</v>
      </c>
    </row>
    <row r="954" spans="1:7">
      <c r="A954" s="49">
        <v>15.519613445599813</v>
      </c>
      <c r="B954" s="49">
        <v>15.79721301694692</v>
      </c>
      <c r="C954" s="49">
        <v>15.148149270991452</v>
      </c>
      <c r="D954" s="49">
        <v>15.791221659291946</v>
      </c>
      <c r="E954" s="49">
        <v>483048057.99692786</v>
      </c>
      <c r="F954" s="49" t="s">
        <v>1041</v>
      </c>
      <c r="G954" s="25">
        <f t="shared" si="13"/>
        <v>-1.7199949411913384E-2</v>
      </c>
    </row>
    <row r="955" spans="1:7">
      <c r="A955" s="49">
        <v>15.958979673631207</v>
      </c>
      <c r="B955" s="49">
        <v>17.17721241121307</v>
      </c>
      <c r="C955" s="49">
        <v>15.922032968092202</v>
      </c>
      <c r="D955" s="49">
        <v>16.875657394842161</v>
      </c>
      <c r="E955" s="49">
        <v>462525577.60420245</v>
      </c>
      <c r="F955" s="49" t="s">
        <v>1042</v>
      </c>
      <c r="G955" s="25">
        <f t="shared" si="13"/>
        <v>-5.431952662721895E-2</v>
      </c>
    </row>
    <row r="956" spans="1:7">
      <c r="A956" s="49">
        <v>16.84470204695813</v>
      </c>
      <c r="B956" s="49">
        <v>17.305038026781933</v>
      </c>
      <c r="C956" s="49">
        <v>16.601552782127118</v>
      </c>
      <c r="D956" s="49">
        <v>17.287063953817011</v>
      </c>
      <c r="E956" s="49">
        <v>428585210.20997822</v>
      </c>
      <c r="F956" s="49" t="s">
        <v>1043</v>
      </c>
      <c r="G956" s="25">
        <f t="shared" si="13"/>
        <v>-2.5589186691312493E-2</v>
      </c>
    </row>
    <row r="957" spans="1:7">
      <c r="A957" s="49">
        <v>17.10133186651283</v>
      </c>
      <c r="B957" s="49">
        <v>17.115311701041101</v>
      </c>
      <c r="C957" s="49">
        <v>16.286507225436427</v>
      </c>
      <c r="D957" s="49">
        <v>16.476233551177256</v>
      </c>
      <c r="E957" s="49">
        <v>472833895.61101198</v>
      </c>
      <c r="F957" s="49" t="s">
        <v>1044</v>
      </c>
      <c r="G957" s="25">
        <f t="shared" si="13"/>
        <v>3.7939393939393939E-2</v>
      </c>
    </row>
    <row r="958" spans="1:7">
      <c r="A958" s="49">
        <v>16.201629658657634</v>
      </c>
      <c r="B958" s="49">
        <v>16.561111117956049</v>
      </c>
      <c r="C958" s="49">
        <v>15.830165484049276</v>
      </c>
      <c r="D958" s="49">
        <v>16.49470690394676</v>
      </c>
      <c r="E958" s="49">
        <v>464348433.22874254</v>
      </c>
      <c r="F958" s="49" t="s">
        <v>1045</v>
      </c>
      <c r="G958" s="25">
        <f t="shared" si="13"/>
        <v>-1.7767957138965618E-2</v>
      </c>
    </row>
    <row r="959" spans="1:7">
      <c r="A959" s="49">
        <v>16.336435205894539</v>
      </c>
      <c r="B959" s="49">
        <v>16.638000207861541</v>
      </c>
      <c r="C959" s="49">
        <v>16.156694476245335</v>
      </c>
      <c r="D959" s="49">
        <v>16.202628218266796</v>
      </c>
      <c r="E959" s="49">
        <v>438629237.53491104</v>
      </c>
      <c r="F959" s="49" t="s">
        <v>1046</v>
      </c>
      <c r="G959" s="25">
        <f t="shared" ref="G959:G1022" si="14">A959/D959-1</f>
        <v>8.2583507950204638E-3</v>
      </c>
    </row>
    <row r="960" spans="1:7">
      <c r="A960" s="49">
        <v>16.542138485381965</v>
      </c>
      <c r="B960" s="49">
        <v>16.983501832631685</v>
      </c>
      <c r="C960" s="49">
        <v>16.383367507525165</v>
      </c>
      <c r="D960" s="49">
        <v>16.450770281143619</v>
      </c>
      <c r="E960" s="49">
        <v>483785720.51926637</v>
      </c>
      <c r="F960" s="49" t="s">
        <v>1047</v>
      </c>
      <c r="G960" s="25">
        <f t="shared" si="14"/>
        <v>5.5540380588181559E-3</v>
      </c>
    </row>
    <row r="961" spans="1:7">
      <c r="A961" s="49">
        <v>15.857126593496657</v>
      </c>
      <c r="B961" s="49">
        <v>15.971960948550315</v>
      </c>
      <c r="C961" s="49">
        <v>15.30592168923909</v>
      </c>
      <c r="D961" s="49">
        <v>15.625460764171011</v>
      </c>
      <c r="E961" s="49">
        <v>631243206.93165123</v>
      </c>
      <c r="F961" s="49" t="s">
        <v>1048</v>
      </c>
      <c r="G961" s="25">
        <f t="shared" si="14"/>
        <v>1.4826175869120828E-2</v>
      </c>
    </row>
    <row r="962" spans="1:7">
      <c r="A962" s="49">
        <v>15.578528462540385</v>
      </c>
      <c r="B962" s="49">
        <v>15.91935682833965</v>
      </c>
      <c r="C962" s="49">
        <v>15.378816540707934</v>
      </c>
      <c r="D962" s="49">
        <v>15.83715540131341</v>
      </c>
      <c r="E962" s="49">
        <v>546535895.29608166</v>
      </c>
      <c r="F962" s="49" t="s">
        <v>1049</v>
      </c>
      <c r="G962" s="25">
        <f t="shared" si="14"/>
        <v>-1.6330390920554883E-2</v>
      </c>
    </row>
    <row r="963" spans="1:7">
      <c r="A963" s="49">
        <v>16.50319466062464</v>
      </c>
      <c r="B963" s="49">
        <v>16.843703487348968</v>
      </c>
      <c r="C963" s="49">
        <v>15.90306033551812</v>
      </c>
      <c r="D963" s="49">
        <v>16.071816909466541</v>
      </c>
      <c r="E963" s="49">
        <v>564749109.44286442</v>
      </c>
      <c r="F963" s="49" t="s">
        <v>1050</v>
      </c>
      <c r="G963" s="25">
        <f t="shared" si="14"/>
        <v>2.6840633737185593E-2</v>
      </c>
    </row>
    <row r="964" spans="1:7">
      <c r="A964" s="49">
        <v>15.813189970693518</v>
      </c>
      <c r="B964" s="49">
        <v>16.042858680800837</v>
      </c>
      <c r="C964" s="49">
        <v>15.38980069640872</v>
      </c>
      <c r="D964" s="49">
        <v>15.708341211731481</v>
      </c>
      <c r="E964" s="49">
        <v>470357017.93910718</v>
      </c>
      <c r="F964" s="49" t="s">
        <v>1051</v>
      </c>
      <c r="G964" s="25">
        <f t="shared" si="14"/>
        <v>6.6747187082829562E-3</v>
      </c>
    </row>
    <row r="965" spans="1:7">
      <c r="A965" s="49">
        <v>15.62446220456185</v>
      </c>
      <c r="B965" s="49">
        <v>16.288504344654754</v>
      </c>
      <c r="C965" s="49">
        <v>15.583521260586199</v>
      </c>
      <c r="D965" s="49">
        <v>15.976953746596127</v>
      </c>
      <c r="E965" s="49">
        <v>605024852.25379264</v>
      </c>
      <c r="F965" s="49" t="s">
        <v>1052</v>
      </c>
      <c r="G965" s="25">
        <f t="shared" si="14"/>
        <v>-2.2062499999999985E-2</v>
      </c>
    </row>
    <row r="966" spans="1:7">
      <c r="A966" s="49">
        <v>16.949550805920168</v>
      </c>
      <c r="B966" s="49">
        <v>17.67150940334448</v>
      </c>
      <c r="C966" s="49">
        <v>16.84470204695813</v>
      </c>
      <c r="D966" s="49">
        <v>17.574649121255739</v>
      </c>
      <c r="E966" s="49">
        <v>466321344.99277115</v>
      </c>
      <c r="F966" s="49" t="s">
        <v>1053</v>
      </c>
      <c r="G966" s="25">
        <f t="shared" si="14"/>
        <v>-3.5568181818181666E-2</v>
      </c>
    </row>
    <row r="967" spans="1:7">
      <c r="A967" s="49">
        <v>18.022003826160432</v>
      </c>
      <c r="B967" s="49">
        <v>18.90572908026903</v>
      </c>
      <c r="C967" s="49">
        <v>18.015013908896297</v>
      </c>
      <c r="D967" s="49">
        <v>18.454380136927689</v>
      </c>
      <c r="E967" s="49">
        <v>396144392.75374538</v>
      </c>
      <c r="F967" s="49" t="s">
        <v>1054</v>
      </c>
      <c r="G967" s="25">
        <f t="shared" si="14"/>
        <v>-2.3429468102375339E-2</v>
      </c>
    </row>
    <row r="968" spans="1:7">
      <c r="A968" s="49">
        <v>18.621139591657787</v>
      </c>
      <c r="B968" s="49">
        <v>19.152373303732109</v>
      </c>
      <c r="C968" s="49">
        <v>18.508302355822451</v>
      </c>
      <c r="D968" s="49">
        <v>18.77192209264129</v>
      </c>
      <c r="E968" s="49">
        <v>363776440.25152469</v>
      </c>
      <c r="F968" s="49" t="s">
        <v>1055</v>
      </c>
      <c r="G968" s="25">
        <f t="shared" si="14"/>
        <v>-8.0323421458589062E-3</v>
      </c>
    </row>
    <row r="969" spans="1:7">
      <c r="A969" s="49">
        <v>18.894744924568236</v>
      </c>
      <c r="B969" s="49">
        <v>18.968622718313249</v>
      </c>
      <c r="C969" s="49">
        <v>18.157963684246386</v>
      </c>
      <c r="D969" s="49">
        <v>18.441494676456962</v>
      </c>
      <c r="E969" s="49">
        <v>389557439.13162118</v>
      </c>
      <c r="F969" s="49" t="s">
        <v>1056</v>
      </c>
      <c r="G969" s="25">
        <f t="shared" si="14"/>
        <v>2.4577739281073985E-2</v>
      </c>
    </row>
    <row r="970" spans="1:7">
      <c r="A970" s="49">
        <v>18.754976125591195</v>
      </c>
      <c r="B970" s="49">
        <v>19.305066184422277</v>
      </c>
      <c r="C970" s="49">
        <v>18.53354241406899</v>
      </c>
      <c r="D970" s="49">
        <v>19.107393168726169</v>
      </c>
      <c r="E970" s="49">
        <v>423104880.58005261</v>
      </c>
      <c r="F970" s="49" t="s">
        <v>1057</v>
      </c>
      <c r="G970" s="25">
        <f t="shared" si="14"/>
        <v>-1.8444014838810641E-2</v>
      </c>
    </row>
    <row r="971" spans="1:7">
      <c r="A971" s="49">
        <v>18.689085120359156</v>
      </c>
      <c r="B971" s="49">
        <v>19.300373946170907</v>
      </c>
      <c r="C971" s="49">
        <v>18.490972831294837</v>
      </c>
      <c r="D971" s="49">
        <v>19.049988126289168</v>
      </c>
      <c r="E971" s="49">
        <v>599769180.3430872</v>
      </c>
      <c r="F971" s="49" t="s">
        <v>1058</v>
      </c>
      <c r="G971" s="25">
        <f t="shared" si="14"/>
        <v>-1.8945051489662745E-2</v>
      </c>
    </row>
    <row r="972" spans="1:7">
      <c r="A972" s="49">
        <v>19.559645068273323</v>
      </c>
      <c r="B972" s="49">
        <v>19.586600479504611</v>
      </c>
      <c r="C972" s="49">
        <v>18.167947169887604</v>
      </c>
      <c r="D972" s="49">
        <v>18.261791934915049</v>
      </c>
      <c r="E972" s="49">
        <v>649728785.42738664</v>
      </c>
      <c r="F972" s="49" t="s">
        <v>1059</v>
      </c>
      <c r="G972" s="25">
        <f t="shared" si="14"/>
        <v>7.1069319921277074E-2</v>
      </c>
    </row>
    <row r="973" spans="1:7">
      <c r="A973" s="49">
        <v>18.289745694710458</v>
      </c>
      <c r="B973" s="49">
        <v>19.021714894953242</v>
      </c>
      <c r="C973" s="49">
        <v>18.09207267901435</v>
      </c>
      <c r="D973" s="49">
        <v>18.693078514615646</v>
      </c>
      <c r="E973" s="49">
        <v>545414617.26747751</v>
      </c>
      <c r="F973" s="49" t="s">
        <v>1060</v>
      </c>
      <c r="G973" s="25">
        <f t="shared" si="14"/>
        <v>-2.1576586199530068E-2</v>
      </c>
    </row>
    <row r="974" spans="1:7">
      <c r="A974" s="49">
        <v>18.641164389281315</v>
      </c>
      <c r="B974" s="49">
        <v>19.168292431137598</v>
      </c>
      <c r="C974" s="49">
        <v>18.319696151634112</v>
      </c>
      <c r="D974" s="49">
        <v>18.948655747030813</v>
      </c>
      <c r="E974" s="49">
        <v>665198041.91255617</v>
      </c>
      <c r="F974" s="49" t="s">
        <v>1061</v>
      </c>
      <c r="G974" s="25">
        <f t="shared" si="14"/>
        <v>-1.6227608008429928E-2</v>
      </c>
    </row>
    <row r="975" spans="1:7">
      <c r="A975" s="49">
        <v>18.779934839694238</v>
      </c>
      <c r="B975" s="49">
        <v>18.849819239182761</v>
      </c>
      <c r="C975" s="49">
        <v>18.070109010603673</v>
      </c>
      <c r="D975" s="49">
        <v>18.155966987118145</v>
      </c>
      <c r="E975" s="49">
        <v>739600753.21944737</v>
      </c>
      <c r="F975" s="49" t="s">
        <v>1062</v>
      </c>
      <c r="G975" s="25">
        <f t="shared" si="14"/>
        <v>3.4367095568019312E-2</v>
      </c>
    </row>
    <row r="976" spans="1:7">
      <c r="A976" s="49">
        <v>17.821520218137355</v>
      </c>
      <c r="B976" s="49">
        <v>18.062122222090697</v>
      </c>
      <c r="C976" s="49">
        <v>15.995540694358677</v>
      </c>
      <c r="D976" s="49">
        <v>16.009517574256382</v>
      </c>
      <c r="E976" s="49">
        <v>998223021.31188965</v>
      </c>
      <c r="F976" s="49" t="s">
        <v>1063</v>
      </c>
      <c r="G976" s="25">
        <f t="shared" si="14"/>
        <v>0.1131828386131204</v>
      </c>
    </row>
    <row r="977" spans="1:7">
      <c r="A977" s="49">
        <v>16.946966875966705</v>
      </c>
      <c r="B977" s="49">
        <v>17.082732297201623</v>
      </c>
      <c r="C977" s="49">
        <v>15.973577025947998</v>
      </c>
      <c r="D977" s="49">
        <v>15.993543997230432</v>
      </c>
      <c r="E977" s="49">
        <v>782424023.10375834</v>
      </c>
      <c r="F977" s="49" t="s">
        <v>1064</v>
      </c>
      <c r="G977" s="25">
        <f t="shared" si="14"/>
        <v>5.9612983770287231E-2</v>
      </c>
    </row>
    <row r="978" spans="1:7">
      <c r="A978" s="49">
        <v>16.127322704822745</v>
      </c>
      <c r="B978" s="49">
        <v>16.569591118728681</v>
      </c>
      <c r="C978" s="49">
        <v>15.753940341841215</v>
      </c>
      <c r="D978" s="49">
        <v>16.482734793650089</v>
      </c>
      <c r="E978" s="49">
        <v>589523580.39173341</v>
      </c>
      <c r="F978" s="49" t="s">
        <v>1065</v>
      </c>
      <c r="G978" s="25">
        <f t="shared" si="14"/>
        <v>-2.1562689279224778E-2</v>
      </c>
    </row>
    <row r="979" spans="1:7">
      <c r="A979" s="49">
        <v>16.870094036529327</v>
      </c>
      <c r="B979" s="49">
        <v>16.887065962119401</v>
      </c>
      <c r="C979" s="49">
        <v>16.152291402411432</v>
      </c>
      <c r="D979" s="49">
        <v>16.247124532517358</v>
      </c>
      <c r="E979" s="49">
        <v>640947173.15781581</v>
      </c>
      <c r="F979" s="49" t="s">
        <v>1066</v>
      </c>
      <c r="G979" s="25">
        <f t="shared" si="14"/>
        <v>3.834336979230657E-2</v>
      </c>
    </row>
    <row r="980" spans="1:7">
      <c r="A980" s="49">
        <v>16.666430929448492</v>
      </c>
      <c r="B980" s="49">
        <v>17.381248501359664</v>
      </c>
      <c r="C980" s="49">
        <v>15.72898162773817</v>
      </c>
      <c r="D980" s="49">
        <v>17.303377313358169</v>
      </c>
      <c r="E980" s="49">
        <v>740327863.99627173</v>
      </c>
      <c r="F980" s="49" t="s">
        <v>1067</v>
      </c>
      <c r="G980" s="25">
        <f t="shared" si="14"/>
        <v>-3.6810523886452895E-2</v>
      </c>
    </row>
    <row r="981" spans="1:7">
      <c r="A981" s="49">
        <v>17.095720812020847</v>
      </c>
      <c r="B981" s="49">
        <v>17.657791053621391</v>
      </c>
      <c r="C981" s="49">
        <v>16.706414789441567</v>
      </c>
      <c r="D981" s="49">
        <v>16.909029630530078</v>
      </c>
      <c r="E981" s="49">
        <v>622337340.21200085</v>
      </c>
      <c r="F981" s="49" t="s">
        <v>1068</v>
      </c>
      <c r="G981" s="25">
        <f t="shared" si="14"/>
        <v>1.1040916337013762E-2</v>
      </c>
    </row>
    <row r="982" spans="1:7">
      <c r="A982" s="49">
        <v>16.910027979094199</v>
      </c>
      <c r="B982" s="49">
        <v>18.088079284757864</v>
      </c>
      <c r="C982" s="49">
        <v>16.83615018534919</v>
      </c>
      <c r="D982" s="49">
        <v>17.675761327775582</v>
      </c>
      <c r="E982" s="49">
        <v>546062847.77860105</v>
      </c>
      <c r="F982" s="49" t="s">
        <v>1069</v>
      </c>
      <c r="G982" s="25">
        <f t="shared" si="14"/>
        <v>-4.3321095735668003E-2</v>
      </c>
    </row>
    <row r="983" spans="1:7">
      <c r="A983" s="49">
        <v>18.146981850041048</v>
      </c>
      <c r="B983" s="49">
        <v>18.340661471480669</v>
      </c>
      <c r="C983" s="49">
        <v>17.604878579722939</v>
      </c>
      <c r="D983" s="49">
        <v>18.044151947936509</v>
      </c>
      <c r="E983" s="49">
        <v>586798770.5429877</v>
      </c>
      <c r="F983" s="49" t="s">
        <v>1070</v>
      </c>
      <c r="G983" s="25">
        <f t="shared" si="14"/>
        <v>5.6987938475157041E-3</v>
      </c>
    </row>
    <row r="984" spans="1:7">
      <c r="A984" s="49">
        <v>17.235489610997888</v>
      </c>
      <c r="B984" s="49">
        <v>17.758624258597685</v>
      </c>
      <c r="C984" s="49">
        <v>17.077750537866653</v>
      </c>
      <c r="D984" s="49">
        <v>17.48008500920772</v>
      </c>
      <c r="E984" s="49">
        <v>522308539.06092161</v>
      </c>
      <c r="F984" s="49" t="s">
        <v>1071</v>
      </c>
      <c r="G984" s="25">
        <f t="shared" si="14"/>
        <v>-1.3992803700954015E-2</v>
      </c>
    </row>
    <row r="985" spans="1:7">
      <c r="A985" s="49">
        <v>17.676759676339703</v>
      </c>
      <c r="B985" s="49">
        <v>17.898822347457305</v>
      </c>
      <c r="C985" s="49">
        <v>16.565098550190136</v>
      </c>
      <c r="D985" s="49">
        <v>16.760275694475936</v>
      </c>
      <c r="E985" s="49">
        <v>671545524.37282753</v>
      </c>
      <c r="F985" s="49" t="s">
        <v>1072</v>
      </c>
      <c r="G985" s="25">
        <f t="shared" si="14"/>
        <v>5.4681915654038571E-2</v>
      </c>
    </row>
    <row r="986" spans="1:7">
      <c r="A986" s="49">
        <v>16.148288024669306</v>
      </c>
      <c r="B986" s="49">
        <v>16.760275694475936</v>
      </c>
      <c r="C986" s="49">
        <v>15.541292097683279</v>
      </c>
      <c r="D986" s="49">
        <v>16.192315196347074</v>
      </c>
      <c r="E986" s="49">
        <v>709900725.52813292</v>
      </c>
      <c r="F986" s="49" t="s">
        <v>1073</v>
      </c>
      <c r="G986" s="25">
        <f t="shared" si="14"/>
        <v>-2.7190164682380225E-3</v>
      </c>
    </row>
    <row r="987" spans="1:7">
      <c r="A987" s="49">
        <v>16.602536621344701</v>
      </c>
      <c r="B987" s="49">
        <v>17.723682058853427</v>
      </c>
      <c r="C987" s="49">
        <v>16.540639010369151</v>
      </c>
      <c r="D987" s="49">
        <v>17.318352541819994</v>
      </c>
      <c r="E987" s="49">
        <v>671275598.60773468</v>
      </c>
      <c r="F987" s="49" t="s">
        <v>1074</v>
      </c>
      <c r="G987" s="25">
        <f t="shared" si="14"/>
        <v>-4.1332795296016522E-2</v>
      </c>
    </row>
    <row r="988" spans="1:7">
      <c r="A988" s="49">
        <v>17.565942985722188</v>
      </c>
      <c r="B988" s="49">
        <v>18.167947169887604</v>
      </c>
      <c r="C988" s="49">
        <v>16.996884304172792</v>
      </c>
      <c r="D988" s="49">
        <v>17.659787750749633</v>
      </c>
      <c r="E988" s="49">
        <v>762733896.12161279</v>
      </c>
      <c r="F988" s="49" t="s">
        <v>1075</v>
      </c>
      <c r="G988" s="25">
        <f t="shared" si="14"/>
        <v>-5.314036972129621E-3</v>
      </c>
    </row>
    <row r="989" spans="1:7">
      <c r="A989" s="49">
        <v>16.922008161863662</v>
      </c>
      <c r="B989" s="49">
        <v>18.224853038042546</v>
      </c>
      <c r="C989" s="49">
        <v>16.799211288476688</v>
      </c>
      <c r="D989" s="49">
        <v>18.004218005371637</v>
      </c>
      <c r="E989" s="49">
        <v>645520545.78946435</v>
      </c>
      <c r="F989" s="49" t="s">
        <v>1076</v>
      </c>
      <c r="G989" s="25">
        <f t="shared" si="14"/>
        <v>-6.010868359764876E-2</v>
      </c>
    </row>
    <row r="990" spans="1:7">
      <c r="A990" s="49">
        <v>18.64415943497368</v>
      </c>
      <c r="B990" s="49">
        <v>19.479777183143582</v>
      </c>
      <c r="C990" s="49">
        <v>17.960290668550282</v>
      </c>
      <c r="D990" s="49">
        <v>18.705058697385105</v>
      </c>
      <c r="E990" s="49">
        <v>634344298.93442369</v>
      </c>
      <c r="F990" s="49" t="s">
        <v>1077</v>
      </c>
      <c r="G990" s="25">
        <f t="shared" si="14"/>
        <v>-3.2557643040135309E-3</v>
      </c>
    </row>
    <row r="991" spans="1:7">
      <c r="A991" s="49">
        <v>18.812880342310255</v>
      </c>
      <c r="B991" s="49">
        <v>19.892095140125868</v>
      </c>
      <c r="C991" s="49">
        <v>18.469448436252375</v>
      </c>
      <c r="D991" s="49">
        <v>19.834190923406805</v>
      </c>
      <c r="E991" s="49">
        <v>627367467.14408863</v>
      </c>
      <c r="F991" s="49" t="s">
        <v>1078</v>
      </c>
      <c r="G991" s="25">
        <f t="shared" si="14"/>
        <v>-5.1492424623747923E-2</v>
      </c>
    </row>
    <row r="992" spans="1:7">
      <c r="A992" s="49">
        <v>20.300419702851663</v>
      </c>
      <c r="B992" s="49">
        <v>20.366310708083699</v>
      </c>
      <c r="C992" s="49">
        <v>18.720033925846931</v>
      </c>
      <c r="D992" s="49">
        <v>19.890098442997623</v>
      </c>
      <c r="E992" s="49">
        <v>649927944.32553649</v>
      </c>
      <c r="F992" s="49" t="s">
        <v>1079</v>
      </c>
      <c r="G992" s="25">
        <f t="shared" si="14"/>
        <v>2.0629423279626691E-2</v>
      </c>
    </row>
    <row r="993" spans="1:7">
      <c r="A993" s="49">
        <v>19.569628553914541</v>
      </c>
      <c r="B993" s="49">
        <v>19.792260283713691</v>
      </c>
      <c r="C993" s="49">
        <v>19.101403077341441</v>
      </c>
      <c r="D993" s="49">
        <v>19.367962143961947</v>
      </c>
      <c r="E993" s="49">
        <v>476537811.63948423</v>
      </c>
      <c r="F993" s="49" t="s">
        <v>1080</v>
      </c>
      <c r="G993" s="25">
        <f t="shared" si="14"/>
        <v>1.0412371134020715E-2</v>
      </c>
    </row>
    <row r="994" spans="1:7">
      <c r="A994" s="49">
        <v>19.500742502990143</v>
      </c>
      <c r="B994" s="49">
        <v>19.541674794119132</v>
      </c>
      <c r="C994" s="49">
        <v>18.360628442763101</v>
      </c>
      <c r="D994" s="49">
        <v>18.509881553099305</v>
      </c>
      <c r="E994" s="49">
        <v>572994944.40925336</v>
      </c>
      <c r="F994" s="49" t="s">
        <v>1081</v>
      </c>
      <c r="G994" s="25">
        <f t="shared" si="14"/>
        <v>5.3531458159165046E-2</v>
      </c>
    </row>
    <row r="995" spans="1:7">
      <c r="A995" s="49">
        <v>18.516370818766095</v>
      </c>
      <c r="B995" s="49">
        <v>20.095239105953357</v>
      </c>
      <c r="C995" s="49">
        <v>18.486420361842441</v>
      </c>
      <c r="D995" s="49">
        <v>19.369958841090192</v>
      </c>
      <c r="E995" s="49">
        <v>501262713.22905546</v>
      </c>
      <c r="F995" s="49" t="s">
        <v>1082</v>
      </c>
      <c r="G995" s="25">
        <f t="shared" si="14"/>
        <v>-4.4067621894650078E-2</v>
      </c>
    </row>
    <row r="996" spans="1:7">
      <c r="A996" s="49">
        <v>19.749331295456454</v>
      </c>
      <c r="B996" s="49">
        <v>20.003910179307503</v>
      </c>
      <c r="C996" s="49">
        <v>18.459035660728585</v>
      </c>
      <c r="D996" s="49">
        <v>18.935677215697229</v>
      </c>
      <c r="E996" s="49">
        <v>571270125.98221946</v>
      </c>
      <c r="F996" s="49" t="s">
        <v>1083</v>
      </c>
      <c r="G996" s="25">
        <f t="shared" si="14"/>
        <v>4.2969367849422513E-2</v>
      </c>
    </row>
    <row r="997" spans="1:7">
      <c r="A997" s="49">
        <v>18.384588808302023</v>
      </c>
      <c r="B997" s="49">
        <v>19.135346928521578</v>
      </c>
      <c r="C997" s="49">
        <v>18.259795237786808</v>
      </c>
      <c r="D997" s="49">
        <v>18.567286595536302</v>
      </c>
      <c r="E997" s="49">
        <v>500286360.84569979</v>
      </c>
      <c r="F997" s="49" t="s">
        <v>1084</v>
      </c>
      <c r="G997" s="25">
        <f t="shared" si="14"/>
        <v>-9.8397677169587139E-3</v>
      </c>
    </row>
    <row r="998" spans="1:7">
      <c r="A998" s="49">
        <v>18.756972822719437</v>
      </c>
      <c r="B998" s="49">
        <v>19.755321386841185</v>
      </c>
      <c r="C998" s="49">
        <v>18.63916769215307</v>
      </c>
      <c r="D998" s="49">
        <v>19.685436987352666</v>
      </c>
      <c r="E998" s="49">
        <v>654222907.1812923</v>
      </c>
      <c r="F998" s="49" t="s">
        <v>1085</v>
      </c>
      <c r="G998" s="25">
        <f t="shared" si="14"/>
        <v>-4.7165026878993932E-2</v>
      </c>
    </row>
    <row r="999" spans="1:7">
      <c r="A999" s="49">
        <v>19.869133123151066</v>
      </c>
      <c r="B999" s="49">
        <v>19.9120621114083</v>
      </c>
      <c r="C999" s="49">
        <v>19.064464180468935</v>
      </c>
      <c r="D999" s="49">
        <v>19.170289128265843</v>
      </c>
      <c r="E999" s="49">
        <v>642626867.06459796</v>
      </c>
      <c r="F999" s="49" t="s">
        <v>1086</v>
      </c>
      <c r="G999" s="25">
        <f t="shared" si="14"/>
        <v>3.6454535985834813E-2</v>
      </c>
    </row>
    <row r="1000" spans="1:7">
      <c r="A1000" s="49">
        <v>19.482772228835948</v>
      </c>
      <c r="B1000" s="49">
        <v>20.452168684598171</v>
      </c>
      <c r="C1000" s="49">
        <v>19.467797000374123</v>
      </c>
      <c r="D1000" s="49">
        <v>20.269470897363888</v>
      </c>
      <c r="E1000" s="49">
        <v>625746810.73394668</v>
      </c>
      <c r="F1000" s="49" t="s">
        <v>1087</v>
      </c>
      <c r="G1000" s="25">
        <f t="shared" si="14"/>
        <v>-3.8811998226863098E-2</v>
      </c>
    </row>
    <row r="1001" spans="1:7">
      <c r="A1001" s="49">
        <v>20.14966906966928</v>
      </c>
      <c r="B1001" s="49">
        <v>22.355021047814223</v>
      </c>
      <c r="C1001" s="49">
        <v>19.966971282434997</v>
      </c>
      <c r="D1001" s="49">
        <v>21.673298730803687</v>
      </c>
      <c r="E1001" s="49">
        <v>657294920.41416347</v>
      </c>
      <c r="F1001" s="49" t="s">
        <v>1088</v>
      </c>
      <c r="G1001" s="25">
        <f t="shared" si="14"/>
        <v>-7.0299850523857343E-2</v>
      </c>
    </row>
    <row r="1002" spans="1:7">
      <c r="A1002" s="49">
        <v>21.446523854463429</v>
      </c>
      <c r="B1002" s="49">
        <v>22.632931337608795</v>
      </c>
      <c r="C1002" s="49">
        <v>21.164989559381098</v>
      </c>
      <c r="D1002" s="49">
        <v>22.479914453185852</v>
      </c>
      <c r="E1002" s="49">
        <v>469750202.33795613</v>
      </c>
      <c r="F1002" s="49" t="s">
        <v>1089</v>
      </c>
      <c r="G1002" s="25">
        <f t="shared" si="14"/>
        <v>-4.5969507618654259E-2</v>
      </c>
    </row>
    <row r="1003" spans="1:7">
      <c r="A1003" s="49">
        <v>22.161341426374602</v>
      </c>
      <c r="B1003" s="49">
        <v>22.336052425095907</v>
      </c>
      <c r="C1003" s="49">
        <v>21.278801295690975</v>
      </c>
      <c r="D1003" s="49">
        <v>21.684130812724405</v>
      </c>
      <c r="E1003" s="49">
        <v>513628805.03674042</v>
      </c>
      <c r="F1003" s="49" t="s">
        <v>1090</v>
      </c>
      <c r="G1003" s="25">
        <f t="shared" si="14"/>
        <v>2.2007366482504676E-2</v>
      </c>
    </row>
    <row r="1004" spans="1:7">
      <c r="A1004" s="49">
        <v>21.747026772264078</v>
      </c>
      <c r="B1004" s="49">
        <v>22.051523084321211</v>
      </c>
      <c r="C1004" s="49">
        <v>21.044189383122365</v>
      </c>
      <c r="D1004" s="49">
        <v>21.164989559381098</v>
      </c>
      <c r="E1004" s="49">
        <v>526570206.93214536</v>
      </c>
      <c r="F1004" s="49" t="s">
        <v>1091</v>
      </c>
      <c r="G1004" s="25">
        <f t="shared" si="14"/>
        <v>2.750000000000008E-2</v>
      </c>
    </row>
    <row r="1005" spans="1:7">
      <c r="A1005" s="49">
        <v>21.222893776100161</v>
      </c>
      <c r="B1005" s="49">
        <v>22.739385245001099</v>
      </c>
      <c r="C1005" s="49">
        <v>21.128050662508592</v>
      </c>
      <c r="D1005" s="49">
        <v>22.467834435559983</v>
      </c>
      <c r="E1005" s="49">
        <v>570038231.58761799</v>
      </c>
      <c r="F1005" s="49" t="s">
        <v>1092</v>
      </c>
      <c r="G1005" s="25">
        <f t="shared" si="14"/>
        <v>-5.5409908909131222E-2</v>
      </c>
    </row>
    <row r="1006" spans="1:7">
      <c r="A1006" s="49">
        <v>22.166333169195212</v>
      </c>
      <c r="B1006" s="49">
        <v>22.462842692739372</v>
      </c>
      <c r="C1006" s="49">
        <v>21.419568443232144</v>
      </c>
      <c r="D1006" s="49">
        <v>21.692117601237381</v>
      </c>
      <c r="E1006" s="49">
        <v>517798551.10500073</v>
      </c>
      <c r="F1006" s="49" t="s">
        <v>1093</v>
      </c>
      <c r="G1006" s="25">
        <f t="shared" si="14"/>
        <v>2.1861192930780593E-2</v>
      </c>
    </row>
    <row r="1007" spans="1:7">
      <c r="A1007" s="49">
        <v>21.46848752287411</v>
      </c>
      <c r="B1007" s="49">
        <v>22.687471119666768</v>
      </c>
      <c r="C1007" s="49">
        <v>21.246894075581647</v>
      </c>
      <c r="D1007" s="49">
        <v>22.499781589611878</v>
      </c>
      <c r="E1007" s="49">
        <v>663353555.8621155</v>
      </c>
      <c r="F1007" s="49" t="s">
        <v>1094</v>
      </c>
      <c r="G1007" s="25">
        <f t="shared" si="14"/>
        <v>-4.5835736788392478E-2</v>
      </c>
    </row>
    <row r="1008" spans="1:7">
      <c r="A1008" s="49">
        <v>21.880805479856392</v>
      </c>
      <c r="B1008" s="49">
        <v>22.283080050283608</v>
      </c>
      <c r="C1008" s="49">
        <v>21.6242298988771</v>
      </c>
      <c r="D1008" s="49">
        <v>22.177315003400551</v>
      </c>
      <c r="E1008" s="49">
        <v>576158328.53529584</v>
      </c>
      <c r="F1008" s="49" t="s">
        <v>1095</v>
      </c>
      <c r="G1008" s="25">
        <f t="shared" si="14"/>
        <v>-1.3369946880345762E-2</v>
      </c>
    </row>
    <row r="1009" spans="1:7">
      <c r="A1009" s="49">
        <v>23.080820453930734</v>
      </c>
      <c r="B1009" s="49">
        <v>23.88349269948462</v>
      </c>
      <c r="C1009" s="49">
        <v>23.023924569261439</v>
      </c>
      <c r="D1009" s="49">
        <v>23.877502608099892</v>
      </c>
      <c r="E1009" s="49">
        <v>525648715.14755076</v>
      </c>
      <c r="F1009" s="49" t="s">
        <v>1096</v>
      </c>
      <c r="G1009" s="25">
        <f t="shared" si="14"/>
        <v>-3.336538863569849E-2</v>
      </c>
    </row>
    <row r="1010" spans="1:7">
      <c r="A1010" s="49">
        <v>24.168022040259324</v>
      </c>
      <c r="B1010" s="49">
        <v>24.681173202217902</v>
      </c>
      <c r="C1010" s="49">
        <v>23.439227588450443</v>
      </c>
      <c r="D1010" s="49">
        <v>24.400637255699689</v>
      </c>
      <c r="E1010" s="49">
        <v>558915372.89971209</v>
      </c>
      <c r="F1010" s="49" t="s">
        <v>1097</v>
      </c>
      <c r="G1010" s="25">
        <f t="shared" si="14"/>
        <v>-9.533161490937303E-3</v>
      </c>
    </row>
    <row r="1011" spans="1:7">
      <c r="A1011" s="49">
        <v>24.366693404519548</v>
      </c>
      <c r="B1011" s="49">
        <v>25.258218672280272</v>
      </c>
      <c r="C1011" s="49">
        <v>23.963360584614364</v>
      </c>
      <c r="D1011" s="49">
        <v>24.892823097811711</v>
      </c>
      <c r="E1011" s="49">
        <v>704996817.03770816</v>
      </c>
      <c r="F1011" s="49" t="s">
        <v>1098</v>
      </c>
      <c r="G1011" s="25">
        <f t="shared" si="14"/>
        <v>-2.1135798508061243E-2</v>
      </c>
    </row>
    <row r="1012" spans="1:7">
      <c r="A1012" s="49">
        <v>25.888176616241097</v>
      </c>
      <c r="B1012" s="49">
        <v>27.273884423242084</v>
      </c>
      <c r="C1012" s="49">
        <v>25.777359925623582</v>
      </c>
      <c r="D1012" s="49">
        <v>27.208991766574172</v>
      </c>
      <c r="E1012" s="49">
        <v>437336963.95315725</v>
      </c>
      <c r="F1012" s="49" t="s">
        <v>1099</v>
      </c>
      <c r="G1012" s="25">
        <f t="shared" si="14"/>
        <v>-4.8543333088720941E-2</v>
      </c>
    </row>
    <row r="1013" spans="1:7">
      <c r="A1013" s="49">
        <v>27.31481671437108</v>
      </c>
      <c r="B1013" s="49">
        <v>27.51248973006718</v>
      </c>
      <c r="C1013" s="49">
        <v>26.569050336972129</v>
      </c>
      <c r="D1013" s="49">
        <v>26.683860421846127</v>
      </c>
      <c r="E1013" s="49">
        <v>398365695.40205103</v>
      </c>
      <c r="F1013" s="49" t="s">
        <v>1100</v>
      </c>
      <c r="G1013" s="25">
        <f t="shared" si="14"/>
        <v>2.3645615085304161E-2</v>
      </c>
    </row>
    <row r="1014" spans="1:7">
      <c r="A1014" s="49">
        <v>26.667886844820185</v>
      </c>
      <c r="B1014" s="49">
        <v>27.450592119091631</v>
      </c>
      <c r="C1014" s="49">
        <v>26.223621733786004</v>
      </c>
      <c r="D1014" s="49">
        <v>27.329791942832902</v>
      </c>
      <c r="E1014" s="49">
        <v>518090703.57607335</v>
      </c>
      <c r="F1014" s="49" t="s">
        <v>1101</v>
      </c>
      <c r="G1014" s="25">
        <f t="shared" si="14"/>
        <v>-2.421917808219165E-2</v>
      </c>
    </row>
    <row r="1015" spans="1:7">
      <c r="A1015" s="49">
        <v>27.240938920626068</v>
      </c>
      <c r="B1015" s="49">
        <v>28.201350239311193</v>
      </c>
      <c r="C1015" s="49">
        <v>27.224965343600118</v>
      </c>
      <c r="D1015" s="49">
        <v>27.736119808430455</v>
      </c>
      <c r="E1015" s="49">
        <v>524306077.8681761</v>
      </c>
      <c r="F1015" s="49" t="s">
        <v>1102</v>
      </c>
      <c r="G1015" s="25">
        <f t="shared" si="14"/>
        <v>-1.7853286300482329E-2</v>
      </c>
    </row>
    <row r="1016" spans="1:7">
      <c r="A1016" s="49">
        <v>27.644271740531252</v>
      </c>
      <c r="B1016" s="49">
        <v>28.448441508931321</v>
      </c>
      <c r="C1016" s="49">
        <v>27.457580559040483</v>
      </c>
      <c r="D1016" s="49">
        <v>28.257257758902011</v>
      </c>
      <c r="E1016" s="49">
        <v>464253815.40737826</v>
      </c>
      <c r="F1016" s="49" t="s">
        <v>1103</v>
      </c>
      <c r="G1016" s="25">
        <f t="shared" si="14"/>
        <v>-2.1693046919163517E-2</v>
      </c>
    </row>
    <row r="1017" spans="1:7">
      <c r="A1017" s="49">
        <v>28.608676453472864</v>
      </c>
      <c r="B1017" s="49">
        <v>28.898197537068171</v>
      </c>
      <c r="C1017" s="49">
        <v>27.933792824126563</v>
      </c>
      <c r="D1017" s="49">
        <v>28.647112873191553</v>
      </c>
      <c r="E1017" s="49">
        <v>489793262.16606623</v>
      </c>
      <c r="F1017" s="49" t="s">
        <v>1104</v>
      </c>
      <c r="G1017" s="25">
        <f t="shared" si="14"/>
        <v>-1.3417205387792341E-3</v>
      </c>
    </row>
    <row r="1018" spans="1:7">
      <c r="A1018" s="49">
        <v>28.17239813095166</v>
      </c>
      <c r="B1018" s="49">
        <v>28.203346936439434</v>
      </c>
      <c r="C1018" s="49">
        <v>27.161071035496327</v>
      </c>
      <c r="D1018" s="49">
        <v>27.709663571481229</v>
      </c>
      <c r="E1018" s="49">
        <v>426197758.26923561</v>
      </c>
      <c r="F1018" s="49" t="s">
        <v>1105</v>
      </c>
      <c r="G1018" s="25">
        <f t="shared" si="14"/>
        <v>1.6699392913116284E-2</v>
      </c>
    </row>
    <row r="1019" spans="1:7">
      <c r="A1019" s="49">
        <v>27.646268437659501</v>
      </c>
      <c r="B1019" s="49">
        <v>28.31116858136458</v>
      </c>
      <c r="C1019" s="49">
        <v>27.225963692164239</v>
      </c>
      <c r="D1019" s="49">
        <v>27.839948059099118</v>
      </c>
      <c r="E1019" s="49">
        <v>579973969.82221556</v>
      </c>
      <c r="F1019" s="49" t="s">
        <v>1106</v>
      </c>
      <c r="G1019" s="25">
        <f t="shared" si="14"/>
        <v>-6.9568959334432856E-3</v>
      </c>
    </row>
    <row r="1020" spans="1:7">
      <c r="A1020" s="49">
        <v>28.103512080027258</v>
      </c>
      <c r="B1020" s="49">
        <v>28.273221352442317</v>
      </c>
      <c r="C1020" s="49">
        <v>25.864216250702174</v>
      </c>
      <c r="D1020" s="49">
        <v>26.122788528809711</v>
      </c>
      <c r="E1020" s="49">
        <v>878830472.17264545</v>
      </c>
      <c r="F1020" s="49" t="s">
        <v>1107</v>
      </c>
      <c r="G1020" s="25">
        <f t="shared" si="14"/>
        <v>7.5823587862110964E-2</v>
      </c>
    </row>
    <row r="1021" spans="1:7">
      <c r="A1021" s="49">
        <v>25.591667092696934</v>
      </c>
      <c r="B1021" s="49">
        <v>26.567552814125946</v>
      </c>
      <c r="C1021" s="49">
        <v>25.532774510899394</v>
      </c>
      <c r="D1021" s="49">
        <v>26.082854586244835</v>
      </c>
      <c r="E1021" s="49">
        <v>502950450.41880369</v>
      </c>
      <c r="F1021" s="49" t="s">
        <v>1108</v>
      </c>
      <c r="G1021" s="25">
        <f t="shared" si="14"/>
        <v>-1.8831815050141643E-2</v>
      </c>
    </row>
    <row r="1022" spans="1:7">
      <c r="A1022" s="49">
        <v>26.480197314765295</v>
      </c>
      <c r="B1022" s="49">
        <v>27.193018189548223</v>
      </c>
      <c r="C1022" s="49">
        <v>26.028943763782266</v>
      </c>
      <c r="D1022" s="49">
        <v>26.682862073282006</v>
      </c>
      <c r="E1022" s="49">
        <v>547911941.43821275</v>
      </c>
      <c r="F1022" s="49" t="s">
        <v>1109</v>
      </c>
      <c r="G1022" s="25">
        <f t="shared" si="14"/>
        <v>-7.5953155984583853E-3</v>
      </c>
    </row>
    <row r="1023" spans="1:7">
      <c r="A1023" s="49">
        <v>26.689850513230859</v>
      </c>
      <c r="B1023" s="49">
        <v>27.107150229548111</v>
      </c>
      <c r="C1023" s="49">
        <v>25.924117164549482</v>
      </c>
      <c r="D1023" s="49">
        <v>26.463225389175225</v>
      </c>
      <c r="E1023" s="49">
        <v>592705895.78154397</v>
      </c>
      <c r="F1023" s="49" t="s">
        <v>1110</v>
      </c>
      <c r="G1023" s="25">
        <f t="shared" ref="G1023:G1086" si="15">A1023/D1023-1</f>
        <v>8.5637756064433912E-3</v>
      </c>
    </row>
    <row r="1024" spans="1:7">
      <c r="A1024" s="49">
        <v>26.409314566712649</v>
      </c>
      <c r="B1024" s="49">
        <v>26.525113016665134</v>
      </c>
      <c r="C1024" s="49">
        <v>24.583335042933971</v>
      </c>
      <c r="D1024" s="49">
        <v>24.758046041655277</v>
      </c>
      <c r="E1024" s="49">
        <v>731927290.98860896</v>
      </c>
      <c r="F1024" s="49" t="s">
        <v>1111</v>
      </c>
      <c r="G1024" s="25">
        <f t="shared" si="15"/>
        <v>6.6696237751522114E-2</v>
      </c>
    </row>
    <row r="1025" spans="1:7">
      <c r="A1025" s="49">
        <v>24.725100539039257</v>
      </c>
      <c r="B1025" s="49">
        <v>24.800975029912511</v>
      </c>
      <c r="C1025" s="49">
        <v>23.866520773894553</v>
      </c>
      <c r="D1025" s="49">
        <v>24.080167366616607</v>
      </c>
      <c r="E1025" s="49">
        <v>472721859.83977252</v>
      </c>
      <c r="F1025" s="49" t="s">
        <v>1112</v>
      </c>
      <c r="G1025" s="25">
        <f t="shared" si="15"/>
        <v>2.6782752902155815E-2</v>
      </c>
    </row>
    <row r="1026" spans="1:7">
      <c r="A1026" s="49">
        <v>24.455546426726386</v>
      </c>
      <c r="B1026" s="49">
        <v>24.556379631702683</v>
      </c>
      <c r="C1026" s="49">
        <v>23.13373292782919</v>
      </c>
      <c r="D1026" s="49">
        <v>23.461191256861124</v>
      </c>
      <c r="E1026" s="49">
        <v>672532384.10840166</v>
      </c>
      <c r="F1026" s="49" t="s">
        <v>1113</v>
      </c>
      <c r="G1026" s="25">
        <f t="shared" si="15"/>
        <v>4.2382978723404241E-2</v>
      </c>
    </row>
    <row r="1027" spans="1:7">
      <c r="A1027" s="49">
        <v>22.935061563568958</v>
      </c>
      <c r="B1027" s="49">
        <v>22.999954220236873</v>
      </c>
      <c r="C1027" s="49">
        <v>21.286798067689592</v>
      </c>
      <c r="D1027" s="49">
        <v>21.482464402771814</v>
      </c>
      <c r="E1027" s="49">
        <v>492809533.34450883</v>
      </c>
      <c r="F1027" s="49" t="s">
        <v>1114</v>
      </c>
      <c r="G1027" s="25">
        <f t="shared" si="15"/>
        <v>6.7617808346500441E-2</v>
      </c>
    </row>
    <row r="1028" spans="1:7">
      <c r="A1028" s="49">
        <v>21.294774872716925</v>
      </c>
      <c r="B1028" s="49">
        <v>22.225235734478396</v>
      </c>
      <c r="C1028" s="49">
        <v>21.124067251737749</v>
      </c>
      <c r="D1028" s="49">
        <v>21.832884748778547</v>
      </c>
      <c r="E1028" s="49">
        <v>385991680.50990009</v>
      </c>
      <c r="F1028" s="49" t="s">
        <v>1115</v>
      </c>
      <c r="G1028" s="25">
        <f t="shared" si="15"/>
        <v>-2.4646760254241062E-2</v>
      </c>
    </row>
    <row r="1029" spans="1:7">
      <c r="A1029" s="49">
        <v>22.063503267090674</v>
      </c>
      <c r="B1029" s="49">
        <v>23.106777516597901</v>
      </c>
      <c r="C1029" s="49">
        <v>22.009592444628097</v>
      </c>
      <c r="D1029" s="49">
        <v>22.983980643210927</v>
      </c>
      <c r="E1029" s="49">
        <v>367815994.52996105</v>
      </c>
      <c r="F1029" s="49" t="s">
        <v>1116</v>
      </c>
      <c r="G1029" s="25">
        <f t="shared" si="15"/>
        <v>-4.0048649118234692E-2</v>
      </c>
    </row>
    <row r="1030" spans="1:7">
      <c r="A1030" s="49">
        <v>22.620581765870611</v>
      </c>
      <c r="B1030" s="49">
        <v>22.750367079206434</v>
      </c>
      <c r="C1030" s="49">
        <v>21.84586328011213</v>
      </c>
      <c r="D1030" s="49">
        <v>22.493791498227147</v>
      </c>
      <c r="E1030" s="49">
        <v>428773742.34175473</v>
      </c>
      <c r="F1030" s="49" t="s">
        <v>1117</v>
      </c>
      <c r="G1030" s="25">
        <f t="shared" si="15"/>
        <v>5.6366783542676213E-3</v>
      </c>
    </row>
    <row r="1031" spans="1:7">
      <c r="A1031" s="49">
        <v>22.975993854697951</v>
      </c>
      <c r="B1031" s="49">
        <v>23.181653658907031</v>
      </c>
      <c r="C1031" s="49">
        <v>22.210260506016571</v>
      </c>
      <c r="D1031" s="49">
        <v>22.350029304993615</v>
      </c>
      <c r="E1031" s="49">
        <v>493557027.78364438</v>
      </c>
      <c r="F1031" s="49" t="s">
        <v>1118</v>
      </c>
      <c r="G1031" s="25">
        <f t="shared" si="15"/>
        <v>2.8007325680082129E-2</v>
      </c>
    </row>
    <row r="1032" spans="1:7">
      <c r="A1032" s="49">
        <v>21.478471008515324</v>
      </c>
      <c r="B1032" s="49">
        <v>22.336042441610267</v>
      </c>
      <c r="C1032" s="49">
        <v>20.615897849114134</v>
      </c>
      <c r="D1032" s="49">
        <v>21.273809552870368</v>
      </c>
      <c r="E1032" s="49">
        <v>558389334.18049788</v>
      </c>
      <c r="F1032" s="49" t="s">
        <v>1119</v>
      </c>
      <c r="G1032" s="25">
        <f t="shared" si="15"/>
        <v>9.6203482096766102E-3</v>
      </c>
    </row>
    <row r="1033" spans="1:7">
      <c r="A1033" s="49">
        <v>21.316738541127606</v>
      </c>
      <c r="B1033" s="49">
        <v>22.994962477416266</v>
      </c>
      <c r="C1033" s="49">
        <v>21.294774872716925</v>
      </c>
      <c r="D1033" s="49">
        <v>22.779319187565967</v>
      </c>
      <c r="E1033" s="49">
        <v>451566623.32317615</v>
      </c>
      <c r="F1033" s="49" t="s">
        <v>1120</v>
      </c>
      <c r="G1033" s="25">
        <f t="shared" si="15"/>
        <v>-6.4206512687908002E-2</v>
      </c>
    </row>
    <row r="1034" spans="1:7">
      <c r="A1034" s="49">
        <v>22.898122666696455</v>
      </c>
      <c r="B1034" s="49">
        <v>23.640893998403037</v>
      </c>
      <c r="C1034" s="49">
        <v>22.444872418585181</v>
      </c>
      <c r="D1034" s="49">
        <v>23.345382823422998</v>
      </c>
      <c r="E1034" s="49">
        <v>432725318.11576355</v>
      </c>
      <c r="F1034" s="49" t="s">
        <v>1121</v>
      </c>
      <c r="G1034" s="25">
        <f t="shared" si="15"/>
        <v>-1.9158398905234297E-2</v>
      </c>
    </row>
    <row r="1035" spans="1:7">
      <c r="A1035" s="49">
        <v>23.674837849583174</v>
      </c>
      <c r="B1035" s="49">
        <v>24.285817187340044</v>
      </c>
      <c r="C1035" s="49">
        <v>23.430242451373349</v>
      </c>
      <c r="D1035" s="49">
        <v>24.221433688439834</v>
      </c>
      <c r="E1035" s="49">
        <v>365698968.39704996</v>
      </c>
      <c r="F1035" s="49" t="s">
        <v>1122</v>
      </c>
      <c r="G1035" s="25">
        <f t="shared" si="15"/>
        <v>-2.2566617892545882E-2</v>
      </c>
    </row>
    <row r="1036" spans="1:7">
      <c r="A1036" s="49">
        <v>24.180002223028779</v>
      </c>
      <c r="B1036" s="49">
        <v>24.368690101647793</v>
      </c>
      <c r="C1036" s="49">
        <v>23.376331628910773</v>
      </c>
      <c r="D1036" s="49">
        <v>23.716768489276291</v>
      </c>
      <c r="E1036" s="49">
        <v>390286382.93557227</v>
      </c>
      <c r="F1036" s="49" t="s">
        <v>1123</v>
      </c>
      <c r="G1036" s="25">
        <f t="shared" si="15"/>
        <v>1.9531907728573605E-2</v>
      </c>
    </row>
    <row r="1037" spans="1:7">
      <c r="A1037" s="49">
        <v>23.434235845629825</v>
      </c>
      <c r="B1037" s="49">
        <v>24.332596465004823</v>
      </c>
      <c r="C1037" s="49">
        <v>23.089864274869406</v>
      </c>
      <c r="D1037" s="49">
        <v>24.246753116931213</v>
      </c>
      <c r="E1037" s="49">
        <v>412807923.6799199</v>
      </c>
      <c r="F1037" s="49" t="s">
        <v>1124</v>
      </c>
      <c r="G1037" s="25">
        <f t="shared" si="15"/>
        <v>-3.3510353628916079E-2</v>
      </c>
    </row>
    <row r="1038" spans="1:7">
      <c r="A1038" s="49">
        <v>24.340581892732601</v>
      </c>
      <c r="B1038" s="49">
        <v>24.620071863204824</v>
      </c>
      <c r="C1038" s="49">
        <v>23.663826874588093</v>
      </c>
      <c r="D1038" s="49">
        <v>23.948297755605516</v>
      </c>
      <c r="E1038" s="49">
        <v>478189648.71686965</v>
      </c>
      <c r="F1038" s="49" t="s">
        <v>1125</v>
      </c>
      <c r="G1038" s="25">
        <f t="shared" si="15"/>
        <v>1.6380460153384568E-2</v>
      </c>
    </row>
    <row r="1039" spans="1:7">
      <c r="A1039" s="49">
        <v>24.112997202490934</v>
      </c>
      <c r="B1039" s="49">
        <v>24.172887910449266</v>
      </c>
      <c r="C1039" s="49">
        <v>23.33841071289649</v>
      </c>
      <c r="D1039" s="49">
        <v>23.677791391327048</v>
      </c>
      <c r="E1039" s="49">
        <v>529830614.49325871</v>
      </c>
      <c r="F1039" s="49" t="s">
        <v>1126</v>
      </c>
      <c r="G1039" s="25">
        <f t="shared" si="15"/>
        <v>1.8380338097044646E-2</v>
      </c>
    </row>
    <row r="1040" spans="1:7">
      <c r="A1040" s="49">
        <v>23.704742209908297</v>
      </c>
      <c r="B1040" s="49">
        <v>23.756647490138853</v>
      </c>
      <c r="C1040" s="49">
        <v>20.85194815415969</v>
      </c>
      <c r="D1040" s="49">
        <v>20.976720462406217</v>
      </c>
      <c r="E1040" s="49">
        <v>737143361.71671867</v>
      </c>
      <c r="F1040" s="49" t="s">
        <v>1127</v>
      </c>
      <c r="G1040" s="25">
        <f t="shared" si="15"/>
        <v>0.1300499643112063</v>
      </c>
    </row>
    <row r="1041" spans="1:7">
      <c r="A1041" s="49">
        <v>22.346221317720104</v>
      </c>
      <c r="B1041" s="49">
        <v>24.11099086377433</v>
      </c>
      <c r="C1041" s="49">
        <v>22.260377969646491</v>
      </c>
      <c r="D1041" s="49">
        <v>23.758643847070797</v>
      </c>
      <c r="E1041" s="49">
        <v>567544571.74972355</v>
      </c>
      <c r="F1041" s="49" t="s">
        <v>1128</v>
      </c>
      <c r="G1041" s="25">
        <f t="shared" si="15"/>
        <v>-5.9448785816317962E-2</v>
      </c>
    </row>
    <row r="1042" spans="1:7">
      <c r="A1042" s="49">
        <v>23.347394319090242</v>
      </c>
      <c r="B1042" s="49">
        <v>24.020156623370859</v>
      </c>
      <c r="C1042" s="49">
        <v>22.958104717361074</v>
      </c>
      <c r="D1042" s="49">
        <v>22.993040963670101</v>
      </c>
      <c r="E1042" s="49">
        <v>634578346.05062318</v>
      </c>
      <c r="F1042" s="49" t="s">
        <v>1129</v>
      </c>
      <c r="G1042" s="25">
        <f t="shared" si="15"/>
        <v>1.5411330583894101E-2</v>
      </c>
    </row>
    <row r="1043" spans="1:7">
      <c r="A1043" s="49">
        <v>23.59893529251524</v>
      </c>
      <c r="B1043" s="49">
        <v>24.940487150781905</v>
      </c>
      <c r="C1043" s="49">
        <v>23.057922563958297</v>
      </c>
      <c r="D1043" s="49">
        <v>24.622567309369753</v>
      </c>
      <c r="E1043" s="49">
        <v>762644092.16496336</v>
      </c>
      <c r="F1043" s="49" t="s">
        <v>1130</v>
      </c>
      <c r="G1043" s="25">
        <f t="shared" si="15"/>
        <v>-4.1572919833789412E-2</v>
      </c>
    </row>
    <row r="1044" spans="1:7">
      <c r="A1044" s="49">
        <v>24.462359665581211</v>
      </c>
      <c r="B1044" s="49">
        <v>25.738031745093711</v>
      </c>
      <c r="C1044" s="49">
        <v>24.120982630218712</v>
      </c>
      <c r="D1044" s="49">
        <v>25.583314082868018</v>
      </c>
      <c r="E1044" s="49">
        <v>812074300.97230613</v>
      </c>
      <c r="F1044" s="49" t="s">
        <v>1131</v>
      </c>
      <c r="G1044" s="25">
        <f t="shared" si="15"/>
        <v>-4.38158408115491E-2</v>
      </c>
    </row>
    <row r="1045" spans="1:7">
      <c r="A1045" s="49">
        <v>26.462709311389542</v>
      </c>
      <c r="B1045" s="49">
        <v>26.533579982473569</v>
      </c>
      <c r="C1045" s="49">
        <v>25.505456162522183</v>
      </c>
      <c r="D1045" s="49">
        <v>26.211168337964541</v>
      </c>
      <c r="E1045" s="49">
        <v>734013360.31265414</v>
      </c>
      <c r="F1045" s="49" t="s">
        <v>1132</v>
      </c>
      <c r="G1045" s="25">
        <f t="shared" si="15"/>
        <v>9.5967096995317469E-3</v>
      </c>
    </row>
    <row r="1046" spans="1:7">
      <c r="A1046" s="49">
        <v>26.446738455933986</v>
      </c>
      <c r="B1046" s="49">
        <v>26.496647379232595</v>
      </c>
      <c r="C1046" s="49">
        <v>24.738855100655517</v>
      </c>
      <c r="D1046" s="49">
        <v>24.903554547540935</v>
      </c>
      <c r="E1046" s="49">
        <v>703033399.25941646</v>
      </c>
      <c r="F1046" s="49" t="s">
        <v>1133</v>
      </c>
      <c r="G1046" s="25">
        <f t="shared" si="15"/>
        <v>6.1966411479417838E-2</v>
      </c>
    </row>
    <row r="1047" spans="1:7">
      <c r="A1047" s="49">
        <v>24.222796833747879</v>
      </c>
      <c r="B1047" s="49">
        <v>24.829689341058987</v>
      </c>
      <c r="C1047" s="49">
        <v>23.711729459170101</v>
      </c>
      <c r="D1047" s="49">
        <v>23.890403404579128</v>
      </c>
      <c r="E1047" s="49">
        <v>441228142.07480311</v>
      </c>
      <c r="F1047" s="49" t="s">
        <v>1134</v>
      </c>
      <c r="G1047" s="25">
        <f t="shared" si="15"/>
        <v>1.3913261469039817E-2</v>
      </c>
    </row>
    <row r="1048" spans="1:7">
      <c r="A1048" s="49">
        <v>23.905376081568715</v>
      </c>
      <c r="B1048" s="49">
        <v>26.104363242105514</v>
      </c>
      <c r="C1048" s="49">
        <v>23.729696671557601</v>
      </c>
      <c r="D1048" s="49">
        <v>25.868793124136072</v>
      </c>
      <c r="E1048" s="49">
        <v>606576880.42816412</v>
      </c>
      <c r="F1048" s="49" t="s">
        <v>1135</v>
      </c>
      <c r="G1048" s="25">
        <f t="shared" si="15"/>
        <v>-7.5899058496681548E-2</v>
      </c>
    </row>
    <row r="1049" spans="1:7">
      <c r="A1049" s="49">
        <v>25.776960705266628</v>
      </c>
      <c r="B1049" s="49">
        <v>26.875945214517383</v>
      </c>
      <c r="C1049" s="49">
        <v>25.553368728888849</v>
      </c>
      <c r="D1049" s="49">
        <v>25.947649222947874</v>
      </c>
      <c r="E1049" s="49">
        <v>514136236.64997232</v>
      </c>
      <c r="F1049" s="49" t="s">
        <v>1136</v>
      </c>
      <c r="G1049" s="25">
        <f t="shared" si="15"/>
        <v>-6.5781881130985154E-3</v>
      </c>
    </row>
    <row r="1050" spans="1:7">
      <c r="A1050" s="49">
        <v>26.656355933788152</v>
      </c>
      <c r="B1050" s="49">
        <v>26.676319503107596</v>
      </c>
      <c r="C1050" s="49">
        <v>25.306818647793712</v>
      </c>
      <c r="D1050" s="49">
        <v>25.57532865514024</v>
      </c>
      <c r="E1050" s="49">
        <v>525238399.61759984</v>
      </c>
      <c r="F1050" s="49" t="s">
        <v>1137</v>
      </c>
      <c r="G1050" s="25">
        <f t="shared" si="15"/>
        <v>4.2268363125439024E-2</v>
      </c>
    </row>
    <row r="1051" spans="1:7">
      <c r="A1051" s="49">
        <v>25.062264923630519</v>
      </c>
      <c r="B1051" s="49">
        <v>25.184042696479128</v>
      </c>
      <c r="C1051" s="49">
        <v>23.936319614013854</v>
      </c>
      <c r="D1051" s="49">
        <v>24.314629252617323</v>
      </c>
      <c r="E1051" s="49">
        <v>411107486.27532536</v>
      </c>
      <c r="F1051" s="49" t="s">
        <v>1138</v>
      </c>
      <c r="G1051" s="25">
        <f t="shared" si="15"/>
        <v>3.0748388685906791E-2</v>
      </c>
    </row>
    <row r="1052" spans="1:7">
      <c r="A1052" s="49">
        <v>24.682957106561073</v>
      </c>
      <c r="B1052" s="49">
        <v>25.136130130112459</v>
      </c>
      <c r="C1052" s="49">
        <v>24.157915233459686</v>
      </c>
      <c r="D1052" s="49">
        <v>24.327605572674962</v>
      </c>
      <c r="E1052" s="49">
        <v>377555229.69826144</v>
      </c>
      <c r="F1052" s="49" t="s">
        <v>1139</v>
      </c>
      <c r="G1052" s="25">
        <f t="shared" si="15"/>
        <v>1.4606925980633623E-2</v>
      </c>
    </row>
    <row r="1053" spans="1:7">
      <c r="A1053" s="49">
        <v>24.274702113978435</v>
      </c>
      <c r="B1053" s="49">
        <v>24.590126509225655</v>
      </c>
      <c r="C1053" s="49">
        <v>23.588953507855518</v>
      </c>
      <c r="D1053" s="49">
        <v>23.928334186286072</v>
      </c>
      <c r="E1053" s="49">
        <v>355476011.65128207</v>
      </c>
      <c r="F1053" s="49" t="s">
        <v>1140</v>
      </c>
      <c r="G1053" s="25">
        <f t="shared" si="15"/>
        <v>1.4475221091273305E-2</v>
      </c>
    </row>
    <row r="1054" spans="1:7">
      <c r="A1054" s="49">
        <v>23.904377903102738</v>
      </c>
      <c r="B1054" s="49">
        <v>25.031321391185379</v>
      </c>
      <c r="C1054" s="49">
        <v>23.736683920819409</v>
      </c>
      <c r="D1054" s="49">
        <v>24.413448920748575</v>
      </c>
      <c r="E1054" s="49">
        <v>410926296.23149502</v>
      </c>
      <c r="F1054" s="49" t="s">
        <v>1141</v>
      </c>
      <c r="G1054" s="25">
        <f t="shared" si="15"/>
        <v>-2.0852072941369038E-2</v>
      </c>
    </row>
    <row r="1055" spans="1:7">
      <c r="A1055" s="49">
        <v>25.196020838070794</v>
      </c>
      <c r="B1055" s="49">
        <v>25.769973456004823</v>
      </c>
      <c r="C1055" s="49">
        <v>24.508285856800594</v>
      </c>
      <c r="D1055" s="49">
        <v>25.747015351287459</v>
      </c>
      <c r="E1055" s="49">
        <v>544411073.29510689</v>
      </c>
      <c r="F1055" s="49" t="s">
        <v>1142</v>
      </c>
      <c r="G1055" s="25">
        <f t="shared" si="15"/>
        <v>-2.1400325657129571E-2</v>
      </c>
    </row>
    <row r="1056" spans="1:7">
      <c r="A1056" s="49">
        <v>24.593121044623572</v>
      </c>
      <c r="B1056" s="49">
        <v>25.099197526871489</v>
      </c>
      <c r="C1056" s="49">
        <v>23.846493533861011</v>
      </c>
      <c r="D1056" s="49">
        <v>25.058272209766628</v>
      </c>
      <c r="E1056" s="49">
        <v>519872134.7836026</v>
      </c>
      <c r="F1056" s="49" t="s">
        <v>1143</v>
      </c>
      <c r="G1056" s="25">
        <f t="shared" si="15"/>
        <v>-1.8562778840025551E-2</v>
      </c>
    </row>
    <row r="1057" spans="1:7">
      <c r="A1057" s="49">
        <v>24.441397917795797</v>
      </c>
      <c r="B1057" s="49">
        <v>24.464356022513158</v>
      </c>
      <c r="C1057" s="49">
        <v>23.010009997591631</v>
      </c>
      <c r="D1057" s="49">
        <v>23.139773198168019</v>
      </c>
      <c r="E1057" s="49">
        <v>565710140.27036226</v>
      </c>
      <c r="F1057" s="49" t="s">
        <v>1144</v>
      </c>
      <c r="G1057" s="25">
        <f t="shared" si="15"/>
        <v>5.6250539211457173E-2</v>
      </c>
    </row>
    <row r="1058" spans="1:7">
      <c r="A1058" s="49">
        <v>22.798396162805521</v>
      </c>
      <c r="B1058" s="49">
        <v>22.816363375193021</v>
      </c>
      <c r="C1058" s="49">
        <v>21.25720861134441</v>
      </c>
      <c r="D1058" s="49">
        <v>21.972054119750418</v>
      </c>
      <c r="E1058" s="49">
        <v>544766560.82774401</v>
      </c>
      <c r="F1058" s="49" t="s">
        <v>1145</v>
      </c>
      <c r="G1058" s="25">
        <f t="shared" si="15"/>
        <v>3.7608775153721963E-2</v>
      </c>
    </row>
    <row r="1059" spans="1:7">
      <c r="A1059" s="49">
        <v>21.90402825729441</v>
      </c>
      <c r="B1059" s="49">
        <v>23.951292291003433</v>
      </c>
      <c r="C1059" s="49">
        <v>21.635518249947882</v>
      </c>
      <c r="D1059" s="49">
        <v>23.525070086033296</v>
      </c>
      <c r="E1059" s="49">
        <v>574399007.33738768</v>
      </c>
      <c r="F1059" s="49" t="s">
        <v>1146</v>
      </c>
      <c r="G1059" s="25">
        <f t="shared" si="15"/>
        <v>-6.890699253224708E-2</v>
      </c>
    </row>
    <row r="1060" spans="1:7">
      <c r="A1060" s="49">
        <v>22.730520027119407</v>
      </c>
      <c r="B1060" s="49">
        <v>24.013179355893712</v>
      </c>
      <c r="C1060" s="49">
        <v>22.259379791180521</v>
      </c>
      <c r="D1060" s="49">
        <v>23.19766754919441</v>
      </c>
      <c r="E1060" s="49">
        <v>757338247.38815629</v>
      </c>
      <c r="F1060" s="49" t="s">
        <v>1147</v>
      </c>
      <c r="G1060" s="25">
        <f t="shared" si="15"/>
        <v>-2.0137693631669729E-2</v>
      </c>
    </row>
    <row r="1061" spans="1:7">
      <c r="A1061" s="49">
        <v>22.283336074363856</v>
      </c>
      <c r="B1061" s="49">
        <v>22.90120854480066</v>
      </c>
      <c r="C1061" s="49">
        <v>21.959926251388854</v>
      </c>
      <c r="D1061" s="49">
        <v>22.504931693809688</v>
      </c>
      <c r="E1061" s="49">
        <v>665829190.52723408</v>
      </c>
      <c r="F1061" s="49" t="s">
        <v>1148</v>
      </c>
      <c r="G1061" s="25">
        <f t="shared" si="15"/>
        <v>-9.8465359709039024E-3</v>
      </c>
    </row>
    <row r="1062" spans="1:7">
      <c r="A1062" s="49">
        <v>23.329427106702742</v>
      </c>
      <c r="B1062" s="49">
        <v>23.33741253443052</v>
      </c>
      <c r="C1062" s="49">
        <v>20.849951797227746</v>
      </c>
      <c r="D1062" s="49">
        <v>22.289325145159687</v>
      </c>
      <c r="E1062" s="49">
        <v>917481854.41769195</v>
      </c>
      <c r="F1062" s="49" t="s">
        <v>1149</v>
      </c>
      <c r="G1062" s="25">
        <f t="shared" si="15"/>
        <v>4.6663681146439817E-2</v>
      </c>
    </row>
    <row r="1063" spans="1:7">
      <c r="A1063" s="49">
        <v>23.331423463634685</v>
      </c>
      <c r="B1063" s="49">
        <v>24.777784060828431</v>
      </c>
      <c r="C1063" s="49">
        <v>23.220625653911767</v>
      </c>
      <c r="D1063" s="49">
        <v>23.464181199608991</v>
      </c>
      <c r="E1063" s="49">
        <v>720269836.01548529</v>
      </c>
      <c r="F1063" s="49" t="s">
        <v>1150</v>
      </c>
      <c r="G1063" s="25">
        <f t="shared" si="15"/>
        <v>-5.6578891394052366E-3</v>
      </c>
    </row>
    <row r="1064" spans="1:7">
      <c r="A1064" s="49">
        <v>24.10600995322913</v>
      </c>
      <c r="B1064" s="49">
        <v>25.532446908242072</v>
      </c>
      <c r="C1064" s="49">
        <v>24.034141103679129</v>
      </c>
      <c r="D1064" s="49">
        <v>25.257907902961069</v>
      </c>
      <c r="E1064" s="49">
        <v>435974873.06654751</v>
      </c>
      <c r="F1064" s="49" t="s">
        <v>1151</v>
      </c>
      <c r="G1064" s="25">
        <f t="shared" si="15"/>
        <v>-4.5605437875434585E-2</v>
      </c>
    </row>
    <row r="1065" spans="1:7">
      <c r="A1065" s="49">
        <v>25.021339606525654</v>
      </c>
      <c r="B1065" s="49">
        <v>26.494820712639864</v>
      </c>
      <c r="C1065" s="49">
        <v>25.006366929536071</v>
      </c>
      <c r="D1065" s="49">
        <v>26.031496214089543</v>
      </c>
      <c r="E1065" s="49">
        <v>489205614.67370886</v>
      </c>
      <c r="F1065" s="49" t="s">
        <v>1152</v>
      </c>
      <c r="G1065" s="25">
        <f t="shared" si="15"/>
        <v>-3.8805168909850862E-2</v>
      </c>
    </row>
    <row r="1066" spans="1:7">
      <c r="A1066" s="49">
        <v>25.85581680407843</v>
      </c>
      <c r="B1066" s="49">
        <v>26.589477976568013</v>
      </c>
      <c r="C1066" s="49">
        <v>25.723059068104124</v>
      </c>
      <c r="D1066" s="49">
        <v>26.212166516430518</v>
      </c>
      <c r="E1066" s="49">
        <v>426082293.39605516</v>
      </c>
      <c r="F1066" s="49" t="s">
        <v>1153</v>
      </c>
      <c r="G1066" s="25">
        <f t="shared" si="15"/>
        <v>-1.3594821020563752E-2</v>
      </c>
    </row>
    <row r="1067" spans="1:7">
      <c r="A1067" s="49">
        <v>26.892924230223571</v>
      </c>
      <c r="B1067" s="49">
        <v>27.147359921199886</v>
      </c>
      <c r="C1067" s="49">
        <v>26.162267574916562</v>
      </c>
      <c r="D1067" s="49">
        <v>26.252093655069402</v>
      </c>
      <c r="E1067" s="49">
        <v>396554687.85780841</v>
      </c>
      <c r="F1067" s="49" t="s">
        <v>1154</v>
      </c>
      <c r="G1067" s="25">
        <f t="shared" si="15"/>
        <v>2.4410646387832857E-2</v>
      </c>
    </row>
    <row r="1068" spans="1:7">
      <c r="A1068" s="49">
        <v>26.526592733211764</v>
      </c>
      <c r="B1068" s="49">
        <v>28.428122710888847</v>
      </c>
      <c r="C1068" s="49">
        <v>26.449732991331906</v>
      </c>
      <c r="D1068" s="49">
        <v>28.327306685825651</v>
      </c>
      <c r="E1068" s="49">
        <v>539851447.78208101</v>
      </c>
      <c r="F1068" s="49" t="s">
        <v>1155</v>
      </c>
      <c r="G1068" s="25">
        <f t="shared" si="15"/>
        <v>-6.3568131364741598E-2</v>
      </c>
    </row>
    <row r="1069" spans="1:7">
      <c r="A1069" s="49">
        <v>27.947998868756208</v>
      </c>
      <c r="B1069" s="49">
        <v>28.542913234475648</v>
      </c>
      <c r="C1069" s="49">
        <v>27.557711088561067</v>
      </c>
      <c r="D1069" s="49">
        <v>28.015375915209333</v>
      </c>
      <c r="E1069" s="49">
        <v>384113155.18268293</v>
      </c>
      <c r="F1069" s="49" t="s">
        <v>1156</v>
      </c>
      <c r="G1069" s="25">
        <f t="shared" si="15"/>
        <v>-2.4050024050024099E-3</v>
      </c>
    </row>
    <row r="1070" spans="1:7">
      <c r="A1070" s="49">
        <v>27.766330387949264</v>
      </c>
      <c r="B1070" s="49">
        <v>28.013878647510371</v>
      </c>
      <c r="C1070" s="49">
        <v>26.790111848228428</v>
      </c>
      <c r="D1070" s="49">
        <v>27.272731136526001</v>
      </c>
      <c r="E1070" s="49">
        <v>404826695.60139143</v>
      </c>
      <c r="F1070" s="49" t="s">
        <v>1157</v>
      </c>
      <c r="G1070" s="25">
        <f t="shared" si="15"/>
        <v>1.8098636654771738E-2</v>
      </c>
    </row>
    <row r="1071" spans="1:7">
      <c r="A1071" s="49">
        <v>27.350089967638844</v>
      </c>
      <c r="B1071" s="49">
        <v>27.418964281790927</v>
      </c>
      <c r="C1071" s="49">
        <v>25.597128872837072</v>
      </c>
      <c r="D1071" s="49">
        <v>26.532581804007599</v>
      </c>
      <c r="E1071" s="49">
        <v>595766158.32999742</v>
      </c>
      <c r="F1071" s="49" t="s">
        <v>1158</v>
      </c>
      <c r="G1071" s="25">
        <f t="shared" si="15"/>
        <v>3.0811481885557157E-2</v>
      </c>
    </row>
    <row r="1072" spans="1:7">
      <c r="A1072" s="49">
        <v>27.197368662345099</v>
      </c>
      <c r="B1072" s="49">
        <v>28.370228359862459</v>
      </c>
      <c r="C1072" s="49">
        <v>27.007714753810372</v>
      </c>
      <c r="D1072" s="49">
        <v>28.089740210924266</v>
      </c>
      <c r="E1072" s="49">
        <v>410686589.59770489</v>
      </c>
      <c r="F1072" s="49" t="s">
        <v>1159</v>
      </c>
      <c r="G1072" s="25">
        <f t="shared" si="15"/>
        <v>-3.1768593866600359E-2</v>
      </c>
    </row>
    <row r="1073" spans="1:7">
      <c r="A1073" s="49">
        <v>28.126672814165232</v>
      </c>
      <c r="B1073" s="49">
        <v>28.386189233533354</v>
      </c>
      <c r="C1073" s="49">
        <v>27.015700181538151</v>
      </c>
      <c r="D1073" s="49">
        <v>27.589652799472177</v>
      </c>
      <c r="E1073" s="49">
        <v>455015195.66205513</v>
      </c>
      <c r="F1073" s="49" t="s">
        <v>1160</v>
      </c>
      <c r="G1073" s="25">
        <f t="shared" si="15"/>
        <v>1.9464544138929174E-2</v>
      </c>
    </row>
    <row r="1074" spans="1:7">
      <c r="A1074" s="49">
        <v>27.55371837469718</v>
      </c>
      <c r="B1074" s="49">
        <v>29.362417755038845</v>
      </c>
      <c r="C1074" s="49">
        <v>27.48284770361315</v>
      </c>
      <c r="D1074" s="49">
        <v>28.896268411429816</v>
      </c>
      <c r="E1074" s="49">
        <v>498972775.89021957</v>
      </c>
      <c r="F1074" s="49" t="s">
        <v>1161</v>
      </c>
      <c r="G1074" s="25">
        <f t="shared" si="15"/>
        <v>-4.6461017651732273E-2</v>
      </c>
    </row>
    <row r="1075" spans="1:7">
      <c r="A1075" s="49">
        <v>29.23664726832634</v>
      </c>
      <c r="B1075" s="49">
        <v>30.412501501241618</v>
      </c>
      <c r="C1075" s="49">
        <v>28.297361331846485</v>
      </c>
      <c r="D1075" s="49">
        <v>30.221849414240921</v>
      </c>
      <c r="E1075" s="49">
        <v>528116381.96036851</v>
      </c>
      <c r="F1075" s="49" t="s">
        <v>1162</v>
      </c>
      <c r="G1075" s="25">
        <f t="shared" si="15"/>
        <v>-3.2599002543184596E-2</v>
      </c>
    </row>
    <row r="1076" spans="1:7">
      <c r="A1076" s="49">
        <v>30.066133573549255</v>
      </c>
      <c r="B1076" s="49">
        <v>30.655058868472871</v>
      </c>
      <c r="C1076" s="49">
        <v>29.730745608982595</v>
      </c>
      <c r="D1076" s="49">
        <v>29.760690962961757</v>
      </c>
      <c r="E1076" s="49">
        <v>393119019.6712985</v>
      </c>
      <c r="F1076" s="49" t="s">
        <v>1163</v>
      </c>
      <c r="G1076" s="25">
        <f t="shared" si="15"/>
        <v>1.0263290290122296E-2</v>
      </c>
    </row>
    <row r="1077" spans="1:7">
      <c r="A1077" s="49">
        <v>29.357426862708984</v>
      </c>
      <c r="B1077" s="49">
        <v>29.975299333145788</v>
      </c>
      <c r="C1077" s="49">
        <v>29.277143368690837</v>
      </c>
      <c r="D1077" s="49">
        <v>29.619947799259677</v>
      </c>
      <c r="E1077" s="49">
        <v>267016289.25685272</v>
      </c>
      <c r="F1077" s="49" t="s">
        <v>1164</v>
      </c>
      <c r="G1077" s="25">
        <f t="shared" si="15"/>
        <v>-8.8629776909078251E-3</v>
      </c>
    </row>
    <row r="1078" spans="1:7">
      <c r="A1078" s="49">
        <v>29.53210809425412</v>
      </c>
      <c r="B1078" s="49">
        <v>30.401521538115922</v>
      </c>
      <c r="C1078" s="49">
        <v>29.486191884819394</v>
      </c>
      <c r="D1078" s="49">
        <v>29.772669104553422</v>
      </c>
      <c r="E1078" s="49">
        <v>309427853.36404532</v>
      </c>
      <c r="F1078" s="49" t="s">
        <v>1165</v>
      </c>
      <c r="G1078" s="25">
        <f t="shared" si="15"/>
        <v>-8.0799275823917327E-3</v>
      </c>
    </row>
    <row r="1079" spans="1:7">
      <c r="A1079" s="49">
        <v>29.946352157632592</v>
      </c>
      <c r="B1079" s="49">
        <v>30.4923557785194</v>
      </c>
      <c r="C1079" s="49">
        <v>29.312508831740235</v>
      </c>
      <c r="D1079" s="49">
        <v>30.217357611144052</v>
      </c>
      <c r="E1079" s="49">
        <v>343765460.48384655</v>
      </c>
      <c r="F1079" s="49" t="s">
        <v>1166</v>
      </c>
      <c r="G1079" s="25">
        <f t="shared" si="15"/>
        <v>-8.9685357998183779E-3</v>
      </c>
    </row>
    <row r="1080" spans="1:7">
      <c r="A1080" s="49">
        <v>30.266767445209677</v>
      </c>
      <c r="B1080" s="49">
        <v>31.272931338909675</v>
      </c>
      <c r="C1080" s="49">
        <v>29.957142466849753</v>
      </c>
      <c r="D1080" s="49">
        <v>31.254964126522175</v>
      </c>
      <c r="E1080" s="49">
        <v>421358729.26325488</v>
      </c>
      <c r="F1080" s="49" t="s">
        <v>1167</v>
      </c>
      <c r="G1080" s="25">
        <f t="shared" si="15"/>
        <v>-3.161727133367398E-2</v>
      </c>
    </row>
    <row r="1081" spans="1:7">
      <c r="A1081" s="49">
        <v>30.888632629510369</v>
      </c>
      <c r="B1081" s="49">
        <v>31.029874882445437</v>
      </c>
      <c r="C1081" s="49">
        <v>29.586009731416617</v>
      </c>
      <c r="D1081" s="49">
        <v>29.605973300736068</v>
      </c>
      <c r="E1081" s="49">
        <v>404422539.41714925</v>
      </c>
      <c r="F1081" s="49" t="s">
        <v>1168</v>
      </c>
      <c r="G1081" s="25">
        <f t="shared" si="15"/>
        <v>4.3324342548887396E-2</v>
      </c>
    </row>
    <row r="1082" spans="1:7">
      <c r="A1082" s="49">
        <v>29.586009731416617</v>
      </c>
      <c r="B1082" s="49">
        <v>30.004246508658976</v>
      </c>
      <c r="C1082" s="49">
        <v>29.377400413813085</v>
      </c>
      <c r="D1082" s="49">
        <v>29.700800255003426</v>
      </c>
      <c r="E1082" s="49">
        <v>343647705.99002916</v>
      </c>
      <c r="F1082" s="49" t="s">
        <v>1169</v>
      </c>
      <c r="G1082" s="25">
        <f t="shared" si="15"/>
        <v>-3.864896656024297E-3</v>
      </c>
    </row>
    <row r="1083" spans="1:7">
      <c r="A1083" s="49">
        <v>29.346446899583288</v>
      </c>
      <c r="B1083" s="49">
        <v>29.501164561808981</v>
      </c>
      <c r="C1083" s="49">
        <v>28.397179178443707</v>
      </c>
      <c r="D1083" s="49">
        <v>28.838374060403428</v>
      </c>
      <c r="E1083" s="49">
        <v>395905535.40452552</v>
      </c>
      <c r="F1083" s="49" t="s">
        <v>1170</v>
      </c>
      <c r="G1083" s="25">
        <f t="shared" si="15"/>
        <v>1.7617943304143235E-2</v>
      </c>
    </row>
    <row r="1084" spans="1:7">
      <c r="A1084" s="49">
        <v>29.022038898142316</v>
      </c>
      <c r="B1084" s="49">
        <v>29.066956929111065</v>
      </c>
      <c r="C1084" s="49">
        <v>27.351088146104818</v>
      </c>
      <c r="D1084" s="49">
        <v>28.32231579349579</v>
      </c>
      <c r="E1084" s="49">
        <v>525341868.08894116</v>
      </c>
      <c r="F1084" s="49" t="s">
        <v>1171</v>
      </c>
      <c r="G1084" s="25">
        <f t="shared" si="15"/>
        <v>2.4705716501022046E-2</v>
      </c>
    </row>
    <row r="1085" spans="1:7">
      <c r="A1085" s="49">
        <v>27.668508898283985</v>
      </c>
      <c r="B1085" s="49">
        <v>28.092734746322179</v>
      </c>
      <c r="C1085" s="49">
        <v>27.095554458815929</v>
      </c>
      <c r="D1085" s="49">
        <v>27.255263013371486</v>
      </c>
      <c r="E1085" s="49">
        <v>462689564.78655714</v>
      </c>
      <c r="F1085" s="49" t="s">
        <v>1172</v>
      </c>
      <c r="G1085" s="25">
        <f t="shared" si="15"/>
        <v>1.5162058231093178E-2</v>
      </c>
    </row>
    <row r="1086" spans="1:7">
      <c r="A1086" s="49">
        <v>27.750359532493704</v>
      </c>
      <c r="B1086" s="49">
        <v>28.869317592848567</v>
      </c>
      <c r="C1086" s="49">
        <v>27.709434215388846</v>
      </c>
      <c r="D1086" s="49">
        <v>27.934024370232596</v>
      </c>
      <c r="E1086" s="49">
        <v>717930124.15070832</v>
      </c>
      <c r="F1086" s="49" t="s">
        <v>1173</v>
      </c>
      <c r="G1086" s="25">
        <f t="shared" si="15"/>
        <v>-6.5749508665358114E-3</v>
      </c>
    </row>
    <row r="1087" spans="1:7">
      <c r="A1087" s="49">
        <v>28.335292113553429</v>
      </c>
      <c r="B1087" s="49">
        <v>31.103240999694396</v>
      </c>
      <c r="C1087" s="49">
        <v>28.041827644557596</v>
      </c>
      <c r="D1087" s="49">
        <v>31.095255571966614</v>
      </c>
      <c r="E1087" s="49">
        <v>708656792.46148551</v>
      </c>
      <c r="F1087" s="49" t="s">
        <v>1174</v>
      </c>
      <c r="G1087" s="25">
        <f t="shared" ref="G1087:G1150" si="16">A1087/D1087-1</f>
        <v>-8.8758346173600233E-2</v>
      </c>
    </row>
    <row r="1088" spans="1:7">
      <c r="A1088" s="49">
        <v>30.403517895047866</v>
      </c>
      <c r="B1088" s="49">
        <v>30.444443212152731</v>
      </c>
      <c r="C1088" s="49">
        <v>27.787292135734678</v>
      </c>
      <c r="D1088" s="49">
        <v>28.348268433611068</v>
      </c>
      <c r="E1088" s="49">
        <v>699571172.69591916</v>
      </c>
      <c r="F1088" s="49" t="s">
        <v>1175</v>
      </c>
      <c r="G1088" s="25">
        <f t="shared" si="16"/>
        <v>7.2499999999999787E-2</v>
      </c>
    </row>
    <row r="1089" spans="1:7">
      <c r="A1089" s="49">
        <v>28.285383190254816</v>
      </c>
      <c r="B1089" s="49">
        <v>28.625762047151341</v>
      </c>
      <c r="C1089" s="49">
        <v>27.200363197743012</v>
      </c>
      <c r="D1089" s="49">
        <v>27.648545328964541</v>
      </c>
      <c r="E1089" s="49">
        <v>668252614.87715125</v>
      </c>
      <c r="F1089" s="49" t="s">
        <v>1176</v>
      </c>
      <c r="G1089" s="25">
        <f t="shared" si="16"/>
        <v>2.3033322502617359E-2</v>
      </c>
    </row>
    <row r="1090" spans="1:7">
      <c r="A1090" s="49">
        <v>28.109703780243706</v>
      </c>
      <c r="B1090" s="49">
        <v>30.238818448162451</v>
      </c>
      <c r="C1090" s="49">
        <v>28.064785749274957</v>
      </c>
      <c r="D1090" s="49">
        <v>30.193900417193703</v>
      </c>
      <c r="E1090" s="49">
        <v>599435552.25589478</v>
      </c>
      <c r="F1090" s="49" t="s">
        <v>1177</v>
      </c>
      <c r="G1090" s="25">
        <f t="shared" si="16"/>
        <v>-6.9027075275215677E-2</v>
      </c>
    </row>
    <row r="1091" spans="1:7">
      <c r="A1091" s="49">
        <v>30.14299331542912</v>
      </c>
      <c r="B1091" s="49">
        <v>31.247976877260367</v>
      </c>
      <c r="C1091" s="49">
        <v>29.806607172396482</v>
      </c>
      <c r="D1091" s="49">
        <v>31.093259215034674</v>
      </c>
      <c r="E1091" s="49">
        <v>489717126.40974164</v>
      </c>
      <c r="F1091" s="49" t="s">
        <v>1178</v>
      </c>
      <c r="G1091" s="25">
        <f t="shared" si="16"/>
        <v>-3.0561797752808983E-2</v>
      </c>
    </row>
    <row r="1092" spans="1:7">
      <c r="A1092" s="49">
        <v>30.434461427493005</v>
      </c>
      <c r="B1092" s="49">
        <v>32.146337496635368</v>
      </c>
      <c r="C1092" s="49">
        <v>30.372574362602727</v>
      </c>
      <c r="D1092" s="49">
        <v>31.676195439162449</v>
      </c>
      <c r="E1092" s="49">
        <v>489398616.23261583</v>
      </c>
      <c r="F1092" s="49" t="s">
        <v>1179</v>
      </c>
      <c r="G1092" s="25">
        <f t="shared" si="16"/>
        <v>-3.920085712485033E-2</v>
      </c>
    </row>
    <row r="1093" spans="1:7">
      <c r="A1093" s="49">
        <v>31.768027858031893</v>
      </c>
      <c r="B1093" s="49">
        <v>32.231182666243001</v>
      </c>
      <c r="C1093" s="49">
        <v>31.363775561097807</v>
      </c>
      <c r="D1093" s="49">
        <v>31.940712732645089</v>
      </c>
      <c r="E1093" s="49">
        <v>476419263.90068471</v>
      </c>
      <c r="F1093" s="49" t="s">
        <v>1180</v>
      </c>
      <c r="G1093" s="25">
        <f t="shared" si="16"/>
        <v>-5.40641895059224E-3</v>
      </c>
    </row>
    <row r="1094" spans="1:7">
      <c r="A1094" s="49">
        <v>32.367933116081197</v>
      </c>
      <c r="B1094" s="49">
        <v>32.389893042332588</v>
      </c>
      <c r="C1094" s="49">
        <v>30.595168160514536</v>
      </c>
      <c r="D1094" s="49">
        <v>30.900610771102034</v>
      </c>
      <c r="E1094" s="49">
        <v>594135718.42823613</v>
      </c>
      <c r="F1094" s="49" t="s">
        <v>1181</v>
      </c>
      <c r="G1094" s="25">
        <f t="shared" si="16"/>
        <v>4.748522143618561E-2</v>
      </c>
    </row>
    <row r="1095" spans="1:7">
      <c r="A1095" s="49">
        <v>29.982286582407593</v>
      </c>
      <c r="B1095" s="49">
        <v>30.185914989465928</v>
      </c>
      <c r="C1095" s="49">
        <v>27.986927828929122</v>
      </c>
      <c r="D1095" s="49">
        <v>29.825572563249953</v>
      </c>
      <c r="E1095" s="49">
        <v>660140919.14735639</v>
      </c>
      <c r="F1095" s="49" t="s">
        <v>1182</v>
      </c>
      <c r="G1095" s="25">
        <f t="shared" si="16"/>
        <v>5.2543507362785569E-3</v>
      </c>
    </row>
    <row r="1096" spans="1:7">
      <c r="A1096" s="49">
        <v>30.637091656085371</v>
      </c>
      <c r="B1096" s="49">
        <v>32.070475933221481</v>
      </c>
      <c r="C1096" s="49">
        <v>30.07511717974301</v>
      </c>
      <c r="D1096" s="49">
        <v>31.941710911111059</v>
      </c>
      <c r="E1096" s="49">
        <v>545318365.95956838</v>
      </c>
      <c r="F1096" s="49" t="s">
        <v>1183</v>
      </c>
      <c r="G1096" s="25">
        <f t="shared" si="16"/>
        <v>-4.0843749999999845E-2</v>
      </c>
    </row>
    <row r="1097" spans="1:7">
      <c r="A1097" s="49">
        <v>32.067481397823556</v>
      </c>
      <c r="B1097" s="49">
        <v>32.418830236061119</v>
      </c>
      <c r="C1097" s="49">
        <v>30.968486906788147</v>
      </c>
      <c r="D1097" s="49">
        <v>31.157142636856893</v>
      </c>
      <c r="E1097" s="49">
        <v>473753287.73438054</v>
      </c>
      <c r="F1097" s="49" t="s">
        <v>1184</v>
      </c>
      <c r="G1097" s="25">
        <f t="shared" si="16"/>
        <v>2.9217658742871633E-2</v>
      </c>
    </row>
    <row r="1098" spans="1:7">
      <c r="A1098" s="49">
        <v>31.377740077836759</v>
      </c>
      <c r="B1098" s="49">
        <v>33.22870233442768</v>
      </c>
      <c r="C1098" s="49">
        <v>31.322840262208285</v>
      </c>
      <c r="D1098" s="49">
        <v>33.158959605010203</v>
      </c>
      <c r="E1098" s="49">
        <v>486688559.77255666</v>
      </c>
      <c r="F1098" s="49" t="s">
        <v>1185</v>
      </c>
      <c r="G1098" s="25">
        <f t="shared" si="16"/>
        <v>-5.3717593929102248E-2</v>
      </c>
    </row>
    <row r="1099" spans="1:7">
      <c r="A1099" s="49">
        <v>32.612486840244394</v>
      </c>
      <c r="B1099" s="49">
        <v>33.288170938385093</v>
      </c>
      <c r="C1099" s="49">
        <v>31.802075125548289</v>
      </c>
      <c r="D1099" s="49">
        <v>33.104528583794419</v>
      </c>
      <c r="E1099" s="49">
        <v>623277950.96682286</v>
      </c>
      <c r="F1099" s="49" t="s">
        <v>1186</v>
      </c>
      <c r="G1099" s="25">
        <f t="shared" si="16"/>
        <v>-1.4863275950435795E-2</v>
      </c>
    </row>
    <row r="1100" spans="1:7">
      <c r="A1100" s="49">
        <v>33.311126232708929</v>
      </c>
      <c r="B1100" s="49">
        <v>33.347056258607104</v>
      </c>
      <c r="C1100" s="49">
        <v>31.973730824276824</v>
      </c>
      <c r="D1100" s="49">
        <v>32.303089395010105</v>
      </c>
      <c r="E1100" s="49">
        <v>455850027.11705482</v>
      </c>
      <c r="F1100" s="49" t="s">
        <v>1187</v>
      </c>
      <c r="G1100" s="25">
        <f t="shared" si="16"/>
        <v>3.1205586108879579E-2</v>
      </c>
    </row>
    <row r="1101" spans="1:7">
      <c r="A1101" s="49">
        <v>31.441766829728824</v>
      </c>
      <c r="B1101" s="49">
        <v>32.646420753592672</v>
      </c>
      <c r="C1101" s="49">
        <v>31.289064219661579</v>
      </c>
      <c r="D1101" s="49">
        <v>32.536634563348244</v>
      </c>
      <c r="E1101" s="49">
        <v>283620139.57015628</v>
      </c>
      <c r="F1101" s="49" t="s">
        <v>1188</v>
      </c>
      <c r="G1101" s="25">
        <f t="shared" si="16"/>
        <v>-3.3650306748466363E-2</v>
      </c>
    </row>
    <row r="1102" spans="1:7">
      <c r="A1102" s="49">
        <v>32.610490727694497</v>
      </c>
      <c r="B1102" s="49">
        <v>32.79113891346033</v>
      </c>
      <c r="C1102" s="49">
        <v>30.867884471632959</v>
      </c>
      <c r="D1102" s="49">
        <v>31.399848466180956</v>
      </c>
      <c r="E1102" s="49">
        <v>436009743.05992061</v>
      </c>
      <c r="F1102" s="49" t="s">
        <v>1189</v>
      </c>
      <c r="G1102" s="25">
        <f t="shared" si="16"/>
        <v>3.8555672101967531E-2</v>
      </c>
    </row>
    <row r="1103" spans="1:7">
      <c r="A1103" s="49">
        <v>31.684294504541512</v>
      </c>
      <c r="B1103" s="49">
        <v>32.297101057360408</v>
      </c>
      <c r="C1103" s="49">
        <v>30.819977770435393</v>
      </c>
      <c r="D1103" s="49">
        <v>31.473704630527209</v>
      </c>
      <c r="E1103" s="49">
        <v>533199092.43295503</v>
      </c>
      <c r="F1103" s="49" t="s">
        <v>1190</v>
      </c>
      <c r="G1103" s="25">
        <f t="shared" si="16"/>
        <v>6.6909782781034988E-3</v>
      </c>
    </row>
    <row r="1104" spans="1:7">
      <c r="A1104" s="49">
        <v>31.893886322280874</v>
      </c>
      <c r="B1104" s="49">
        <v>34.57965575816953</v>
      </c>
      <c r="C1104" s="49">
        <v>31.837995170883712</v>
      </c>
      <c r="D1104" s="49">
        <v>33.451852167476787</v>
      </c>
      <c r="E1104" s="49">
        <v>755804315.78198791</v>
      </c>
      <c r="F1104" s="49" t="s">
        <v>1191</v>
      </c>
      <c r="G1104" s="25">
        <f t="shared" si="16"/>
        <v>-4.6573380672494724E-2</v>
      </c>
    </row>
    <row r="1105" spans="1:7">
      <c r="A1105" s="49">
        <v>32.920886229203738</v>
      </c>
      <c r="B1105" s="49">
        <v>33.023686025523517</v>
      </c>
      <c r="C1105" s="49">
        <v>31.842985452258461</v>
      </c>
      <c r="D1105" s="49">
        <v>32.180328473191338</v>
      </c>
      <c r="E1105" s="49">
        <v>534906360.89342988</v>
      </c>
      <c r="F1105" s="49" t="s">
        <v>1192</v>
      </c>
      <c r="G1105" s="25">
        <f t="shared" si="16"/>
        <v>2.3012746952826735E-2</v>
      </c>
    </row>
    <row r="1106" spans="1:7">
      <c r="A1106" s="49">
        <v>31.613432509020114</v>
      </c>
      <c r="B1106" s="49">
        <v>32.696323567340144</v>
      </c>
      <c r="C1106" s="49">
        <v>31.260120587688046</v>
      </c>
      <c r="D1106" s="49">
        <v>32.304087451285049</v>
      </c>
      <c r="E1106" s="49">
        <v>783233139.8744868</v>
      </c>
      <c r="F1106" s="49" t="s">
        <v>1193</v>
      </c>
      <c r="G1106" s="25">
        <f t="shared" si="16"/>
        <v>-2.1379800414001782E-2</v>
      </c>
    </row>
    <row r="1107" spans="1:7">
      <c r="A1107" s="49">
        <v>29.204124661292425</v>
      </c>
      <c r="B1107" s="49">
        <v>30.44969889242919</v>
      </c>
      <c r="C1107" s="49">
        <v>28.744020718540781</v>
      </c>
      <c r="D1107" s="49">
        <v>30.358875771408801</v>
      </c>
      <c r="E1107" s="49">
        <v>429342513.79938835</v>
      </c>
      <c r="F1107" s="49" t="s">
        <v>1194</v>
      </c>
      <c r="G1107" s="25">
        <f t="shared" si="16"/>
        <v>-3.8036688802682517E-2</v>
      </c>
    </row>
    <row r="1108" spans="1:7">
      <c r="A1108" s="49">
        <v>30.144293672294694</v>
      </c>
      <c r="B1108" s="49">
        <v>30.330930195710216</v>
      </c>
      <c r="C1108" s="49">
        <v>29.648129956329132</v>
      </c>
      <c r="D1108" s="49">
        <v>29.701156686217189</v>
      </c>
      <c r="E1108" s="49">
        <v>264998754.7179409</v>
      </c>
      <c r="F1108" s="49" t="s">
        <v>1195</v>
      </c>
      <c r="G1108" s="25">
        <f t="shared" si="16"/>
        <v>1.4919856177963098E-2</v>
      </c>
    </row>
    <row r="1109" spans="1:7">
      <c r="A1109" s="49">
        <v>29.966639655353713</v>
      </c>
      <c r="B1109" s="49">
        <v>30.58443648954735</v>
      </c>
      <c r="C1109" s="49">
        <v>29.190151873443135</v>
      </c>
      <c r="D1109" s="49">
        <v>30.49261531225201</v>
      </c>
      <c r="E1109" s="49">
        <v>385658614.30963928</v>
      </c>
      <c r="F1109" s="49" t="s">
        <v>1196</v>
      </c>
      <c r="G1109" s="25">
        <f t="shared" si="16"/>
        <v>-1.7249279916208393E-2</v>
      </c>
    </row>
    <row r="1110" spans="1:7">
      <c r="A1110" s="49">
        <v>30.330930195710216</v>
      </c>
      <c r="B1110" s="49">
        <v>30.620366515445529</v>
      </c>
      <c r="C1110" s="49">
        <v>29.572407426748729</v>
      </c>
      <c r="D1110" s="49">
        <v>29.951668811229478</v>
      </c>
      <c r="E1110" s="49">
        <v>413858707.53727698</v>
      </c>
      <c r="F1110" s="49" t="s">
        <v>1197</v>
      </c>
      <c r="G1110" s="25">
        <f t="shared" si="16"/>
        <v>1.2662445851382653E-2</v>
      </c>
    </row>
    <row r="1111" spans="1:7">
      <c r="A1111" s="49">
        <v>30.330930195710216</v>
      </c>
      <c r="B1111" s="49">
        <v>30.530541450700085</v>
      </c>
      <c r="C1111" s="49">
        <v>29.719131679729031</v>
      </c>
      <c r="D1111" s="49">
        <v>30.40877858515627</v>
      </c>
      <c r="E1111" s="49">
        <v>332819018.66391557</v>
      </c>
      <c r="F1111" s="49" t="s">
        <v>1198</v>
      </c>
      <c r="G1111" s="25">
        <f t="shared" si="16"/>
        <v>-2.5600630169360095E-3</v>
      </c>
    </row>
    <row r="1112" spans="1:7">
      <c r="A1112" s="49">
        <v>29.40173980373239</v>
      </c>
      <c r="B1112" s="49">
        <v>30.790036082186912</v>
      </c>
      <c r="C1112" s="49">
        <v>28.722063480491894</v>
      </c>
      <c r="D1112" s="49">
        <v>29.298940007412611</v>
      </c>
      <c r="E1112" s="49">
        <v>637444737.30431449</v>
      </c>
      <c r="F1112" s="49" t="s">
        <v>1199</v>
      </c>
      <c r="G1112" s="25">
        <f t="shared" si="16"/>
        <v>3.5086524049596779E-3</v>
      </c>
    </row>
    <row r="1113" spans="1:7">
      <c r="A1113" s="49">
        <v>30.597411221121693</v>
      </c>
      <c r="B1113" s="49">
        <v>32.247198243612942</v>
      </c>
      <c r="C1113" s="49">
        <v>29.905758222581802</v>
      </c>
      <c r="D1113" s="49">
        <v>32.219252667914354</v>
      </c>
      <c r="E1113" s="49">
        <v>648005755.01900709</v>
      </c>
      <c r="F1113" s="49" t="s">
        <v>1200</v>
      </c>
      <c r="G1113" s="25">
        <f t="shared" si="16"/>
        <v>-5.0337649464097467E-2</v>
      </c>
    </row>
    <row r="1114" spans="1:7">
      <c r="A1114" s="49">
        <v>30.744125493539247</v>
      </c>
      <c r="B1114" s="49">
        <v>31.039550150924246</v>
      </c>
      <c r="C1114" s="49">
        <v>29.848869014909692</v>
      </c>
      <c r="D1114" s="49">
        <v>30.090398633447432</v>
      </c>
      <c r="E1114" s="49">
        <v>504080724.33144152</v>
      </c>
      <c r="F1114" s="49" t="s">
        <v>1201</v>
      </c>
      <c r="G1114" s="25">
        <f t="shared" si="16"/>
        <v>2.1725430362532938E-2</v>
      </c>
    </row>
    <row r="1115" spans="1:7">
      <c r="A1115" s="49">
        <v>29.694170292292544</v>
      </c>
      <c r="B1115" s="49">
        <v>31.338967033409048</v>
      </c>
      <c r="C1115" s="49">
        <v>29.352835046259877</v>
      </c>
      <c r="D1115" s="49">
        <v>30.128324771895507</v>
      </c>
      <c r="E1115" s="49">
        <v>852917988.05955613</v>
      </c>
      <c r="F1115" s="49" t="s">
        <v>1202</v>
      </c>
      <c r="G1115" s="25">
        <f t="shared" si="16"/>
        <v>-1.4410176566071575E-2</v>
      </c>
    </row>
    <row r="1116" spans="1:7">
      <c r="A1116" s="49">
        <v>29.743075049765064</v>
      </c>
      <c r="B1116" s="49">
        <v>31.304035063785818</v>
      </c>
      <c r="C1116" s="49">
        <v>27.065290064076006</v>
      </c>
      <c r="D1116" s="49">
        <v>27.176074310595382</v>
      </c>
      <c r="E1116" s="49">
        <v>1155877858.7495632</v>
      </c>
      <c r="F1116" s="49" t="s">
        <v>1203</v>
      </c>
      <c r="G1116" s="25">
        <f t="shared" si="16"/>
        <v>9.4458114510264757E-2</v>
      </c>
    </row>
    <row r="1117" spans="1:7">
      <c r="A1117" s="49">
        <v>26.546300801102351</v>
      </c>
      <c r="B1117" s="49">
        <v>26.731939268242925</v>
      </c>
      <c r="C1117" s="49">
        <v>26.184006373295745</v>
      </c>
      <c r="D1117" s="49">
        <v>26.618160852898701</v>
      </c>
      <c r="E1117" s="49">
        <v>240377557.88087127</v>
      </c>
      <c r="F1117" s="49" t="s">
        <v>1204</v>
      </c>
      <c r="G1117" s="25">
        <f t="shared" si="16"/>
        <v>-2.6996625421821241E-3</v>
      </c>
    </row>
    <row r="1118" spans="1:7">
      <c r="A1118" s="49">
        <v>26.349683714937331</v>
      </c>
      <c r="B1118" s="49">
        <v>26.626145303098294</v>
      </c>
      <c r="C1118" s="49">
        <v>25.749851893692785</v>
      </c>
      <c r="D1118" s="49">
        <v>25.771809131741673</v>
      </c>
      <c r="E1118" s="49">
        <v>294685176.96051848</v>
      </c>
      <c r="F1118" s="49" t="s">
        <v>1205</v>
      </c>
      <c r="G1118" s="25">
        <f t="shared" si="16"/>
        <v>2.2422740298969623E-2</v>
      </c>
    </row>
    <row r="1119" spans="1:7">
      <c r="A1119" s="49">
        <v>25.776799413116414</v>
      </c>
      <c r="B1119" s="49">
        <v>25.843669183538019</v>
      </c>
      <c r="C1119" s="49">
        <v>25.177965648146817</v>
      </c>
      <c r="D1119" s="49">
        <v>25.599145396175434</v>
      </c>
      <c r="E1119" s="49">
        <v>266257290.96637416</v>
      </c>
      <c r="F1119" s="49" t="s">
        <v>1206</v>
      </c>
      <c r="G1119" s="25">
        <f t="shared" si="16"/>
        <v>6.9398417092283449E-3</v>
      </c>
    </row>
    <row r="1120" spans="1:7">
      <c r="A1120" s="49">
        <v>25.517304781629587</v>
      </c>
      <c r="B1120" s="49">
        <v>25.659028772672393</v>
      </c>
      <c r="C1120" s="49">
        <v>24.951406873733319</v>
      </c>
      <c r="D1120" s="49">
        <v>24.951905901870791</v>
      </c>
      <c r="E1120" s="49">
        <v>293072492.34503257</v>
      </c>
      <c r="F1120" s="49" t="s">
        <v>1207</v>
      </c>
      <c r="G1120" s="25">
        <f t="shared" si="16"/>
        <v>2.2659546809063791E-2</v>
      </c>
    </row>
    <row r="1121" spans="1:7">
      <c r="A1121" s="49">
        <v>24.892521553511305</v>
      </c>
      <c r="B1121" s="49">
        <v>24.90150405998585</v>
      </c>
      <c r="C1121" s="49">
        <v>24.475334030582484</v>
      </c>
      <c r="D1121" s="49">
        <v>24.829644008189497</v>
      </c>
      <c r="E1121" s="49">
        <v>234660425.34714749</v>
      </c>
      <c r="F1121" s="49" t="s">
        <v>1208</v>
      </c>
      <c r="G1121" s="25">
        <f t="shared" si="16"/>
        <v>2.5323579065841262E-3</v>
      </c>
    </row>
    <row r="1122" spans="1:7">
      <c r="A1122" s="49">
        <v>24.403473978786131</v>
      </c>
      <c r="B1122" s="49">
        <v>25.041231938478759</v>
      </c>
      <c r="C1122" s="49">
        <v>24.234812448882444</v>
      </c>
      <c r="D1122" s="49">
        <v>24.426429273109971</v>
      </c>
      <c r="E1122" s="49">
        <v>246468957.88765812</v>
      </c>
      <c r="F1122" s="49" t="s">
        <v>1209</v>
      </c>
      <c r="G1122" s="25">
        <f t="shared" si="16"/>
        <v>-9.3977282013590901E-4</v>
      </c>
    </row>
    <row r="1123" spans="1:7">
      <c r="A1123" s="49">
        <v>24.668956947922656</v>
      </c>
      <c r="B1123" s="49">
        <v>25.209903448945195</v>
      </c>
      <c r="C1123" s="49">
        <v>23.877498321887835</v>
      </c>
      <c r="D1123" s="49">
        <v>23.942371979759539</v>
      </c>
      <c r="E1123" s="49">
        <v>486844592.02930927</v>
      </c>
      <c r="F1123" s="49" t="s">
        <v>1210</v>
      </c>
      <c r="G1123" s="25">
        <f t="shared" si="16"/>
        <v>3.0347242486139514E-2</v>
      </c>
    </row>
    <row r="1124" spans="1:7">
      <c r="A1124" s="49">
        <v>23.12097166547624</v>
      </c>
      <c r="B1124" s="49">
        <v>23.309594320878915</v>
      </c>
      <c r="C1124" s="49">
        <v>22.725741380596304</v>
      </c>
      <c r="D1124" s="49">
        <v>22.928346804411017</v>
      </c>
      <c r="E1124" s="49">
        <v>230683214.74326494</v>
      </c>
      <c r="F1124" s="49" t="s">
        <v>1211</v>
      </c>
      <c r="G1124" s="25">
        <f t="shared" si="16"/>
        <v>8.4011665868628516E-3</v>
      </c>
    </row>
    <row r="1125" spans="1:7">
      <c r="A1125" s="49">
        <v>22.681826904498532</v>
      </c>
      <c r="B1125" s="49">
        <v>23.085041639578066</v>
      </c>
      <c r="C1125" s="49">
        <v>22.517147619131897</v>
      </c>
      <c r="D1125" s="49">
        <v>22.778638363168618</v>
      </c>
      <c r="E1125" s="49">
        <v>249869467.54346111</v>
      </c>
      <c r="F1125" s="49" t="s">
        <v>1212</v>
      </c>
      <c r="G1125" s="25">
        <f t="shared" si="16"/>
        <v>-4.2500985847609973E-3</v>
      </c>
    </row>
    <row r="1126" spans="1:7">
      <c r="A1126" s="49">
        <v>22.647892991150258</v>
      </c>
      <c r="B1126" s="49">
        <v>22.666856060374297</v>
      </c>
      <c r="C1126" s="49">
        <v>22.040076719706114</v>
      </c>
      <c r="D1126" s="49">
        <v>22.054049507555405</v>
      </c>
      <c r="E1126" s="49">
        <v>187955654.1133146</v>
      </c>
      <c r="F1126" s="49" t="s">
        <v>1213</v>
      </c>
      <c r="G1126" s="25">
        <f t="shared" si="16"/>
        <v>2.6926732135583942E-2</v>
      </c>
    </row>
    <row r="1127" spans="1:7">
      <c r="A1127" s="49">
        <v>22.060037845205102</v>
      </c>
      <c r="B1127" s="49">
        <v>22.389396415938382</v>
      </c>
      <c r="C1127" s="49">
        <v>21.939273035936232</v>
      </c>
      <c r="D1127" s="49">
        <v>22.261146184607391</v>
      </c>
      <c r="E1127" s="49">
        <v>146560813.92547312</v>
      </c>
      <c r="F1127" s="49" t="s">
        <v>1214</v>
      </c>
      <c r="G1127" s="25">
        <f t="shared" si="16"/>
        <v>-9.0340514246003423E-3</v>
      </c>
    </row>
    <row r="1128" spans="1:7">
      <c r="A1128" s="49">
        <v>22.246674368620628</v>
      </c>
      <c r="B1128" s="49">
        <v>22.335501377091116</v>
      </c>
      <c r="C1128" s="49">
        <v>21.994166131058446</v>
      </c>
      <c r="D1128" s="49">
        <v>22.232701580771334</v>
      </c>
      <c r="E1128" s="49">
        <v>161787760.92379895</v>
      </c>
      <c r="F1128" s="49" t="s">
        <v>1215</v>
      </c>
      <c r="G1128" s="25">
        <f t="shared" si="16"/>
        <v>6.2847908062502178E-4</v>
      </c>
    </row>
    <row r="1129" spans="1:7">
      <c r="A1129" s="49">
        <v>22.178806541924072</v>
      </c>
      <c r="B1129" s="49">
        <v>22.247672424895576</v>
      </c>
      <c r="C1129" s="49">
        <v>21.601930015003358</v>
      </c>
      <c r="D1129" s="49">
        <v>21.706725923873037</v>
      </c>
      <c r="E1129" s="49">
        <v>189862600.69315213</v>
      </c>
      <c r="F1129" s="49" t="s">
        <v>1216</v>
      </c>
      <c r="G1129" s="25">
        <f t="shared" si="16"/>
        <v>2.1748126350636721E-2</v>
      </c>
    </row>
    <row r="1130" spans="1:7">
      <c r="A1130" s="49">
        <v>21.81950628294231</v>
      </c>
      <c r="B1130" s="49">
        <v>21.888372165913815</v>
      </c>
      <c r="C1130" s="49">
        <v>21.619895027952445</v>
      </c>
      <c r="D1130" s="49">
        <v>21.767607356644945</v>
      </c>
      <c r="E1130" s="49">
        <v>227436083.21236554</v>
      </c>
      <c r="F1130" s="49" t="s">
        <v>1217</v>
      </c>
      <c r="G1130" s="25">
        <f t="shared" si="16"/>
        <v>2.3842274186152146E-3</v>
      </c>
    </row>
    <row r="1131" spans="1:7">
      <c r="A1131" s="49">
        <v>21.703731755048189</v>
      </c>
      <c r="B1131" s="49">
        <v>21.712714261522734</v>
      </c>
      <c r="C1131" s="49">
        <v>21.080954620042554</v>
      </c>
      <c r="D1131" s="49">
        <v>21.246621981121393</v>
      </c>
      <c r="E1131" s="49">
        <v>244063201.75920543</v>
      </c>
      <c r="F1131" s="49" t="s">
        <v>1218</v>
      </c>
      <c r="G1131" s="25">
        <f t="shared" si="16"/>
        <v>2.151446824502079E-2</v>
      </c>
    </row>
    <row r="1132" spans="1:7">
      <c r="A1132" s="49">
        <v>20.898300341164077</v>
      </c>
      <c r="B1132" s="49">
        <v>20.949201211186494</v>
      </c>
      <c r="C1132" s="49">
        <v>20.672739623025528</v>
      </c>
      <c r="D1132" s="49">
        <v>20.877341159390141</v>
      </c>
      <c r="E1132" s="49">
        <v>181003701.42873052</v>
      </c>
      <c r="F1132" s="49" t="s">
        <v>1219</v>
      </c>
      <c r="G1132" s="25">
        <f t="shared" si="16"/>
        <v>1.0039200688403138E-3</v>
      </c>
    </row>
    <row r="1133" spans="1:7">
      <c r="A1133" s="49">
        <v>20.630821259477656</v>
      </c>
      <c r="B1133" s="49">
        <v>21.016070981608099</v>
      </c>
      <c r="C1133" s="49">
        <v>20.488099212159902</v>
      </c>
      <c r="D1133" s="49">
        <v>20.787017066507229</v>
      </c>
      <c r="E1133" s="49">
        <v>162449296.76759046</v>
      </c>
      <c r="F1133" s="49" t="s">
        <v>1220</v>
      </c>
      <c r="G1133" s="25">
        <f t="shared" si="16"/>
        <v>-7.5141039491057882E-3</v>
      </c>
    </row>
    <row r="1134" spans="1:7">
      <c r="A1134" s="49">
        <v>20.654774610076437</v>
      </c>
      <c r="B1134" s="49">
        <v>21.022059319257792</v>
      </c>
      <c r="C1134" s="49">
        <v>20.471132255485763</v>
      </c>
      <c r="D1134" s="49">
        <v>20.535007857082519</v>
      </c>
      <c r="E1134" s="49">
        <v>163705738.94572681</v>
      </c>
      <c r="F1134" s="49" t="s">
        <v>1221</v>
      </c>
      <c r="G1134" s="25">
        <f t="shared" si="16"/>
        <v>5.8323207776427299E-3</v>
      </c>
    </row>
    <row r="1135" spans="1:7">
      <c r="A1135" s="49">
        <v>20.79051026346955</v>
      </c>
      <c r="B1135" s="49">
        <v>21.16478136657555</v>
      </c>
      <c r="C1135" s="49">
        <v>20.734619112072387</v>
      </c>
      <c r="D1135" s="49">
        <v>21.059985457705867</v>
      </c>
      <c r="E1135" s="49">
        <v>151552486.36423707</v>
      </c>
      <c r="F1135" s="49" t="s">
        <v>1222</v>
      </c>
      <c r="G1135" s="25">
        <f t="shared" si="16"/>
        <v>-1.2795602104165527E-2</v>
      </c>
    </row>
    <row r="1136" spans="1:7">
      <c r="A1136" s="49">
        <v>21.034035994557186</v>
      </c>
      <c r="B1136" s="49">
        <v>21.280555894469671</v>
      </c>
      <c r="C1136" s="49">
        <v>20.931236198237404</v>
      </c>
      <c r="D1136" s="49">
        <v>21.051002951231325</v>
      </c>
      <c r="E1136" s="49">
        <v>257419282.30754599</v>
      </c>
      <c r="F1136" s="49" t="s">
        <v>1223</v>
      </c>
      <c r="G1136" s="25">
        <f t="shared" si="16"/>
        <v>-8.0599279347626229E-4</v>
      </c>
    </row>
    <row r="1137" spans="1:7">
      <c r="A1137" s="49">
        <v>20.659764891451186</v>
      </c>
      <c r="B1137" s="49">
        <v>20.679726016950173</v>
      </c>
      <c r="C1137" s="49">
        <v>20.0409700009826</v>
      </c>
      <c r="D1137" s="49">
        <v>20.080892251980572</v>
      </c>
      <c r="E1137" s="49">
        <v>297780553.52148128</v>
      </c>
      <c r="F1137" s="49" t="s">
        <v>1224</v>
      </c>
      <c r="G1137" s="25">
        <f t="shared" si="16"/>
        <v>2.8827037773359931E-2</v>
      </c>
    </row>
    <row r="1138" spans="1:7">
      <c r="A1138" s="49">
        <v>20.4112488789888</v>
      </c>
      <c r="B1138" s="49">
        <v>20.60786596515382</v>
      </c>
      <c r="C1138" s="49">
        <v>19.815409282844051</v>
      </c>
      <c r="D1138" s="49">
        <v>19.911222685239188</v>
      </c>
      <c r="E1138" s="49">
        <v>279825553.93900812</v>
      </c>
      <c r="F1138" s="49" t="s">
        <v>1225</v>
      </c>
      <c r="G1138" s="25">
        <f t="shared" si="16"/>
        <v>2.5112781954887087E-2</v>
      </c>
    </row>
    <row r="1139" spans="1:7">
      <c r="A1139" s="49">
        <v>19.693646417300233</v>
      </c>
      <c r="B1139" s="49">
        <v>20.501862408191453</v>
      </c>
      <c r="C1139" s="49">
        <v>19.516990456634201</v>
      </c>
      <c r="D1139" s="49">
        <v>20.464145861561118</v>
      </c>
      <c r="E1139" s="49">
        <v>346308097.72479665</v>
      </c>
      <c r="F1139" s="49" t="s">
        <v>1226</v>
      </c>
      <c r="G1139" s="25">
        <f t="shared" si="16"/>
        <v>-3.7651190011705027E-2</v>
      </c>
    </row>
    <row r="1140" spans="1:7">
      <c r="A1140" s="49">
        <v>20.701683254999057</v>
      </c>
      <c r="B1140" s="49">
        <v>20.818455839168131</v>
      </c>
      <c r="C1140" s="49">
        <v>20.163730922801367</v>
      </c>
      <c r="D1140" s="49">
        <v>20.709667705198655</v>
      </c>
      <c r="E1140" s="49">
        <v>241447267.10148031</v>
      </c>
      <c r="F1140" s="49" t="s">
        <v>1227</v>
      </c>
      <c r="G1140" s="25">
        <f t="shared" si="16"/>
        <v>-3.8554216867481284E-4</v>
      </c>
    </row>
    <row r="1141" spans="1:7">
      <c r="A1141" s="49">
        <v>20.675733791850377</v>
      </c>
      <c r="B1141" s="49">
        <v>21.025053488082641</v>
      </c>
      <c r="C1141" s="49">
        <v>20.647788216151795</v>
      </c>
      <c r="D1141" s="49">
        <v>20.728031940657722</v>
      </c>
      <c r="E1141" s="49">
        <v>221439537.57639542</v>
      </c>
      <c r="F1141" s="49" t="s">
        <v>1228</v>
      </c>
      <c r="G1141" s="25">
        <f t="shared" si="16"/>
        <v>-2.5230638855183729E-3</v>
      </c>
    </row>
    <row r="1142" spans="1:7">
      <c r="A1142" s="49">
        <v>20.477120593135457</v>
      </c>
      <c r="B1142" s="49">
        <v>20.976148730610124</v>
      </c>
      <c r="C1142" s="49">
        <v>20.427217779387991</v>
      </c>
      <c r="D1142" s="49">
        <v>20.898799369301553</v>
      </c>
      <c r="E1142" s="49">
        <v>218818953.8822217</v>
      </c>
      <c r="F1142" s="49" t="s">
        <v>1229</v>
      </c>
      <c r="G1142" s="25">
        <f t="shared" si="16"/>
        <v>-2.0177177105470734E-2</v>
      </c>
    </row>
    <row r="1143" spans="1:7">
      <c r="A1143" s="49">
        <v>20.658766835176237</v>
      </c>
      <c r="B1143" s="49">
        <v>21.377367353139757</v>
      </c>
      <c r="C1143" s="49">
        <v>20.610860133978669</v>
      </c>
      <c r="D1143" s="49">
        <v>21.172266788637668</v>
      </c>
      <c r="E1143" s="49">
        <v>343737080.3739661</v>
      </c>
      <c r="F1143" s="49" t="s">
        <v>1230</v>
      </c>
      <c r="G1143" s="25">
        <f t="shared" si="16"/>
        <v>-2.4253423527470619E-2</v>
      </c>
    </row>
    <row r="1144" spans="1:7">
      <c r="A1144" s="49">
        <v>21.617898915402545</v>
      </c>
      <c r="B1144" s="49">
        <v>21.756628737620503</v>
      </c>
      <c r="C1144" s="49">
        <v>21.28355006329452</v>
      </c>
      <c r="D1144" s="49">
        <v>21.668151048846244</v>
      </c>
      <c r="E1144" s="49">
        <v>245692699.05391717</v>
      </c>
      <c r="F1144" s="49" t="s">
        <v>1231</v>
      </c>
      <c r="G1144" s="25">
        <f t="shared" si="16"/>
        <v>-2.3191703496259208E-3</v>
      </c>
    </row>
    <row r="1145" spans="1:7">
      <c r="A1145" s="49">
        <v>22.038080607156214</v>
      </c>
      <c r="B1145" s="49">
        <v>22.10594843385277</v>
      </c>
      <c r="C1145" s="49">
        <v>21.818508226667362</v>
      </c>
      <c r="D1145" s="49">
        <v>22.027101988131772</v>
      </c>
      <c r="E1145" s="49">
        <v>218079336.26893884</v>
      </c>
      <c r="F1145" s="49" t="s">
        <v>1232</v>
      </c>
      <c r="G1145" s="25">
        <f t="shared" si="16"/>
        <v>4.9841413683737734E-4</v>
      </c>
    </row>
    <row r="1146" spans="1:7">
      <c r="A1146" s="49">
        <v>22.438301173410895</v>
      </c>
      <c r="B1146" s="49">
        <v>22.490699127845737</v>
      </c>
      <c r="C1146" s="49">
        <v>21.847451858640895</v>
      </c>
      <c r="D1146" s="49">
        <v>22.096965927378225</v>
      </c>
      <c r="E1146" s="49">
        <v>249038973.29097813</v>
      </c>
      <c r="F1146" s="49" t="s">
        <v>1233</v>
      </c>
      <c r="G1146" s="25">
        <f t="shared" si="16"/>
        <v>1.5447154471544655E-2</v>
      </c>
    </row>
    <row r="1147" spans="1:7">
      <c r="A1147" s="49">
        <v>21.898352728663308</v>
      </c>
      <c r="B1147" s="49">
        <v>21.917315797887344</v>
      </c>
      <c r="C1147" s="49">
        <v>21.154800803826056</v>
      </c>
      <c r="D1147" s="49">
        <v>21.323971342429967</v>
      </c>
      <c r="E1147" s="49">
        <v>269248905.84315211</v>
      </c>
      <c r="F1147" s="49" t="s">
        <v>1234</v>
      </c>
      <c r="G1147" s="25">
        <f t="shared" si="16"/>
        <v>2.693594814069411E-2</v>
      </c>
    </row>
    <row r="1148" spans="1:7">
      <c r="A1148" s="49">
        <v>21.204703617573522</v>
      </c>
      <c r="B1148" s="49">
        <v>21.383355690789454</v>
      </c>
      <c r="C1148" s="49">
        <v>20.909278960188519</v>
      </c>
      <c r="D1148" s="49">
        <v>21.374872212452384</v>
      </c>
      <c r="E1148" s="49">
        <v>205086732.21897352</v>
      </c>
      <c r="F1148" s="49" t="s">
        <v>1235</v>
      </c>
      <c r="G1148" s="25">
        <f t="shared" si="16"/>
        <v>-7.9611514486495061E-3</v>
      </c>
    </row>
    <row r="1149" spans="1:7">
      <c r="A1149" s="49">
        <v>21.071962133005261</v>
      </c>
      <c r="B1149" s="49">
        <v>21.391340140989048</v>
      </c>
      <c r="C1149" s="49">
        <v>20.621838753003111</v>
      </c>
      <c r="D1149" s="49">
        <v>21.104897990078591</v>
      </c>
      <c r="E1149" s="49">
        <v>350120988.93696117</v>
      </c>
      <c r="F1149" s="49" t="s">
        <v>1236</v>
      </c>
      <c r="G1149" s="25">
        <f t="shared" si="16"/>
        <v>-1.5605788328763026E-3</v>
      </c>
    </row>
    <row r="1150" spans="1:7">
      <c r="A1150" s="49">
        <v>21.857432421390385</v>
      </c>
      <c r="B1150" s="49">
        <v>22.277614113144057</v>
      </c>
      <c r="C1150" s="49">
        <v>21.787568482143932</v>
      </c>
      <c r="D1150" s="49">
        <v>22.256654931370118</v>
      </c>
      <c r="E1150" s="49">
        <v>295076387.36598366</v>
      </c>
      <c r="F1150" s="49" t="s">
        <v>1237</v>
      </c>
      <c r="G1150" s="25">
        <f t="shared" si="16"/>
        <v>-1.7937219730941756E-2</v>
      </c>
    </row>
    <row r="1151" spans="1:7">
      <c r="A1151" s="49">
        <v>22.198767667423056</v>
      </c>
      <c r="B1151" s="49">
        <v>22.233699637046286</v>
      </c>
      <c r="C1151" s="49">
        <v>21.884379940814018</v>
      </c>
      <c r="D1151" s="49">
        <v>22.140331472524775</v>
      </c>
      <c r="E1151" s="49">
        <v>156337316.75893846</v>
      </c>
      <c r="F1151" s="49" t="s">
        <v>1238</v>
      </c>
      <c r="G1151" s="25">
        <f t="shared" ref="G1151:G1214" si="17">A1151/D1151-1</f>
        <v>2.6393550146617262E-3</v>
      </c>
    </row>
    <row r="1152" spans="1:7">
      <c r="A1152" s="49">
        <v>22.297575238643041</v>
      </c>
      <c r="B1152" s="49">
        <v>22.323514721228975</v>
      </c>
      <c r="C1152" s="49">
        <v>21.923304135537041</v>
      </c>
      <c r="D1152" s="49">
        <v>22.265637437844664</v>
      </c>
      <c r="E1152" s="49">
        <v>166862344.51905477</v>
      </c>
      <c r="F1152" s="49" t="s">
        <v>1239</v>
      </c>
      <c r="G1152" s="25">
        <f t="shared" si="17"/>
        <v>1.4343986731812919E-3</v>
      </c>
    </row>
    <row r="1153" spans="1:7">
      <c r="A1153" s="49">
        <v>22.198767667423056</v>
      </c>
      <c r="B1153" s="49">
        <v>22.366441121614546</v>
      </c>
      <c r="C1153" s="49">
        <v>22.043070888530963</v>
      </c>
      <c r="D1153" s="49">
        <v>22.231703524496385</v>
      </c>
      <c r="E1153" s="49">
        <v>200143624.17604232</v>
      </c>
      <c r="F1153" s="49" t="s">
        <v>1240</v>
      </c>
      <c r="G1153" s="25">
        <f t="shared" si="17"/>
        <v>-1.481481481481528E-3</v>
      </c>
    </row>
    <row r="1154" spans="1:7">
      <c r="A1154" s="49">
        <v>22.108942602677619</v>
      </c>
      <c r="B1154" s="49">
        <v>22.919364297936475</v>
      </c>
      <c r="C1154" s="49">
        <v>21.815514057842517</v>
      </c>
      <c r="D1154" s="49">
        <v>22.639908540950664</v>
      </c>
      <c r="E1154" s="49">
        <v>298079284.17172956</v>
      </c>
      <c r="F1154" s="49" t="s">
        <v>1241</v>
      </c>
      <c r="G1154" s="25">
        <f t="shared" si="17"/>
        <v>-2.3452653852936045E-2</v>
      </c>
    </row>
    <row r="1155" spans="1:7">
      <c r="A1155" s="49">
        <v>22.434308948311099</v>
      </c>
      <c r="B1155" s="49">
        <v>22.582021277003602</v>
      </c>
      <c r="C1155" s="49">
        <v>22.226713243121637</v>
      </c>
      <c r="D1155" s="49">
        <v>22.304871030012922</v>
      </c>
      <c r="E1155" s="49">
        <v>248859454.35552624</v>
      </c>
      <c r="F1155" s="49" t="s">
        <v>1242</v>
      </c>
      <c r="G1155" s="25">
        <f t="shared" si="17"/>
        <v>5.8031233681650196E-3</v>
      </c>
    </row>
    <row r="1156" spans="1:7">
      <c r="A1156" s="49">
        <v>22.133894009551351</v>
      </c>
      <c r="B1156" s="49">
        <v>22.494192324808061</v>
      </c>
      <c r="C1156" s="49">
        <v>22.087983420903683</v>
      </c>
      <c r="D1156" s="49">
        <v>22.268631606669512</v>
      </c>
      <c r="E1156" s="49">
        <v>197239389.14165294</v>
      </c>
      <c r="F1156" s="49" t="s">
        <v>1243</v>
      </c>
      <c r="G1156" s="25">
        <f t="shared" si="17"/>
        <v>-6.0505557547508859E-3</v>
      </c>
    </row>
    <row r="1157" spans="1:7">
      <c r="A1157" s="49">
        <v>22.295579126093141</v>
      </c>
      <c r="B1157" s="49">
        <v>22.566052376604411</v>
      </c>
      <c r="C1157" s="49">
        <v>21.934282754561487</v>
      </c>
      <c r="D1157" s="49">
        <v>22.469240917934325</v>
      </c>
      <c r="E1157" s="49">
        <v>254929723.28931713</v>
      </c>
      <c r="F1157" s="49" t="s">
        <v>1244</v>
      </c>
      <c r="G1157" s="25">
        <f t="shared" si="17"/>
        <v>-7.7288677652911364E-3</v>
      </c>
    </row>
    <row r="1158" spans="1:7">
      <c r="A1158" s="49">
        <v>22.617951302901776</v>
      </c>
      <c r="B1158" s="49">
        <v>22.854490640064771</v>
      </c>
      <c r="C1158" s="49">
        <v>22.478622646918851</v>
      </c>
      <c r="D1158" s="49">
        <v>22.788618925918115</v>
      </c>
      <c r="E1158" s="49">
        <v>198492975.76938444</v>
      </c>
      <c r="F1158" s="49" t="s">
        <v>1245</v>
      </c>
      <c r="G1158" s="25">
        <f t="shared" si="17"/>
        <v>-7.4891604256998034E-3</v>
      </c>
    </row>
    <row r="1159" spans="1:7">
      <c r="A1159" s="49">
        <v>22.798599488667609</v>
      </c>
      <c r="B1159" s="49">
        <v>22.941321535985363</v>
      </c>
      <c r="C1159" s="49">
        <v>22.156849303875184</v>
      </c>
      <c r="D1159" s="49">
        <v>22.281606338243851</v>
      </c>
      <c r="E1159" s="49">
        <v>281378903.2229237</v>
      </c>
      <c r="F1159" s="49" t="s">
        <v>1246</v>
      </c>
      <c r="G1159" s="25">
        <f t="shared" si="17"/>
        <v>2.3202687569988889E-2</v>
      </c>
    </row>
    <row r="1160" spans="1:7">
      <c r="A1160" s="49">
        <v>22.352468333765255</v>
      </c>
      <c r="B1160" s="49">
        <v>22.549075439367524</v>
      </c>
      <c r="C1160" s="49">
        <v>22.251165621857897</v>
      </c>
      <c r="D1160" s="49">
        <v>22.474231199309074</v>
      </c>
      <c r="E1160" s="49">
        <v>188475915.35812905</v>
      </c>
      <c r="F1160" s="49" t="s">
        <v>1247</v>
      </c>
      <c r="G1160" s="25">
        <f t="shared" si="17"/>
        <v>-5.4178879118926826E-3</v>
      </c>
    </row>
    <row r="1161" spans="1:7">
      <c r="A1161" s="49">
        <v>22.397380866137976</v>
      </c>
      <c r="B1161" s="49">
        <v>22.652883272525003</v>
      </c>
      <c r="C1161" s="49">
        <v>22.313045110904756</v>
      </c>
      <c r="D1161" s="49">
        <v>22.441295342235744</v>
      </c>
      <c r="E1161" s="49">
        <v>202159893.24874783</v>
      </c>
      <c r="F1161" s="49" t="s">
        <v>1248</v>
      </c>
      <c r="G1161" s="25">
        <f t="shared" si="17"/>
        <v>-1.95686012897478E-3</v>
      </c>
    </row>
    <row r="1162" spans="1:7">
      <c r="A1162" s="49">
        <v>22.341489714740813</v>
      </c>
      <c r="B1162" s="49">
        <v>22.650887159975102</v>
      </c>
      <c r="C1162" s="49">
        <v>22.077004801879237</v>
      </c>
      <c r="D1162" s="49">
        <v>22.650887159975102</v>
      </c>
      <c r="E1162" s="49">
        <v>260355739.97387224</v>
      </c>
      <c r="F1162" s="49" t="s">
        <v>1249</v>
      </c>
      <c r="G1162" s="25">
        <f t="shared" si="17"/>
        <v>-1.3659396342806662E-2</v>
      </c>
    </row>
    <row r="1163" spans="1:7">
      <c r="A1163" s="49">
        <v>22.63990854095066</v>
      </c>
      <c r="B1163" s="49">
        <v>22.994156052059509</v>
      </c>
      <c r="C1163" s="49">
        <v>22.503198938072035</v>
      </c>
      <c r="D1163" s="49">
        <v>22.781577608984811</v>
      </c>
      <c r="E1163" s="49">
        <v>263137669.50181529</v>
      </c>
      <c r="F1163" s="49" t="s">
        <v>1250</v>
      </c>
      <c r="G1163" s="25">
        <f t="shared" si="17"/>
        <v>-6.218580225904935E-3</v>
      </c>
    </row>
    <row r="1164" spans="1:7">
      <c r="A1164" s="49">
        <v>22.588018764675564</v>
      </c>
      <c r="B1164" s="49">
        <v>22.673836471592072</v>
      </c>
      <c r="C1164" s="49">
        <v>22.120012897886692</v>
      </c>
      <c r="D1164" s="49">
        <v>22.136976863207398</v>
      </c>
      <c r="E1164" s="49">
        <v>305369477.71740854</v>
      </c>
      <c r="F1164" s="49" t="s">
        <v>1251</v>
      </c>
      <c r="G1164" s="25">
        <f t="shared" si="17"/>
        <v>2.0375045077533516E-2</v>
      </c>
    </row>
    <row r="1165" spans="1:7">
      <c r="A1165" s="49">
        <v>22.021222746901412</v>
      </c>
      <c r="B1165" s="49">
        <v>22.292646192032695</v>
      </c>
      <c r="C1165" s="49">
        <v>21.743812019892232</v>
      </c>
      <c r="D1165" s="49">
        <v>22.15294294821512</v>
      </c>
      <c r="E1165" s="49">
        <v>238445850.57379913</v>
      </c>
      <c r="F1165" s="49" t="s">
        <v>1252</v>
      </c>
      <c r="G1165" s="25">
        <f t="shared" si="17"/>
        <v>-5.9459459459457742E-3</v>
      </c>
    </row>
    <row r="1166" spans="1:7">
      <c r="A1166" s="49">
        <v>22.165915392283896</v>
      </c>
      <c r="B1166" s="49">
        <v>22.42237063272044</v>
      </c>
      <c r="C1166" s="49">
        <v>21.675956158609409</v>
      </c>
      <c r="D1166" s="49">
        <v>21.690924363304148</v>
      </c>
      <c r="E1166" s="49">
        <v>348439622.94508243</v>
      </c>
      <c r="F1166" s="49" t="s">
        <v>1253</v>
      </c>
      <c r="G1166" s="25">
        <f t="shared" si="17"/>
        <v>2.1898146018309861E-2</v>
      </c>
    </row>
    <row r="1167" spans="1:7">
      <c r="A1167" s="49">
        <v>21.746805660831178</v>
      </c>
      <c r="B1167" s="49">
        <v>21.912453792786302</v>
      </c>
      <c r="C1167" s="49">
        <v>21.489352540081651</v>
      </c>
      <c r="D1167" s="49">
        <v>21.706890448311871</v>
      </c>
      <c r="E1167" s="49">
        <v>297930439.28422022</v>
      </c>
      <c r="F1167" s="49" t="s">
        <v>1254</v>
      </c>
      <c r="G1167" s="25">
        <f t="shared" si="17"/>
        <v>1.8388268284834641E-3</v>
      </c>
    </row>
    <row r="1168" spans="1:7">
      <c r="A1168" s="49">
        <v>21.911455912473318</v>
      </c>
      <c r="B1168" s="49">
        <v>21.950373244679643</v>
      </c>
      <c r="C1168" s="49">
        <v>20.905592556986793</v>
      </c>
      <c r="D1168" s="49">
        <v>20.926548043559428</v>
      </c>
      <c r="E1168" s="49">
        <v>577029702.36872876</v>
      </c>
      <c r="F1168" s="49" t="s">
        <v>1255</v>
      </c>
      <c r="G1168" s="25">
        <f t="shared" si="17"/>
        <v>4.7064994516236691E-2</v>
      </c>
    </row>
    <row r="1169" spans="1:7">
      <c r="A1169" s="49">
        <v>20.771876595047114</v>
      </c>
      <c r="B1169" s="49">
        <v>20.820832603202046</v>
      </c>
      <c r="C1169" s="49">
        <v>19.890748278683425</v>
      </c>
      <c r="D1169" s="49">
        <v>19.948625336836418</v>
      </c>
      <c r="E1169" s="49">
        <v>677176712.686324</v>
      </c>
      <c r="F1169" s="49" t="s">
        <v>1256</v>
      </c>
      <c r="G1169" s="25">
        <f t="shared" si="17"/>
        <v>4.1268570856885622E-2</v>
      </c>
    </row>
    <row r="1170" spans="1:7">
      <c r="A1170" s="49">
        <v>19.756034436430763</v>
      </c>
      <c r="B1170" s="49">
        <v>20.451557014579681</v>
      </c>
      <c r="C1170" s="49">
        <v>18.722230432180726</v>
      </c>
      <c r="D1170" s="49">
        <v>19.452678821284035</v>
      </c>
      <c r="E1170" s="49">
        <v>768183077.69673169</v>
      </c>
      <c r="F1170" s="49" t="s">
        <v>1257</v>
      </c>
      <c r="G1170" s="25">
        <f t="shared" si="17"/>
        <v>1.5594541910331383E-2</v>
      </c>
    </row>
    <row r="1171" spans="1:7">
      <c r="A1171" s="49">
        <v>18.999641159189906</v>
      </c>
      <c r="B1171" s="49">
        <v>19.592032806992066</v>
      </c>
      <c r="C1171" s="49">
        <v>18.959725946670599</v>
      </c>
      <c r="D1171" s="49">
        <v>19.458666103161931</v>
      </c>
      <c r="E1171" s="49">
        <v>286520814.45058769</v>
      </c>
      <c r="F1171" s="49" t="s">
        <v>1258</v>
      </c>
      <c r="G1171" s="25">
        <f t="shared" si="17"/>
        <v>-2.3589743589743639E-2</v>
      </c>
    </row>
    <row r="1172" spans="1:7">
      <c r="A1172" s="49">
        <v>19.416755130016661</v>
      </c>
      <c r="B1172" s="49">
        <v>19.728093787667248</v>
      </c>
      <c r="C1172" s="49">
        <v>19.226159990236969</v>
      </c>
      <c r="D1172" s="49">
        <v>19.643273961063723</v>
      </c>
      <c r="E1172" s="49">
        <v>205019427.01775137</v>
      </c>
      <c r="F1172" s="49" t="s">
        <v>1259</v>
      </c>
      <c r="G1172" s="25">
        <f t="shared" si="17"/>
        <v>-1.1531623063246066E-2</v>
      </c>
    </row>
    <row r="1173" spans="1:7">
      <c r="A1173" s="49">
        <v>19.907712244004131</v>
      </c>
      <c r="B1173" s="49">
        <v>20.243997909479287</v>
      </c>
      <c r="C1173" s="49">
        <v>19.411765728451748</v>
      </c>
      <c r="D1173" s="49">
        <v>20.092320101905923</v>
      </c>
      <c r="E1173" s="49">
        <v>211601328.58906147</v>
      </c>
      <c r="F1173" s="49" t="s">
        <v>1260</v>
      </c>
      <c r="G1173" s="25">
        <f t="shared" si="17"/>
        <v>-9.1879811273900547E-3</v>
      </c>
    </row>
    <row r="1174" spans="1:7">
      <c r="A1174" s="49">
        <v>20.145207758494003</v>
      </c>
      <c r="B1174" s="49">
        <v>20.170963049372087</v>
      </c>
      <c r="C1174" s="49">
        <v>19.808922093018847</v>
      </c>
      <c r="D1174" s="49">
        <v>19.86280762991991</v>
      </c>
      <c r="E1174" s="49">
        <v>183451720.22967896</v>
      </c>
      <c r="F1174" s="49" t="s">
        <v>1261</v>
      </c>
      <c r="G1174" s="25">
        <f t="shared" si="17"/>
        <v>1.4217533283094719E-2</v>
      </c>
    </row>
    <row r="1175" spans="1:7">
      <c r="A1175" s="49">
        <v>19.86280762991991</v>
      </c>
      <c r="B1175" s="49">
        <v>19.986534809926628</v>
      </c>
      <c r="C1175" s="49">
        <v>19.578411740719851</v>
      </c>
      <c r="D1175" s="49">
        <v>19.827881818965515</v>
      </c>
      <c r="E1175" s="49">
        <v>152184132.73039329</v>
      </c>
      <c r="F1175" s="49" t="s">
        <v>1262</v>
      </c>
      <c r="G1175" s="25">
        <f t="shared" si="17"/>
        <v>1.761449421238126E-3</v>
      </c>
    </row>
    <row r="1176" spans="1:7">
      <c r="A1176" s="49">
        <v>19.657244285445483</v>
      </c>
      <c r="B1176" s="49">
        <v>20.006502394989415</v>
      </c>
      <c r="C1176" s="49">
        <v>19.388814481253146</v>
      </c>
      <c r="D1176" s="49">
        <v>20.000515113111518</v>
      </c>
      <c r="E1176" s="49">
        <v>186319779.61792919</v>
      </c>
      <c r="F1176" s="49" t="s">
        <v>1263</v>
      </c>
      <c r="G1176" s="25">
        <f t="shared" si="17"/>
        <v>-1.7163099336426679E-2</v>
      </c>
    </row>
    <row r="1177" spans="1:7">
      <c r="A1177" s="49">
        <v>19.893741919622375</v>
      </c>
      <c r="B1177" s="49">
        <v>20.386694794235808</v>
      </c>
      <c r="C1177" s="49">
        <v>19.792496983067153</v>
      </c>
      <c r="D1177" s="49">
        <v>20.278923720433681</v>
      </c>
      <c r="E1177" s="49">
        <v>179618515.03439173</v>
      </c>
      <c r="F1177" s="49" t="s">
        <v>1264</v>
      </c>
      <c r="G1177" s="25">
        <f t="shared" si="17"/>
        <v>-1.8994193484893174E-2</v>
      </c>
    </row>
    <row r="1178" spans="1:7">
      <c r="A1178" s="49">
        <v>20.251980951983146</v>
      </c>
      <c r="B1178" s="49">
        <v>20.464519479845325</v>
      </c>
      <c r="C1178" s="49">
        <v>20.100303144409786</v>
      </c>
      <c r="D1178" s="49">
        <v>20.40266087924353</v>
      </c>
      <c r="E1178" s="49">
        <v>146754172.91506809</v>
      </c>
      <c r="F1178" s="49" t="s">
        <v>1265</v>
      </c>
      <c r="G1178" s="25">
        <f t="shared" si="17"/>
        <v>-7.385307639636185E-3</v>
      </c>
    </row>
    <row r="1179" spans="1:7">
      <c r="A1179" s="49">
        <v>20.322830454204919</v>
      </c>
      <c r="B1179" s="49">
        <v>20.526398038053379</v>
      </c>
      <c r="C1179" s="49">
        <v>20.167161125379621</v>
      </c>
      <c r="D1179" s="49">
        <v>20.480495543656179</v>
      </c>
      <c r="E1179" s="49">
        <v>178875770.64876029</v>
      </c>
      <c r="F1179" s="49" t="s">
        <v>1266</v>
      </c>
      <c r="G1179" s="25">
        <f t="shared" si="17"/>
        <v>-7.6983044240888088E-3</v>
      </c>
    </row>
    <row r="1180" spans="1:7">
      <c r="A1180" s="49">
        <v>20.593256019023219</v>
      </c>
      <c r="B1180" s="49">
        <v>20.689052529069556</v>
      </c>
      <c r="C1180" s="49">
        <v>20.298881326693333</v>
      </c>
      <c r="D1180" s="49">
        <v>20.456546416144594</v>
      </c>
      <c r="E1180" s="49">
        <v>211884498.82132649</v>
      </c>
      <c r="F1180" s="49" t="s">
        <v>1267</v>
      </c>
      <c r="G1180" s="25">
        <f t="shared" si="17"/>
        <v>6.6829268292682986E-3</v>
      </c>
    </row>
    <row r="1181" spans="1:7">
      <c r="A1181" s="49">
        <v>20.231025465410514</v>
      </c>
      <c r="B1181" s="49">
        <v>20.274932199181752</v>
      </c>
      <c r="C1181" s="49">
        <v>19.785970845820245</v>
      </c>
      <c r="D1181" s="49">
        <v>19.947627456523438</v>
      </c>
      <c r="E1181" s="49">
        <v>231800745.02984878</v>
      </c>
      <c r="F1181" s="49" t="s">
        <v>1268</v>
      </c>
      <c r="G1181" s="25">
        <f t="shared" si="17"/>
        <v>1.4207103551775901E-2</v>
      </c>
    </row>
    <row r="1182" spans="1:7">
      <c r="A1182" s="49">
        <v>19.772998401751472</v>
      </c>
      <c r="B1182" s="49">
        <v>20.179135689135414</v>
      </c>
      <c r="C1182" s="49">
        <v>19.179259615526785</v>
      </c>
      <c r="D1182" s="49">
        <v>19.69815737827777</v>
      </c>
      <c r="E1182" s="49">
        <v>302451843.24549711</v>
      </c>
      <c r="F1182" s="49" t="s">
        <v>1269</v>
      </c>
      <c r="G1182" s="25">
        <f t="shared" si="17"/>
        <v>3.7993920972645423E-3</v>
      </c>
    </row>
    <row r="1183" spans="1:7">
      <c r="A1183" s="49">
        <v>19.708136181407596</v>
      </c>
      <c r="B1183" s="49">
        <v>19.91868892744694</v>
      </c>
      <c r="C1183" s="49">
        <v>19.319960739657343</v>
      </c>
      <c r="D1183" s="49">
        <v>19.658242165758463</v>
      </c>
      <c r="E1183" s="49">
        <v>217905862.22716451</v>
      </c>
      <c r="F1183" s="49" t="s">
        <v>1270</v>
      </c>
      <c r="G1183" s="25">
        <f t="shared" si="17"/>
        <v>2.5380710659899108E-3</v>
      </c>
    </row>
    <row r="1184" spans="1:7">
      <c r="A1184" s="49">
        <v>19.457668222848948</v>
      </c>
      <c r="B1184" s="49">
        <v>19.588390543849677</v>
      </c>
      <c r="C1184" s="49">
        <v>19.222168468985039</v>
      </c>
      <c r="D1184" s="49">
        <v>19.376839917497353</v>
      </c>
      <c r="E1184" s="49">
        <v>183887243.40249413</v>
      </c>
      <c r="F1184" s="49" t="s">
        <v>1271</v>
      </c>
      <c r="G1184" s="25">
        <f t="shared" si="17"/>
        <v>4.1713873725408579E-3</v>
      </c>
    </row>
    <row r="1185" spans="1:7">
      <c r="A1185" s="49">
        <v>19.620322713865122</v>
      </c>
      <c r="B1185" s="49">
        <v>19.81091785364481</v>
      </c>
      <c r="C1185" s="49">
        <v>19.287060625738302</v>
      </c>
      <c r="D1185" s="49">
        <v>19.4776258291086</v>
      </c>
      <c r="E1185" s="49">
        <v>191186134.76776204</v>
      </c>
      <c r="F1185" s="49" t="s">
        <v>1272</v>
      </c>
      <c r="G1185" s="25">
        <f t="shared" si="17"/>
        <v>7.326194989497381E-3</v>
      </c>
    </row>
    <row r="1186" spans="1:7">
      <c r="A1186" s="49">
        <v>19.461659744100878</v>
      </c>
      <c r="B1186" s="49">
        <v>19.604356628857399</v>
      </c>
      <c r="C1186" s="49">
        <v>18.954736545105686</v>
      </c>
      <c r="D1186" s="49">
        <v>19.278249342574668</v>
      </c>
      <c r="E1186" s="49">
        <v>202620642.34502321</v>
      </c>
      <c r="F1186" s="49" t="s">
        <v>1273</v>
      </c>
      <c r="G1186" s="25">
        <f t="shared" si="17"/>
        <v>9.5138515052382022E-3</v>
      </c>
    </row>
    <row r="1187" spans="1:7">
      <c r="A1187" s="49">
        <v>19.167285051770996</v>
      </c>
      <c r="B1187" s="49">
        <v>19.580407501345817</v>
      </c>
      <c r="C1187" s="49">
        <v>18.701274945608091</v>
      </c>
      <c r="D1187" s="49">
        <v>19.224164229611006</v>
      </c>
      <c r="E1187" s="49">
        <v>249391211.31285778</v>
      </c>
      <c r="F1187" s="49" t="s">
        <v>1274</v>
      </c>
      <c r="G1187" s="25">
        <f t="shared" si="17"/>
        <v>-2.958733454450968E-3</v>
      </c>
    </row>
    <row r="1188" spans="1:7">
      <c r="A1188" s="49">
        <v>19.253102758687504</v>
      </c>
      <c r="B1188" s="49">
        <v>19.400789045008935</v>
      </c>
      <c r="C1188" s="49">
        <v>18.87390823975409</v>
      </c>
      <c r="D1188" s="49">
        <v>19.27006672400821</v>
      </c>
      <c r="E1188" s="49">
        <v>204376373.9465048</v>
      </c>
      <c r="F1188" s="49" t="s">
        <v>1275</v>
      </c>
      <c r="G1188" s="25">
        <f t="shared" si="17"/>
        <v>-8.8032727461029303E-4</v>
      </c>
    </row>
    <row r="1189" spans="1:7">
      <c r="A1189" s="49">
        <v>19.516543161314928</v>
      </c>
      <c r="B1189" s="49">
        <v>19.658242165758463</v>
      </c>
      <c r="C1189" s="49">
        <v>19.209196024916267</v>
      </c>
      <c r="D1189" s="49">
        <v>19.61468469009677</v>
      </c>
      <c r="E1189" s="49">
        <v>196087624.39168349</v>
      </c>
      <c r="F1189" s="49" t="s">
        <v>1276</v>
      </c>
      <c r="G1189" s="25">
        <f t="shared" si="17"/>
        <v>-5.0034721603958721E-3</v>
      </c>
    </row>
    <row r="1190" spans="1:7">
      <c r="A1190" s="49">
        <v>19.552466852582302</v>
      </c>
      <c r="B1190" s="49">
        <v>19.844845784286221</v>
      </c>
      <c r="C1190" s="49">
        <v>19.235140913053815</v>
      </c>
      <c r="D1190" s="49">
        <v>19.600365107605469</v>
      </c>
      <c r="E1190" s="49">
        <v>324513817.726381</v>
      </c>
      <c r="F1190" s="49" t="s">
        <v>1277</v>
      </c>
      <c r="G1190" s="25">
        <f t="shared" si="17"/>
        <v>-2.4437429996945204E-3</v>
      </c>
    </row>
    <row r="1191" spans="1:7">
      <c r="A1191" s="49">
        <v>19.36885687499349</v>
      </c>
      <c r="B1191" s="49">
        <v>19.485608871612463</v>
      </c>
      <c r="C1191" s="49">
        <v>18.702272825921071</v>
      </c>
      <c r="D1191" s="49">
        <v>18.841976069738646</v>
      </c>
      <c r="E1191" s="49">
        <v>371805471.23034179</v>
      </c>
      <c r="F1191" s="49" t="s">
        <v>1278</v>
      </c>
      <c r="G1191" s="25">
        <f t="shared" si="17"/>
        <v>2.7963139497934497E-2</v>
      </c>
    </row>
    <row r="1192" spans="1:7">
      <c r="A1192" s="49">
        <v>18.572548385233326</v>
      </c>
      <c r="B1192" s="49">
        <v>18.798069335967408</v>
      </c>
      <c r="C1192" s="49">
        <v>18.125498005017093</v>
      </c>
      <c r="D1192" s="49">
        <v>18.690298262165282</v>
      </c>
      <c r="E1192" s="49">
        <v>435609896.64253664</v>
      </c>
      <c r="F1192" s="49" t="s">
        <v>1279</v>
      </c>
      <c r="G1192" s="25">
        <f t="shared" si="17"/>
        <v>-6.3000533902830558E-3</v>
      </c>
    </row>
    <row r="1193" spans="1:7">
      <c r="A1193" s="49">
        <v>18.739942807736174</v>
      </c>
      <c r="B1193" s="49">
        <v>19.001636919815876</v>
      </c>
      <c r="C1193" s="49">
        <v>17.827630731591775</v>
      </c>
      <c r="D1193" s="49">
        <v>17.87727527716266</v>
      </c>
      <c r="E1193" s="49">
        <v>750649902.85364389</v>
      </c>
      <c r="F1193" s="49" t="s">
        <v>1280</v>
      </c>
      <c r="G1193" s="25">
        <f t="shared" si="17"/>
        <v>4.8254978300609874E-2</v>
      </c>
    </row>
    <row r="1194" spans="1:7">
      <c r="A1194" s="49">
        <v>18.12250436407815</v>
      </c>
      <c r="B1194" s="49">
        <v>19.11650292264331</v>
      </c>
      <c r="C1194" s="49">
        <v>18.034690896535675</v>
      </c>
      <c r="D1194" s="49">
        <v>18.990161296216577</v>
      </c>
      <c r="E1194" s="49">
        <v>689684555.39813495</v>
      </c>
      <c r="F1194" s="49" t="s">
        <v>1281</v>
      </c>
      <c r="G1194" s="25">
        <f t="shared" si="17"/>
        <v>-4.5689813720080963E-2</v>
      </c>
    </row>
    <row r="1195" spans="1:7">
      <c r="A1195" s="49">
        <v>18.926047486107439</v>
      </c>
      <c r="B1195" s="49">
        <v>19.804930571766921</v>
      </c>
      <c r="C1195" s="49">
        <v>18.818528377084341</v>
      </c>
      <c r="D1195" s="49">
        <v>19.769755290734281</v>
      </c>
      <c r="E1195" s="49">
        <v>551734023.44652247</v>
      </c>
      <c r="F1195" s="49" t="s">
        <v>1282</v>
      </c>
      <c r="G1195" s="25">
        <f t="shared" si="17"/>
        <v>-4.2676694385907377E-2</v>
      </c>
    </row>
    <row r="1196" spans="1:7">
      <c r="A1196" s="49">
        <v>19.799442230045514</v>
      </c>
      <c r="B1196" s="49">
        <v>20.374470760401778</v>
      </c>
      <c r="C1196" s="49">
        <v>19.710880352268305</v>
      </c>
      <c r="D1196" s="49">
        <v>20.314597941622814</v>
      </c>
      <c r="E1196" s="49">
        <v>380906602.7807321</v>
      </c>
      <c r="F1196" s="49" t="s">
        <v>1283</v>
      </c>
      <c r="G1196" s="25">
        <f t="shared" si="17"/>
        <v>-2.5358892804951405E-2</v>
      </c>
    </row>
    <row r="1197" spans="1:7">
      <c r="A1197" s="49">
        <v>20.207076337898933</v>
      </c>
      <c r="B1197" s="49">
        <v>20.417878554016522</v>
      </c>
      <c r="C1197" s="49">
        <v>20.071367110034075</v>
      </c>
      <c r="D1197" s="49">
        <v>20.357257325002823</v>
      </c>
      <c r="E1197" s="49">
        <v>291323835.35163558</v>
      </c>
      <c r="F1197" s="49" t="s">
        <v>1284</v>
      </c>
      <c r="G1197" s="25">
        <f t="shared" si="17"/>
        <v>-7.3772701649469363E-3</v>
      </c>
    </row>
    <row r="1198" spans="1:7">
      <c r="A1198" s="49">
        <v>20.469019920056883</v>
      </c>
      <c r="B1198" s="49">
        <v>20.48922699639478</v>
      </c>
      <c r="C1198" s="49">
        <v>20.144958288415761</v>
      </c>
      <c r="D1198" s="49">
        <v>20.197097534769107</v>
      </c>
      <c r="E1198" s="49">
        <v>322668716.68966776</v>
      </c>
      <c r="F1198" s="49" t="s">
        <v>1285</v>
      </c>
      <c r="G1198" s="25">
        <f t="shared" si="17"/>
        <v>1.3463438735177968E-2</v>
      </c>
    </row>
    <row r="1199" spans="1:7">
      <c r="A1199" s="49">
        <v>20.007749745380647</v>
      </c>
      <c r="B1199" s="49">
        <v>20.037561419731006</v>
      </c>
      <c r="C1199" s="49">
        <v>19.712377172737778</v>
      </c>
      <c r="D1199" s="49">
        <v>19.920185747916417</v>
      </c>
      <c r="E1199" s="49">
        <v>297252762.8222217</v>
      </c>
      <c r="F1199" s="49" t="s">
        <v>1286</v>
      </c>
      <c r="G1199" s="25">
        <f t="shared" si="17"/>
        <v>4.3957420162805683E-3</v>
      </c>
    </row>
    <row r="1200" spans="1:7">
      <c r="A1200" s="49">
        <v>19.860562399215706</v>
      </c>
      <c r="B1200" s="49">
        <v>20.090324341279963</v>
      </c>
      <c r="C1200" s="49">
        <v>19.658990575993204</v>
      </c>
      <c r="D1200" s="49">
        <v>19.814410434740257</v>
      </c>
      <c r="E1200" s="49">
        <v>504368783.96331686</v>
      </c>
      <c r="F1200" s="49" t="s">
        <v>1287</v>
      </c>
      <c r="G1200" s="25">
        <f t="shared" si="17"/>
        <v>2.3292120967945973E-3</v>
      </c>
    </row>
    <row r="1201" spans="1:7">
      <c r="A1201" s="49">
        <v>20.328568266004574</v>
      </c>
      <c r="B1201" s="49">
        <v>20.830751533513098</v>
      </c>
      <c r="C1201" s="49">
        <v>20.288952417579164</v>
      </c>
      <c r="D1201" s="49">
        <v>20.809297106783973</v>
      </c>
      <c r="E1201" s="49">
        <v>419316098.89097941</v>
      </c>
      <c r="F1201" s="49" t="s">
        <v>1288</v>
      </c>
      <c r="G1201" s="25">
        <f t="shared" si="17"/>
        <v>-2.3101637614788895E-2</v>
      </c>
    </row>
    <row r="1202" spans="1:7">
      <c r="A1202" s="49">
        <v>20.654625658271659</v>
      </c>
      <c r="B1202" s="49">
        <v>20.79782148318467</v>
      </c>
      <c r="C1202" s="49">
        <v>20.307113839275445</v>
      </c>
      <c r="D1202" s="49">
        <v>20.693542990477983</v>
      </c>
      <c r="E1202" s="49">
        <v>447656371.39868182</v>
      </c>
      <c r="F1202" s="49" t="s">
        <v>1289</v>
      </c>
      <c r="G1202" s="25">
        <f t="shared" si="17"/>
        <v>-1.8806509945750172E-3</v>
      </c>
    </row>
    <row r="1203" spans="1:7">
      <c r="A1203" s="49">
        <v>20.443573972075825</v>
      </c>
      <c r="B1203" s="49">
        <v>20.461785287787759</v>
      </c>
      <c r="C1203" s="49">
        <v>20.244746319714029</v>
      </c>
      <c r="D1203" s="49">
        <v>20.396798332404764</v>
      </c>
      <c r="E1203" s="49">
        <v>344126119.66818708</v>
      </c>
      <c r="F1203" s="49" t="s">
        <v>1290</v>
      </c>
      <c r="G1203" s="25">
        <f t="shared" si="17"/>
        <v>2.2932834314857153E-3</v>
      </c>
    </row>
    <row r="1204" spans="1:7">
      <c r="A1204" s="49">
        <v>20.169156886005592</v>
      </c>
      <c r="B1204" s="49">
        <v>20.412639682373364</v>
      </c>
      <c r="C1204" s="49">
        <v>19.97656598559994</v>
      </c>
      <c r="D1204" s="49">
        <v>20.0823412987761</v>
      </c>
      <c r="E1204" s="49">
        <v>481154857.70520616</v>
      </c>
      <c r="F1204" s="49" t="s">
        <v>1291</v>
      </c>
      <c r="G1204" s="25">
        <f t="shared" si="17"/>
        <v>4.3229813664595884E-3</v>
      </c>
    </row>
    <row r="1205" spans="1:7">
      <c r="A1205" s="49">
        <v>19.960100960435724</v>
      </c>
      <c r="B1205" s="49">
        <v>20.119761810512951</v>
      </c>
      <c r="C1205" s="49">
        <v>19.821645067009378</v>
      </c>
      <c r="D1205" s="49">
        <v>19.956733114379411</v>
      </c>
      <c r="E1205" s="49">
        <v>327259848.45205939</v>
      </c>
      <c r="F1205" s="49" t="s">
        <v>1292</v>
      </c>
      <c r="G1205" s="25">
        <f t="shared" si="17"/>
        <v>1.6875738313548716E-4</v>
      </c>
    </row>
    <row r="1206" spans="1:7">
      <c r="A1206" s="49">
        <v>19.984299558025555</v>
      </c>
      <c r="B1206" s="49">
        <v>20.056146940560307</v>
      </c>
      <c r="C1206" s="49">
        <v>19.61520857726109</v>
      </c>
      <c r="D1206" s="49">
        <v>19.840355322877805</v>
      </c>
      <c r="E1206" s="49">
        <v>368414763.99222946</v>
      </c>
      <c r="F1206" s="49" t="s">
        <v>1293</v>
      </c>
      <c r="G1206" s="25">
        <f t="shared" si="17"/>
        <v>7.2551238526341599E-3</v>
      </c>
    </row>
    <row r="1207" spans="1:7">
      <c r="A1207" s="49">
        <v>19.942638054958529</v>
      </c>
      <c r="B1207" s="49">
        <v>20.036189334300651</v>
      </c>
      <c r="C1207" s="49">
        <v>19.278049766512073</v>
      </c>
      <c r="D1207" s="49">
        <v>19.320210209735592</v>
      </c>
      <c r="E1207" s="49">
        <v>496488961.20531785</v>
      </c>
      <c r="F1207" s="49" t="s">
        <v>1294</v>
      </c>
      <c r="G1207" s="25">
        <f t="shared" si="17"/>
        <v>3.2216411646975418E-2</v>
      </c>
    </row>
    <row r="1208" spans="1:7">
      <c r="A1208" s="49">
        <v>18.990660236373067</v>
      </c>
      <c r="B1208" s="49">
        <v>19.304493594806118</v>
      </c>
      <c r="C1208" s="49">
        <v>18.854324838611809</v>
      </c>
      <c r="D1208" s="49">
        <v>19.239631374462242</v>
      </c>
      <c r="E1208" s="49">
        <v>278957222.00186962</v>
      </c>
      <c r="F1208" s="49" t="s">
        <v>1295</v>
      </c>
      <c r="G1208" s="25">
        <f t="shared" si="17"/>
        <v>-1.2940535774487172E-2</v>
      </c>
    </row>
    <row r="1209" spans="1:7">
      <c r="A1209" s="49">
        <v>19.164790350988543</v>
      </c>
      <c r="B1209" s="49">
        <v>19.378835678123323</v>
      </c>
      <c r="C1209" s="49">
        <v>19.047788884291325</v>
      </c>
      <c r="D1209" s="49">
        <v>19.186993187952407</v>
      </c>
      <c r="E1209" s="49">
        <v>321604100.03556758</v>
      </c>
      <c r="F1209" s="49" t="s">
        <v>1296</v>
      </c>
      <c r="G1209" s="25">
        <f t="shared" si="17"/>
        <v>-1.1571816775233223E-3</v>
      </c>
    </row>
    <row r="1210" spans="1:7">
      <c r="A1210" s="49">
        <v>19.01685459458886</v>
      </c>
      <c r="B1210" s="49">
        <v>19.112152164478708</v>
      </c>
      <c r="C1210" s="49">
        <v>18.867671487797953</v>
      </c>
      <c r="D1210" s="49">
        <v>18.96745951909622</v>
      </c>
      <c r="E1210" s="49">
        <v>333063029.37933016</v>
      </c>
      <c r="F1210" s="49" t="s">
        <v>1297</v>
      </c>
      <c r="G1210" s="25">
        <f t="shared" si="17"/>
        <v>2.6042009180464731E-3</v>
      </c>
    </row>
    <row r="1211" spans="1:7">
      <c r="A1211" s="49">
        <v>18.846716001225317</v>
      </c>
      <c r="B1211" s="49">
        <v>18.923552785324983</v>
      </c>
      <c r="C1211" s="49">
        <v>18.346902699460124</v>
      </c>
      <c r="D1211" s="49">
        <v>18.432346201259268</v>
      </c>
      <c r="E1211" s="49">
        <v>581377899.18506896</v>
      </c>
      <c r="F1211" s="49" t="s">
        <v>1298</v>
      </c>
      <c r="G1211" s="25">
        <f t="shared" si="17"/>
        <v>2.2480578188019296E-2</v>
      </c>
    </row>
    <row r="1212" spans="1:7">
      <c r="A1212" s="49">
        <v>18.388189997409786</v>
      </c>
      <c r="B1212" s="49">
        <v>18.49720842160314</v>
      </c>
      <c r="C1212" s="49">
        <v>17.784871560180466</v>
      </c>
      <c r="D1212" s="49">
        <v>18.396173039913645</v>
      </c>
      <c r="E1212" s="49">
        <v>673810427.2147131</v>
      </c>
      <c r="F1212" s="49" t="s">
        <v>1299</v>
      </c>
      <c r="G1212" s="25">
        <f t="shared" si="17"/>
        <v>-4.3395126184875288E-4</v>
      </c>
    </row>
    <row r="1213" spans="1:7">
      <c r="A1213" s="49">
        <v>18.599241683605616</v>
      </c>
      <c r="B1213" s="49">
        <v>19.333931064039103</v>
      </c>
      <c r="C1213" s="49">
        <v>18.544607736469818</v>
      </c>
      <c r="D1213" s="49">
        <v>18.744183799066349</v>
      </c>
      <c r="E1213" s="49">
        <v>970912310.21894336</v>
      </c>
      <c r="F1213" s="49" t="s">
        <v>1300</v>
      </c>
      <c r="G1213" s="25">
        <f t="shared" si="17"/>
        <v>-7.7326448040886397E-3</v>
      </c>
    </row>
    <row r="1214" spans="1:7">
      <c r="A1214" s="49">
        <v>18.617702469395795</v>
      </c>
      <c r="B1214" s="49">
        <v>18.795075695028466</v>
      </c>
      <c r="C1214" s="49">
        <v>17.7186148020992</v>
      </c>
      <c r="D1214" s="49">
        <v>17.736890980031479</v>
      </c>
      <c r="E1214" s="49">
        <v>811374740.50364041</v>
      </c>
      <c r="F1214" s="49" t="s">
        <v>1301</v>
      </c>
      <c r="G1214" s="25">
        <f t="shared" si="17"/>
        <v>4.9659858109064814E-2</v>
      </c>
    </row>
    <row r="1215" spans="1:7">
      <c r="A1215" s="49">
        <v>17.77249784429948</v>
      </c>
      <c r="B1215" s="49">
        <v>17.916619203202785</v>
      </c>
      <c r="C1215" s="49">
        <v>17.547151522620169</v>
      </c>
      <c r="D1215" s="49">
        <v>17.753039178196317</v>
      </c>
      <c r="E1215" s="49">
        <v>307774986.64344907</v>
      </c>
      <c r="F1215" s="49" t="s">
        <v>1302</v>
      </c>
      <c r="G1215" s="25">
        <f t="shared" ref="G1215:G1278" si="18">A1215/D1215-1</f>
        <v>1.0960752076218938E-3</v>
      </c>
    </row>
    <row r="1216" spans="1:7">
      <c r="A1216" s="49">
        <v>17.750793947492106</v>
      </c>
      <c r="B1216" s="49">
        <v>17.978061188773911</v>
      </c>
      <c r="C1216" s="49">
        <v>17.69037229454101</v>
      </c>
      <c r="D1216" s="49">
        <v>17.877025807084415</v>
      </c>
      <c r="E1216" s="49">
        <v>243546682.74152261</v>
      </c>
      <c r="F1216" s="49" t="s">
        <v>1303</v>
      </c>
      <c r="G1216" s="25">
        <f t="shared" si="18"/>
        <v>-7.061121964834105E-3</v>
      </c>
    </row>
    <row r="1217" spans="1:7">
      <c r="A1217" s="49">
        <v>17.980555889556367</v>
      </c>
      <c r="B1217" s="49">
        <v>18.001261906050757</v>
      </c>
      <c r="C1217" s="49">
        <v>17.625312992835319</v>
      </c>
      <c r="D1217" s="49">
        <v>17.868044884267572</v>
      </c>
      <c r="E1217" s="49">
        <v>322056939.91437966</v>
      </c>
      <c r="F1217" s="49" t="s">
        <v>1304</v>
      </c>
      <c r="G1217" s="25">
        <f t="shared" si="18"/>
        <v>6.2967720317210762E-3</v>
      </c>
    </row>
    <row r="1218" spans="1:7">
      <c r="A1218" s="49">
        <v>17.787466048994222</v>
      </c>
      <c r="B1218" s="49">
        <v>17.901199457666419</v>
      </c>
      <c r="C1218" s="49">
        <v>17.406774709591335</v>
      </c>
      <c r="D1218" s="49">
        <v>17.442448930780465</v>
      </c>
      <c r="E1218" s="49">
        <v>417191956.37366253</v>
      </c>
      <c r="F1218" s="49" t="s">
        <v>1305</v>
      </c>
      <c r="G1218" s="25">
        <f t="shared" si="18"/>
        <v>1.9780314082210593E-2</v>
      </c>
    </row>
    <row r="1219" spans="1:7">
      <c r="A1219" s="49">
        <v>17.388064453722912</v>
      </c>
      <c r="B1219" s="49">
        <v>17.454922434692747</v>
      </c>
      <c r="C1219" s="49">
        <v>17.13959475049101</v>
      </c>
      <c r="D1219" s="49">
        <v>17.313223430249209</v>
      </c>
      <c r="E1219" s="49">
        <v>288381718.98577136</v>
      </c>
      <c r="F1219" s="49" t="s">
        <v>1306</v>
      </c>
      <c r="G1219" s="25">
        <f t="shared" si="18"/>
        <v>4.3227665706053742E-3</v>
      </c>
    </row>
    <row r="1220" spans="1:7">
      <c r="A1220" s="49">
        <v>17.321455942831317</v>
      </c>
      <c r="B1220" s="49">
        <v>17.537746500670309</v>
      </c>
      <c r="C1220" s="49">
        <v>17.219173210750593</v>
      </c>
      <c r="D1220" s="49">
        <v>17.478622092126088</v>
      </c>
      <c r="E1220" s="49">
        <v>382468192.86295581</v>
      </c>
      <c r="F1220" s="49" t="s">
        <v>1307</v>
      </c>
      <c r="G1220" s="25">
        <f t="shared" si="18"/>
        <v>-8.9919072834448999E-3</v>
      </c>
    </row>
    <row r="1221" spans="1:7">
      <c r="A1221" s="49">
        <v>17.416005102486427</v>
      </c>
      <c r="B1221" s="49">
        <v>17.580206095773104</v>
      </c>
      <c r="C1221" s="49">
        <v>17.21048885965477</v>
      </c>
      <c r="D1221" s="49">
        <v>17.486090131898681</v>
      </c>
      <c r="E1221" s="49">
        <v>324609051.04540211</v>
      </c>
      <c r="F1221" s="49" t="s">
        <v>1308</v>
      </c>
      <c r="G1221" s="25">
        <f t="shared" si="18"/>
        <v>-4.0080446162406025E-3</v>
      </c>
    </row>
    <row r="1222" spans="1:7">
      <c r="A1222" s="49">
        <v>17.577624672091904</v>
      </c>
      <c r="B1222" s="49">
        <v>17.770670269120668</v>
      </c>
      <c r="C1222" s="49">
        <v>17.152375650213298</v>
      </c>
      <c r="D1222" s="49">
        <v>17.529877063441791</v>
      </c>
      <c r="E1222" s="49">
        <v>577110168.45103347</v>
      </c>
      <c r="F1222" s="49" t="s">
        <v>1309</v>
      </c>
      <c r="G1222" s="25">
        <f t="shared" si="18"/>
        <v>2.7237845694703111E-3</v>
      </c>
    </row>
    <row r="1223" spans="1:7">
      <c r="A1223" s="49">
        <v>17.536970366774476</v>
      </c>
      <c r="B1223" s="49">
        <v>17.619526041989623</v>
      </c>
      <c r="C1223" s="49">
        <v>17.055354025866801</v>
      </c>
      <c r="D1223" s="49">
        <v>17.072314104158732</v>
      </c>
      <c r="E1223" s="49">
        <v>618572896.85922074</v>
      </c>
      <c r="F1223" s="49" t="s">
        <v>1310</v>
      </c>
      <c r="G1223" s="25">
        <f t="shared" si="18"/>
        <v>2.7216946676406062E-2</v>
      </c>
    </row>
    <row r="1224" spans="1:7">
      <c r="A1224" s="49">
        <v>16.929899329089707</v>
      </c>
      <c r="B1224" s="49">
        <v>17.218470072968625</v>
      </c>
      <c r="C1224" s="49">
        <v>16.544057547948242</v>
      </c>
      <c r="D1224" s="49">
        <v>16.661531031411478</v>
      </c>
      <c r="E1224" s="49">
        <v>581372056.79587567</v>
      </c>
      <c r="F1224" s="49" t="s">
        <v>1311</v>
      </c>
      <c r="G1224" s="25">
        <f t="shared" si="18"/>
        <v>1.6107061060131933E-2</v>
      </c>
    </row>
    <row r="1225" spans="1:7">
      <c r="A1225" s="49">
        <v>16.738849035389407</v>
      </c>
      <c r="B1225" s="49">
        <v>16.879136318284456</v>
      </c>
      <c r="C1225" s="49">
        <v>16.197373594627852</v>
      </c>
      <c r="D1225" s="49">
        <v>16.214084260003727</v>
      </c>
      <c r="E1225" s="49">
        <v>595566149.2909857</v>
      </c>
      <c r="F1225" s="49" t="s">
        <v>1312</v>
      </c>
      <c r="G1225" s="25">
        <f t="shared" si="18"/>
        <v>3.2364749496223366E-2</v>
      </c>
    </row>
    <row r="1226" spans="1:7">
      <c r="A1226" s="49">
        <v>16.22630549289056</v>
      </c>
      <c r="B1226" s="49">
        <v>16.34964017988116</v>
      </c>
      <c r="C1226" s="49">
        <v>15.86590382918699</v>
      </c>
      <c r="D1226" s="49">
        <v>16.23179257704383</v>
      </c>
      <c r="E1226" s="49">
        <v>473915913.69146085</v>
      </c>
      <c r="F1226" s="49" t="s">
        <v>1313</v>
      </c>
      <c r="G1226" s="25">
        <f t="shared" si="18"/>
        <v>-3.3804548248295152E-4</v>
      </c>
    </row>
    <row r="1227" spans="1:7">
      <c r="A1227" s="49">
        <v>16.206352459605931</v>
      </c>
      <c r="B1227" s="49">
        <v>16.239250023233964</v>
      </c>
      <c r="C1227" s="49">
        <v>15.464598447249934</v>
      </c>
      <c r="D1227" s="49">
        <v>15.464598447249934</v>
      </c>
      <c r="E1227" s="49">
        <v>646052748.77840018</v>
      </c>
      <c r="F1227" s="49" t="s">
        <v>1314</v>
      </c>
      <c r="G1227" s="25">
        <f t="shared" si="18"/>
        <v>4.7964647442100494E-2</v>
      </c>
    </row>
    <row r="1228" spans="1:7">
      <c r="A1228" s="49">
        <v>15.451628975614927</v>
      </c>
      <c r="B1228" s="49">
        <v>15.713013711643537</v>
      </c>
      <c r="C1228" s="49">
        <v>15.42369472901645</v>
      </c>
      <c r="D1228" s="49">
        <v>15.662881715515914</v>
      </c>
      <c r="E1228" s="49">
        <v>582843913.20893681</v>
      </c>
      <c r="F1228" s="49" t="s">
        <v>1315</v>
      </c>
      <c r="G1228" s="25">
        <f t="shared" si="18"/>
        <v>-1.3487475915221703E-2</v>
      </c>
    </row>
    <row r="1229" spans="1:7">
      <c r="A1229" s="49">
        <v>15.663131128431971</v>
      </c>
      <c r="B1229" s="49">
        <v>15.756660971953659</v>
      </c>
      <c r="C1229" s="49">
        <v>15.549648251625657</v>
      </c>
      <c r="D1229" s="49">
        <v>15.697300697931894</v>
      </c>
      <c r="E1229" s="49">
        <v>371310601.96788543</v>
      </c>
      <c r="F1229" s="49" t="s">
        <v>1316</v>
      </c>
      <c r="G1229" s="25">
        <f t="shared" si="18"/>
        <v>-2.1767799545576727E-3</v>
      </c>
    </row>
    <row r="1230" spans="1:7">
      <c r="A1230" s="49">
        <v>15.611003828975882</v>
      </c>
      <c r="B1230" s="49">
        <v>15.781350356514224</v>
      </c>
      <c r="C1230" s="49">
        <v>15.446141891461654</v>
      </c>
      <c r="D1230" s="49">
        <v>15.728976138271239</v>
      </c>
      <c r="E1230" s="49">
        <v>436431768.33215582</v>
      </c>
      <c r="F1230" s="49" t="s">
        <v>1317</v>
      </c>
      <c r="G1230" s="25">
        <f t="shared" si="18"/>
        <v>-7.5003171381454736E-3</v>
      </c>
    </row>
    <row r="1231" spans="1:7">
      <c r="A1231" s="49">
        <v>15.575337781979615</v>
      </c>
      <c r="B1231" s="49">
        <v>15.70802545332238</v>
      </c>
      <c r="C1231" s="49">
        <v>15.140361656374751</v>
      </c>
      <c r="D1231" s="49">
        <v>15.176775942119194</v>
      </c>
      <c r="E1231" s="49">
        <v>556122161.56374705</v>
      </c>
      <c r="F1231" s="49" t="s">
        <v>1318</v>
      </c>
      <c r="G1231" s="25">
        <f t="shared" si="18"/>
        <v>2.6261298274445455E-2</v>
      </c>
    </row>
    <row r="1232" spans="1:7">
      <c r="A1232" s="49">
        <v>14.956544337240127</v>
      </c>
      <c r="B1232" s="49">
        <v>15.186253632929393</v>
      </c>
      <c r="C1232" s="49">
        <v>14.834471679604782</v>
      </c>
      <c r="D1232" s="49">
        <v>15.128140423487915</v>
      </c>
      <c r="E1232" s="49">
        <v>674576131.25771964</v>
      </c>
      <c r="F1232" s="49" t="s">
        <v>1319</v>
      </c>
      <c r="G1232" s="25">
        <f t="shared" si="18"/>
        <v>-1.1342840656170083E-2</v>
      </c>
    </row>
    <row r="1233" spans="1:7">
      <c r="A1233" s="49">
        <v>14.578184943580393</v>
      </c>
      <c r="B1233" s="49">
        <v>14.649302542465124</v>
      </c>
      <c r="C1233" s="49">
        <v>14.236988074413278</v>
      </c>
      <c r="D1233" s="49">
        <v>14.26891292766868</v>
      </c>
      <c r="E1233" s="49">
        <v>322348903.45998478</v>
      </c>
      <c r="F1233" s="49" t="s">
        <v>1320</v>
      </c>
      <c r="G1233" s="25">
        <f t="shared" si="18"/>
        <v>2.1674532424401205E-2</v>
      </c>
    </row>
    <row r="1234" spans="1:7">
      <c r="A1234" s="49">
        <v>14.03271889616191</v>
      </c>
      <c r="B1234" s="49">
        <v>14.04643660654509</v>
      </c>
      <c r="C1234" s="49">
        <v>13.511445901601038</v>
      </c>
      <c r="D1234" s="49">
        <v>13.534641302794416</v>
      </c>
      <c r="E1234" s="49">
        <v>344809087.51356858</v>
      </c>
      <c r="F1234" s="49" t="s">
        <v>1321</v>
      </c>
      <c r="G1234" s="25">
        <f t="shared" si="18"/>
        <v>3.6800206390741774E-2</v>
      </c>
    </row>
    <row r="1235" spans="1:7">
      <c r="A1235" s="49">
        <v>13.982836312950344</v>
      </c>
      <c r="B1235" s="49">
        <v>14.370423984504217</v>
      </c>
      <c r="C1235" s="49">
        <v>13.971113905895624</v>
      </c>
      <c r="D1235" s="49">
        <v>14.233496293588466</v>
      </c>
      <c r="E1235" s="49">
        <v>186692657.04428408</v>
      </c>
      <c r="F1235" s="49" t="s">
        <v>1322</v>
      </c>
      <c r="G1235" s="25">
        <f t="shared" si="18"/>
        <v>-1.7610569846498891E-2</v>
      </c>
    </row>
    <row r="1236" spans="1:7">
      <c r="A1236" s="49">
        <v>14.132234649668986</v>
      </c>
      <c r="B1236" s="49">
        <v>14.135975843409852</v>
      </c>
      <c r="C1236" s="49">
        <v>13.820967330428809</v>
      </c>
      <c r="D1236" s="49">
        <v>14.123754610523019</v>
      </c>
      <c r="E1236" s="49">
        <v>217491583.26436314</v>
      </c>
      <c r="F1236" s="49" t="s">
        <v>1323</v>
      </c>
      <c r="G1236" s="25">
        <f t="shared" si="18"/>
        <v>6.0040969131880395E-4</v>
      </c>
    </row>
    <row r="1237" spans="1:7">
      <c r="A1237" s="49">
        <v>14.209552653646915</v>
      </c>
      <c r="B1237" s="49">
        <v>14.294457798531322</v>
      </c>
      <c r="C1237" s="49">
        <v>13.716213905684521</v>
      </c>
      <c r="D1237" s="49">
        <v>13.857381616173253</v>
      </c>
      <c r="E1237" s="49">
        <v>259223744.39104056</v>
      </c>
      <c r="F1237" s="49" t="s">
        <v>1324</v>
      </c>
      <c r="G1237" s="25">
        <f t="shared" si="18"/>
        <v>2.5413966882649408E-2</v>
      </c>
    </row>
    <row r="1238" spans="1:7">
      <c r="A1238" s="49">
        <v>13.633159404637262</v>
      </c>
      <c r="B1238" s="49">
        <v>14.04768367112538</v>
      </c>
      <c r="C1238" s="49">
        <v>13.427393748889548</v>
      </c>
      <c r="D1238" s="49">
        <v>14.000794042906508</v>
      </c>
      <c r="E1238" s="49">
        <v>286400043.46621871</v>
      </c>
      <c r="F1238" s="49" t="s">
        <v>1325</v>
      </c>
      <c r="G1238" s="25">
        <f t="shared" si="18"/>
        <v>-2.6258127727799008E-2</v>
      </c>
    </row>
    <row r="1239" spans="1:7">
      <c r="A1239" s="49">
        <v>13.726190422326834</v>
      </c>
      <c r="B1239" s="49">
        <v>14.226762144854904</v>
      </c>
      <c r="C1239" s="49">
        <v>13.677056077863439</v>
      </c>
      <c r="D1239" s="49">
        <v>13.976600990048897</v>
      </c>
      <c r="E1239" s="49">
        <v>304123504.10277605</v>
      </c>
      <c r="F1239" s="49" t="s">
        <v>1326</v>
      </c>
      <c r="G1239" s="25">
        <f t="shared" si="18"/>
        <v>-1.7916413862022029E-2</v>
      </c>
    </row>
    <row r="1240" spans="1:7">
      <c r="A1240" s="49">
        <v>14.272654121409547</v>
      </c>
      <c r="B1240" s="49">
        <v>14.321040227124767</v>
      </c>
      <c r="C1240" s="49">
        <v>13.717710383180867</v>
      </c>
      <c r="D1240" s="49">
        <v>13.792534257998216</v>
      </c>
      <c r="E1240" s="49">
        <v>286257588.935148</v>
      </c>
      <c r="F1240" s="49" t="s">
        <v>1327</v>
      </c>
      <c r="G1240" s="25">
        <f t="shared" si="18"/>
        <v>3.4810126582278444E-2</v>
      </c>
    </row>
    <row r="1241" spans="1:7">
      <c r="A1241" s="49">
        <v>14.232249229008177</v>
      </c>
      <c r="B1241" s="49">
        <v>14.771230540609157</v>
      </c>
      <c r="C1241" s="49">
        <v>14.216536215296534</v>
      </c>
      <c r="D1241" s="49">
        <v>14.75252457190482</v>
      </c>
      <c r="E1241" s="49">
        <v>269536762.8211028</v>
      </c>
      <c r="F1241" s="49" t="s">
        <v>1328</v>
      </c>
      <c r="G1241" s="25">
        <f t="shared" si="18"/>
        <v>-3.5266868417048514E-2</v>
      </c>
    </row>
    <row r="1242" spans="1:7">
      <c r="A1242" s="49">
        <v>14.777465863510603</v>
      </c>
      <c r="B1242" s="49">
        <v>14.935593652291271</v>
      </c>
      <c r="C1242" s="49">
        <v>14.637253404490369</v>
      </c>
      <c r="D1242" s="49">
        <v>14.773475256853677</v>
      </c>
      <c r="E1242" s="49">
        <v>229867125.19212872</v>
      </c>
      <c r="F1242" s="49" t="s">
        <v>1329</v>
      </c>
      <c r="G1242" s="25">
        <f t="shared" si="18"/>
        <v>2.7011969679069381E-4</v>
      </c>
    </row>
    <row r="1243" spans="1:7">
      <c r="A1243" s="49">
        <v>14.488895119631687</v>
      </c>
      <c r="B1243" s="49">
        <v>14.53703181243085</v>
      </c>
      <c r="C1243" s="49">
        <v>14.184701150690913</v>
      </c>
      <c r="D1243" s="49">
        <v>14.461210285949267</v>
      </c>
      <c r="E1243" s="49">
        <v>193836112.27571589</v>
      </c>
      <c r="F1243" s="49" t="s">
        <v>1330</v>
      </c>
      <c r="G1243" s="25">
        <f t="shared" si="18"/>
        <v>1.9144202411134348E-3</v>
      </c>
    </row>
    <row r="1244" spans="1:7">
      <c r="A1244" s="49">
        <v>14.424546587288768</v>
      </c>
      <c r="B1244" s="49">
        <v>14.77871292809089</v>
      </c>
      <c r="C1244" s="49">
        <v>14.353713319128342</v>
      </c>
      <c r="D1244" s="49">
        <v>14.674458329178718</v>
      </c>
      <c r="E1244" s="49">
        <v>292710422.35467631</v>
      </c>
      <c r="F1244" s="49" t="s">
        <v>1331</v>
      </c>
      <c r="G1244" s="25">
        <f t="shared" si="18"/>
        <v>-1.7030389557413872E-2</v>
      </c>
    </row>
    <row r="1245" spans="1:7">
      <c r="A1245" s="49">
        <v>14.317548446299956</v>
      </c>
      <c r="B1245" s="49">
        <v>14.603126235186176</v>
      </c>
      <c r="C1245" s="49">
        <v>13.977351722926233</v>
      </c>
      <c r="D1245" s="49">
        <v>14.602876822270119</v>
      </c>
      <c r="E1245" s="49">
        <v>406278879.22413486</v>
      </c>
      <c r="F1245" s="49" t="s">
        <v>1332</v>
      </c>
      <c r="G1245" s="25">
        <f t="shared" si="18"/>
        <v>-1.9539189396915457E-2</v>
      </c>
    </row>
    <row r="1246" spans="1:7">
      <c r="A1246" s="49">
        <v>14.80190832928427</v>
      </c>
      <c r="B1246" s="49">
        <v>15.210945511619117</v>
      </c>
      <c r="C1246" s="49">
        <v>14.752773984820877</v>
      </c>
      <c r="D1246" s="49">
        <v>15.089481421498952</v>
      </c>
      <c r="E1246" s="49">
        <v>204391820.62319186</v>
      </c>
      <c r="F1246" s="49" t="s">
        <v>1333</v>
      </c>
      <c r="G1246" s="25">
        <f t="shared" si="18"/>
        <v>-1.905785123966941E-2</v>
      </c>
    </row>
    <row r="1247" spans="1:7">
      <c r="A1247" s="49">
        <v>14.974252654280233</v>
      </c>
      <c r="B1247" s="49">
        <v>15.328915326785314</v>
      </c>
      <c r="C1247" s="49">
        <v>14.961782008477341</v>
      </c>
      <c r="D1247" s="49">
        <v>15.138865178878405</v>
      </c>
      <c r="E1247" s="49">
        <v>202385348.75353152</v>
      </c>
      <c r="F1247" s="49" t="s">
        <v>1334</v>
      </c>
      <c r="G1247" s="25">
        <f t="shared" si="18"/>
        <v>-1.0873504893077257E-2</v>
      </c>
    </row>
    <row r="1248" spans="1:7">
      <c r="A1248" s="49">
        <v>15.288762341429162</v>
      </c>
      <c r="B1248" s="49">
        <v>15.400249914907015</v>
      </c>
      <c r="C1248" s="49">
        <v>15.036107057462576</v>
      </c>
      <c r="D1248" s="49">
        <v>15.363835629162571</v>
      </c>
      <c r="E1248" s="49">
        <v>173604160.86053774</v>
      </c>
      <c r="F1248" s="49" t="s">
        <v>1335</v>
      </c>
      <c r="G1248" s="25">
        <f t="shared" si="18"/>
        <v>-4.8863636363636331E-3</v>
      </c>
    </row>
    <row r="1249" spans="1:7">
      <c r="A1249" s="49">
        <v>15.24087506154606</v>
      </c>
      <c r="B1249" s="49">
        <v>15.495775061757163</v>
      </c>
      <c r="C1249" s="49">
        <v>15.179786356016015</v>
      </c>
      <c r="D1249" s="49">
        <v>15.328418995082359</v>
      </c>
      <c r="E1249" s="49">
        <v>209909137.13490334</v>
      </c>
      <c r="F1249" s="49" t="s">
        <v>1336</v>
      </c>
      <c r="G1249" s="25">
        <f t="shared" si="18"/>
        <v>-5.711217416772385E-3</v>
      </c>
    </row>
    <row r="1250" spans="1:7">
      <c r="A1250" s="49">
        <v>15.345628486290348</v>
      </c>
      <c r="B1250" s="49">
        <v>15.633700404337148</v>
      </c>
      <c r="C1250" s="49">
        <v>15.318442478440042</v>
      </c>
      <c r="D1250" s="49">
        <v>15.541916451227863</v>
      </c>
      <c r="E1250" s="49">
        <v>164960382.36632338</v>
      </c>
      <c r="F1250" s="49" t="s">
        <v>1337</v>
      </c>
      <c r="G1250" s="25">
        <f t="shared" si="18"/>
        <v>-1.26295856468851E-2</v>
      </c>
    </row>
    <row r="1251" spans="1:7">
      <c r="A1251" s="49">
        <v>15.441652458972614</v>
      </c>
      <c r="B1251" s="49">
        <v>15.442650110636844</v>
      </c>
      <c r="C1251" s="49">
        <v>15.089481421498952</v>
      </c>
      <c r="D1251" s="49">
        <v>15.149385415677722</v>
      </c>
      <c r="E1251" s="49">
        <v>198262667.31324247</v>
      </c>
      <c r="F1251" s="49" t="s">
        <v>1338</v>
      </c>
      <c r="G1251" s="25">
        <f t="shared" si="18"/>
        <v>1.9292336637790841E-2</v>
      </c>
    </row>
    <row r="1252" spans="1:7">
      <c r="A1252" s="49">
        <v>15.229402067407397</v>
      </c>
      <c r="B1252" s="49">
        <v>15.298863564529505</v>
      </c>
      <c r="C1252" s="49">
        <v>14.865259209962959</v>
      </c>
      <c r="D1252" s="49">
        <v>14.899291602359051</v>
      </c>
      <c r="E1252" s="49">
        <v>228308344.65203089</v>
      </c>
      <c r="F1252" s="49" t="s">
        <v>1339</v>
      </c>
      <c r="G1252" s="25">
        <f t="shared" si="18"/>
        <v>2.2156118146991588E-2</v>
      </c>
    </row>
    <row r="1253" spans="1:7">
      <c r="A1253" s="49">
        <v>14.815376626751393</v>
      </c>
      <c r="B1253" s="49">
        <v>15.402312559722811</v>
      </c>
      <c r="C1253" s="49">
        <v>14.748783378163953</v>
      </c>
      <c r="D1253" s="49">
        <v>15.338894337556786</v>
      </c>
      <c r="E1253" s="49">
        <v>278440150.9659456</v>
      </c>
      <c r="F1253" s="49" t="s">
        <v>1340</v>
      </c>
      <c r="G1253" s="25">
        <f t="shared" si="18"/>
        <v>-3.4130081300812964E-2</v>
      </c>
    </row>
    <row r="1254" spans="1:7">
      <c r="A1254" s="49">
        <v>15.324428388425432</v>
      </c>
      <c r="B1254" s="49">
        <v>15.326423691753895</v>
      </c>
      <c r="C1254" s="49">
        <v>15.06678484613769</v>
      </c>
      <c r="D1254" s="49">
        <v>15.083246098597506</v>
      </c>
      <c r="E1254" s="49">
        <v>217287303.54699603</v>
      </c>
      <c r="F1254" s="49" t="s">
        <v>1341</v>
      </c>
      <c r="G1254" s="25">
        <f t="shared" si="18"/>
        <v>1.5990078544853237E-2</v>
      </c>
    </row>
    <row r="1255" spans="1:7">
      <c r="A1255" s="49">
        <v>15.135622810969652</v>
      </c>
      <c r="B1255" s="49">
        <v>15.46060784059301</v>
      </c>
      <c r="C1255" s="49">
        <v>14.927861851893477</v>
      </c>
      <c r="D1255" s="49">
        <v>15.287265863932815</v>
      </c>
      <c r="E1255" s="49">
        <v>334919543.54372847</v>
      </c>
      <c r="F1255" s="49" t="s">
        <v>1342</v>
      </c>
      <c r="G1255" s="25">
        <f t="shared" si="18"/>
        <v>-9.9195666715611308E-3</v>
      </c>
    </row>
    <row r="1256" spans="1:7">
      <c r="A1256" s="49">
        <v>15.325675453005722</v>
      </c>
      <c r="B1256" s="49">
        <v>15.770378682336839</v>
      </c>
      <c r="C1256" s="49">
        <v>15.197230295365099</v>
      </c>
      <c r="D1256" s="49">
        <v>15.500054987396716</v>
      </c>
      <c r="E1256" s="49">
        <v>405370024.92908531</v>
      </c>
      <c r="F1256" s="49" t="s">
        <v>1343</v>
      </c>
      <c r="G1256" s="25">
        <f t="shared" si="18"/>
        <v>-1.1250252630250923E-2</v>
      </c>
    </row>
    <row r="1257" spans="1:7">
      <c r="A1257" s="49">
        <v>15.87513210708113</v>
      </c>
      <c r="B1257" s="49">
        <v>16.127787391047715</v>
      </c>
      <c r="C1257" s="49">
        <v>15.827993065946199</v>
      </c>
      <c r="D1257" s="49">
        <v>16.015389460426253</v>
      </c>
      <c r="E1257" s="49">
        <v>335996592.81706166</v>
      </c>
      <c r="F1257" s="49" t="s">
        <v>1344</v>
      </c>
      <c r="G1257" s="25">
        <f t="shared" si="18"/>
        <v>-8.7576611041333408E-3</v>
      </c>
    </row>
    <row r="1258" spans="1:7">
      <c r="A1258" s="49">
        <v>16.099354318617124</v>
      </c>
      <c r="B1258" s="49">
        <v>16.176073731596514</v>
      </c>
      <c r="C1258" s="49">
        <v>15.594791989432125</v>
      </c>
      <c r="D1258" s="49">
        <v>15.625719191023295</v>
      </c>
      <c r="E1258" s="49">
        <v>599889421.7864244</v>
      </c>
      <c r="F1258" s="49" t="s">
        <v>1345</v>
      </c>
      <c r="G1258" s="25">
        <f t="shared" si="18"/>
        <v>3.0311252992817339E-2</v>
      </c>
    </row>
    <row r="1259" spans="1:7">
      <c r="A1259" s="49">
        <v>15.241124474462117</v>
      </c>
      <c r="B1259" s="49">
        <v>15.683543081482144</v>
      </c>
      <c r="C1259" s="49">
        <v>15.191740717082665</v>
      </c>
      <c r="D1259" s="49">
        <v>15.588307253614621</v>
      </c>
      <c r="E1259" s="49">
        <v>386409338.8718186</v>
      </c>
      <c r="F1259" s="49" t="s">
        <v>1346</v>
      </c>
      <c r="G1259" s="25">
        <f t="shared" si="18"/>
        <v>-2.2271999999999958E-2</v>
      </c>
    </row>
    <row r="1260" spans="1:7">
      <c r="A1260" s="49">
        <v>15.642679269315227</v>
      </c>
      <c r="B1260" s="49">
        <v>15.663131128431971</v>
      </c>
      <c r="C1260" s="49">
        <v>15.090229660247125</v>
      </c>
      <c r="D1260" s="49">
        <v>15.19573132373959</v>
      </c>
      <c r="E1260" s="49">
        <v>677803590.41550183</v>
      </c>
      <c r="F1260" s="49" t="s">
        <v>1347</v>
      </c>
      <c r="G1260" s="25">
        <f t="shared" si="18"/>
        <v>2.9412730197288406E-2</v>
      </c>
    </row>
    <row r="1261" spans="1:7">
      <c r="A1261" s="49">
        <v>15.173284161294385</v>
      </c>
      <c r="B1261" s="49">
        <v>15.316447175111582</v>
      </c>
      <c r="C1261" s="49">
        <v>14.106046293482915</v>
      </c>
      <c r="D1261" s="49">
        <v>14.25619286894973</v>
      </c>
      <c r="E1261" s="49">
        <v>871368265.2650007</v>
      </c>
      <c r="F1261" s="49" t="s">
        <v>1348</v>
      </c>
      <c r="G1261" s="25">
        <f t="shared" si="18"/>
        <v>6.4329326965132383E-2</v>
      </c>
    </row>
    <row r="1262" spans="1:7">
      <c r="A1262" s="49">
        <v>14.366183964931235</v>
      </c>
      <c r="B1262" s="49">
        <v>14.374165178245086</v>
      </c>
      <c r="C1262" s="49">
        <v>14.141712340479184</v>
      </c>
      <c r="D1262" s="49">
        <v>14.180620755384204</v>
      </c>
      <c r="E1262" s="49">
        <v>195630285.59710169</v>
      </c>
      <c r="F1262" s="49" t="s">
        <v>1349</v>
      </c>
      <c r="G1262" s="25">
        <f t="shared" si="18"/>
        <v>1.3085690164626573E-2</v>
      </c>
    </row>
    <row r="1263" spans="1:7">
      <c r="A1263" s="49">
        <v>14.283378876800032</v>
      </c>
      <c r="B1263" s="49">
        <v>14.437516058923775</v>
      </c>
      <c r="C1263" s="49">
        <v>14.21548119866161</v>
      </c>
      <c r="D1263" s="49">
        <v>14.219279757373171</v>
      </c>
      <c r="E1263" s="49">
        <v>244990239.34202048</v>
      </c>
      <c r="F1263" s="49" t="s">
        <v>1350</v>
      </c>
      <c r="G1263" s="25">
        <f t="shared" si="18"/>
        <v>4.5079019838276668E-3</v>
      </c>
    </row>
    <row r="1264" spans="1:7">
      <c r="A1264" s="49">
        <v>14.110286313055896</v>
      </c>
      <c r="B1264" s="49">
        <v>14.210048985349871</v>
      </c>
      <c r="C1264" s="49">
        <v>13.679300794107961</v>
      </c>
      <c r="D1264" s="49">
        <v>13.848153338279113</v>
      </c>
      <c r="E1264" s="49">
        <v>251875849.06562349</v>
      </c>
      <c r="F1264" s="49" t="s">
        <v>1351</v>
      </c>
      <c r="G1264" s="25">
        <f t="shared" si="18"/>
        <v>1.8929092448174645E-2</v>
      </c>
    </row>
    <row r="1265" spans="1:7">
      <c r="A1265" s="49">
        <v>13.82894854374266</v>
      </c>
      <c r="B1265" s="49">
        <v>14.02112119556522</v>
      </c>
      <c r="C1265" s="49">
        <v>13.741277409619171</v>
      </c>
      <c r="D1265" s="49">
        <v>13.966801556576987</v>
      </c>
      <c r="E1265" s="49">
        <v>192197303.8031618</v>
      </c>
      <c r="F1265" s="49" t="s">
        <v>1352</v>
      </c>
      <c r="G1265" s="25">
        <f t="shared" si="18"/>
        <v>-9.8700487921955515E-3</v>
      </c>
    </row>
    <row r="1266" spans="1:7">
      <c r="A1266" s="49">
        <v>13.954652653435808</v>
      </c>
      <c r="B1266" s="49">
        <v>13.98105301060053</v>
      </c>
      <c r="C1266" s="49">
        <v>13.700750304888935</v>
      </c>
      <c r="D1266" s="49">
        <v>13.834934453728049</v>
      </c>
      <c r="E1266" s="49">
        <v>256273215.55864698</v>
      </c>
      <c r="F1266" s="49" t="s">
        <v>1353</v>
      </c>
      <c r="G1266" s="25">
        <f t="shared" si="18"/>
        <v>8.6533261222281332E-3</v>
      </c>
    </row>
    <row r="1267" spans="1:7">
      <c r="A1267" s="49">
        <v>13.779315373447151</v>
      </c>
      <c r="B1267" s="49">
        <v>13.837428582888625</v>
      </c>
      <c r="C1267" s="49">
        <v>13.479521048345635</v>
      </c>
      <c r="D1267" s="49">
        <v>13.540377799863746</v>
      </c>
      <c r="E1267" s="49">
        <v>309000236.30744648</v>
      </c>
      <c r="F1267" s="49" t="s">
        <v>1354</v>
      </c>
      <c r="G1267" s="25">
        <f t="shared" si="18"/>
        <v>1.764630035550474E-2</v>
      </c>
    </row>
    <row r="1268" spans="1:7">
      <c r="A1268" s="49">
        <v>13.316903827075926</v>
      </c>
      <c r="B1268" s="49">
        <v>13.438866743028209</v>
      </c>
      <c r="C1268" s="49">
        <v>12.952012730883315</v>
      </c>
      <c r="D1268" s="49">
        <v>12.984935235802951</v>
      </c>
      <c r="E1268" s="49">
        <v>315518463.29302502</v>
      </c>
      <c r="F1268" s="49" t="s">
        <v>1355</v>
      </c>
      <c r="G1268" s="25">
        <f t="shared" si="18"/>
        <v>2.5565671699127934E-2</v>
      </c>
    </row>
    <row r="1269" spans="1:7">
      <c r="A1269" s="49">
        <v>12.841522809069696</v>
      </c>
      <c r="B1269" s="49">
        <v>12.944779756317638</v>
      </c>
      <c r="C1269" s="49">
        <v>12.67516439405912</v>
      </c>
      <c r="D1269" s="49">
        <v>12.811792789475602</v>
      </c>
      <c r="E1269" s="49">
        <v>200673729.29633784</v>
      </c>
      <c r="F1269" s="49" t="s">
        <v>1356</v>
      </c>
      <c r="G1269" s="25">
        <f t="shared" si="18"/>
        <v>2.3205198587441522E-3</v>
      </c>
    </row>
    <row r="1270" spans="1:7">
      <c r="A1270" s="49">
        <v>12.917843161383392</v>
      </c>
      <c r="B1270" s="49">
        <v>13.031824864021823</v>
      </c>
      <c r="C1270" s="49">
        <v>12.670176135737965</v>
      </c>
      <c r="D1270" s="49">
        <v>12.79014374836178</v>
      </c>
      <c r="E1270" s="49">
        <v>274163708.44300634</v>
      </c>
      <c r="F1270" s="49" t="s">
        <v>1357</v>
      </c>
      <c r="G1270" s="25">
        <f t="shared" si="18"/>
        <v>9.9842046761959846E-3</v>
      </c>
    </row>
    <row r="1271" spans="1:7">
      <c r="A1271" s="49">
        <v>12.809099129982178</v>
      </c>
      <c r="B1271" s="49">
        <v>12.82605920827411</v>
      </c>
      <c r="C1271" s="49">
        <v>12.344442867366432</v>
      </c>
      <c r="D1271" s="49">
        <v>12.525017818592305</v>
      </c>
      <c r="E1271" s="49">
        <v>364825693.22472739</v>
      </c>
      <c r="F1271" s="49" t="s">
        <v>1358</v>
      </c>
      <c r="G1271" s="25">
        <f t="shared" si="18"/>
        <v>2.2681110358835355E-2</v>
      </c>
    </row>
    <row r="1272" spans="1:7">
      <c r="A1272" s="49">
        <v>12.505813024055852</v>
      </c>
      <c r="B1272" s="49">
        <v>12.684891497785376</v>
      </c>
      <c r="C1272" s="49">
        <v>12.243181223446951</v>
      </c>
      <c r="D1272" s="49">
        <v>12.470146977059581</v>
      </c>
      <c r="E1272" s="49">
        <v>295839289.98645145</v>
      </c>
      <c r="F1272" s="49" t="s">
        <v>1359</v>
      </c>
      <c r="G1272" s="25">
        <f t="shared" si="18"/>
        <v>2.8601144045763416E-3</v>
      </c>
    </row>
    <row r="1273" spans="1:7">
      <c r="A1273" s="49">
        <v>12.613309990876779</v>
      </c>
      <c r="B1273" s="49">
        <v>13.128222956078176</v>
      </c>
      <c r="C1273" s="49">
        <v>12.607074667975333</v>
      </c>
      <c r="D1273" s="49">
        <v>13.120366449222352</v>
      </c>
      <c r="E1273" s="49">
        <v>246417190.30199993</v>
      </c>
      <c r="F1273" s="49" t="s">
        <v>1360</v>
      </c>
      <c r="G1273" s="25">
        <f t="shared" si="18"/>
        <v>-3.864651649082762E-2</v>
      </c>
    </row>
    <row r="1274" spans="1:7">
      <c r="A1274" s="49">
        <v>13.040055490251733</v>
      </c>
      <c r="B1274" s="49">
        <v>13.313162633335059</v>
      </c>
      <c r="C1274" s="49">
        <v>12.990671732872281</v>
      </c>
      <c r="D1274" s="49">
        <v>13.223124570638181</v>
      </c>
      <c r="E1274" s="49">
        <v>222568746.1475651</v>
      </c>
      <c r="F1274" s="49" t="s">
        <v>1361</v>
      </c>
      <c r="G1274" s="25">
        <f t="shared" si="18"/>
        <v>-1.3844615877925737E-2</v>
      </c>
    </row>
    <row r="1275" spans="1:7">
      <c r="A1275" s="49">
        <v>13.155284257470452</v>
      </c>
      <c r="B1275" s="49">
        <v>13.363045216546626</v>
      </c>
      <c r="C1275" s="49">
        <v>12.876440617317792</v>
      </c>
      <c r="D1275" s="49">
        <v>12.882426527303179</v>
      </c>
      <c r="E1275" s="49">
        <v>298504067.77945828</v>
      </c>
      <c r="F1275" s="49" t="s">
        <v>1362</v>
      </c>
      <c r="G1275" s="25">
        <f t="shared" si="18"/>
        <v>2.118061605777255E-2</v>
      </c>
    </row>
    <row r="1276" spans="1:7">
      <c r="A1276" s="49">
        <v>12.815583865799681</v>
      </c>
      <c r="B1276" s="49">
        <v>12.891155979365205</v>
      </c>
      <c r="C1276" s="49">
        <v>12.582881615117723</v>
      </c>
      <c r="D1276" s="49">
        <v>12.720058718949531</v>
      </c>
      <c r="E1276" s="49">
        <v>299911252.32125092</v>
      </c>
      <c r="F1276" s="49" t="s">
        <v>1363</v>
      </c>
      <c r="G1276" s="25">
        <f t="shared" si="18"/>
        <v>7.5098039215686363E-3</v>
      </c>
    </row>
    <row r="1277" spans="1:7">
      <c r="A1277" s="49">
        <v>12.692623298183168</v>
      </c>
      <c r="B1277" s="49">
        <v>13.153039541225931</v>
      </c>
      <c r="C1277" s="49">
        <v>12.687178614225626</v>
      </c>
      <c r="D1277" s="49">
        <v>13.105651087174943</v>
      </c>
      <c r="E1277" s="49">
        <v>294880558.56315756</v>
      </c>
      <c r="F1277" s="49" t="s">
        <v>1364</v>
      </c>
      <c r="G1277" s="25">
        <f t="shared" si="18"/>
        <v>-3.1515243786396807E-2</v>
      </c>
    </row>
    <row r="1278" spans="1:7">
      <c r="A1278" s="49">
        <v>13.309920265426307</v>
      </c>
      <c r="B1278" s="49">
        <v>13.421657251820218</v>
      </c>
      <c r="C1278" s="49">
        <v>12.958996292532936</v>
      </c>
      <c r="D1278" s="49">
        <v>13.009128288660561</v>
      </c>
      <c r="E1278" s="49">
        <v>244438223.02235213</v>
      </c>
      <c r="F1278" s="49" t="s">
        <v>1365</v>
      </c>
      <c r="G1278" s="25">
        <f t="shared" si="18"/>
        <v>2.3121608926551351E-2</v>
      </c>
    </row>
    <row r="1279" spans="1:7">
      <c r="A1279" s="49">
        <v>13.26003768221474</v>
      </c>
      <c r="B1279" s="49">
        <v>13.480768112925924</v>
      </c>
      <c r="C1279" s="49">
        <v>13.085947466806372</v>
      </c>
      <c r="D1279" s="49">
        <v>13.325134453305836</v>
      </c>
      <c r="E1279" s="49">
        <v>272770155.91375643</v>
      </c>
      <c r="F1279" s="49" t="s">
        <v>1366</v>
      </c>
      <c r="G1279" s="25">
        <f t="shared" ref="G1279:G1342" si="19">A1279/D1279-1</f>
        <v>-4.8852618575225826E-3</v>
      </c>
    </row>
    <row r="1280" spans="1:7">
      <c r="A1280" s="49">
        <v>13.160272515791608</v>
      </c>
      <c r="B1280" s="49">
        <v>13.175736116587192</v>
      </c>
      <c r="C1280" s="49">
        <v>12.737143503699492</v>
      </c>
      <c r="D1280" s="49">
        <v>12.834539247420077</v>
      </c>
      <c r="E1280" s="49">
        <v>223044222.72622192</v>
      </c>
      <c r="F1280" s="49" t="s">
        <v>1367</v>
      </c>
      <c r="G1280" s="25">
        <f t="shared" si="19"/>
        <v>2.5379428282710448E-2</v>
      </c>
    </row>
    <row r="1281" spans="1:7">
      <c r="A1281" s="49">
        <v>12.825809795358053</v>
      </c>
      <c r="B1281" s="49">
        <v>12.858482887361626</v>
      </c>
      <c r="C1281" s="49">
        <v>12.560434452672517</v>
      </c>
      <c r="D1281" s="49">
        <v>12.618547662113992</v>
      </c>
      <c r="E1281" s="49">
        <v>244538217.84376794</v>
      </c>
      <c r="F1281" s="49" t="s">
        <v>1368</v>
      </c>
      <c r="G1281" s="25">
        <f t="shared" si="19"/>
        <v>1.6425197161662686E-2</v>
      </c>
    </row>
    <row r="1282" spans="1:7">
      <c r="A1282" s="49">
        <v>12.962986899189861</v>
      </c>
      <c r="B1282" s="49">
        <v>13.015613024478064</v>
      </c>
      <c r="C1282" s="49">
        <v>12.704595118153945</v>
      </c>
      <c r="D1282" s="49">
        <v>12.919589051795798</v>
      </c>
      <c r="E1282" s="49">
        <v>300620237.25593245</v>
      </c>
      <c r="F1282" s="49" t="s">
        <v>1369</v>
      </c>
      <c r="G1282" s="25">
        <f t="shared" si="19"/>
        <v>3.3590733590733723E-3</v>
      </c>
    </row>
    <row r="1283" spans="1:7">
      <c r="A1283" s="49">
        <v>12.438970362552352</v>
      </c>
      <c r="B1283" s="49">
        <v>12.949518601722739</v>
      </c>
      <c r="C1283" s="49">
        <v>12.428245607161864</v>
      </c>
      <c r="D1283" s="49">
        <v>12.810346194562467</v>
      </c>
      <c r="E1283" s="49">
        <v>385281329.92806864</v>
      </c>
      <c r="F1283" s="49" t="s">
        <v>1370</v>
      </c>
      <c r="G1283" s="25">
        <f t="shared" si="19"/>
        <v>-2.8990304115883325E-2</v>
      </c>
    </row>
    <row r="1284" spans="1:7">
      <c r="A1284" s="49">
        <v>12.490848249092382</v>
      </c>
      <c r="B1284" s="49">
        <v>12.587121634690705</v>
      </c>
      <c r="C1284" s="49">
        <v>12.030930831881735</v>
      </c>
      <c r="D1284" s="49">
        <v>12.101764100042159</v>
      </c>
      <c r="E1284" s="49">
        <v>523053826.00855261</v>
      </c>
      <c r="F1284" s="49" t="s">
        <v>1371</v>
      </c>
      <c r="G1284" s="25">
        <f t="shared" si="19"/>
        <v>3.2151027390202369E-2</v>
      </c>
    </row>
    <row r="1285" spans="1:7">
      <c r="A1285" s="49">
        <v>11.56203454969301</v>
      </c>
      <c r="B1285" s="49">
        <v>12.437670487383517</v>
      </c>
      <c r="C1285" s="49">
        <v>11.535356575509388</v>
      </c>
      <c r="D1285" s="49">
        <v>12.416477704153536</v>
      </c>
      <c r="E1285" s="49">
        <v>544577985.56977844</v>
      </c>
      <c r="F1285" s="49" t="s">
        <v>1372</v>
      </c>
      <c r="G1285" s="25">
        <f t="shared" si="19"/>
        <v>-6.881526104417679E-2</v>
      </c>
    </row>
    <row r="1286" spans="1:7">
      <c r="A1286" s="49">
        <v>12.427946739783877</v>
      </c>
      <c r="B1286" s="49">
        <v>12.516208448765211</v>
      </c>
      <c r="C1286" s="49">
        <v>11.64780299005905</v>
      </c>
      <c r="D1286" s="49">
        <v>12.516208448765211</v>
      </c>
      <c r="E1286" s="49">
        <v>544304408.94998848</v>
      </c>
      <c r="F1286" s="49" t="s">
        <v>1373</v>
      </c>
      <c r="G1286" s="25">
        <f t="shared" si="19"/>
        <v>-7.0517928286852882E-3</v>
      </c>
    </row>
    <row r="1287" spans="1:7">
      <c r="A1287" s="49">
        <v>12.336942435325724</v>
      </c>
      <c r="B1287" s="49">
        <v>12.94006411336483</v>
      </c>
      <c r="C1287" s="49">
        <v>12.051213852013277</v>
      </c>
      <c r="D1287" s="49">
        <v>12.766283290878985</v>
      </c>
      <c r="E1287" s="49">
        <v>574893090.62361228</v>
      </c>
      <c r="F1287" s="49" t="s">
        <v>1374</v>
      </c>
      <c r="G1287" s="25">
        <f t="shared" si="19"/>
        <v>-3.3630841942854817E-2</v>
      </c>
    </row>
    <row r="1288" spans="1:7">
      <c r="A1288" s="49">
        <v>12.770272520663454</v>
      </c>
      <c r="B1288" s="49">
        <v>13.415281111439459</v>
      </c>
      <c r="C1288" s="49">
        <v>12.764288675986752</v>
      </c>
      <c r="D1288" s="49">
        <v>13.390099098425011</v>
      </c>
      <c r="E1288" s="49">
        <v>378609707.03691846</v>
      </c>
      <c r="F1288" s="49" t="s">
        <v>1375</v>
      </c>
      <c r="G1288" s="25">
        <f t="shared" si="19"/>
        <v>-4.6289917139930914E-2</v>
      </c>
    </row>
    <row r="1289" spans="1:7">
      <c r="A1289" s="49">
        <v>13.370152949502678</v>
      </c>
      <c r="B1289" s="49">
        <v>13.883018303668218</v>
      </c>
      <c r="C1289" s="49">
        <v>13.359930548179982</v>
      </c>
      <c r="D1289" s="49">
        <v>13.862573501022823</v>
      </c>
      <c r="E1289" s="49">
        <v>264827181.45581907</v>
      </c>
      <c r="F1289" s="49" t="s">
        <v>1376</v>
      </c>
      <c r="G1289" s="25">
        <f t="shared" si="19"/>
        <v>-3.5521582733812895E-2</v>
      </c>
    </row>
    <row r="1290" spans="1:7">
      <c r="A1290" s="49">
        <v>13.804480342286521</v>
      </c>
      <c r="B1290" s="49">
        <v>13.887506187175742</v>
      </c>
      <c r="C1290" s="49">
        <v>13.516754650813224</v>
      </c>
      <c r="D1290" s="49">
        <v>13.837640814869903</v>
      </c>
      <c r="E1290" s="49">
        <v>354136531.6936124</v>
      </c>
      <c r="F1290" s="49" t="s">
        <v>1377</v>
      </c>
      <c r="G1290" s="25">
        <f t="shared" si="19"/>
        <v>-2.3963963963964385E-3</v>
      </c>
    </row>
    <row r="1291" spans="1:7">
      <c r="A1291" s="49">
        <v>13.677572969768168</v>
      </c>
      <c r="B1291" s="49">
        <v>13.81719601222451</v>
      </c>
      <c r="C1291" s="49">
        <v>13.325024787565896</v>
      </c>
      <c r="D1291" s="49">
        <v>13.715470652720603</v>
      </c>
      <c r="E1291" s="49">
        <v>502282823.56708539</v>
      </c>
      <c r="F1291" s="49" t="s">
        <v>1378</v>
      </c>
      <c r="G1291" s="25">
        <f t="shared" si="19"/>
        <v>-2.7631339756406526E-3</v>
      </c>
    </row>
    <row r="1292" spans="1:7">
      <c r="A1292" s="49">
        <v>13.271668839198647</v>
      </c>
      <c r="B1292" s="49">
        <v>14.33604521106675</v>
      </c>
      <c r="C1292" s="49">
        <v>13.180664534740494</v>
      </c>
      <c r="D1292" s="49">
        <v>14.007599456568505</v>
      </c>
      <c r="E1292" s="49">
        <v>826661871.63259923</v>
      </c>
      <c r="F1292" s="49" t="s">
        <v>1379</v>
      </c>
      <c r="G1292" s="25">
        <f t="shared" si="19"/>
        <v>-5.2537954104959983E-2</v>
      </c>
    </row>
    <row r="1293" spans="1:7">
      <c r="A1293" s="49">
        <v>14.459960661246757</v>
      </c>
      <c r="B1293" s="49">
        <v>14.467689793954161</v>
      </c>
      <c r="C1293" s="49">
        <v>13.71896122878201</v>
      </c>
      <c r="D1293" s="49">
        <v>14.084723734645328</v>
      </c>
      <c r="E1293" s="49">
        <v>449529462.29934949</v>
      </c>
      <c r="F1293" s="49" t="s">
        <v>1380</v>
      </c>
      <c r="G1293" s="25">
        <f t="shared" si="19"/>
        <v>2.6641411906321633E-2</v>
      </c>
    </row>
    <row r="1294" spans="1:7">
      <c r="A1294" s="49">
        <v>14.103921902983075</v>
      </c>
      <c r="B1294" s="49">
        <v>14.20041139839487</v>
      </c>
      <c r="C1294" s="49">
        <v>13.353448049780223</v>
      </c>
      <c r="D1294" s="49">
        <v>14.037351630954783</v>
      </c>
      <c r="E1294" s="49">
        <v>392837054.93775719</v>
      </c>
      <c r="F1294" s="49" t="s">
        <v>1381</v>
      </c>
      <c r="G1294" s="25">
        <f t="shared" si="19"/>
        <v>4.7423669206585473E-3</v>
      </c>
    </row>
    <row r="1295" spans="1:7">
      <c r="A1295" s="49">
        <v>14.317096369590532</v>
      </c>
      <c r="B1295" s="49">
        <v>15.092502908946306</v>
      </c>
      <c r="C1295" s="49">
        <v>14.286429165622442</v>
      </c>
      <c r="D1295" s="49">
        <v>14.734968189513451</v>
      </c>
      <c r="E1295" s="49">
        <v>326765393.42898899</v>
      </c>
      <c r="F1295" s="49" t="s">
        <v>1382</v>
      </c>
      <c r="G1295" s="25">
        <f t="shared" si="19"/>
        <v>-2.8359193894989754E-2</v>
      </c>
    </row>
    <row r="1296" spans="1:7">
      <c r="A1296" s="49">
        <v>14.886309594461665</v>
      </c>
      <c r="B1296" s="49">
        <v>15.136132616445297</v>
      </c>
      <c r="C1296" s="49">
        <v>14.806724460261551</v>
      </c>
      <c r="D1296" s="49">
        <v>14.984045724181108</v>
      </c>
      <c r="E1296" s="49">
        <v>272457727.11115468</v>
      </c>
      <c r="F1296" s="49" t="s">
        <v>1383</v>
      </c>
      <c r="G1296" s="25">
        <f t="shared" si="19"/>
        <v>-6.5226796232821238E-3</v>
      </c>
    </row>
    <row r="1297" spans="1:7">
      <c r="A1297" s="49">
        <v>14.789072118465283</v>
      </c>
      <c r="B1297" s="49">
        <v>14.833202972955949</v>
      </c>
      <c r="C1297" s="49">
        <v>14.53575602715163</v>
      </c>
      <c r="D1297" s="49">
        <v>14.689341373853608</v>
      </c>
      <c r="E1297" s="49">
        <v>234712776.79861754</v>
      </c>
      <c r="F1297" s="49" t="s">
        <v>1384</v>
      </c>
      <c r="G1297" s="25">
        <f t="shared" si="19"/>
        <v>6.7893271776766628E-3</v>
      </c>
    </row>
    <row r="1298" spans="1:7">
      <c r="A1298" s="49">
        <v>14.865864791816273</v>
      </c>
      <c r="B1298" s="49">
        <v>15.182527358838648</v>
      </c>
      <c r="C1298" s="49">
        <v>14.740204053605565</v>
      </c>
      <c r="D1298" s="49">
        <v>15.130151265037213</v>
      </c>
      <c r="E1298" s="49">
        <v>276443017.72086167</v>
      </c>
      <c r="F1298" s="49" t="s">
        <v>1385</v>
      </c>
      <c r="G1298" s="25">
        <f t="shared" si="19"/>
        <v>-1.7467536747742485E-2</v>
      </c>
    </row>
    <row r="1299" spans="1:7">
      <c r="A1299" s="49">
        <v>15.288972475831304</v>
      </c>
      <c r="B1299" s="49">
        <v>15.331108715429737</v>
      </c>
      <c r="C1299" s="49">
        <v>14.909746319445411</v>
      </c>
      <c r="D1299" s="49">
        <v>15.02368869516425</v>
      </c>
      <c r="E1299" s="49">
        <v>322828753.81470859</v>
      </c>
      <c r="F1299" s="49" t="s">
        <v>1386</v>
      </c>
      <c r="G1299" s="25">
        <f t="shared" si="19"/>
        <v>1.7657699520387649E-2</v>
      </c>
    </row>
    <row r="1300" spans="1:7">
      <c r="A1300" s="49">
        <v>14.920966028214226</v>
      </c>
      <c r="B1300" s="49">
        <v>15.249965288345063</v>
      </c>
      <c r="C1300" s="49">
        <v>14.735217516374979</v>
      </c>
      <c r="D1300" s="49">
        <v>15.009477064057085</v>
      </c>
      <c r="E1300" s="49">
        <v>375769258.97746581</v>
      </c>
      <c r="F1300" s="49" t="s">
        <v>1387</v>
      </c>
      <c r="G1300" s="25">
        <f t="shared" si="19"/>
        <v>-5.8970099667773335E-3</v>
      </c>
    </row>
    <row r="1301" spans="1:7">
      <c r="A1301" s="49">
        <v>15.209686533865023</v>
      </c>
      <c r="B1301" s="49">
        <v>15.231128643956533</v>
      </c>
      <c r="C1301" s="49">
        <v>14.884813633292492</v>
      </c>
      <c r="D1301" s="49">
        <v>14.939914869690442</v>
      </c>
      <c r="E1301" s="49">
        <v>452044875.18408024</v>
      </c>
      <c r="F1301" s="49" t="s">
        <v>1388</v>
      </c>
      <c r="G1301" s="25">
        <f t="shared" si="19"/>
        <v>1.8057108526226218E-2</v>
      </c>
    </row>
    <row r="1302" spans="1:7">
      <c r="A1302" s="49">
        <v>14.724496461329226</v>
      </c>
      <c r="B1302" s="49">
        <v>14.864867484370157</v>
      </c>
      <c r="C1302" s="49">
        <v>14.302760075052603</v>
      </c>
      <c r="D1302" s="49">
        <v>14.424306920048082</v>
      </c>
      <c r="E1302" s="49">
        <v>486662685.50368589</v>
      </c>
      <c r="F1302" s="49" t="s">
        <v>1389</v>
      </c>
      <c r="G1302" s="25">
        <f t="shared" si="19"/>
        <v>2.0811366739840853E-2</v>
      </c>
    </row>
    <row r="1303" spans="1:7">
      <c r="A1303" s="49">
        <v>14.224845430824731</v>
      </c>
      <c r="B1303" s="49">
        <v>14.543983813582093</v>
      </c>
      <c r="C1303" s="49">
        <v>14.184205152395474</v>
      </c>
      <c r="D1303" s="49">
        <v>14.302012094468015</v>
      </c>
      <c r="E1303" s="49">
        <v>288336481.51298046</v>
      </c>
      <c r="F1303" s="49" t="s">
        <v>1390</v>
      </c>
      <c r="G1303" s="25">
        <f t="shared" si="19"/>
        <v>-5.3955110045762478E-3</v>
      </c>
    </row>
    <row r="1304" spans="1:7">
      <c r="A1304" s="49">
        <v>14.399872887618221</v>
      </c>
      <c r="B1304" s="49">
        <v>14.434778648232308</v>
      </c>
      <c r="C1304" s="49">
        <v>13.690253733945541</v>
      </c>
      <c r="D1304" s="49">
        <v>13.690253733945541</v>
      </c>
      <c r="E1304" s="49">
        <v>435796244.87143439</v>
      </c>
      <c r="F1304" s="49" t="s">
        <v>1391</v>
      </c>
      <c r="G1304" s="25">
        <f t="shared" si="19"/>
        <v>5.1833893473657966E-2</v>
      </c>
    </row>
    <row r="1305" spans="1:7">
      <c r="A1305" s="49">
        <v>13.554405500172747</v>
      </c>
      <c r="B1305" s="49">
        <v>13.700261714167322</v>
      </c>
      <c r="C1305" s="49">
        <v>13.509277338235965</v>
      </c>
      <c r="D1305" s="49">
        <v>13.688044697952392</v>
      </c>
      <c r="E1305" s="49">
        <v>169610324.93905398</v>
      </c>
      <c r="F1305" s="49" t="s">
        <v>1392</v>
      </c>
      <c r="G1305" s="25">
        <f t="shared" si="19"/>
        <v>-9.763205828779653E-3</v>
      </c>
    </row>
    <row r="1306" spans="1:7">
      <c r="A1306" s="49">
        <v>13.627458270600801</v>
      </c>
      <c r="B1306" s="49">
        <v>13.636683364477379</v>
      </c>
      <c r="C1306" s="49">
        <v>13.301949586531368</v>
      </c>
      <c r="D1306" s="49">
        <v>13.494567053405742</v>
      </c>
      <c r="E1306" s="49">
        <v>201882058.3200883</v>
      </c>
      <c r="F1306" s="49" t="s">
        <v>1393</v>
      </c>
      <c r="G1306" s="25">
        <f t="shared" si="19"/>
        <v>9.847757002439117E-3</v>
      </c>
    </row>
    <row r="1307" spans="1:7">
      <c r="A1307" s="49">
        <v>13.494068399682684</v>
      </c>
      <c r="B1307" s="49">
        <v>13.894238012437029</v>
      </c>
      <c r="C1307" s="49">
        <v>13.480106095437048</v>
      </c>
      <c r="D1307" s="49">
        <v>13.599284335248003</v>
      </c>
      <c r="E1307" s="49">
        <v>246071841.69290876</v>
      </c>
      <c r="F1307" s="49" t="s">
        <v>1394</v>
      </c>
      <c r="G1307" s="25">
        <f t="shared" si="19"/>
        <v>-7.7368729832796301E-3</v>
      </c>
    </row>
    <row r="1308" spans="1:7">
      <c r="A1308" s="49">
        <v>13.520247720143248</v>
      </c>
      <c r="B1308" s="49">
        <v>13.535456658696528</v>
      </c>
      <c r="C1308" s="49">
        <v>13.249725582115465</v>
      </c>
      <c r="D1308" s="49">
        <v>13.362673143656803</v>
      </c>
      <c r="E1308" s="49">
        <v>221033424.40521032</v>
      </c>
      <c r="F1308" s="49" t="s">
        <v>1395</v>
      </c>
      <c r="G1308" s="25">
        <f t="shared" si="19"/>
        <v>1.1792144789625869E-2</v>
      </c>
    </row>
    <row r="1309" spans="1:7">
      <c r="A1309" s="49">
        <v>13.201358664247419</v>
      </c>
      <c r="B1309" s="49">
        <v>13.23501779055386</v>
      </c>
      <c r="C1309" s="49">
        <v>12.868008650382894</v>
      </c>
      <c r="D1309" s="49">
        <v>13.018190685425001</v>
      </c>
      <c r="E1309" s="49">
        <v>217790733.28464147</v>
      </c>
      <c r="F1309" s="49" t="s">
        <v>1396</v>
      </c>
      <c r="G1309" s="25">
        <f t="shared" si="19"/>
        <v>1.4070156387207433E-2</v>
      </c>
    </row>
    <row r="1310" spans="1:7">
      <c r="A1310" s="49">
        <v>12.954774398195052</v>
      </c>
      <c r="B1310" s="49">
        <v>13.29884546710533</v>
      </c>
      <c r="C1310" s="49">
        <v>12.876740077073645</v>
      </c>
      <c r="D1310" s="49">
        <v>13.039794857976505</v>
      </c>
      <c r="E1310" s="49">
        <v>272285182.52556068</v>
      </c>
      <c r="F1310" s="49" t="s">
        <v>1397</v>
      </c>
      <c r="G1310" s="25">
        <f t="shared" si="19"/>
        <v>-6.5200764818355017E-3</v>
      </c>
    </row>
    <row r="1311" spans="1:7">
      <c r="A1311" s="49">
        <v>13.015859479269702</v>
      </c>
      <c r="B1311" s="49">
        <v>13.303832004335915</v>
      </c>
      <c r="C1311" s="49">
        <v>12.925603155396136</v>
      </c>
      <c r="D1311" s="49">
        <v>12.961256896594811</v>
      </c>
      <c r="E1311" s="49">
        <v>228932372.74924767</v>
      </c>
      <c r="F1311" s="49" t="s">
        <v>1398</v>
      </c>
      <c r="G1311" s="25">
        <f t="shared" si="19"/>
        <v>4.212753678945802E-3</v>
      </c>
    </row>
    <row r="1312" spans="1:7">
      <c r="A1312" s="49">
        <v>12.882968262074646</v>
      </c>
      <c r="B1312" s="49">
        <v>13.197120107601419</v>
      </c>
      <c r="C1312" s="49">
        <v>12.759302138756169</v>
      </c>
      <c r="D1312" s="49">
        <v>13.194377512124602</v>
      </c>
      <c r="E1312" s="49">
        <v>372275211.06519133</v>
      </c>
      <c r="F1312" s="49" t="s">
        <v>1399</v>
      </c>
      <c r="G1312" s="25">
        <f t="shared" si="19"/>
        <v>-2.3601662887377195E-2</v>
      </c>
    </row>
    <row r="1313" spans="1:7">
      <c r="A1313" s="49">
        <v>13.399074865440063</v>
      </c>
      <c r="B1313" s="49">
        <v>13.608010775401521</v>
      </c>
      <c r="C1313" s="49">
        <v>13.351453434887988</v>
      </c>
      <c r="D1313" s="49">
        <v>13.543873933541754</v>
      </c>
      <c r="E1313" s="49">
        <v>164423118.10515013</v>
      </c>
      <c r="F1313" s="49" t="s">
        <v>1400</v>
      </c>
      <c r="G1313" s="25">
        <f t="shared" si="19"/>
        <v>-1.0691111628194583E-2</v>
      </c>
    </row>
    <row r="1314" spans="1:7">
      <c r="A1314" s="49">
        <v>13.616487888693515</v>
      </c>
      <c r="B1314" s="49">
        <v>13.791266018625475</v>
      </c>
      <c r="C1314" s="49">
        <v>13.200840064375438</v>
      </c>
      <c r="D1314" s="49">
        <v>13.744641895519516</v>
      </c>
      <c r="E1314" s="49">
        <v>251789115.7614035</v>
      </c>
      <c r="F1314" s="49" t="s">
        <v>1401</v>
      </c>
      <c r="G1314" s="25">
        <f t="shared" si="19"/>
        <v>-9.3239247555643168E-3</v>
      </c>
    </row>
    <row r="1315" spans="1:7">
      <c r="A1315" s="49">
        <v>13.675578354875933</v>
      </c>
      <c r="B1315" s="49">
        <v>13.804462889406215</v>
      </c>
      <c r="C1315" s="49">
        <v>13.590557895094481</v>
      </c>
      <c r="D1315" s="49">
        <v>13.703091574045679</v>
      </c>
      <c r="E1315" s="49">
        <v>247484926.49989316</v>
      </c>
      <c r="F1315" s="49" t="s">
        <v>1402</v>
      </c>
      <c r="G1315" s="25">
        <f t="shared" si="19"/>
        <v>-2.0078110856280862E-3</v>
      </c>
    </row>
    <row r="1316" spans="1:7">
      <c r="A1316" s="49">
        <v>13.83016100902403</v>
      </c>
      <c r="B1316" s="49">
        <v>13.961663475600368</v>
      </c>
      <c r="C1316" s="49">
        <v>13.2173180766539</v>
      </c>
      <c r="D1316" s="49">
        <v>13.382474682999449</v>
      </c>
      <c r="E1316" s="49">
        <v>339253057.13639706</v>
      </c>
      <c r="F1316" s="49" t="s">
        <v>1403</v>
      </c>
      <c r="G1316" s="25">
        <f t="shared" si="19"/>
        <v>3.3453179372967767E-2</v>
      </c>
    </row>
    <row r="1317" spans="1:7">
      <c r="A1317" s="49">
        <v>13.329761997934948</v>
      </c>
      <c r="B1317" s="49">
        <v>13.394337655071009</v>
      </c>
      <c r="C1317" s="49">
        <v>13.021593997084873</v>
      </c>
      <c r="D1317" s="49">
        <v>13.076445906621295</v>
      </c>
      <c r="E1317" s="49">
        <v>259268975.68729311</v>
      </c>
      <c r="F1317" s="49" t="s">
        <v>1404</v>
      </c>
      <c r="G1317" s="25">
        <f t="shared" si="19"/>
        <v>1.9371937384407012E-2</v>
      </c>
    </row>
    <row r="1318" spans="1:7">
      <c r="A1318" s="49">
        <v>12.990178812532196</v>
      </c>
      <c r="B1318" s="49">
        <v>13.058726246572416</v>
      </c>
      <c r="C1318" s="49">
        <v>12.809416837923536</v>
      </c>
      <c r="D1318" s="49">
        <v>12.981203045517145</v>
      </c>
      <c r="E1318" s="49">
        <v>226797544.60944977</v>
      </c>
      <c r="F1318" s="49" t="s">
        <v>1405</v>
      </c>
      <c r="G1318" s="25">
        <f t="shared" si="19"/>
        <v>6.9144338807269889E-4</v>
      </c>
    </row>
    <row r="1319" spans="1:7">
      <c r="A1319" s="49">
        <v>12.824875103338345</v>
      </c>
      <c r="B1319" s="49">
        <v>13.28937104636722</v>
      </c>
      <c r="C1319" s="49">
        <v>12.813904721431062</v>
      </c>
      <c r="D1319" s="49">
        <v>13.192382897232367</v>
      </c>
      <c r="E1319" s="49">
        <v>278531240.37287247</v>
      </c>
      <c r="F1319" s="49" t="s">
        <v>1406</v>
      </c>
      <c r="G1319" s="25">
        <f t="shared" si="19"/>
        <v>-2.7857574841245847E-2</v>
      </c>
    </row>
    <row r="1320" spans="1:7">
      <c r="A1320" s="49">
        <v>13.164707615602627</v>
      </c>
      <c r="B1320" s="49">
        <v>13.563131940326269</v>
      </c>
      <c r="C1320" s="49">
        <v>13.145010793541822</v>
      </c>
      <c r="D1320" s="49">
        <v>13.53844858103488</v>
      </c>
      <c r="E1320" s="49">
        <v>283884654.729487</v>
      </c>
      <c r="F1320" s="49" t="s">
        <v>1407</v>
      </c>
      <c r="G1320" s="25">
        <f t="shared" si="19"/>
        <v>-2.7605893186003705E-2</v>
      </c>
    </row>
    <row r="1321" spans="1:7">
      <c r="A1321" s="49">
        <v>13.495315033990329</v>
      </c>
      <c r="B1321" s="49">
        <v>13.588311460072102</v>
      </c>
      <c r="C1321" s="49">
        <v>13.348962659541311</v>
      </c>
      <c r="D1321" s="49">
        <v>13.453642542354341</v>
      </c>
      <c r="E1321" s="49">
        <v>210595479.67659816</v>
      </c>
      <c r="F1321" s="49" t="s">
        <v>1408</v>
      </c>
      <c r="G1321" s="25">
        <f t="shared" si="19"/>
        <v>3.0974876510057037E-3</v>
      </c>
    </row>
    <row r="1322" spans="1:7">
      <c r="A1322" s="49">
        <v>13.448441584022842</v>
      </c>
      <c r="B1322" s="49">
        <v>13.717465267612834</v>
      </c>
      <c r="C1322" s="49">
        <v>13.309067868428025</v>
      </c>
      <c r="D1322" s="49">
        <v>13.715470652720603</v>
      </c>
      <c r="E1322" s="49">
        <v>292264658.34075218</v>
      </c>
      <c r="F1322" s="49" t="s">
        <v>1409</v>
      </c>
      <c r="G1322" s="25">
        <f t="shared" si="19"/>
        <v>-1.9469187420469103E-2</v>
      </c>
    </row>
    <row r="1323" spans="1:7">
      <c r="A1323" s="49">
        <v>13.584823377279308</v>
      </c>
      <c r="B1323" s="49">
        <v>13.923409255235946</v>
      </c>
      <c r="C1323" s="49">
        <v>13.326520748735069</v>
      </c>
      <c r="D1323" s="49">
        <v>13.382619292579138</v>
      </c>
      <c r="E1323" s="49">
        <v>520430086.04915184</v>
      </c>
      <c r="F1323" s="49" t="s">
        <v>1410</v>
      </c>
      <c r="G1323" s="25">
        <f t="shared" si="19"/>
        <v>1.5109455053563092E-2</v>
      </c>
    </row>
    <row r="1324" spans="1:7">
      <c r="A1324" s="49">
        <v>13.24100163523056</v>
      </c>
      <c r="B1324" s="49">
        <v>13.384860741064283</v>
      </c>
      <c r="C1324" s="49">
        <v>13.00688371225465</v>
      </c>
      <c r="D1324" s="49">
        <v>13.326520748735069</v>
      </c>
      <c r="E1324" s="49">
        <v>293318375.53106481</v>
      </c>
      <c r="F1324" s="49" t="s">
        <v>1411</v>
      </c>
      <c r="G1324" s="25">
        <f t="shared" si="19"/>
        <v>-6.4172123479885324E-3</v>
      </c>
    </row>
    <row r="1325" spans="1:7">
      <c r="A1325" s="49">
        <v>13.308070560981911</v>
      </c>
      <c r="B1325" s="49">
        <v>13.34172968728835</v>
      </c>
      <c r="C1325" s="49">
        <v>12.851804897652112</v>
      </c>
      <c r="D1325" s="49">
        <v>12.932584307518955</v>
      </c>
      <c r="E1325" s="49">
        <v>462727398.45359248</v>
      </c>
      <c r="F1325" s="49" t="s">
        <v>1412</v>
      </c>
      <c r="G1325" s="25">
        <f t="shared" si="19"/>
        <v>2.9034123770965925E-2</v>
      </c>
    </row>
    <row r="1326" spans="1:7">
      <c r="A1326" s="49">
        <v>12.580534779039741</v>
      </c>
      <c r="B1326" s="49">
        <v>13.209337123816351</v>
      </c>
      <c r="C1326" s="49">
        <v>12.552111516825413</v>
      </c>
      <c r="D1326" s="49">
        <v>13.186897706278724</v>
      </c>
      <c r="E1326" s="49">
        <v>581990039.54097903</v>
      </c>
      <c r="F1326" s="49" t="s">
        <v>1413</v>
      </c>
      <c r="G1326" s="25">
        <f t="shared" si="19"/>
        <v>-4.5982227264133035E-2</v>
      </c>
    </row>
    <row r="1327" spans="1:7">
      <c r="A1327" s="49">
        <v>13.368656988333504</v>
      </c>
      <c r="B1327" s="49">
        <v>13.407302651870527</v>
      </c>
      <c r="C1327" s="49">
        <v>13.051762547329906</v>
      </c>
      <c r="D1327" s="49">
        <v>13.064478217267894</v>
      </c>
      <c r="E1327" s="49">
        <v>323631314.75328028</v>
      </c>
      <c r="F1327" s="49" t="s">
        <v>1414</v>
      </c>
      <c r="G1327" s="25">
        <f t="shared" si="19"/>
        <v>2.3282887077997749E-2</v>
      </c>
    </row>
    <row r="1328" spans="1:7">
      <c r="A1328" s="49">
        <v>13.078191194651998</v>
      </c>
      <c r="B1328" s="49">
        <v>13.615737414840313</v>
      </c>
      <c r="C1328" s="49">
        <v>12.92759777028837</v>
      </c>
      <c r="D1328" s="49">
        <v>13.068966100775418</v>
      </c>
      <c r="E1328" s="49">
        <v>562155433.79625833</v>
      </c>
      <c r="F1328" s="49" t="s">
        <v>1415</v>
      </c>
      <c r="G1328" s="25">
        <f t="shared" si="19"/>
        <v>7.0587786405185149E-4</v>
      </c>
    </row>
    <row r="1329" spans="1:7">
      <c r="A1329" s="49">
        <v>13.01984870905417</v>
      </c>
      <c r="B1329" s="49">
        <v>13.115714887312141</v>
      </c>
      <c r="C1329" s="49">
        <v>12.880225666597825</v>
      </c>
      <c r="D1329" s="49">
        <v>13.101129265912686</v>
      </c>
      <c r="E1329" s="49">
        <v>192943911.87917978</v>
      </c>
      <c r="F1329" s="49" t="s">
        <v>1416</v>
      </c>
      <c r="G1329" s="25">
        <f t="shared" si="19"/>
        <v>-6.2040878468390126E-3</v>
      </c>
    </row>
    <row r="1330" spans="1:7">
      <c r="A1330" s="49">
        <v>13.110354359789266</v>
      </c>
      <c r="B1330" s="49">
        <v>13.178171266125203</v>
      </c>
      <c r="C1330" s="49">
        <v>12.862024805706193</v>
      </c>
      <c r="D1330" s="49">
        <v>12.955332890364875</v>
      </c>
      <c r="E1330" s="49">
        <v>226005692.50499097</v>
      </c>
      <c r="F1330" s="49" t="s">
        <v>1417</v>
      </c>
      <c r="G1330" s="25">
        <f t="shared" si="19"/>
        <v>1.1965842231632884E-2</v>
      </c>
    </row>
    <row r="1331" spans="1:7">
      <c r="A1331" s="49">
        <v>12.908399601950624</v>
      </c>
      <c r="B1331" s="49">
        <v>13.037301589361212</v>
      </c>
      <c r="C1331" s="49">
        <v>12.807671549892833</v>
      </c>
      <c r="D1331" s="49">
        <v>12.890198741058992</v>
      </c>
      <c r="E1331" s="49">
        <v>170832134.72774512</v>
      </c>
      <c r="F1331" s="49" t="s">
        <v>1418</v>
      </c>
      <c r="G1331" s="25">
        <f t="shared" si="19"/>
        <v>1.4119922630562165E-3</v>
      </c>
    </row>
    <row r="1332" spans="1:7">
      <c r="A1332" s="49">
        <v>12.865266054906073</v>
      </c>
      <c r="B1332" s="49">
        <v>13.027328514900045</v>
      </c>
      <c r="C1332" s="49">
        <v>12.728809463591148</v>
      </c>
      <c r="D1332" s="49">
        <v>13.027328514900045</v>
      </c>
      <c r="E1332" s="49">
        <v>213139529.66828245</v>
      </c>
      <c r="F1332" s="49" t="s">
        <v>1419</v>
      </c>
      <c r="G1332" s="25">
        <f t="shared" si="19"/>
        <v>-1.2440191387559807E-2</v>
      </c>
    </row>
    <row r="1333" spans="1:7">
      <c r="A1333" s="49">
        <v>12.958763627979518</v>
      </c>
      <c r="B1333" s="49">
        <v>13.097140036128216</v>
      </c>
      <c r="C1333" s="49">
        <v>12.903911718443096</v>
      </c>
      <c r="D1333" s="49">
        <v>13.002146501885598</v>
      </c>
      <c r="E1333" s="49">
        <v>98147788.208272591</v>
      </c>
      <c r="F1333" s="49" t="s">
        <v>1420</v>
      </c>
      <c r="G1333" s="25">
        <f t="shared" si="19"/>
        <v>-3.3365932232641837E-3</v>
      </c>
    </row>
    <row r="1334" spans="1:7">
      <c r="A1334" s="49">
        <v>12.974221893394327</v>
      </c>
      <c r="B1334" s="49">
        <v>13.239256347199854</v>
      </c>
      <c r="C1334" s="49">
        <v>12.969983336748333</v>
      </c>
      <c r="D1334" s="49">
        <v>13.220307505723635</v>
      </c>
      <c r="E1334" s="49">
        <v>179626413.79800612</v>
      </c>
      <c r="F1334" s="49" t="s">
        <v>1421</v>
      </c>
      <c r="G1334" s="25">
        <f t="shared" si="19"/>
        <v>-1.8614212432106259E-2</v>
      </c>
    </row>
    <row r="1335" spans="1:7">
      <c r="A1335" s="49">
        <v>13.242497596399733</v>
      </c>
      <c r="B1335" s="49">
        <v>13.301336242452008</v>
      </c>
      <c r="C1335" s="49">
        <v>13.01873172471452</v>
      </c>
      <c r="D1335" s="49">
        <v>13.28338720169052</v>
      </c>
      <c r="E1335" s="49">
        <v>186817897.2547138</v>
      </c>
      <c r="F1335" s="49" t="s">
        <v>1422</v>
      </c>
      <c r="G1335" s="25">
        <f t="shared" si="19"/>
        <v>-3.0782514030444075E-3</v>
      </c>
    </row>
    <row r="1336" spans="1:7">
      <c r="A1336" s="49">
        <v>13.296352198490037</v>
      </c>
      <c r="B1336" s="49">
        <v>13.334000554580944</v>
      </c>
      <c r="C1336" s="49">
        <v>12.932584307518955</v>
      </c>
      <c r="D1336" s="49">
        <v>13.039545531114975</v>
      </c>
      <c r="E1336" s="49">
        <v>303148403.41080487</v>
      </c>
      <c r="F1336" s="49" t="s">
        <v>1423</v>
      </c>
      <c r="G1336" s="25">
        <f t="shared" si="19"/>
        <v>1.9694449224650468E-2</v>
      </c>
    </row>
    <row r="1337" spans="1:7">
      <c r="A1337" s="49">
        <v>13.236264424861504</v>
      </c>
      <c r="B1337" s="49">
        <v>13.368906315195034</v>
      </c>
      <c r="C1337" s="49">
        <v>13.03530697446898</v>
      </c>
      <c r="D1337" s="49">
        <v>13.342976321595996</v>
      </c>
      <c r="E1337" s="49">
        <v>342988154.08619356</v>
      </c>
      <c r="F1337" s="49" t="s">
        <v>1424</v>
      </c>
      <c r="G1337" s="25">
        <f t="shared" si="19"/>
        <v>-7.9976081919425068E-3</v>
      </c>
    </row>
    <row r="1338" spans="1:7">
      <c r="A1338" s="49">
        <v>13.305327965505088</v>
      </c>
      <c r="B1338" s="49">
        <v>13.343474975319053</v>
      </c>
      <c r="C1338" s="49">
        <v>13.143016178649587</v>
      </c>
      <c r="D1338" s="49">
        <v>13.330759305381065</v>
      </c>
      <c r="E1338" s="49">
        <v>232008575.59115529</v>
      </c>
      <c r="F1338" s="49" t="s">
        <v>1425</v>
      </c>
      <c r="G1338" s="25">
        <f t="shared" si="19"/>
        <v>-1.9077187798081097E-3</v>
      </c>
    </row>
    <row r="1339" spans="1:7">
      <c r="A1339" s="49">
        <v>13.206843855201061</v>
      </c>
      <c r="B1339" s="49">
        <v>13.401069480332296</v>
      </c>
      <c r="C1339" s="49">
        <v>13.176924631817558</v>
      </c>
      <c r="D1339" s="49">
        <v>13.38635670223346</v>
      </c>
      <c r="E1339" s="49">
        <v>223717050.21229839</v>
      </c>
      <c r="F1339" s="49" t="s">
        <v>1426</v>
      </c>
      <c r="G1339" s="25">
        <f t="shared" si="19"/>
        <v>-1.341013473833752E-2</v>
      </c>
    </row>
    <row r="1340" spans="1:7">
      <c r="A1340" s="49">
        <v>13.324526133842836</v>
      </c>
      <c r="B1340" s="49">
        <v>13.427747454515918</v>
      </c>
      <c r="C1340" s="49">
        <v>13.151243965080052</v>
      </c>
      <c r="D1340" s="49">
        <v>13.403562748947589</v>
      </c>
      <c r="E1340" s="49">
        <v>194008297.79561234</v>
      </c>
      <c r="F1340" s="49" t="s">
        <v>1427</v>
      </c>
      <c r="G1340" s="25">
        <f t="shared" si="19"/>
        <v>-5.8966870663517135E-3</v>
      </c>
    </row>
    <row r="1341" spans="1:7">
      <c r="A1341" s="49">
        <v>13.272915473506295</v>
      </c>
      <c r="B1341" s="49">
        <v>13.352700069195633</v>
      </c>
      <c r="C1341" s="49">
        <v>13.042288126591796</v>
      </c>
      <c r="D1341" s="49">
        <v>13.052635191345257</v>
      </c>
      <c r="E1341" s="49">
        <v>270887258.53990459</v>
      </c>
      <c r="F1341" s="49" t="s">
        <v>1428</v>
      </c>
      <c r="G1341" s="25">
        <f t="shared" si="19"/>
        <v>1.6876307269132695E-2</v>
      </c>
    </row>
    <row r="1342" spans="1:7">
      <c r="A1342" s="49">
        <v>12.978211123178795</v>
      </c>
      <c r="B1342" s="49">
        <v>12.984942948440082</v>
      </c>
      <c r="C1342" s="49">
        <v>12.788473381555082</v>
      </c>
      <c r="D1342" s="49">
        <v>12.932334980657426</v>
      </c>
      <c r="E1342" s="49">
        <v>209830620.25138265</v>
      </c>
      <c r="F1342" s="49" t="s">
        <v>1429</v>
      </c>
      <c r="G1342" s="25">
        <f t="shared" si="19"/>
        <v>3.5473982532918669E-3</v>
      </c>
    </row>
    <row r="1343" spans="1:7">
      <c r="A1343" s="49">
        <v>12.937321517888007</v>
      </c>
      <c r="B1343" s="49">
        <v>13.03355919316966</v>
      </c>
      <c r="C1343" s="49">
        <v>12.814777365446414</v>
      </c>
      <c r="D1343" s="49">
        <v>12.834349524076453</v>
      </c>
      <c r="E1343" s="49">
        <v>208325648.03259075</v>
      </c>
      <c r="F1343" s="49" t="s">
        <v>1430</v>
      </c>
      <c r="G1343" s="25">
        <f t="shared" ref="G1343:G1406" si="20">A1343/D1343-1</f>
        <v>8.0231564224104712E-3</v>
      </c>
    </row>
    <row r="1344" spans="1:7">
      <c r="A1344" s="49">
        <v>12.895933258874164</v>
      </c>
      <c r="B1344" s="49">
        <v>13.377882082210082</v>
      </c>
      <c r="C1344" s="49">
        <v>12.83358907714879</v>
      </c>
      <c r="D1344" s="49">
        <v>13.264687687075831</v>
      </c>
      <c r="E1344" s="49">
        <v>402384642.33126926</v>
      </c>
      <c r="F1344" s="49" t="s">
        <v>1431</v>
      </c>
      <c r="G1344" s="25">
        <f t="shared" si="20"/>
        <v>-2.7799706777940636E-2</v>
      </c>
    </row>
    <row r="1345" spans="1:7">
      <c r="A1345" s="49">
        <v>13.314054405658611</v>
      </c>
      <c r="B1345" s="49">
        <v>13.562134632880154</v>
      </c>
      <c r="C1345" s="49">
        <v>13.245738845599613</v>
      </c>
      <c r="D1345" s="49">
        <v>13.548421655496046</v>
      </c>
      <c r="E1345" s="49">
        <v>272655018.32838774</v>
      </c>
      <c r="F1345" s="49" t="s">
        <v>1432</v>
      </c>
      <c r="G1345" s="25">
        <f t="shared" si="20"/>
        <v>-1.729849098270142E-2</v>
      </c>
    </row>
    <row r="1346" spans="1:7">
      <c r="A1346" s="49">
        <v>13.570113092449086</v>
      </c>
      <c r="B1346" s="49">
        <v>13.694277869490621</v>
      </c>
      <c r="C1346" s="49">
        <v>13.463650522576122</v>
      </c>
      <c r="D1346" s="49">
        <v>13.564627901495443</v>
      </c>
      <c r="E1346" s="49">
        <v>223845957.30158222</v>
      </c>
      <c r="F1346" s="49" t="s">
        <v>1433</v>
      </c>
      <c r="G1346" s="25">
        <f t="shared" si="20"/>
        <v>4.0437459792297403E-4</v>
      </c>
    </row>
    <row r="1347" spans="1:7">
      <c r="A1347" s="49">
        <v>13.521743681312424</v>
      </c>
      <c r="B1347" s="49">
        <v>13.523486476074513</v>
      </c>
      <c r="C1347" s="49">
        <v>13.352640230748868</v>
      </c>
      <c r="D1347" s="49">
        <v>13.412289189101111</v>
      </c>
      <c r="E1347" s="49">
        <v>202789421.4441916</v>
      </c>
      <c r="F1347" s="49" t="s">
        <v>1434</v>
      </c>
      <c r="G1347" s="25">
        <f t="shared" si="20"/>
        <v>8.1607614232070969E-3</v>
      </c>
    </row>
    <row r="1348" spans="1:7">
      <c r="A1348" s="49">
        <v>13.359930548179982</v>
      </c>
      <c r="B1348" s="49">
        <v>13.623219713954802</v>
      </c>
      <c r="C1348" s="49">
        <v>13.293110949290158</v>
      </c>
      <c r="D1348" s="49">
        <v>13.550914924111339</v>
      </c>
      <c r="E1348" s="49">
        <v>200059310.47329521</v>
      </c>
      <c r="F1348" s="49" t="s">
        <v>1435</v>
      </c>
      <c r="G1348" s="25">
        <f t="shared" si="20"/>
        <v>-1.409383624655014E-2</v>
      </c>
    </row>
    <row r="1349" spans="1:7">
      <c r="A1349" s="49">
        <v>13.504041474143847</v>
      </c>
      <c r="B1349" s="49">
        <v>13.63259881238297</v>
      </c>
      <c r="C1349" s="49">
        <v>13.194718216190203</v>
      </c>
      <c r="D1349" s="49">
        <v>13.310620967961714</v>
      </c>
      <c r="E1349" s="49">
        <v>284210158.91787517</v>
      </c>
      <c r="F1349" s="49" t="s">
        <v>1436</v>
      </c>
      <c r="G1349" s="25">
        <f t="shared" si="20"/>
        <v>1.4531290962885191E-2</v>
      </c>
    </row>
    <row r="1350" spans="1:7">
      <c r="A1350" s="49">
        <v>13.350002978241067</v>
      </c>
      <c r="B1350" s="49">
        <v>13.488338520678029</v>
      </c>
      <c r="C1350" s="49">
        <v>13.188736138679417</v>
      </c>
      <c r="D1350" s="49">
        <v>13.451947549154074</v>
      </c>
      <c r="E1350" s="49">
        <v>298462812.75698835</v>
      </c>
      <c r="F1350" s="49" t="s">
        <v>1437</v>
      </c>
      <c r="G1350" s="25">
        <f t="shared" si="20"/>
        <v>-7.5784246511887421E-3</v>
      </c>
    </row>
    <row r="1351" spans="1:7">
      <c r="A1351" s="49">
        <v>13.361468626803408</v>
      </c>
      <c r="B1351" s="49">
        <v>13.37243576890652</v>
      </c>
      <c r="C1351" s="49">
        <v>12.93360302537662</v>
      </c>
      <c r="D1351" s="49">
        <v>13.225376363432991</v>
      </c>
      <c r="E1351" s="49">
        <v>287811717.06571722</v>
      </c>
      <c r="F1351" s="49" t="s">
        <v>1438</v>
      </c>
      <c r="G1351" s="25">
        <f t="shared" si="20"/>
        <v>1.0290237467018404E-2</v>
      </c>
    </row>
    <row r="1352" spans="1:7">
      <c r="A1352" s="49">
        <v>13.221637564988749</v>
      </c>
      <c r="B1352" s="49">
        <v>13.367450704314196</v>
      </c>
      <c r="C1352" s="49">
        <v>13.131203508219418</v>
      </c>
      <c r="D1352" s="49">
        <v>13.335047784464097</v>
      </c>
      <c r="E1352" s="49">
        <v>167776361.67202619</v>
      </c>
      <c r="F1352" s="49" t="s">
        <v>1439</v>
      </c>
      <c r="G1352" s="25">
        <f t="shared" si="20"/>
        <v>-8.5046728971962526E-3</v>
      </c>
    </row>
    <row r="1353" spans="1:7">
      <c r="A1353" s="49">
        <v>13.195216722649436</v>
      </c>
      <c r="B1353" s="49">
        <v>13.229753250145052</v>
      </c>
      <c r="C1353" s="49">
        <v>12.98110819840916</v>
      </c>
      <c r="D1353" s="49">
        <v>12.993570859889969</v>
      </c>
      <c r="E1353" s="49">
        <v>260695117.57206705</v>
      </c>
      <c r="F1353" s="49" t="s">
        <v>1440</v>
      </c>
      <c r="G1353" s="25">
        <f t="shared" si="20"/>
        <v>1.5518895070017358E-2</v>
      </c>
    </row>
    <row r="1354" spans="1:7">
      <c r="A1354" s="49">
        <v>12.919044144234739</v>
      </c>
      <c r="B1354" s="49">
        <v>13.122684032831136</v>
      </c>
      <c r="C1354" s="49">
        <v>12.84651145441644</v>
      </c>
      <c r="D1354" s="49">
        <v>13.103242280921076</v>
      </c>
      <c r="E1354" s="49">
        <v>347538084.59534115</v>
      </c>
      <c r="F1354" s="49" t="s">
        <v>1441</v>
      </c>
      <c r="G1354" s="25">
        <f t="shared" si="20"/>
        <v>-1.4057447213239649E-2</v>
      </c>
    </row>
    <row r="1355" spans="1:7">
      <c r="A1355" s="49">
        <v>13.100749748624915</v>
      </c>
      <c r="B1355" s="49">
        <v>13.34252538135258</v>
      </c>
      <c r="C1355" s="49">
        <v>12.976621640276072</v>
      </c>
      <c r="D1355" s="49">
        <v>13.131786760776718</v>
      </c>
      <c r="E1355" s="49">
        <v>362436828.35773438</v>
      </c>
      <c r="F1355" s="49" t="s">
        <v>1442</v>
      </c>
      <c r="G1355" s="25">
        <f t="shared" si="20"/>
        <v>-2.3635026000046189E-3</v>
      </c>
    </row>
    <row r="1356" spans="1:7">
      <c r="A1356" s="49">
        <v>13.048655823635139</v>
      </c>
      <c r="B1356" s="49">
        <v>13.454188335688322</v>
      </c>
      <c r="C1356" s="49">
        <v>13.02597377974007</v>
      </c>
      <c r="D1356" s="49">
        <v>13.413811805022799</v>
      </c>
      <c r="E1356" s="49">
        <v>342111715.58867711</v>
      </c>
      <c r="F1356" s="49" t="s">
        <v>1443</v>
      </c>
      <c r="G1356" s="25">
        <f t="shared" si="20"/>
        <v>-2.7222387394083447E-2</v>
      </c>
    </row>
    <row r="1357" spans="1:7">
      <c r="A1357" s="49">
        <v>13.400102877393913</v>
      </c>
      <c r="B1357" s="49">
        <v>13.447211737791365</v>
      </c>
      <c r="C1357" s="49">
        <v>13.060869231886331</v>
      </c>
      <c r="D1357" s="49">
        <v>13.173282438443215</v>
      </c>
      <c r="E1357" s="49">
        <v>567629756.36417603</v>
      </c>
      <c r="F1357" s="49" t="s">
        <v>1444</v>
      </c>
      <c r="G1357" s="25">
        <f t="shared" si="20"/>
        <v>1.7218217252275236E-2</v>
      </c>
    </row>
    <row r="1358" spans="1:7">
      <c r="A1358" s="49">
        <v>13.38863722883157</v>
      </c>
      <c r="B1358" s="49">
        <v>13.565108515399805</v>
      </c>
      <c r="C1358" s="49">
        <v>13.145615329955822</v>
      </c>
      <c r="D1358" s="49">
        <v>13.425028200355529</v>
      </c>
      <c r="E1358" s="49">
        <v>512456068.05859876</v>
      </c>
      <c r="F1358" s="49" t="s">
        <v>1445</v>
      </c>
      <c r="G1358" s="25">
        <f t="shared" si="20"/>
        <v>-2.7106811978984124E-3</v>
      </c>
    </row>
    <row r="1359" spans="1:7">
      <c r="A1359" s="49">
        <v>13.382156644861549</v>
      </c>
      <c r="B1359" s="49">
        <v>13.555636892674391</v>
      </c>
      <c r="C1359" s="49">
        <v>13.264132748106006</v>
      </c>
      <c r="D1359" s="49">
        <v>13.512017577491566</v>
      </c>
      <c r="E1359" s="49">
        <v>312962805.4173274</v>
      </c>
      <c r="F1359" s="49" t="s">
        <v>1446</v>
      </c>
      <c r="G1359" s="25">
        <f t="shared" si="20"/>
        <v>-9.6107729201255765E-3</v>
      </c>
    </row>
    <row r="1360" spans="1:7">
      <c r="A1360" s="49">
        <v>13.474878846278758</v>
      </c>
      <c r="B1360" s="49">
        <v>13.608727830582632</v>
      </c>
      <c r="C1360" s="49">
        <v>13.116704447852644</v>
      </c>
      <c r="D1360" s="49">
        <v>13.133152668475013</v>
      </c>
      <c r="E1360" s="49">
        <v>415014482.0963915</v>
      </c>
      <c r="F1360" s="49" t="s">
        <v>1447</v>
      </c>
      <c r="G1360" s="25">
        <f t="shared" si="20"/>
        <v>2.6020117669387055E-2</v>
      </c>
    </row>
    <row r="1361" spans="1:7">
      <c r="A1361" s="49">
        <v>13.257280776823858</v>
      </c>
      <c r="B1361" s="49">
        <v>13.627917836730779</v>
      </c>
      <c r="C1361" s="49">
        <v>13.020240955458897</v>
      </c>
      <c r="D1361" s="49">
        <v>13.586571711002051</v>
      </c>
      <c r="E1361" s="49">
        <v>347801230.63401437</v>
      </c>
      <c r="F1361" s="49" t="s">
        <v>1448</v>
      </c>
      <c r="G1361" s="25">
        <f t="shared" si="20"/>
        <v>-2.4236499183347471E-2</v>
      </c>
    </row>
    <row r="1362" spans="1:7">
      <c r="A1362" s="49">
        <v>13.416553590548578</v>
      </c>
      <c r="B1362" s="49">
        <v>13.724879835583756</v>
      </c>
      <c r="C1362" s="49">
        <v>13.276224022274684</v>
      </c>
      <c r="D1362" s="49">
        <v>13.438659859483234</v>
      </c>
      <c r="E1362" s="49">
        <v>367733449.79783809</v>
      </c>
      <c r="F1362" s="49" t="s">
        <v>1449</v>
      </c>
      <c r="G1362" s="25">
        <f t="shared" si="20"/>
        <v>-1.6449757018782707E-3</v>
      </c>
    </row>
    <row r="1363" spans="1:7">
      <c r="A1363" s="49">
        <v>13.377919339958076</v>
      </c>
      <c r="B1363" s="49">
        <v>13.394743932957164</v>
      </c>
      <c r="C1363" s="49">
        <v>12.909572521509325</v>
      </c>
      <c r="D1363" s="49">
        <v>13.014757384407343</v>
      </c>
      <c r="E1363" s="49">
        <v>405956063.86254531</v>
      </c>
      <c r="F1363" s="49" t="s">
        <v>1450</v>
      </c>
      <c r="G1363" s="25">
        <f t="shared" si="20"/>
        <v>2.7903859044335899E-2</v>
      </c>
    </row>
    <row r="1364" spans="1:7">
      <c r="A1364" s="49">
        <v>12.73185496879301</v>
      </c>
      <c r="B1364" s="49">
        <v>13.565856275088652</v>
      </c>
      <c r="C1364" s="49">
        <v>12.590528387600653</v>
      </c>
      <c r="D1364" s="49">
        <v>13.565856275088652</v>
      </c>
      <c r="E1364" s="49">
        <v>645996845.24836457</v>
      </c>
      <c r="F1364" s="49" t="s">
        <v>1451</v>
      </c>
      <c r="G1364" s="25">
        <f t="shared" si="20"/>
        <v>-6.1477970087825629E-2</v>
      </c>
    </row>
    <row r="1365" spans="1:7">
      <c r="A1365" s="49">
        <v>13.590033838361419</v>
      </c>
      <c r="B1365" s="49">
        <v>14.647615291622749</v>
      </c>
      <c r="C1365" s="49">
        <v>13.570093579992127</v>
      </c>
      <c r="D1365" s="49">
        <v>14.50903049595617</v>
      </c>
      <c r="E1365" s="49">
        <v>584724499.7565155</v>
      </c>
      <c r="F1365" s="49" t="s">
        <v>1452</v>
      </c>
      <c r="G1365" s="25">
        <f t="shared" si="20"/>
        <v>-6.333963236557294E-2</v>
      </c>
    </row>
    <row r="1366" spans="1:7">
      <c r="A1366" s="49">
        <v>14.518502118681583</v>
      </c>
      <c r="B1366" s="49">
        <v>14.54517221425051</v>
      </c>
      <c r="C1366" s="49">
        <v>13.85349450206569</v>
      </c>
      <c r="D1366" s="49">
        <v>14.067603026305965</v>
      </c>
      <c r="E1366" s="49">
        <v>384497806.29759127</v>
      </c>
      <c r="F1366" s="49" t="s">
        <v>1453</v>
      </c>
      <c r="G1366" s="25">
        <f t="shared" si="20"/>
        <v>3.205230425769412E-2</v>
      </c>
    </row>
    <row r="1367" spans="1:7">
      <c r="A1367" s="49">
        <v>14.117702925458811</v>
      </c>
      <c r="B1367" s="49">
        <v>14.296168237863975</v>
      </c>
      <c r="C1367" s="49">
        <v>13.949207742238293</v>
      </c>
      <c r="D1367" s="49">
        <v>14.120195457754974</v>
      </c>
      <c r="E1367" s="49">
        <v>319984138.71236688</v>
      </c>
      <c r="F1367" s="49" t="s">
        <v>1454</v>
      </c>
      <c r="G1367" s="25">
        <f t="shared" si="20"/>
        <v>-1.7652250661970292E-4</v>
      </c>
    </row>
    <row r="1368" spans="1:7">
      <c r="A1368" s="49">
        <v>13.753045450530383</v>
      </c>
      <c r="B1368" s="49">
        <v>13.786196130069332</v>
      </c>
      <c r="C1368" s="49">
        <v>13.297036666947635</v>
      </c>
      <c r="D1368" s="49">
        <v>13.349255218552219</v>
      </c>
      <c r="E1368" s="49">
        <v>411458339.60882968</v>
      </c>
      <c r="F1368" s="49" t="s">
        <v>1455</v>
      </c>
      <c r="G1368" s="25">
        <f t="shared" si="20"/>
        <v>3.0248146834213951E-2</v>
      </c>
    </row>
    <row r="1369" spans="1:7">
      <c r="A1369" s="49">
        <v>12.98060969194993</v>
      </c>
      <c r="B1369" s="49">
        <v>13.065854296478655</v>
      </c>
      <c r="C1369" s="49">
        <v>12.565104558179806</v>
      </c>
      <c r="D1369" s="49">
        <v>12.670538674307437</v>
      </c>
      <c r="E1369" s="49">
        <v>273718700.0748859</v>
      </c>
      <c r="F1369" s="49" t="s">
        <v>1456</v>
      </c>
      <c r="G1369" s="25">
        <f t="shared" si="20"/>
        <v>2.4471810205767719E-2</v>
      </c>
    </row>
    <row r="1370" spans="1:7">
      <c r="A1370" s="49">
        <v>12.543170273973585</v>
      </c>
      <c r="B1370" s="49">
        <v>12.798313357405567</v>
      </c>
      <c r="C1370" s="49">
        <v>12.357975124368783</v>
      </c>
      <c r="D1370" s="49">
        <v>12.619940268695359</v>
      </c>
      <c r="E1370" s="49">
        <v>300550408.57591242</v>
      </c>
      <c r="F1370" s="49" t="s">
        <v>1457</v>
      </c>
      <c r="G1370" s="25">
        <f t="shared" si="20"/>
        <v>-6.0832296419188747E-3</v>
      </c>
    </row>
    <row r="1371" spans="1:7">
      <c r="A1371" s="49">
        <v>12.496559920035365</v>
      </c>
      <c r="B1371" s="49">
        <v>12.89773299310256</v>
      </c>
      <c r="C1371" s="49">
        <v>12.263258897114646</v>
      </c>
      <c r="D1371" s="49">
        <v>12.811616002270179</v>
      </c>
      <c r="E1371" s="49">
        <v>418646531.32357365</v>
      </c>
      <c r="F1371" s="49" t="s">
        <v>1458</v>
      </c>
      <c r="G1371" s="25">
        <f t="shared" si="20"/>
        <v>-2.459143968871591E-2</v>
      </c>
    </row>
    <row r="1372" spans="1:7">
      <c r="A1372" s="49">
        <v>12.985096250083021</v>
      </c>
      <c r="B1372" s="49">
        <v>13.153342180073924</v>
      </c>
      <c r="C1372" s="49">
        <v>12.711914710423718</v>
      </c>
      <c r="D1372" s="49">
        <v>12.800150353707835</v>
      </c>
      <c r="E1372" s="49">
        <v>321040815.09086597</v>
      </c>
      <c r="F1372" s="49" t="s">
        <v>1459</v>
      </c>
      <c r="G1372" s="25">
        <f t="shared" si="20"/>
        <v>1.4448728434007352E-2</v>
      </c>
    </row>
    <row r="1373" spans="1:7">
      <c r="A1373" s="49">
        <v>12.589282121452571</v>
      </c>
      <c r="B1373" s="49">
        <v>13.220391298840667</v>
      </c>
      <c r="C1373" s="49">
        <v>12.57133588892021</v>
      </c>
      <c r="D1373" s="49">
        <v>13.158576497895861</v>
      </c>
      <c r="E1373" s="49">
        <v>377646139.81114292</v>
      </c>
      <c r="F1373" s="49" t="s">
        <v>1460</v>
      </c>
      <c r="G1373" s="25">
        <f t="shared" si="20"/>
        <v>-4.3264130928928668E-2</v>
      </c>
    </row>
    <row r="1374" spans="1:7">
      <c r="A1374" s="49">
        <v>13.356732815440703</v>
      </c>
      <c r="B1374" s="49">
        <v>13.401847650001224</v>
      </c>
      <c r="C1374" s="49">
        <v>13.152095913925841</v>
      </c>
      <c r="D1374" s="49">
        <v>13.26625389309004</v>
      </c>
      <c r="E1374" s="49">
        <v>251270244.70836243</v>
      </c>
      <c r="F1374" s="49" t="s">
        <v>1461</v>
      </c>
      <c r="G1374" s="25">
        <f t="shared" si="20"/>
        <v>6.8202314745227088E-3</v>
      </c>
    </row>
    <row r="1375" spans="1:7">
      <c r="A1375" s="49">
        <v>13.101996014772995</v>
      </c>
      <c r="B1375" s="49">
        <v>13.651891012355259</v>
      </c>
      <c r="C1375" s="49">
        <v>12.999552937400756</v>
      </c>
      <c r="D1375" s="49">
        <v>13.386892456224258</v>
      </c>
      <c r="E1375" s="49">
        <v>337903665.80085588</v>
      </c>
      <c r="F1375" s="49" t="s">
        <v>1462</v>
      </c>
      <c r="G1375" s="25">
        <f t="shared" si="20"/>
        <v>-2.1281745736203339E-2</v>
      </c>
    </row>
    <row r="1376" spans="1:7">
      <c r="A1376" s="49">
        <v>13.549654815163604</v>
      </c>
      <c r="B1376" s="49">
        <v>13.552645853918998</v>
      </c>
      <c r="C1376" s="49">
        <v>13.251547952542685</v>
      </c>
      <c r="D1376" s="49">
        <v>13.409823753348942</v>
      </c>
      <c r="E1376" s="49">
        <v>234183806.12315893</v>
      </c>
      <c r="F1376" s="49" t="s">
        <v>1463</v>
      </c>
      <c r="G1376" s="25">
        <f t="shared" si="20"/>
        <v>1.0427509293680526E-2</v>
      </c>
    </row>
    <row r="1377" spans="1:7">
      <c r="A1377" s="49">
        <v>13.321089603605595</v>
      </c>
      <c r="B1377" s="49">
        <v>13.571090592910593</v>
      </c>
      <c r="C1377" s="49">
        <v>13.192225683894042</v>
      </c>
      <c r="D1377" s="49">
        <v>13.482107189937626</v>
      </c>
      <c r="E1377" s="49">
        <v>291349725.38503993</v>
      </c>
      <c r="F1377" s="49" t="s">
        <v>1464</v>
      </c>
      <c r="G1377" s="25">
        <f t="shared" si="20"/>
        <v>-1.1943057866518614E-2</v>
      </c>
    </row>
    <row r="1378" spans="1:7">
      <c r="A1378" s="49">
        <v>13.484350469004172</v>
      </c>
      <c r="B1378" s="49">
        <v>13.750303665004605</v>
      </c>
      <c r="C1378" s="49">
        <v>13.437244101139015</v>
      </c>
      <c r="D1378" s="49">
        <v>13.584301014080248</v>
      </c>
      <c r="E1378" s="49">
        <v>220255240.3615579</v>
      </c>
      <c r="F1378" s="49" t="s">
        <v>1465</v>
      </c>
      <c r="G1378" s="25">
        <f t="shared" si="20"/>
        <v>-7.3577981651375968E-3</v>
      </c>
    </row>
    <row r="1379" spans="1:7">
      <c r="A1379" s="49">
        <v>13.604739778908774</v>
      </c>
      <c r="B1379" s="49">
        <v>13.758529021581939</v>
      </c>
      <c r="C1379" s="49">
        <v>13.46665598223372</v>
      </c>
      <c r="D1379" s="49">
        <v>13.542924977963969</v>
      </c>
      <c r="E1379" s="49">
        <v>229898766.36000398</v>
      </c>
      <c r="F1379" s="49" t="s">
        <v>1466</v>
      </c>
      <c r="G1379" s="25">
        <f t="shared" si="20"/>
        <v>4.5643611734824674E-3</v>
      </c>
    </row>
    <row r="1380" spans="1:7">
      <c r="A1380" s="49">
        <v>13.457431120205626</v>
      </c>
      <c r="B1380" s="49">
        <v>13.941727652817512</v>
      </c>
      <c r="C1380" s="49">
        <v>13.366702944625347</v>
      </c>
      <c r="D1380" s="49">
        <v>13.861345978798601</v>
      </c>
      <c r="E1380" s="49">
        <v>298961582.62324625</v>
      </c>
      <c r="F1380" s="49" t="s">
        <v>1467</v>
      </c>
      <c r="G1380" s="25">
        <f t="shared" si="20"/>
        <v>-2.9139656366039546E-2</v>
      </c>
    </row>
    <row r="1381" spans="1:7">
      <c r="A1381" s="49">
        <v>13.770243923373899</v>
      </c>
      <c r="B1381" s="49">
        <v>14.079317928097925</v>
      </c>
      <c r="C1381" s="49">
        <v>13.751300677923071</v>
      </c>
      <c r="D1381" s="49">
        <v>13.994821083258051</v>
      </c>
      <c r="E1381" s="49">
        <v>243366555.74499848</v>
      </c>
      <c r="F1381" s="49" t="s">
        <v>1468</v>
      </c>
      <c r="G1381" s="25">
        <f t="shared" si="20"/>
        <v>-1.604716191426081E-2</v>
      </c>
    </row>
    <row r="1382" spans="1:7">
      <c r="A1382" s="49">
        <v>13.928270470950537</v>
      </c>
      <c r="B1382" s="49">
        <v>13.963913682785646</v>
      </c>
      <c r="C1382" s="49">
        <v>13.726624608191072</v>
      </c>
      <c r="D1382" s="49">
        <v>13.769426372780755</v>
      </c>
      <c r="E1382" s="49">
        <v>268025734.72320226</v>
      </c>
      <c r="F1382" s="49" t="s">
        <v>1469</v>
      </c>
      <c r="G1382" s="25">
        <f t="shared" si="20"/>
        <v>1.1535999675613473E-2</v>
      </c>
    </row>
    <row r="1383" spans="1:7">
      <c r="A1383" s="49">
        <v>14.053146338988228</v>
      </c>
      <c r="B1383" s="49">
        <v>14.29990703630822</v>
      </c>
      <c r="C1383" s="49">
        <v>13.918300341765891</v>
      </c>
      <c r="D1383" s="49">
        <v>14.247813111318443</v>
      </c>
      <c r="E1383" s="49">
        <v>277475963.3265686</v>
      </c>
      <c r="F1383" s="49" t="s">
        <v>1470</v>
      </c>
      <c r="G1383" s="25">
        <f t="shared" si="20"/>
        <v>-1.3662922920821607E-2</v>
      </c>
    </row>
    <row r="1384" spans="1:7">
      <c r="A1384" s="49">
        <v>14.205689315513313</v>
      </c>
      <c r="B1384" s="49">
        <v>14.305637368057093</v>
      </c>
      <c r="C1384" s="49">
        <v>13.976750224110878</v>
      </c>
      <c r="D1384" s="49">
        <v>14.253795188829232</v>
      </c>
      <c r="E1384" s="49">
        <v>345635561.60404319</v>
      </c>
      <c r="F1384" s="49" t="s">
        <v>1471</v>
      </c>
      <c r="G1384" s="25">
        <f t="shared" si="20"/>
        <v>-3.3749519113071003E-3</v>
      </c>
    </row>
    <row r="1385" spans="1:7">
      <c r="A1385" s="49">
        <v>14.183505778077475</v>
      </c>
      <c r="B1385" s="49">
        <v>14.304144341211693</v>
      </c>
      <c r="C1385" s="49">
        <v>13.870942228138823</v>
      </c>
      <c r="D1385" s="49">
        <v>13.947712222860599</v>
      </c>
      <c r="E1385" s="49">
        <v>436046305.86883783</v>
      </c>
      <c r="F1385" s="49" t="s">
        <v>1472</v>
      </c>
      <c r="G1385" s="25">
        <f t="shared" si="20"/>
        <v>1.6905536295078294E-2</v>
      </c>
    </row>
    <row r="1386" spans="1:7">
      <c r="A1386" s="49">
        <v>13.721639543598748</v>
      </c>
      <c r="B1386" s="49">
        <v>13.782955838084321</v>
      </c>
      <c r="C1386" s="49">
        <v>13.619944225915356</v>
      </c>
      <c r="D1386" s="49">
        <v>13.725876848502221</v>
      </c>
      <c r="E1386" s="49">
        <v>347930215.9235912</v>
      </c>
      <c r="F1386" s="49" t="s">
        <v>1473</v>
      </c>
      <c r="G1386" s="25">
        <f t="shared" si="20"/>
        <v>-3.0870923222181545E-4</v>
      </c>
    </row>
    <row r="1387" spans="1:7">
      <c r="A1387" s="49">
        <v>13.797412525402057</v>
      </c>
      <c r="B1387" s="49">
        <v>14.042428450114734</v>
      </c>
      <c r="C1387" s="49">
        <v>13.716903732236043</v>
      </c>
      <c r="D1387" s="49">
        <v>14.03295682738932</v>
      </c>
      <c r="E1387" s="49">
        <v>380036078.75362873</v>
      </c>
      <c r="F1387" s="49" t="s">
        <v>1474</v>
      </c>
      <c r="G1387" s="25">
        <f t="shared" si="20"/>
        <v>-1.6785079928952062E-2</v>
      </c>
    </row>
    <row r="1388" spans="1:7">
      <c r="A1388" s="49">
        <v>13.922288393439748</v>
      </c>
      <c r="B1388" s="49">
        <v>14.077074649031379</v>
      </c>
      <c r="C1388" s="49">
        <v>13.822088595134057</v>
      </c>
      <c r="D1388" s="49">
        <v>13.95793160527486</v>
      </c>
      <c r="E1388" s="49">
        <v>419337756.06824529</v>
      </c>
      <c r="F1388" s="49" t="s">
        <v>1475</v>
      </c>
      <c r="G1388" s="25">
        <f t="shared" si="20"/>
        <v>-2.5536170288756876E-3</v>
      </c>
    </row>
    <row r="1389" spans="1:7">
      <c r="A1389" s="49">
        <v>13.695467954489052</v>
      </c>
      <c r="B1389" s="49">
        <v>14.099756692926448</v>
      </c>
      <c r="C1389" s="49">
        <v>13.624181530818833</v>
      </c>
      <c r="D1389" s="49">
        <v>13.788688662365493</v>
      </c>
      <c r="E1389" s="49">
        <v>786769986.09807622</v>
      </c>
      <c r="F1389" s="49" t="s">
        <v>1476</v>
      </c>
      <c r="G1389" s="25">
        <f t="shared" si="20"/>
        <v>-6.7606652205350892E-3</v>
      </c>
    </row>
    <row r="1390" spans="1:7">
      <c r="A1390" s="49">
        <v>13.601748740153379</v>
      </c>
      <c r="B1390" s="49">
        <v>13.603493512760691</v>
      </c>
      <c r="C1390" s="49">
        <v>13.183267522821639</v>
      </c>
      <c r="D1390" s="49">
        <v>13.196462988797519</v>
      </c>
      <c r="E1390" s="49">
        <v>481255830.40480322</v>
      </c>
      <c r="F1390" s="49" t="s">
        <v>1477</v>
      </c>
      <c r="G1390" s="25">
        <f t="shared" si="20"/>
        <v>3.0711695376246517E-2</v>
      </c>
    </row>
    <row r="1391" spans="1:7">
      <c r="A1391" s="49">
        <v>13.023231994214292</v>
      </c>
      <c r="B1391" s="49">
        <v>13.479116151182232</v>
      </c>
      <c r="C1391" s="49">
        <v>13.012015598881565</v>
      </c>
      <c r="D1391" s="49">
        <v>13.185495846694407</v>
      </c>
      <c r="E1391" s="49">
        <v>554151174.74188876</v>
      </c>
      <c r="F1391" s="49" t="s">
        <v>1478</v>
      </c>
      <c r="G1391" s="25">
        <f t="shared" si="20"/>
        <v>-1.2306238185255225E-2</v>
      </c>
    </row>
    <row r="1392" spans="1:7">
      <c r="A1392" s="49">
        <v>13.573832378436371</v>
      </c>
      <c r="B1392" s="49">
        <v>13.721627080937267</v>
      </c>
      <c r="C1392" s="49">
        <v>13.420544134754733</v>
      </c>
      <c r="D1392" s="49">
        <v>13.716903732236043</v>
      </c>
      <c r="E1392" s="49">
        <v>526575283.30575782</v>
      </c>
      <c r="F1392" s="49" t="s">
        <v>1479</v>
      </c>
      <c r="G1392" s="25">
        <f t="shared" si="20"/>
        <v>-1.0430295101032105E-2</v>
      </c>
    </row>
    <row r="1393" spans="1:7">
      <c r="A1393" s="49">
        <v>13.490083293285343</v>
      </c>
      <c r="B1393" s="49">
        <v>13.581808481784087</v>
      </c>
      <c r="C1393" s="49">
        <v>13.110969131039177</v>
      </c>
      <c r="D1393" s="49">
        <v>13.118197474698045</v>
      </c>
      <c r="E1393" s="49">
        <v>691248936.93588233</v>
      </c>
      <c r="F1393" s="49" t="s">
        <v>1480</v>
      </c>
      <c r="G1393" s="25">
        <f t="shared" si="20"/>
        <v>2.8348850465514053E-2</v>
      </c>
    </row>
    <row r="1394" spans="1:7">
      <c r="A1394" s="49">
        <v>13.186243606383254</v>
      </c>
      <c r="B1394" s="49">
        <v>13.402595409690075</v>
      </c>
      <c r="C1394" s="49">
        <v>12.894617327732359</v>
      </c>
      <c r="D1394" s="49">
        <v>12.898854632635832</v>
      </c>
      <c r="E1394" s="49">
        <v>624871502.1259948</v>
      </c>
      <c r="F1394" s="49" t="s">
        <v>1481</v>
      </c>
      <c r="G1394" s="25">
        <f t="shared" si="20"/>
        <v>2.2280193236714929E-2</v>
      </c>
    </row>
    <row r="1395" spans="1:7">
      <c r="A1395" s="49">
        <v>12.99606339218613</v>
      </c>
      <c r="B1395" s="49">
        <v>13.012763358570414</v>
      </c>
      <c r="C1395" s="49">
        <v>12.711914710423718</v>
      </c>
      <c r="D1395" s="49">
        <v>13.001297710008071</v>
      </c>
      <c r="E1395" s="49">
        <v>575528269.86802042</v>
      </c>
      <c r="F1395" s="49" t="s">
        <v>1482</v>
      </c>
      <c r="G1395" s="25">
        <f t="shared" si="20"/>
        <v>-4.025996434118273E-4</v>
      </c>
    </row>
    <row r="1396" spans="1:7">
      <c r="A1396" s="49">
        <v>12.835295059083714</v>
      </c>
      <c r="B1396" s="49">
        <v>12.845015935038743</v>
      </c>
      <c r="C1396" s="49">
        <v>12.209170946287941</v>
      </c>
      <c r="D1396" s="49">
        <v>12.410318302588175</v>
      </c>
      <c r="E1396" s="49">
        <v>589777994.95872331</v>
      </c>
      <c r="F1396" s="49" t="s">
        <v>1483</v>
      </c>
      <c r="G1396" s="25">
        <f t="shared" si="20"/>
        <v>3.4243824061056527E-2</v>
      </c>
    </row>
    <row r="1397" spans="1:7">
      <c r="A1397" s="49">
        <v>12.311115517200948</v>
      </c>
      <c r="B1397" s="49">
        <v>12.531953878640858</v>
      </c>
      <c r="C1397" s="49">
        <v>11.97811320243377</v>
      </c>
      <c r="D1397" s="49">
        <v>12.036189204934331</v>
      </c>
      <c r="E1397" s="49">
        <v>733431138.6116302</v>
      </c>
      <c r="F1397" s="49" t="s">
        <v>1484</v>
      </c>
      <c r="G1397" s="25">
        <f t="shared" si="20"/>
        <v>2.2841640953426445E-2</v>
      </c>
    </row>
    <row r="1398" spans="1:7">
      <c r="A1398" s="49">
        <v>12.087535370235258</v>
      </c>
      <c r="B1398" s="49">
        <v>12.688983413299033</v>
      </c>
      <c r="C1398" s="49">
        <v>12.043168295363586</v>
      </c>
      <c r="D1398" s="49">
        <v>12.537935956151644</v>
      </c>
      <c r="E1398" s="49">
        <v>648950788.91895962</v>
      </c>
      <c r="F1398" s="49" t="s">
        <v>1485</v>
      </c>
      <c r="G1398" s="25">
        <f t="shared" si="20"/>
        <v>-3.5923024929426339E-2</v>
      </c>
    </row>
    <row r="1399" spans="1:7">
      <c r="A1399" s="49">
        <v>12.600000010326067</v>
      </c>
      <c r="B1399" s="49">
        <v>12.610216900208032</v>
      </c>
      <c r="C1399" s="49">
        <v>12.119240381042433</v>
      </c>
      <c r="D1399" s="49">
        <v>12.537437449692412</v>
      </c>
      <c r="E1399" s="49">
        <v>648388870.42259467</v>
      </c>
      <c r="F1399" s="49" t="s">
        <v>1486</v>
      </c>
      <c r="G1399" s="25">
        <f t="shared" si="20"/>
        <v>4.9900596421472709E-3</v>
      </c>
    </row>
    <row r="1400" spans="1:7">
      <c r="A1400" s="49">
        <v>12.479859953651081</v>
      </c>
      <c r="B1400" s="49">
        <v>12.48509427147302</v>
      </c>
      <c r="C1400" s="49">
        <v>11.868940287861895</v>
      </c>
      <c r="D1400" s="49">
        <v>11.889379052690419</v>
      </c>
      <c r="E1400" s="49">
        <v>723202705.4477905</v>
      </c>
      <c r="F1400" s="49" t="s">
        <v>1487</v>
      </c>
      <c r="G1400" s="25">
        <f t="shared" si="20"/>
        <v>4.9664570230607996E-2</v>
      </c>
    </row>
    <row r="1401" spans="1:7">
      <c r="A1401" s="49">
        <v>12.152839716394691</v>
      </c>
      <c r="B1401" s="49">
        <v>12.594765692504128</v>
      </c>
      <c r="C1401" s="49">
        <v>11.952938626242538</v>
      </c>
      <c r="D1401" s="49">
        <v>12.556131441913625</v>
      </c>
      <c r="E1401" s="49">
        <v>700554533.51158941</v>
      </c>
      <c r="F1401" s="49" t="s">
        <v>1488</v>
      </c>
      <c r="G1401" s="25">
        <f t="shared" si="20"/>
        <v>-3.2119106699751931E-2</v>
      </c>
    </row>
    <row r="1402" spans="1:7">
      <c r="A1402" s="49">
        <v>12.42627050928361</v>
      </c>
      <c r="B1402" s="49">
        <v>12.552143390239765</v>
      </c>
      <c r="C1402" s="49">
        <v>11.998801220491909</v>
      </c>
      <c r="D1402" s="49">
        <v>12.095995024848431</v>
      </c>
      <c r="E1402" s="49">
        <v>794886149.7406311</v>
      </c>
      <c r="F1402" s="49" t="s">
        <v>1489</v>
      </c>
      <c r="G1402" s="25">
        <f t="shared" si="20"/>
        <v>2.7304532099815093E-2</v>
      </c>
    </row>
    <row r="1403" spans="1:7">
      <c r="A1403" s="49">
        <v>12.477118168125303</v>
      </c>
      <c r="B1403" s="49">
        <v>13.053640888227463</v>
      </c>
      <c r="C1403" s="49">
        <v>12.476370408436456</v>
      </c>
      <c r="D1403" s="49">
        <v>12.918545637775507</v>
      </c>
      <c r="E1403" s="49">
        <v>559269985.04563022</v>
      </c>
      <c r="F1403" s="49" t="s">
        <v>1490</v>
      </c>
      <c r="G1403" s="25">
        <f t="shared" si="20"/>
        <v>-3.4170059233247785E-2</v>
      </c>
    </row>
    <row r="1404" spans="1:7">
      <c r="A1404" s="49">
        <v>12.952194823773688</v>
      </c>
      <c r="B1404" s="49">
        <v>13.259025549431172</v>
      </c>
      <c r="C1404" s="49">
        <v>12.789432464834341</v>
      </c>
      <c r="D1404" s="49">
        <v>13.240331557209961</v>
      </c>
      <c r="E1404" s="49">
        <v>729736341.95275354</v>
      </c>
      <c r="F1404" s="49" t="s">
        <v>1491</v>
      </c>
      <c r="G1404" s="25">
        <f t="shared" si="20"/>
        <v>-2.1762048192771277E-2</v>
      </c>
    </row>
    <row r="1405" spans="1:7">
      <c r="A1405" s="49">
        <v>12.833799539706016</v>
      </c>
      <c r="B1405" s="49">
        <v>13.275227009356222</v>
      </c>
      <c r="C1405" s="49">
        <v>12.593412247467311</v>
      </c>
      <c r="D1405" s="49">
        <v>13.041925986435503</v>
      </c>
      <c r="E1405" s="49">
        <v>1205345425.062978</v>
      </c>
      <c r="F1405" s="49" t="s">
        <v>1492</v>
      </c>
      <c r="G1405" s="25">
        <f t="shared" si="20"/>
        <v>-1.5958260071859964E-2</v>
      </c>
    </row>
    <row r="1406" spans="1:7">
      <c r="A1406" s="49">
        <v>12.128163646662692</v>
      </c>
      <c r="B1406" s="49">
        <v>12.61470595087342</v>
      </c>
      <c r="C1406" s="49">
        <v>11.86021642482533</v>
      </c>
      <c r="D1406" s="49">
        <v>12.448204793489831</v>
      </c>
      <c r="E1406" s="49">
        <v>638835132.62883699</v>
      </c>
      <c r="F1406" s="49" t="s">
        <v>1493</v>
      </c>
      <c r="G1406" s="25">
        <f t="shared" si="20"/>
        <v>-2.5709823395138387E-2</v>
      </c>
    </row>
    <row r="1407" spans="1:7">
      <c r="A1407" s="49">
        <v>12.274973798906606</v>
      </c>
      <c r="B1407" s="49">
        <v>13.026223032969686</v>
      </c>
      <c r="C1407" s="49">
        <v>12.130656178958853</v>
      </c>
      <c r="D1407" s="49">
        <v>12.950450051166376</v>
      </c>
      <c r="E1407" s="49">
        <v>700777720.18839073</v>
      </c>
      <c r="F1407" s="49" t="s">
        <v>1494</v>
      </c>
      <c r="G1407" s="25">
        <f t="shared" ref="G1407:G1444" si="21">A1407/D1407-1</f>
        <v>-5.2158515695671426E-2</v>
      </c>
    </row>
    <row r="1408" spans="1:7">
      <c r="A1408" s="49">
        <v>12.677019258277458</v>
      </c>
      <c r="B1408" s="49">
        <v>12.770987725842746</v>
      </c>
      <c r="C1408" s="49">
        <v>12.195212765429437</v>
      </c>
      <c r="D1408" s="49">
        <v>12.362960188961107</v>
      </c>
      <c r="E1408" s="49">
        <v>738403952.81311047</v>
      </c>
      <c r="F1408" s="49" t="s">
        <v>1495</v>
      </c>
      <c r="G1408" s="25">
        <f t="shared" si="21"/>
        <v>2.5403225806451601E-2</v>
      </c>
    </row>
    <row r="1409" spans="1:7">
      <c r="A1409" s="49">
        <v>11.877414897668844</v>
      </c>
      <c r="B1409" s="49">
        <v>12.512512126730797</v>
      </c>
      <c r="C1409" s="49">
        <v>11.669288450939359</v>
      </c>
      <c r="D1409" s="49">
        <v>11.699448091722912</v>
      </c>
      <c r="E1409" s="49">
        <v>798113510.12925613</v>
      </c>
      <c r="F1409" s="49" t="s">
        <v>1496</v>
      </c>
      <c r="G1409" s="25">
        <f t="shared" si="21"/>
        <v>1.5211555669180532E-2</v>
      </c>
    </row>
    <row r="1410" spans="1:7">
      <c r="A1410" s="49">
        <v>12.584795563319481</v>
      </c>
      <c r="B1410" s="49">
        <v>13.135645200771176</v>
      </c>
      <c r="C1410" s="49">
        <v>11.669786957398589</v>
      </c>
      <c r="D1410" s="49">
        <v>12.745563896421899</v>
      </c>
      <c r="E1410" s="49">
        <v>1468068079.0516374</v>
      </c>
      <c r="F1410" s="49" t="s">
        <v>1497</v>
      </c>
      <c r="G1410" s="25">
        <f t="shared" si="21"/>
        <v>-1.2613669697858598E-2</v>
      </c>
    </row>
    <row r="1411" spans="1:7">
      <c r="A1411" s="49">
        <v>12.976621640276072</v>
      </c>
      <c r="B1411" s="49">
        <v>13.843025866421813</v>
      </c>
      <c r="C1411" s="49">
        <v>12.840280123676036</v>
      </c>
      <c r="D1411" s="49">
        <v>13.787327739731788</v>
      </c>
      <c r="E1411" s="49">
        <v>947957666.84296238</v>
      </c>
      <c r="F1411" s="49" t="s">
        <v>1498</v>
      </c>
      <c r="G1411" s="25">
        <f t="shared" si="21"/>
        <v>-5.8800814397082513E-2</v>
      </c>
    </row>
    <row r="1412" spans="1:7">
      <c r="A1412" s="49">
        <v>14.303645834752462</v>
      </c>
      <c r="B1412" s="49">
        <v>14.682757504466331</v>
      </c>
      <c r="C1412" s="49">
        <v>13.858479566658016</v>
      </c>
      <c r="D1412" s="49">
        <v>14.659828699873941</v>
      </c>
      <c r="E1412" s="49">
        <v>876631449.61649561</v>
      </c>
      <c r="F1412" s="49" t="s">
        <v>1499</v>
      </c>
      <c r="G1412" s="25">
        <f t="shared" si="21"/>
        <v>-2.4296522995834291E-2</v>
      </c>
    </row>
    <row r="1413" spans="1:7">
      <c r="A1413" s="49">
        <v>13.779715546099311</v>
      </c>
      <c r="B1413" s="49">
        <v>13.951949527764071</v>
      </c>
      <c r="C1413" s="49">
        <v>13.396364078949672</v>
      </c>
      <c r="D1413" s="49">
        <v>13.439734140902882</v>
      </c>
      <c r="E1413" s="49">
        <v>514009347.83192897</v>
      </c>
      <c r="F1413" s="49" t="s">
        <v>1500</v>
      </c>
      <c r="G1413" s="25">
        <f t="shared" si="21"/>
        <v>2.5296735905044443E-2</v>
      </c>
    </row>
    <row r="1414" spans="1:7">
      <c r="A1414" s="49">
        <v>13.33056122633101</v>
      </c>
      <c r="B1414" s="49">
        <v>13.530402530744587</v>
      </c>
      <c r="C1414" s="49">
        <v>12.994917539242374</v>
      </c>
      <c r="D1414" s="49">
        <v>13.13947606086643</v>
      </c>
      <c r="E1414" s="49">
        <v>502492019.32840437</v>
      </c>
      <c r="F1414" s="49" t="s">
        <v>1501</v>
      </c>
      <c r="G1414" s="25">
        <f t="shared" si="21"/>
        <v>1.4542829910371591E-2</v>
      </c>
    </row>
    <row r="1415" spans="1:7">
      <c r="A1415" s="49">
        <v>13.104556160117651</v>
      </c>
      <c r="B1415" s="49">
        <v>13.104805338801459</v>
      </c>
      <c r="C1415" s="49">
        <v>12.600966040142794</v>
      </c>
      <c r="D1415" s="49">
        <v>12.633272056498431</v>
      </c>
      <c r="E1415" s="49">
        <v>538929044.60387266</v>
      </c>
      <c r="F1415" s="49" t="s">
        <v>1502</v>
      </c>
      <c r="G1415" s="25">
        <f t="shared" si="21"/>
        <v>3.7304991257335995E-2</v>
      </c>
    </row>
    <row r="1416" spans="1:7">
      <c r="A1416" s="49">
        <v>12.58676285516577</v>
      </c>
      <c r="B1416" s="49">
        <v>12.807784347702979</v>
      </c>
      <c r="C1416" s="49">
        <v>12.525148442020702</v>
      </c>
      <c r="D1416" s="49">
        <v>12.739509388339737</v>
      </c>
      <c r="E1416" s="49">
        <v>318649768.85966581</v>
      </c>
      <c r="F1416" s="49" t="s">
        <v>1503</v>
      </c>
      <c r="G1416" s="25">
        <f t="shared" si="21"/>
        <v>-1.1989985525955538E-2</v>
      </c>
    </row>
    <row r="1417" spans="1:7">
      <c r="A1417" s="49">
        <v>12.731037313090283</v>
      </c>
      <c r="B1417" s="49">
        <v>12.826213603157377</v>
      </c>
      <c r="C1417" s="49">
        <v>12.636100234559645</v>
      </c>
      <c r="D1417" s="49">
        <v>12.757186124169039</v>
      </c>
      <c r="E1417" s="49">
        <v>322301766.63931215</v>
      </c>
      <c r="F1417" s="49" t="s">
        <v>1504</v>
      </c>
      <c r="G1417" s="25">
        <f t="shared" si="21"/>
        <v>-2.0497318785068774E-3</v>
      </c>
    </row>
    <row r="1418" spans="1:7">
      <c r="A1418" s="49">
        <v>12.708112874179998</v>
      </c>
      <c r="B1418" s="49">
        <v>12.719325914951334</v>
      </c>
      <c r="C1418" s="49">
        <v>12.532441902095744</v>
      </c>
      <c r="D1418" s="49">
        <v>12.589254642003844</v>
      </c>
      <c r="E1418" s="49">
        <v>290029624.10639</v>
      </c>
      <c r="F1418" s="49" t="s">
        <v>1505</v>
      </c>
      <c r="G1418" s="25">
        <f t="shared" si="21"/>
        <v>9.4412445816756119E-3</v>
      </c>
    </row>
    <row r="1419" spans="1:7">
      <c r="A1419" s="49">
        <v>12.678460610806912</v>
      </c>
      <c r="B1419" s="49">
        <v>12.870079018654842</v>
      </c>
      <c r="C1419" s="49">
        <v>12.466409550886771</v>
      </c>
      <c r="D1419" s="49">
        <v>12.841423470016984</v>
      </c>
      <c r="E1419" s="49">
        <v>492181145.3774634</v>
      </c>
      <c r="F1419" s="49" t="s">
        <v>1506</v>
      </c>
      <c r="G1419" s="25">
        <f t="shared" si="21"/>
        <v>-1.2690404579411951E-2</v>
      </c>
    </row>
    <row r="1420" spans="1:7">
      <c r="A1420" s="49">
        <v>12.641831344287215</v>
      </c>
      <c r="B1420" s="49">
        <v>12.766620029137986</v>
      </c>
      <c r="C1420" s="49">
        <v>12.155095670485094</v>
      </c>
      <c r="D1420" s="49">
        <v>12.161664020590258</v>
      </c>
      <c r="E1420" s="49">
        <v>1003165183.2351699</v>
      </c>
      <c r="F1420" s="49" t="s">
        <v>1507</v>
      </c>
      <c r="G1420" s="25">
        <f t="shared" si="21"/>
        <v>3.9482041510439103E-2</v>
      </c>
    </row>
    <row r="1421" spans="1:7">
      <c r="A1421" s="49">
        <v>12.101113600425048</v>
      </c>
      <c r="B1421" s="49">
        <v>12.334344848468822</v>
      </c>
      <c r="C1421" s="49">
        <v>11.839725161111032</v>
      </c>
      <c r="D1421" s="49">
        <v>11.935658954376899</v>
      </c>
      <c r="E1421" s="49">
        <v>924423215.02106023</v>
      </c>
      <c r="F1421" s="49" t="s">
        <v>1508</v>
      </c>
      <c r="G1421" s="25">
        <f t="shared" si="21"/>
        <v>1.3862212943632768E-2</v>
      </c>
    </row>
    <row r="1422" spans="1:7">
      <c r="A1422" s="49">
        <v>12.098621813586973</v>
      </c>
      <c r="B1422" s="49">
        <v>12.274541964355034</v>
      </c>
      <c r="C1422" s="49">
        <v>12.058254866810167</v>
      </c>
      <c r="D1422" s="49">
        <v>12.256102741753283</v>
      </c>
      <c r="E1422" s="49">
        <v>624674541.26325059</v>
      </c>
      <c r="F1422" s="49" t="s">
        <v>1509</v>
      </c>
      <c r="G1422" s="25">
        <f t="shared" si="21"/>
        <v>-1.2849184727361518E-2</v>
      </c>
    </row>
    <row r="1423" spans="1:7">
      <c r="A1423" s="49">
        <v>12.220470189968816</v>
      </c>
      <c r="B1423" s="49">
        <v>12.454947331431628</v>
      </c>
      <c r="C1423" s="49">
        <v>12.046543468671215</v>
      </c>
      <c r="D1423" s="49">
        <v>12.409098453611056</v>
      </c>
      <c r="E1423" s="49">
        <v>505105605.65147543</v>
      </c>
      <c r="F1423" s="49" t="s">
        <v>1510</v>
      </c>
      <c r="G1423" s="25">
        <f t="shared" si="21"/>
        <v>-1.5200803212851333E-2</v>
      </c>
    </row>
    <row r="1424" spans="1:7">
      <c r="A1424" s="49">
        <v>12.29646968853009</v>
      </c>
      <c r="B1424" s="49">
        <v>12.368980685518057</v>
      </c>
      <c r="C1424" s="49">
        <v>11.778367402010284</v>
      </c>
      <c r="D1424" s="49">
        <v>11.812315505892212</v>
      </c>
      <c r="E1424" s="49">
        <v>623348785.80555153</v>
      </c>
      <c r="F1424" s="49" t="s">
        <v>1511</v>
      </c>
      <c r="G1424" s="25">
        <f t="shared" si="21"/>
        <v>4.0987237633161255E-2</v>
      </c>
    </row>
    <row r="1425" spans="1:7">
      <c r="A1425" s="49">
        <v>11.526009198197452</v>
      </c>
      <c r="B1425" s="49">
        <v>11.666296797181046</v>
      </c>
      <c r="C1425" s="49">
        <v>11.402914928396569</v>
      </c>
      <c r="D1425" s="49">
        <v>11.492120897199637</v>
      </c>
      <c r="E1425" s="49">
        <v>367643967.77530736</v>
      </c>
      <c r="F1425" s="49" t="s">
        <v>1512</v>
      </c>
      <c r="G1425" s="25">
        <f t="shared" si="21"/>
        <v>2.9488291413704015E-3</v>
      </c>
    </row>
    <row r="1426" spans="1:7">
      <c r="A1426" s="49">
        <v>11.405406715234646</v>
      </c>
      <c r="B1426" s="49">
        <v>11.683240947679952</v>
      </c>
      <c r="C1426" s="49">
        <v>11.318443354585845</v>
      </c>
      <c r="D1426" s="49">
        <v>11.508068332963314</v>
      </c>
      <c r="E1426" s="49">
        <v>375693813.65036619</v>
      </c>
      <c r="F1426" s="49" t="s">
        <v>1513</v>
      </c>
      <c r="G1426" s="25">
        <f t="shared" si="21"/>
        <v>-8.9208383855878814E-3</v>
      </c>
    </row>
    <row r="1427" spans="1:7">
      <c r="A1427" s="49">
        <v>11.402665749712764</v>
      </c>
      <c r="B1427" s="49">
        <v>11.42932786888016</v>
      </c>
      <c r="C1427" s="49">
        <v>10.922249247331997</v>
      </c>
      <c r="D1427" s="49">
        <v>10.954642476226965</v>
      </c>
      <c r="E1427" s="49">
        <v>466475415.24787652</v>
      </c>
      <c r="F1427" s="49" t="s">
        <v>1514</v>
      </c>
      <c r="G1427" s="25">
        <f t="shared" si="21"/>
        <v>4.0898027887086963E-2</v>
      </c>
    </row>
    <row r="1428" spans="1:7">
      <c r="A1428" s="49">
        <v>10.814354877243371</v>
      </c>
      <c r="B1428" s="49">
        <v>11.100162827570518</v>
      </c>
      <c r="C1428" s="49">
        <v>10.760283102857153</v>
      </c>
      <c r="D1428" s="49">
        <v>11.037369799251039</v>
      </c>
      <c r="E1428" s="49">
        <v>355679019.75309277</v>
      </c>
      <c r="F1428" s="49" t="s">
        <v>1515</v>
      </c>
      <c r="G1428" s="25">
        <f t="shared" si="21"/>
        <v>-2.0205440794672014E-2</v>
      </c>
    </row>
    <row r="1429" spans="1:7">
      <c r="A1429" s="49">
        <v>11.12832001884076</v>
      </c>
      <c r="B1429" s="49">
        <v>11.370770878185409</v>
      </c>
      <c r="C1429" s="49">
        <v>10.820833523022365</v>
      </c>
      <c r="D1429" s="49">
        <v>11.297013987778403</v>
      </c>
      <c r="E1429" s="49">
        <v>429205975.26971132</v>
      </c>
      <c r="F1429" s="49" t="s">
        <v>1516</v>
      </c>
      <c r="G1429" s="25">
        <f t="shared" si="21"/>
        <v>-1.4932615744314592E-2</v>
      </c>
    </row>
    <row r="1430" spans="1:7">
      <c r="A1430" s="49">
        <v>11.162706677206188</v>
      </c>
      <c r="B1430" s="49">
        <v>11.466953850135084</v>
      </c>
      <c r="C1430" s="49">
        <v>11.001238890098959</v>
      </c>
      <c r="D1430" s="49">
        <v>11.275335442287155</v>
      </c>
      <c r="E1430" s="49">
        <v>343644924.56412727</v>
      </c>
      <c r="F1430" s="49" t="s">
        <v>1517</v>
      </c>
      <c r="G1430" s="25">
        <f t="shared" si="21"/>
        <v>-9.9889502762430249E-3</v>
      </c>
    </row>
    <row r="1431" spans="1:7">
      <c r="A1431" s="49">
        <v>11.298259881197442</v>
      </c>
      <c r="B1431" s="49">
        <v>11.320685962740111</v>
      </c>
      <c r="C1431" s="49">
        <v>11.142024846450168</v>
      </c>
      <c r="D1431" s="49">
        <v>11.312463066174466</v>
      </c>
      <c r="E1431" s="49">
        <v>245120967.27823561</v>
      </c>
      <c r="F1431" s="49" t="s">
        <v>1518</v>
      </c>
      <c r="G1431" s="25">
        <f t="shared" si="21"/>
        <v>-1.2555342628691735E-3</v>
      </c>
    </row>
    <row r="1432" spans="1:7">
      <c r="A1432" s="49">
        <v>11.249670037854989</v>
      </c>
      <c r="B1432" s="49">
        <v>11.334321020318056</v>
      </c>
      <c r="C1432" s="49">
        <v>11.129565912259796</v>
      </c>
      <c r="D1432" s="49">
        <v>11.207060482923913</v>
      </c>
      <c r="E1432" s="49">
        <v>251325390.45110482</v>
      </c>
      <c r="F1432" s="49" t="s">
        <v>1519</v>
      </c>
      <c r="G1432" s="25">
        <f t="shared" si="21"/>
        <v>3.8020277481325415E-3</v>
      </c>
    </row>
    <row r="1433" spans="1:7">
      <c r="A1433" s="49">
        <v>11.190863868476431</v>
      </c>
      <c r="B1433" s="49">
        <v>11.190863868476431</v>
      </c>
      <c r="C1433" s="49">
        <v>10.870173394203078</v>
      </c>
      <c r="D1433" s="49">
        <v>11.013697824289332</v>
      </c>
      <c r="E1433" s="49">
        <v>311358495.09483635</v>
      </c>
      <c r="F1433" s="49" t="s">
        <v>1520</v>
      </c>
      <c r="G1433" s="25">
        <f t="shared" si="21"/>
        <v>1.6085972850678809E-2</v>
      </c>
    </row>
    <row r="1434" spans="1:7">
      <c r="A1434" s="49">
        <v>10.974078413563948</v>
      </c>
      <c r="B1434" s="49">
        <v>11.062287667631784</v>
      </c>
      <c r="C1434" s="49">
        <v>10.680047566671155</v>
      </c>
      <c r="D1434" s="49">
        <v>10.69724089585387</v>
      </c>
      <c r="E1434" s="49">
        <v>414379586.65753448</v>
      </c>
      <c r="F1434" s="49" t="s">
        <v>1521</v>
      </c>
      <c r="G1434" s="25">
        <f t="shared" si="21"/>
        <v>2.5879338457954759E-2</v>
      </c>
    </row>
    <row r="1435" spans="1:7">
      <c r="A1435" s="49">
        <v>10.57987773578056</v>
      </c>
      <c r="B1435" s="49">
        <v>10.731129196851683</v>
      </c>
      <c r="C1435" s="49">
        <v>10.398724832652542</v>
      </c>
      <c r="D1435" s="49">
        <v>10.528546926916224</v>
      </c>
      <c r="E1435" s="49">
        <v>387559234.7001245</v>
      </c>
      <c r="F1435" s="49" t="s">
        <v>1522</v>
      </c>
      <c r="G1435" s="25">
        <f t="shared" si="21"/>
        <v>4.8753934631862172E-3</v>
      </c>
    </row>
    <row r="1436" spans="1:7">
      <c r="A1436" s="49">
        <v>10.579130199729137</v>
      </c>
      <c r="B1436" s="49">
        <v>10.588145484509292</v>
      </c>
      <c r="C1436" s="49">
        <v>10.261427377874638</v>
      </c>
      <c r="D1436" s="49">
        <v>10.340915378009214</v>
      </c>
      <c r="E1436" s="49">
        <v>309898257.82879013</v>
      </c>
      <c r="F1436" s="49" t="s">
        <v>1523</v>
      </c>
      <c r="G1436" s="25">
        <f t="shared" si="21"/>
        <v>2.3036144578313378E-2</v>
      </c>
    </row>
    <row r="1437" spans="1:7">
      <c r="A1437" s="49">
        <v>10.431118061547512</v>
      </c>
      <c r="B1437" s="49">
        <v>10.481701334360423</v>
      </c>
      <c r="C1437" s="49">
        <v>10.313007365422779</v>
      </c>
      <c r="D1437" s="49">
        <v>10.356663470825845</v>
      </c>
      <c r="E1437" s="49">
        <v>285445443.86052799</v>
      </c>
      <c r="F1437" s="49" t="s">
        <v>1524</v>
      </c>
      <c r="G1437" s="25">
        <f t="shared" si="21"/>
        <v>7.1890518535628889E-3</v>
      </c>
    </row>
    <row r="1438" spans="1:7">
      <c r="A1438" s="49">
        <v>10.181939377740061</v>
      </c>
      <c r="B1438" s="49">
        <v>10.347892381155821</v>
      </c>
      <c r="C1438" s="49">
        <v>10.175709910644875</v>
      </c>
      <c r="D1438" s="49">
        <v>10.340167841957793</v>
      </c>
      <c r="E1438" s="49">
        <v>272531377.7340427</v>
      </c>
      <c r="F1438" s="49" t="s">
        <v>1525</v>
      </c>
      <c r="G1438" s="25">
        <f t="shared" si="21"/>
        <v>-1.5302311010434555E-2</v>
      </c>
    </row>
    <row r="1439" spans="1:7">
      <c r="A1439" s="49">
        <v>10.3872626131974</v>
      </c>
      <c r="B1439" s="49">
        <v>10.407446086585804</v>
      </c>
      <c r="C1439" s="49">
        <v>10.184181985894327</v>
      </c>
      <c r="D1439" s="49">
        <v>10.19863434955516</v>
      </c>
      <c r="E1439" s="49">
        <v>293093088.39770097</v>
      </c>
      <c r="F1439" s="49" t="s">
        <v>1526</v>
      </c>
      <c r="G1439" s="25">
        <f t="shared" si="21"/>
        <v>1.8495443328691019E-2</v>
      </c>
    </row>
    <row r="1440" spans="1:7">
      <c r="A1440" s="49">
        <v>10.161008368300234</v>
      </c>
      <c r="B1440" s="49">
        <v>10.330699051973108</v>
      </c>
      <c r="C1440" s="49">
        <v>9.7448799663417915</v>
      </c>
      <c r="D1440" s="49">
        <v>9.8425580103943116</v>
      </c>
      <c r="E1440" s="49">
        <v>474852014.59460437</v>
      </c>
      <c r="F1440" s="49" t="s">
        <v>1527</v>
      </c>
      <c r="G1440" s="25">
        <f t="shared" si="21"/>
        <v>3.2354430379746724E-2</v>
      </c>
    </row>
    <row r="1441" spans="1:7">
      <c r="A1441" s="49">
        <v>10.096471089194106</v>
      </c>
      <c r="B1441" s="49">
        <v>10.51235031246874</v>
      </c>
      <c r="C1441" s="49">
        <v>9.9982946877739689</v>
      </c>
      <c r="D1441" s="49">
        <v>10.41566898315145</v>
      </c>
      <c r="E1441" s="49">
        <v>413018153.99075729</v>
      </c>
      <c r="F1441" s="49" t="s">
        <v>1528</v>
      </c>
      <c r="G1441" s="25">
        <f t="shared" si="21"/>
        <v>-3.0645933014354032E-2</v>
      </c>
    </row>
    <row r="1442" spans="1:7">
      <c r="A1442" s="49">
        <v>10.404455942380114</v>
      </c>
      <c r="B1442" s="49">
        <v>10.567667980273995</v>
      </c>
      <c r="C1442" s="49">
        <v>10.257747008714801</v>
      </c>
      <c r="D1442" s="49">
        <v>10.33344001749499</v>
      </c>
      <c r="E1442" s="49">
        <v>368501464.88033706</v>
      </c>
      <c r="F1442" s="49" t="s">
        <v>1529</v>
      </c>
      <c r="G1442" s="25">
        <f t="shared" si="21"/>
        <v>6.8724379069207142E-3</v>
      </c>
    </row>
    <row r="1443" spans="1:7">
      <c r="A1443" s="49">
        <v>10.294568142821028</v>
      </c>
      <c r="B1443" s="49">
        <v>10.525235342208424</v>
      </c>
      <c r="C1443" s="49">
        <v>10.252955302625185</v>
      </c>
      <c r="D1443" s="49">
        <v>10.478462011470926</v>
      </c>
      <c r="E1443" s="49">
        <v>278582055.81357318</v>
      </c>
      <c r="F1443" s="49" t="s">
        <v>1530</v>
      </c>
      <c r="G1443" s="25">
        <f t="shared" si="21"/>
        <v>-1.7549700370969257E-2</v>
      </c>
    </row>
    <row r="1444" spans="1:7">
      <c r="A1444" s="49">
        <v>10.47621940331666</v>
      </c>
      <c r="B1444" s="49">
        <v>10.496652055388871</v>
      </c>
      <c r="C1444" s="49">
        <v>10.123382387045309</v>
      </c>
      <c r="D1444" s="49">
        <v>10.240496368434812</v>
      </c>
      <c r="E1444" s="49">
        <v>285789734.9479081</v>
      </c>
      <c r="F1444" s="49" t="s">
        <v>1531</v>
      </c>
      <c r="G1444" s="25">
        <f t="shared" si="21"/>
        <v>2.3018711828113991E-2</v>
      </c>
    </row>
    <row r="1445" spans="1:7">
      <c r="G1445" s="25"/>
    </row>
    <row r="1446" spans="1:7">
      <c r="G1446" s="25"/>
    </row>
    <row r="1447" spans="1:7">
      <c r="G1447" s="25"/>
    </row>
    <row r="1448" spans="1:7">
      <c r="G1448" s="25"/>
    </row>
    <row r="1449" spans="1:7">
      <c r="G1449" s="25"/>
    </row>
    <row r="1450" spans="1:7">
      <c r="G1450" s="25"/>
    </row>
    <row r="1451" spans="1:7">
      <c r="G1451" s="25"/>
    </row>
    <row r="1452" spans="1:7">
      <c r="G1452" s="25"/>
    </row>
    <row r="1453" spans="1:7">
      <c r="G1453" s="25"/>
    </row>
    <row r="1454" spans="1:7">
      <c r="G1454" s="25"/>
    </row>
    <row r="1455" spans="1:7">
      <c r="G1455" s="25"/>
    </row>
    <row r="1456" spans="1: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sheetData>
  <sortState xmlns:xlrd2="http://schemas.microsoft.com/office/spreadsheetml/2017/richdata2" ref="I212:I278">
    <sortCondition ref="I21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4E6C4-ACE1-4F55-811C-6D8863FFBCD5}">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 sqref="D1"/>
    </sheetView>
  </sheetViews>
  <sheetFormatPr defaultColWidth="9.140625" defaultRowHeight="14.25"/>
  <cols>
    <col min="1" max="1" width="3.140625" style="1" customWidth="1"/>
    <col min="2" max="16384" width="9.140625" style="1"/>
  </cols>
  <sheetData>
    <row r="2" spans="2:26" ht="15">
      <c r="B2" s="3" t="s">
        <v>9</v>
      </c>
      <c r="C2" s="4"/>
      <c r="D2" s="4"/>
      <c r="E2" s="4"/>
      <c r="F2" s="4"/>
      <c r="G2" s="3" t="s">
        <v>9</v>
      </c>
      <c r="H2" s="5"/>
      <c r="I2" s="5"/>
      <c r="J2" s="5"/>
      <c r="K2" s="5"/>
      <c r="L2" s="5"/>
      <c r="M2" s="5"/>
      <c r="N2" s="5"/>
      <c r="O2" s="5"/>
      <c r="P2" s="5"/>
      <c r="Q2" s="5"/>
      <c r="R2" s="5"/>
      <c r="S2" s="5"/>
      <c r="T2" s="5"/>
      <c r="U2" s="5"/>
      <c r="V2" s="5"/>
      <c r="W2" s="5"/>
      <c r="X2" s="5"/>
      <c r="Y2" s="5"/>
      <c r="Z2" s="6"/>
    </row>
    <row r="3" spans="2:26" ht="15">
      <c r="B3" s="7" t="s">
        <v>10</v>
      </c>
      <c r="C3" s="8"/>
      <c r="D3" s="8"/>
      <c r="E3" s="8"/>
      <c r="F3" s="9"/>
      <c r="G3" s="10" t="s">
        <v>11</v>
      </c>
      <c r="H3" s="10"/>
      <c r="I3" s="10"/>
      <c r="J3" s="10"/>
      <c r="K3" s="10"/>
      <c r="L3" s="10"/>
      <c r="M3" s="10"/>
      <c r="N3" s="10"/>
      <c r="O3" s="10"/>
      <c r="P3" s="10"/>
      <c r="Q3" s="10"/>
      <c r="R3" s="10"/>
      <c r="S3" s="10"/>
      <c r="T3" s="10"/>
      <c r="U3" s="10"/>
      <c r="V3" s="10"/>
      <c r="W3" s="10"/>
      <c r="X3" s="10"/>
      <c r="Y3" s="10"/>
      <c r="Z3" s="11"/>
    </row>
    <row r="4" spans="2:26" ht="15">
      <c r="B4" s="12" t="s">
        <v>10</v>
      </c>
      <c r="C4" s="13"/>
      <c r="D4" s="13"/>
      <c r="E4" s="13"/>
      <c r="F4" s="14"/>
      <c r="G4" s="15" t="s">
        <v>12</v>
      </c>
      <c r="H4" s="15"/>
      <c r="I4" s="15"/>
      <c r="J4" s="15"/>
      <c r="K4" s="15"/>
      <c r="L4" s="15"/>
      <c r="M4" s="15"/>
      <c r="N4" s="15"/>
      <c r="O4" s="15"/>
      <c r="P4" s="15"/>
      <c r="Q4" s="15"/>
      <c r="R4" s="15"/>
      <c r="S4" s="15"/>
      <c r="T4" s="15"/>
      <c r="U4" s="15"/>
      <c r="V4" s="15"/>
      <c r="W4" s="15"/>
      <c r="X4" s="15"/>
      <c r="Y4" s="15"/>
      <c r="Z4" s="16"/>
    </row>
    <row r="5" spans="2:26" ht="15">
      <c r="B5" s="12" t="s">
        <v>10</v>
      </c>
      <c r="C5" s="13"/>
      <c r="D5" s="13"/>
      <c r="E5" s="13"/>
      <c r="F5" s="14"/>
      <c r="G5" s="17" t="s">
        <v>11</v>
      </c>
      <c r="H5" s="17"/>
      <c r="I5" s="17"/>
      <c r="J5" s="17"/>
      <c r="K5" s="17"/>
      <c r="L5" s="17"/>
      <c r="M5" s="17"/>
      <c r="N5" s="17"/>
      <c r="O5" s="17"/>
      <c r="P5" s="17"/>
      <c r="Q5" s="17"/>
      <c r="R5" s="17"/>
      <c r="S5" s="17"/>
      <c r="T5" s="17"/>
      <c r="U5" s="17"/>
      <c r="V5" s="17"/>
      <c r="W5" s="17"/>
      <c r="X5" s="17"/>
      <c r="Y5" s="17"/>
      <c r="Z5" s="18"/>
    </row>
    <row r="6" spans="2:26" ht="15">
      <c r="B6" s="12" t="s">
        <v>10</v>
      </c>
      <c r="C6" s="13"/>
      <c r="D6" s="13"/>
      <c r="E6" s="13"/>
      <c r="F6" s="14"/>
      <c r="G6" s="15" t="s">
        <v>12</v>
      </c>
      <c r="H6" s="15"/>
      <c r="I6" s="15"/>
      <c r="J6" s="15"/>
      <c r="K6" s="15"/>
      <c r="L6" s="15"/>
      <c r="M6" s="15"/>
      <c r="N6" s="15"/>
      <c r="O6" s="15"/>
      <c r="P6" s="15"/>
      <c r="Q6" s="15"/>
      <c r="R6" s="15"/>
      <c r="S6" s="15"/>
      <c r="T6" s="15"/>
      <c r="U6" s="15"/>
      <c r="V6" s="15"/>
      <c r="W6" s="15"/>
      <c r="X6" s="15"/>
      <c r="Y6" s="15"/>
      <c r="Z6" s="16"/>
    </row>
    <row r="7" spans="2:26" ht="15">
      <c r="B7" s="12" t="s">
        <v>10</v>
      </c>
      <c r="C7" s="13"/>
      <c r="D7" s="13"/>
      <c r="E7" s="13"/>
      <c r="F7" s="14"/>
      <c r="G7" s="17" t="s">
        <v>11</v>
      </c>
      <c r="H7" s="17"/>
      <c r="I7" s="17"/>
      <c r="J7" s="17"/>
      <c r="K7" s="17"/>
      <c r="L7" s="17"/>
      <c r="M7" s="17"/>
      <c r="N7" s="17"/>
      <c r="O7" s="17"/>
      <c r="P7" s="17"/>
      <c r="Q7" s="17"/>
      <c r="R7" s="17"/>
      <c r="S7" s="17"/>
      <c r="T7" s="17"/>
      <c r="U7" s="17"/>
      <c r="V7" s="17"/>
      <c r="W7" s="17"/>
      <c r="X7" s="17"/>
      <c r="Y7" s="17"/>
      <c r="Z7" s="18"/>
    </row>
    <row r="8" spans="2:26" ht="15">
      <c r="B8" s="19" t="s">
        <v>10</v>
      </c>
      <c r="C8" s="20"/>
      <c r="D8" s="20"/>
      <c r="E8" s="20"/>
      <c r="F8" s="21"/>
      <c r="G8" s="22" t="s">
        <v>12</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Notes | Quant Analysis</vt:lpstr>
      <vt:lpstr>Product Lines</vt:lpstr>
      <vt:lpstr>M&amp;A</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Herrick</cp:lastModifiedBy>
  <dcterms:created xsi:type="dcterms:W3CDTF">2015-06-05T18:17:20Z</dcterms:created>
  <dcterms:modified xsi:type="dcterms:W3CDTF">2026-03-05T06:43:44Z</dcterms:modified>
</cp:coreProperties>
</file>