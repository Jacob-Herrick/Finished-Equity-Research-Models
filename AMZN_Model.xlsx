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chart4.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User\OneDrive\Desktop\Equity Research\Models\Consumer Discretionary\"/>
    </mc:Choice>
  </mc:AlternateContent>
  <xr:revisionPtr revIDLastSave="0" documentId="13_ncr:1_{B7BD091C-2027-402C-9C3A-EEAF93F6145F}" xr6:coauthVersionLast="47" xr6:coauthVersionMax="47" xr10:uidLastSave="{00000000-0000-0000-0000-000000000000}"/>
  <bookViews>
    <workbookView xWindow="28680" yWindow="-120" windowWidth="29040" windowHeight="15720" xr2:uid="{00000000-000D-0000-FFFF-FFFF00000000}"/>
  </bookViews>
  <sheets>
    <sheet name="Main" sheetId="1" r:id="rId1"/>
    <sheet name="Model" sheetId="2" r:id="rId2"/>
    <sheet name="Notes | Quant Analysis" sheetId="3" r:id="rId3"/>
    <sheet name="Product Lines" sheetId="5" r:id="rId4"/>
    <sheet name="M&amp;A" sheetId="7" r:id="rId5"/>
    <sheet name="Management" sheetId="6" r:id="rId6"/>
    <sheet name="Table Formatting" sheetId="4" r:id="rId7"/>
  </sheets>
  <externalReferences>
    <externalReference r:id="rId8"/>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Q78" i="2" l="1"/>
  <c r="BE20" i="2" l="1"/>
  <c r="BD20" i="2"/>
  <c r="BC20" i="2"/>
  <c r="BB20" i="2"/>
  <c r="BA20" i="2"/>
  <c r="AZ20" i="2"/>
  <c r="AY20" i="2"/>
  <c r="AX20" i="2"/>
  <c r="AW20" i="2"/>
  <c r="AV20" i="2"/>
  <c r="AU20" i="2"/>
  <c r="AT20" i="2"/>
  <c r="AS20" i="2"/>
  <c r="AR20" i="2"/>
  <c r="AQ20" i="2"/>
  <c r="AP20" i="2"/>
  <c r="AO20" i="2"/>
  <c r="AN20" i="2"/>
  <c r="AM20" i="2"/>
  <c r="AL20" i="2"/>
  <c r="AK20" i="2"/>
  <c r="AJ20" i="2"/>
  <c r="AI20" i="2"/>
  <c r="AH20" i="2"/>
  <c r="AG20" i="2"/>
  <c r="AF20" i="2"/>
  <c r="AE20" i="2"/>
  <c r="AD20" i="2"/>
  <c r="AC20" i="2"/>
  <c r="AB20" i="2"/>
  <c r="AA20" i="2"/>
  <c r="Z20" i="2"/>
  <c r="Y20" i="2"/>
  <c r="X20" i="2"/>
  <c r="W20" i="2"/>
  <c r="V20" i="2"/>
  <c r="U20" i="2"/>
  <c r="T20" i="2"/>
  <c r="S20" i="2"/>
  <c r="R20" i="2"/>
  <c r="Q20" i="2"/>
  <c r="P20" i="2"/>
  <c r="O20" i="2"/>
  <c r="N20" i="2"/>
  <c r="M20" i="2"/>
  <c r="L20" i="2"/>
  <c r="K20" i="2"/>
  <c r="J20" i="2"/>
  <c r="I20" i="2"/>
  <c r="H20" i="2"/>
  <c r="G20" i="2"/>
  <c r="BF20" i="2"/>
  <c r="CL20" i="2"/>
  <c r="CK20" i="2"/>
  <c r="CJ20" i="2"/>
  <c r="CI20" i="2"/>
  <c r="CH20" i="2"/>
  <c r="CG20" i="2"/>
  <c r="CF20" i="2"/>
  <c r="CE20" i="2"/>
  <c r="CD20" i="2"/>
  <c r="CC20" i="2"/>
  <c r="CB20" i="2"/>
  <c r="CA20" i="2"/>
  <c r="CM20" i="2"/>
  <c r="CP54" i="2"/>
  <c r="C7" i="1"/>
  <c r="C6" i="1"/>
  <c r="BQ51" i="2"/>
  <c r="BQ106" i="2"/>
  <c r="BQ105" i="2"/>
  <c r="BQ98" i="2"/>
  <c r="BQ96" i="2"/>
  <c r="BQ95" i="2"/>
  <c r="BQ94" i="2"/>
  <c r="BQ90" i="2"/>
  <c r="BQ92" i="2" s="1"/>
  <c r="BQ82" i="2"/>
  <c r="BQ37" i="2"/>
  <c r="BQ36" i="2"/>
  <c r="BQ35" i="2"/>
  <c r="BQ33" i="2"/>
  <c r="BQ40" i="2" s="1"/>
  <c r="BQ19" i="2"/>
  <c r="BQ18" i="2"/>
  <c r="BQ17" i="2"/>
  <c r="BQ16" i="2"/>
  <c r="BQ15" i="2"/>
  <c r="BQ14" i="2"/>
  <c r="BQ13" i="2"/>
  <c r="BQ11" i="2"/>
  <c r="BQ28" i="2" s="1"/>
  <c r="BQ24" i="2" l="1"/>
  <c r="BQ25" i="2"/>
  <c r="BQ44" i="2"/>
  <c r="BQ66" i="2" s="1"/>
  <c r="BQ22" i="2"/>
  <c r="BQ26" i="2"/>
  <c r="BQ69" i="2"/>
  <c r="BQ23" i="2"/>
  <c r="BQ27" i="2"/>
  <c r="BQ107" i="2"/>
  <c r="BQ42" i="2"/>
  <c r="BQ41" i="2"/>
  <c r="BQ97" i="2"/>
  <c r="BQ67" i="2"/>
  <c r="BQ68" i="2"/>
  <c r="BQ65" i="2"/>
  <c r="BQ46" i="2" l="1"/>
  <c r="BQ53" i="2" s="1"/>
  <c r="BQ64" i="2"/>
  <c r="BQ70" i="2" l="1"/>
  <c r="BQ57" i="2"/>
  <c r="BQ60" i="2" l="1"/>
  <c r="BQ71" i="2"/>
  <c r="BQ72" i="2" l="1"/>
  <c r="BQ62" i="2"/>
  <c r="BQ102" i="2"/>
  <c r="BQ100" i="2"/>
  <c r="BQ99" i="2"/>
  <c r="CY79" i="2" l="1"/>
  <c r="BN59" i="2" l="1"/>
  <c r="BN58" i="2"/>
  <c r="BJ59" i="2"/>
  <c r="BJ58" i="2"/>
  <c r="BF59" i="2"/>
  <c r="BF58" i="2"/>
  <c r="BB59" i="2"/>
  <c r="BB58" i="2"/>
  <c r="AX59" i="2"/>
  <c r="AX58" i="2"/>
  <c r="BA68" i="2" l="1"/>
  <c r="AZ68" i="2"/>
  <c r="AY68" i="2"/>
  <c r="AW68" i="2"/>
  <c r="AV68" i="2"/>
  <c r="AU68" i="2"/>
  <c r="BA67" i="2"/>
  <c r="AZ67" i="2"/>
  <c r="AY67" i="2"/>
  <c r="AW67" i="2"/>
  <c r="AV67" i="2"/>
  <c r="AU67" i="2"/>
  <c r="BA65" i="2"/>
  <c r="AZ65" i="2"/>
  <c r="AY65" i="2"/>
  <c r="AW65" i="2"/>
  <c r="AV65" i="2"/>
  <c r="AU65" i="2"/>
  <c r="CY86" i="2"/>
  <c r="CY84" i="2"/>
  <c r="CY81" i="2"/>
  <c r="F62" i="2" l="1"/>
  <c r="N62" i="2"/>
  <c r="V62" i="2"/>
  <c r="AD62" i="2"/>
  <c r="AL62" i="2"/>
  <c r="AT62" i="2"/>
  <c r="G70" i="2"/>
  <c r="J62" i="2"/>
  <c r="K70" i="2"/>
  <c r="R62" i="2"/>
  <c r="Z62" i="2"/>
  <c r="AC70" i="2"/>
  <c r="AH62" i="2"/>
  <c r="AP62" i="2"/>
  <c r="AQ70" i="2"/>
  <c r="AE62" i="2"/>
  <c r="AM62" i="2"/>
  <c r="AQ62" i="2"/>
  <c r="C62" i="2"/>
  <c r="G62" i="2"/>
  <c r="K62" i="2"/>
  <c r="O62" i="2"/>
  <c r="S62" i="2"/>
  <c r="W62" i="2"/>
  <c r="AA62" i="2"/>
  <c r="AI62" i="2"/>
  <c r="AU46" i="2"/>
  <c r="AV46" i="2"/>
  <c r="AW46" i="2"/>
  <c r="AY46" i="2"/>
  <c r="AZ46" i="2"/>
  <c r="BA46" i="2"/>
  <c r="C70" i="2"/>
  <c r="D70" i="2"/>
  <c r="E70" i="2"/>
  <c r="L70" i="2"/>
  <c r="M70" i="2"/>
  <c r="O70" i="2"/>
  <c r="S70" i="2"/>
  <c r="AA70" i="2"/>
  <c r="AB70" i="2"/>
  <c r="AE70" i="2"/>
  <c r="AI70" i="2"/>
  <c r="AJ70" i="2"/>
  <c r="AK70" i="2"/>
  <c r="AM70" i="2"/>
  <c r="AS70" i="2"/>
  <c r="CL59" i="2"/>
  <c r="BB56" i="2"/>
  <c r="CL56" i="2" s="1"/>
  <c r="BB55" i="2"/>
  <c r="CL55" i="2" s="1"/>
  <c r="BB54" i="2"/>
  <c r="AU51" i="2"/>
  <c r="AU69" i="2" s="1"/>
  <c r="AV51" i="2"/>
  <c r="BZ3" i="2"/>
  <c r="BP105" i="2"/>
  <c r="CO104" i="2"/>
  <c r="CN104" i="2"/>
  <c r="CM104" i="2"/>
  <c r="CL104" i="2"/>
  <c r="CK104" i="2"/>
  <c r="CJ104" i="2"/>
  <c r="CI104" i="2"/>
  <c r="CH104" i="2"/>
  <c r="CG104" i="2"/>
  <c r="CF104" i="2"/>
  <c r="CE104" i="2"/>
  <c r="CD104" i="2"/>
  <c r="CC104" i="2"/>
  <c r="CB104" i="2"/>
  <c r="CA104" i="2"/>
  <c r="BZ104" i="2"/>
  <c r="CO103" i="2"/>
  <c r="CN103" i="2"/>
  <c r="CM103" i="2"/>
  <c r="CL103" i="2"/>
  <c r="CK103" i="2"/>
  <c r="CJ103" i="2"/>
  <c r="CI103" i="2"/>
  <c r="CH103" i="2"/>
  <c r="CG103" i="2"/>
  <c r="CF103" i="2"/>
  <c r="CF105" i="2" s="1"/>
  <c r="CE103" i="2"/>
  <c r="CE105" i="2" s="1"/>
  <c r="CD103" i="2"/>
  <c r="CC103" i="2"/>
  <c r="CB103" i="2"/>
  <c r="CA103" i="2"/>
  <c r="BZ103" i="2"/>
  <c r="CO91" i="2"/>
  <c r="CN91" i="2"/>
  <c r="CM91" i="2"/>
  <c r="CL91" i="2"/>
  <c r="CK91" i="2"/>
  <c r="CO89" i="2"/>
  <c r="CN89" i="2"/>
  <c r="CM89" i="2"/>
  <c r="CL89" i="2"/>
  <c r="CK89" i="2"/>
  <c r="CO88" i="2"/>
  <c r="CN88" i="2"/>
  <c r="CM88" i="2"/>
  <c r="CL88" i="2"/>
  <c r="CK88" i="2"/>
  <c r="CO87" i="2"/>
  <c r="CN87" i="2"/>
  <c r="CM87" i="2"/>
  <c r="CL87" i="2"/>
  <c r="CK87" i="2"/>
  <c r="CO86" i="2"/>
  <c r="CN86" i="2"/>
  <c r="CM86" i="2"/>
  <c r="CL86" i="2"/>
  <c r="CK86" i="2"/>
  <c r="CO85" i="2"/>
  <c r="CN85" i="2"/>
  <c r="CM85" i="2"/>
  <c r="CL85" i="2"/>
  <c r="CK85" i="2"/>
  <c r="CO84" i="2"/>
  <c r="CN84" i="2"/>
  <c r="CM84" i="2"/>
  <c r="CL84" i="2"/>
  <c r="CK84" i="2"/>
  <c r="CO81" i="2"/>
  <c r="CN81" i="2"/>
  <c r="CM81" i="2"/>
  <c r="CL81" i="2"/>
  <c r="CK81" i="2"/>
  <c r="CO80" i="2"/>
  <c r="CN80" i="2"/>
  <c r="CM80" i="2"/>
  <c r="CL80" i="2"/>
  <c r="CK80" i="2"/>
  <c r="CO79" i="2"/>
  <c r="CN79" i="2"/>
  <c r="CM79" i="2"/>
  <c r="CL79" i="2"/>
  <c r="CK79" i="2"/>
  <c r="CO78" i="2"/>
  <c r="CN78" i="2"/>
  <c r="CM78" i="2"/>
  <c r="CL78" i="2"/>
  <c r="CK78" i="2"/>
  <c r="CO77" i="2"/>
  <c r="CN77" i="2"/>
  <c r="CM77" i="2"/>
  <c r="CL77" i="2"/>
  <c r="CK77" i="2"/>
  <c r="CO76" i="2"/>
  <c r="CN76" i="2"/>
  <c r="CM76" i="2"/>
  <c r="CL76" i="2"/>
  <c r="CK76" i="2"/>
  <c r="CO75" i="2"/>
  <c r="CN75" i="2"/>
  <c r="CM75" i="2"/>
  <c r="CL75" i="2"/>
  <c r="CK75" i="2"/>
  <c r="CO74" i="2"/>
  <c r="CO61" i="2"/>
  <c r="CO106" i="2" s="1"/>
  <c r="CN61" i="2"/>
  <c r="CN106" i="2" s="1"/>
  <c r="CM61" i="2"/>
  <c r="CM106" i="2" s="1"/>
  <c r="CJ61" i="2"/>
  <c r="CJ106" i="2" s="1"/>
  <c r="CI61" i="2"/>
  <c r="CI106" i="2" s="1"/>
  <c r="CH61" i="2"/>
  <c r="CH106" i="2" s="1"/>
  <c r="CG61" i="2"/>
  <c r="CG106" i="2" s="1"/>
  <c r="CF61" i="2"/>
  <c r="CF106" i="2" s="1"/>
  <c r="CE61" i="2"/>
  <c r="CE106" i="2" s="1"/>
  <c r="CD61" i="2"/>
  <c r="CD106" i="2" s="1"/>
  <c r="CC61" i="2"/>
  <c r="CC106" i="2" s="1"/>
  <c r="CB61" i="2"/>
  <c r="CB106" i="2" s="1"/>
  <c r="CA61" i="2"/>
  <c r="CA106" i="2" s="1"/>
  <c r="BZ61" i="2"/>
  <c r="BZ106" i="2" s="1"/>
  <c r="BO106" i="2"/>
  <c r="BN106" i="2"/>
  <c r="BM106" i="2"/>
  <c r="BL106" i="2"/>
  <c r="BK106" i="2"/>
  <c r="BJ106" i="2"/>
  <c r="BI106" i="2"/>
  <c r="BH106" i="2"/>
  <c r="BG106" i="2"/>
  <c r="BF106" i="2"/>
  <c r="BE106" i="2"/>
  <c r="BD106" i="2"/>
  <c r="BC106" i="2"/>
  <c r="BB106" i="2"/>
  <c r="BA106" i="2"/>
  <c r="AX106" i="2"/>
  <c r="AT106" i="2"/>
  <c r="AS106" i="2"/>
  <c r="AR106" i="2"/>
  <c r="AQ106" i="2"/>
  <c r="AP106" i="2"/>
  <c r="AO106" i="2"/>
  <c r="AN106" i="2"/>
  <c r="AM106" i="2"/>
  <c r="AL106" i="2"/>
  <c r="AK106" i="2"/>
  <c r="AJ106" i="2"/>
  <c r="AI106" i="2"/>
  <c r="AH106" i="2"/>
  <c r="AG106" i="2"/>
  <c r="AF106" i="2"/>
  <c r="AE106" i="2"/>
  <c r="AD106" i="2"/>
  <c r="AC106" i="2"/>
  <c r="AB106" i="2"/>
  <c r="AA106" i="2"/>
  <c r="Z106" i="2"/>
  <c r="Y106" i="2"/>
  <c r="X106" i="2"/>
  <c r="W106" i="2"/>
  <c r="V106" i="2"/>
  <c r="U106" i="2"/>
  <c r="T106" i="2"/>
  <c r="S106" i="2"/>
  <c r="R106" i="2"/>
  <c r="Q106" i="2"/>
  <c r="P106" i="2"/>
  <c r="O106" i="2"/>
  <c r="N106" i="2"/>
  <c r="M106" i="2"/>
  <c r="L106" i="2"/>
  <c r="K106" i="2"/>
  <c r="J106" i="2"/>
  <c r="I106" i="2"/>
  <c r="H106" i="2"/>
  <c r="G106" i="2"/>
  <c r="F106" i="2"/>
  <c r="E106" i="2"/>
  <c r="D106" i="2"/>
  <c r="C106" i="2"/>
  <c r="BP106" i="2"/>
  <c r="BO105" i="2"/>
  <c r="BN105" i="2"/>
  <c r="BM105" i="2"/>
  <c r="BL105" i="2"/>
  <c r="BK105" i="2"/>
  <c r="BJ105" i="2"/>
  <c r="BI105" i="2"/>
  <c r="BH105" i="2"/>
  <c r="BG105" i="2"/>
  <c r="BF105" i="2"/>
  <c r="BE105" i="2"/>
  <c r="BD105" i="2"/>
  <c r="BC105" i="2"/>
  <c r="BB105" i="2"/>
  <c r="BA105" i="2"/>
  <c r="AZ105" i="2"/>
  <c r="AY105" i="2"/>
  <c r="AX105" i="2"/>
  <c r="AW105" i="2"/>
  <c r="AV105" i="2"/>
  <c r="AU105" i="2"/>
  <c r="AT105" i="2"/>
  <c r="AS105" i="2"/>
  <c r="AR105" i="2"/>
  <c r="AQ105" i="2"/>
  <c r="AP105" i="2"/>
  <c r="AO105" i="2"/>
  <c r="AN105" i="2"/>
  <c r="AM105" i="2"/>
  <c r="AL105" i="2"/>
  <c r="AK105" i="2"/>
  <c r="AJ105" i="2"/>
  <c r="AI105" i="2"/>
  <c r="AH105" i="2"/>
  <c r="AG105" i="2"/>
  <c r="AF105" i="2"/>
  <c r="AE105" i="2"/>
  <c r="AD105" i="2"/>
  <c r="AC105" i="2"/>
  <c r="AB105" i="2"/>
  <c r="AA105" i="2"/>
  <c r="Z105" i="2"/>
  <c r="Y105" i="2"/>
  <c r="X105" i="2"/>
  <c r="W105" i="2"/>
  <c r="V105" i="2"/>
  <c r="U105" i="2"/>
  <c r="T105" i="2"/>
  <c r="S105" i="2"/>
  <c r="R105" i="2"/>
  <c r="Q105" i="2"/>
  <c r="P105" i="2"/>
  <c r="O105" i="2"/>
  <c r="N105" i="2"/>
  <c r="M105" i="2"/>
  <c r="L105" i="2"/>
  <c r="K105" i="2"/>
  <c r="J105" i="2"/>
  <c r="I105" i="2"/>
  <c r="H105" i="2"/>
  <c r="G105" i="2"/>
  <c r="F105" i="2"/>
  <c r="E105" i="2"/>
  <c r="D105" i="2"/>
  <c r="C105" i="2"/>
  <c r="BO98" i="2"/>
  <c r="BM98" i="2"/>
  <c r="BL98" i="2"/>
  <c r="BK98" i="2"/>
  <c r="BI98" i="2"/>
  <c r="BH98" i="2"/>
  <c r="BG98" i="2"/>
  <c r="BE98" i="2"/>
  <c r="BD98" i="2"/>
  <c r="BC98" i="2"/>
  <c r="BA98" i="2"/>
  <c r="AZ98" i="2"/>
  <c r="AY98" i="2"/>
  <c r="BO96" i="2"/>
  <c r="BN96" i="2"/>
  <c r="BM96" i="2"/>
  <c r="BL96" i="2"/>
  <c r="BK96" i="2"/>
  <c r="BJ96" i="2"/>
  <c r="BI96" i="2"/>
  <c r="BH96" i="2"/>
  <c r="BG96" i="2"/>
  <c r="BF96" i="2"/>
  <c r="BE96" i="2"/>
  <c r="BD96" i="2"/>
  <c r="BC96" i="2"/>
  <c r="BB96" i="2"/>
  <c r="BA96" i="2"/>
  <c r="AZ96" i="2"/>
  <c r="AY96" i="2"/>
  <c r="AX96" i="2"/>
  <c r="BO95" i="2"/>
  <c r="BN95" i="2"/>
  <c r="BM95" i="2"/>
  <c r="BL95" i="2"/>
  <c r="BK95" i="2"/>
  <c r="BJ95" i="2"/>
  <c r="BI95" i="2"/>
  <c r="BH95" i="2"/>
  <c r="BG95" i="2"/>
  <c r="BF95" i="2"/>
  <c r="BE95" i="2"/>
  <c r="BD95" i="2"/>
  <c r="BC95" i="2"/>
  <c r="BB95" i="2"/>
  <c r="BA95" i="2"/>
  <c r="AZ95" i="2"/>
  <c r="AY95" i="2"/>
  <c r="AX95" i="2"/>
  <c r="BO94" i="2"/>
  <c r="BN94" i="2"/>
  <c r="BM94" i="2"/>
  <c r="BL94" i="2"/>
  <c r="BK94" i="2"/>
  <c r="BJ94" i="2"/>
  <c r="BI94" i="2"/>
  <c r="BH94" i="2"/>
  <c r="BG94" i="2"/>
  <c r="BF94" i="2"/>
  <c r="BE94" i="2"/>
  <c r="BD94" i="2"/>
  <c r="BC94" i="2"/>
  <c r="BB94" i="2"/>
  <c r="BA94" i="2"/>
  <c r="AZ94" i="2"/>
  <c r="AY94" i="2"/>
  <c r="AX94" i="2"/>
  <c r="BP98" i="2"/>
  <c r="BP96" i="2"/>
  <c r="BP95" i="2"/>
  <c r="BP94" i="2"/>
  <c r="AU61" i="2"/>
  <c r="AY61" i="2"/>
  <c r="AY106" i="2" s="1"/>
  <c r="AV61" i="2"/>
  <c r="AV106" i="2" s="1"/>
  <c r="AZ61" i="2"/>
  <c r="AZ106" i="2" s="1"/>
  <c r="AW61" i="2"/>
  <c r="AW106" i="2" s="1"/>
  <c r="CK59" i="2"/>
  <c r="AX56" i="2"/>
  <c r="CK56" i="2" s="1"/>
  <c r="AX55" i="2"/>
  <c r="CK55" i="2" s="1"/>
  <c r="AX54" i="2"/>
  <c r="CK54" i="2" s="1"/>
  <c r="AX52" i="2"/>
  <c r="CK52" i="2" s="1"/>
  <c r="AX50" i="2"/>
  <c r="AX49" i="2"/>
  <c r="AX48" i="2"/>
  <c r="CK48" i="2" s="1"/>
  <c r="AX47" i="2"/>
  <c r="AX45" i="2"/>
  <c r="CK45" i="2" s="1"/>
  <c r="AX44" i="2"/>
  <c r="BB52" i="2"/>
  <c r="CL52" i="2" s="1"/>
  <c r="BB50" i="2"/>
  <c r="BB49" i="2"/>
  <c r="BB48" i="2"/>
  <c r="CL48" i="2" s="1"/>
  <c r="BB47" i="2"/>
  <c r="BB45" i="2"/>
  <c r="BB98" i="2" s="1"/>
  <c r="BB44" i="2"/>
  <c r="BD51" i="2"/>
  <c r="CM59" i="2"/>
  <c r="BF56" i="2"/>
  <c r="CM56" i="2" s="1"/>
  <c r="BF55" i="2"/>
  <c r="CM55" i="2" s="1"/>
  <c r="BF54" i="2"/>
  <c r="CM54" i="2" s="1"/>
  <c r="BF52" i="2"/>
  <c r="CM52" i="2" s="1"/>
  <c r="BF50" i="2"/>
  <c r="BF49" i="2"/>
  <c r="BF48" i="2"/>
  <c r="CM48" i="2" s="1"/>
  <c r="BF47" i="2"/>
  <c r="BF45" i="2"/>
  <c r="CM45" i="2" s="1"/>
  <c r="CN59" i="2"/>
  <c r="BJ56" i="2"/>
  <c r="CN56" i="2" s="1"/>
  <c r="BJ55" i="2"/>
  <c r="CN55" i="2" s="1"/>
  <c r="BJ54" i="2"/>
  <c r="CN54" i="2" s="1"/>
  <c r="BJ52" i="2"/>
  <c r="CN52" i="2" s="1"/>
  <c r="BJ50" i="2"/>
  <c r="BJ49" i="2"/>
  <c r="BJ48" i="2"/>
  <c r="CN48" i="2" s="1"/>
  <c r="BJ47" i="2"/>
  <c r="BJ45" i="2"/>
  <c r="CN45" i="2" s="1"/>
  <c r="CO59" i="2"/>
  <c r="BN56" i="2"/>
  <c r="CO56" i="2" s="1"/>
  <c r="BN55" i="2"/>
  <c r="CO55" i="2" s="1"/>
  <c r="BN54" i="2"/>
  <c r="CO54" i="2" s="1"/>
  <c r="BN52" i="2"/>
  <c r="CO52" i="2" s="1"/>
  <c r="BN50" i="2"/>
  <c r="BN49" i="2"/>
  <c r="BN48" i="2"/>
  <c r="CO48" i="2" s="1"/>
  <c r="BN47" i="2"/>
  <c r="BN45" i="2"/>
  <c r="CO45" i="2" s="1"/>
  <c r="CL54" i="2"/>
  <c r="BP90" i="2"/>
  <c r="BP92" i="2" s="1"/>
  <c r="BO90" i="2"/>
  <c r="BO92" i="2" s="1"/>
  <c r="BM90" i="2"/>
  <c r="BM92" i="2" s="1"/>
  <c r="BL90" i="2"/>
  <c r="BL92" i="2" s="1"/>
  <c r="BK90" i="2"/>
  <c r="BK92" i="2" s="1"/>
  <c r="BJ90" i="2"/>
  <c r="BJ92" i="2" s="1"/>
  <c r="CN92" i="2" s="1"/>
  <c r="BI90" i="2"/>
  <c r="BI92" i="2" s="1"/>
  <c r="BH90" i="2"/>
  <c r="BH92" i="2" s="1"/>
  <c r="BG90" i="2"/>
  <c r="BG92" i="2" s="1"/>
  <c r="BF90" i="2"/>
  <c r="BF92" i="2" s="1"/>
  <c r="CM92" i="2" s="1"/>
  <c r="BE90" i="2"/>
  <c r="BE92" i="2" s="1"/>
  <c r="BD90" i="2"/>
  <c r="BD92" i="2" s="1"/>
  <c r="BC90" i="2"/>
  <c r="BC92" i="2" s="1"/>
  <c r="BB90" i="2"/>
  <c r="BB92" i="2" s="1"/>
  <c r="CL92" i="2" s="1"/>
  <c r="BA90" i="2"/>
  <c r="BA92" i="2" s="1"/>
  <c r="AZ90" i="2"/>
  <c r="AZ92" i="2" s="1"/>
  <c r="AY90" i="2"/>
  <c r="AY92" i="2" s="1"/>
  <c r="AX90" i="2"/>
  <c r="AX92" i="2" s="1"/>
  <c r="CK92" i="2" s="1"/>
  <c r="BP82" i="2"/>
  <c r="BN90" i="2"/>
  <c r="CO90" i="2" s="1"/>
  <c r="BO82" i="2"/>
  <c r="BM82" i="2"/>
  <c r="BL82" i="2"/>
  <c r="BK82" i="2"/>
  <c r="BJ82" i="2"/>
  <c r="CN82" i="2" s="1"/>
  <c r="BI82" i="2"/>
  <c r="BH82" i="2"/>
  <c r="BG82" i="2"/>
  <c r="BF82" i="2"/>
  <c r="CM82" i="2" s="1"/>
  <c r="BE82" i="2"/>
  <c r="BD82" i="2"/>
  <c r="BC82" i="2"/>
  <c r="BB82" i="2"/>
  <c r="CL82" i="2" s="1"/>
  <c r="BA82" i="2"/>
  <c r="BA97" i="2" s="1"/>
  <c r="AZ82" i="2"/>
  <c r="AZ97" i="2" s="1"/>
  <c r="AY82" i="2"/>
  <c r="AY97" i="2" s="1"/>
  <c r="AX82" i="2"/>
  <c r="CK82" i="2" s="1"/>
  <c r="BN82" i="2"/>
  <c r="CO82" i="2" s="1"/>
  <c r="BA66" i="2"/>
  <c r="AZ66" i="2"/>
  <c r="AY66" i="2"/>
  <c r="AW66" i="2"/>
  <c r="AV66" i="2"/>
  <c r="AU66" i="2"/>
  <c r="BO51" i="2"/>
  <c r="BM51" i="2"/>
  <c r="BL51" i="2"/>
  <c r="BK51" i="2"/>
  <c r="BI51" i="2"/>
  <c r="BH51" i="2"/>
  <c r="BG51" i="2"/>
  <c r="BE51" i="2"/>
  <c r="BC51" i="2"/>
  <c r="BA51" i="2"/>
  <c r="AZ51" i="2"/>
  <c r="AZ69" i="2" s="1"/>
  <c r="AY51" i="2"/>
  <c r="AY69" i="2" s="1"/>
  <c r="AW51" i="2"/>
  <c r="AW69" i="2" s="1"/>
  <c r="BP51" i="2"/>
  <c r="BO37" i="2"/>
  <c r="BM37" i="2"/>
  <c r="BL37" i="2"/>
  <c r="BK37" i="2"/>
  <c r="BI37" i="2"/>
  <c r="BH37" i="2"/>
  <c r="BG37" i="2"/>
  <c r="BO36" i="2"/>
  <c r="BM36" i="2"/>
  <c r="BL36" i="2"/>
  <c r="BK36" i="2"/>
  <c r="BI36" i="2"/>
  <c r="BH36" i="2"/>
  <c r="BG36" i="2"/>
  <c r="BO35" i="2"/>
  <c r="BM35" i="2"/>
  <c r="BL35" i="2"/>
  <c r="BK35" i="2"/>
  <c r="BI35" i="2"/>
  <c r="BH35" i="2"/>
  <c r="BG35" i="2"/>
  <c r="BP37" i="2"/>
  <c r="BP36" i="2"/>
  <c r="BP35" i="2"/>
  <c r="BF32" i="2"/>
  <c r="BF31" i="2"/>
  <c r="BF30" i="2"/>
  <c r="BN30" i="2"/>
  <c r="BJ32" i="2"/>
  <c r="BJ31" i="2"/>
  <c r="BJ30" i="2"/>
  <c r="BN32" i="2"/>
  <c r="BN31" i="2"/>
  <c r="BO33" i="2"/>
  <c r="BO42" i="2" s="1"/>
  <c r="BM33" i="2"/>
  <c r="BL33" i="2"/>
  <c r="BL42" i="2" s="1"/>
  <c r="BK33" i="2"/>
  <c r="BK42" i="2" s="1"/>
  <c r="BI33" i="2"/>
  <c r="BI41" i="2" s="1"/>
  <c r="BH33" i="2"/>
  <c r="BH40" i="2" s="1"/>
  <c r="BG33" i="2"/>
  <c r="BG40" i="2" s="1"/>
  <c r="BE33" i="2"/>
  <c r="BE42" i="2" s="1"/>
  <c r="BD33" i="2"/>
  <c r="BD42" i="2" s="1"/>
  <c r="BC33" i="2"/>
  <c r="BC42" i="2" s="1"/>
  <c r="BP33" i="2"/>
  <c r="BP38" i="2" s="1"/>
  <c r="BO19" i="2"/>
  <c r="BM19" i="2"/>
  <c r="BL19" i="2"/>
  <c r="BK19" i="2"/>
  <c r="BI19" i="2"/>
  <c r="BH19" i="2"/>
  <c r="BG19" i="2"/>
  <c r="BO18" i="2"/>
  <c r="BM18" i="2"/>
  <c r="BL18" i="2"/>
  <c r="BK18" i="2"/>
  <c r="BI18" i="2"/>
  <c r="BH18" i="2"/>
  <c r="BG18" i="2"/>
  <c r="BO17" i="2"/>
  <c r="BM17" i="2"/>
  <c r="BL17" i="2"/>
  <c r="BK17" i="2"/>
  <c r="BI17" i="2"/>
  <c r="BH17" i="2"/>
  <c r="BG17" i="2"/>
  <c r="BO16" i="2"/>
  <c r="BM16" i="2"/>
  <c r="BL16" i="2"/>
  <c r="BK16" i="2"/>
  <c r="BI16" i="2"/>
  <c r="BH16" i="2"/>
  <c r="BG16" i="2"/>
  <c r="BO15" i="2"/>
  <c r="BM15" i="2"/>
  <c r="BL15" i="2"/>
  <c r="BK15" i="2"/>
  <c r="BI15" i="2"/>
  <c r="BH15" i="2"/>
  <c r="BG15" i="2"/>
  <c r="BO14" i="2"/>
  <c r="BM14" i="2"/>
  <c r="BL14" i="2"/>
  <c r="BK14" i="2"/>
  <c r="BI14" i="2"/>
  <c r="BH14" i="2"/>
  <c r="BG14" i="2"/>
  <c r="BO13" i="2"/>
  <c r="BM13" i="2"/>
  <c r="BL13" i="2"/>
  <c r="BK13" i="2"/>
  <c r="BI13" i="2"/>
  <c r="BH13" i="2"/>
  <c r="BG13" i="2"/>
  <c r="BP19" i="2"/>
  <c r="BP18" i="2"/>
  <c r="BP17" i="2"/>
  <c r="BP16" i="2"/>
  <c r="BP15" i="2"/>
  <c r="BP14" i="2"/>
  <c r="BP13" i="2"/>
  <c r="BF10" i="2"/>
  <c r="BF9" i="2"/>
  <c r="BF8" i="2"/>
  <c r="BF7" i="2"/>
  <c r="BF6" i="2"/>
  <c r="BF5" i="2"/>
  <c r="BF4" i="2"/>
  <c r="CM4" i="2" s="1"/>
  <c r="BJ10" i="2"/>
  <c r="CN10" i="2" s="1"/>
  <c r="BJ9" i="2"/>
  <c r="CN9" i="2" s="1"/>
  <c r="BJ8" i="2"/>
  <c r="CN8" i="2" s="1"/>
  <c r="BJ7" i="2"/>
  <c r="CN7" i="2" s="1"/>
  <c r="BJ6" i="2"/>
  <c r="CN6" i="2" s="1"/>
  <c r="BJ5" i="2"/>
  <c r="CN5" i="2" s="1"/>
  <c r="BJ4" i="2"/>
  <c r="CN4" i="2" s="1"/>
  <c r="BN10" i="2"/>
  <c r="CO10" i="2" s="1"/>
  <c r="CP10" i="2" s="1"/>
  <c r="CQ10" i="2" s="1"/>
  <c r="CR10" i="2" s="1"/>
  <c r="CS10" i="2" s="1"/>
  <c r="CT10" i="2" s="1"/>
  <c r="CU10" i="2" s="1"/>
  <c r="CV10" i="2" s="1"/>
  <c r="CW10" i="2" s="1"/>
  <c r="CX10" i="2" s="1"/>
  <c r="CY10" i="2" s="1"/>
  <c r="BN9" i="2"/>
  <c r="CO9" i="2" s="1"/>
  <c r="CP9" i="2" s="1"/>
  <c r="CQ9" i="2" s="1"/>
  <c r="CR9" i="2" s="1"/>
  <c r="CS9" i="2" s="1"/>
  <c r="CT9" i="2" s="1"/>
  <c r="CU9" i="2" s="1"/>
  <c r="CV9" i="2" s="1"/>
  <c r="CW9" i="2" s="1"/>
  <c r="CX9" i="2" s="1"/>
  <c r="CY9" i="2" s="1"/>
  <c r="BN8" i="2"/>
  <c r="CO8" i="2" s="1"/>
  <c r="CP8" i="2" s="1"/>
  <c r="CQ8" i="2" s="1"/>
  <c r="CR8" i="2" s="1"/>
  <c r="CS8" i="2" s="1"/>
  <c r="CT8" i="2" s="1"/>
  <c r="CU8" i="2" s="1"/>
  <c r="CV8" i="2" s="1"/>
  <c r="CW8" i="2" s="1"/>
  <c r="CX8" i="2" s="1"/>
  <c r="CY8" i="2" s="1"/>
  <c r="BN7" i="2"/>
  <c r="CO7" i="2" s="1"/>
  <c r="CP7" i="2" s="1"/>
  <c r="CQ7" i="2" s="1"/>
  <c r="CR7" i="2" s="1"/>
  <c r="CS7" i="2" s="1"/>
  <c r="CT7" i="2" s="1"/>
  <c r="CU7" i="2" s="1"/>
  <c r="CV7" i="2" s="1"/>
  <c r="CW7" i="2" s="1"/>
  <c r="CX7" i="2" s="1"/>
  <c r="CY7" i="2" s="1"/>
  <c r="BN6" i="2"/>
  <c r="CO6" i="2" s="1"/>
  <c r="CP6" i="2" s="1"/>
  <c r="CQ6" i="2" s="1"/>
  <c r="CR6" i="2" s="1"/>
  <c r="CS6" i="2" s="1"/>
  <c r="CT6" i="2" s="1"/>
  <c r="CU6" i="2" s="1"/>
  <c r="CV6" i="2" s="1"/>
  <c r="CW6" i="2" s="1"/>
  <c r="CX6" i="2" s="1"/>
  <c r="CY6" i="2" s="1"/>
  <c r="BN5" i="2"/>
  <c r="CO5" i="2" s="1"/>
  <c r="CP5" i="2" s="1"/>
  <c r="CQ5" i="2" s="1"/>
  <c r="CR5" i="2" s="1"/>
  <c r="CS5" i="2" s="1"/>
  <c r="CT5" i="2" s="1"/>
  <c r="CU5" i="2" s="1"/>
  <c r="CV5" i="2" s="1"/>
  <c r="CW5" i="2" s="1"/>
  <c r="CX5" i="2" s="1"/>
  <c r="CY5" i="2" s="1"/>
  <c r="BN4" i="2"/>
  <c r="CO4" i="2" s="1"/>
  <c r="CP4" i="2" s="1"/>
  <c r="BO11" i="2"/>
  <c r="BO26" i="2" s="1"/>
  <c r="BM11" i="2"/>
  <c r="BL11" i="2"/>
  <c r="BL44" i="2" s="1"/>
  <c r="BK11" i="2"/>
  <c r="BK44" i="2" s="1"/>
  <c r="BP11" i="2"/>
  <c r="BI11" i="2"/>
  <c r="BI25" i="2" s="1"/>
  <c r="BH11" i="2"/>
  <c r="BH26" i="2" s="1"/>
  <c r="BG11" i="2"/>
  <c r="BG27" i="2" s="1"/>
  <c r="BE11" i="2"/>
  <c r="BE27" i="2" s="1"/>
  <c r="BD11" i="2"/>
  <c r="BD44" i="2" s="1"/>
  <c r="BC11" i="2"/>
  <c r="BC44" i="2" s="1"/>
  <c r="BA53" i="2" l="1"/>
  <c r="CG105" i="2"/>
  <c r="AX46" i="2"/>
  <c r="CM49" i="2"/>
  <c r="BL68" i="2"/>
  <c r="BL67" i="2"/>
  <c r="BD68" i="2"/>
  <c r="BD67" i="2"/>
  <c r="BM42" i="2"/>
  <c r="BQ38" i="2"/>
  <c r="BK65" i="2"/>
  <c r="BK68" i="2"/>
  <c r="BK67" i="2"/>
  <c r="BM22" i="2"/>
  <c r="BQ20" i="2"/>
  <c r="CO50" i="2"/>
  <c r="CL50" i="2"/>
  <c r="BB68" i="2"/>
  <c r="CO49" i="2"/>
  <c r="CL49" i="2"/>
  <c r="BB67" i="2"/>
  <c r="CQ4" i="2"/>
  <c r="CQ11" i="2" s="1"/>
  <c r="CQ44" i="2" s="1"/>
  <c r="CP11" i="2"/>
  <c r="CN49" i="2"/>
  <c r="CT78" i="2"/>
  <c r="CM50" i="2"/>
  <c r="BC68" i="2"/>
  <c r="BC67" i="2"/>
  <c r="CK49" i="2"/>
  <c r="AX67" i="2"/>
  <c r="CK50" i="2"/>
  <c r="AX68" i="2"/>
  <c r="CN50" i="2"/>
  <c r="CO58" i="2"/>
  <c r="CN58" i="2"/>
  <c r="CM58" i="2"/>
  <c r="CL58" i="2"/>
  <c r="CK58" i="2"/>
  <c r="AY53" i="2"/>
  <c r="BH107" i="2"/>
  <c r="AW107" i="2"/>
  <c r="BB46" i="2"/>
  <c r="CL47" i="2"/>
  <c r="BB65" i="2"/>
  <c r="AU53" i="2"/>
  <c r="BC66" i="2"/>
  <c r="BC65" i="2"/>
  <c r="CM98" i="2"/>
  <c r="BK46" i="2"/>
  <c r="BK53" i="2" s="1"/>
  <c r="CM47" i="2"/>
  <c r="BC46" i="2"/>
  <c r="BC53" i="2" s="1"/>
  <c r="CK47" i="2"/>
  <c r="AX65" i="2"/>
  <c r="BD46" i="2"/>
  <c r="BD53" i="2" s="1"/>
  <c r="BD65" i="2"/>
  <c r="CN47" i="2"/>
  <c r="BL66" i="2"/>
  <c r="BL65" i="2"/>
  <c r="CO47" i="2"/>
  <c r="AZ53" i="2"/>
  <c r="BL46" i="2"/>
  <c r="BL53" i="2" s="1"/>
  <c r="AV53" i="2"/>
  <c r="AW53" i="2"/>
  <c r="AO70" i="2"/>
  <c r="AG70" i="2"/>
  <c r="Y70" i="2"/>
  <c r="Q70" i="2"/>
  <c r="I70" i="2"/>
  <c r="AN70" i="2"/>
  <c r="AF70" i="2"/>
  <c r="X70" i="2"/>
  <c r="P70" i="2"/>
  <c r="H70" i="2"/>
  <c r="AR70" i="2"/>
  <c r="U70" i="2"/>
  <c r="T70" i="2"/>
  <c r="G72" i="2"/>
  <c r="AT70" i="2"/>
  <c r="AL70" i="2"/>
  <c r="AD70" i="2"/>
  <c r="V70" i="2"/>
  <c r="N70" i="2"/>
  <c r="F70" i="2"/>
  <c r="O72" i="2"/>
  <c r="AE72" i="2"/>
  <c r="AM72" i="2"/>
  <c r="AP70" i="2"/>
  <c r="AH70" i="2"/>
  <c r="Z70" i="2"/>
  <c r="R70" i="2"/>
  <c r="J70" i="2"/>
  <c r="G107" i="2"/>
  <c r="O107" i="2"/>
  <c r="W107" i="2"/>
  <c r="AE107" i="2"/>
  <c r="AM107" i="2"/>
  <c r="CJ53" i="2"/>
  <c r="CH53" i="2"/>
  <c r="CN98" i="2"/>
  <c r="BK97" i="2"/>
  <c r="CK98" i="2"/>
  <c r="BZ53" i="2"/>
  <c r="CB53" i="2"/>
  <c r="CD53" i="2"/>
  <c r="CO98" i="2"/>
  <c r="D107" i="2"/>
  <c r="L107" i="2"/>
  <c r="T107" i="2"/>
  <c r="AB107" i="2"/>
  <c r="AJ107" i="2"/>
  <c r="AR107" i="2"/>
  <c r="AV69" i="2"/>
  <c r="BD69" i="2"/>
  <c r="AX97" i="2"/>
  <c r="CK61" i="2"/>
  <c r="CK106" i="2" s="1"/>
  <c r="BB97" i="2"/>
  <c r="BC107" i="2"/>
  <c r="M107" i="2"/>
  <c r="AC107" i="2"/>
  <c r="AK107" i="2"/>
  <c r="F107" i="2"/>
  <c r="V107" i="2"/>
  <c r="AD107" i="2"/>
  <c r="AT107" i="2"/>
  <c r="CO95" i="2"/>
  <c r="BN92" i="2"/>
  <c r="CO92" i="2" s="1"/>
  <c r="BN98" i="2"/>
  <c r="CF107" i="2"/>
  <c r="BJ35" i="2"/>
  <c r="BF98" i="2"/>
  <c r="CO94" i="2"/>
  <c r="CM90" i="2"/>
  <c r="AX98" i="2"/>
  <c r="BB107" i="2"/>
  <c r="CN90" i="2"/>
  <c r="CA105" i="2"/>
  <c r="CA107" i="2" s="1"/>
  <c r="CI105" i="2"/>
  <c r="CI107" i="2" s="1"/>
  <c r="CO19" i="2"/>
  <c r="CO17" i="2"/>
  <c r="CN13" i="2"/>
  <c r="CN11" i="2"/>
  <c r="CN28" i="2" s="1"/>
  <c r="CO14" i="2"/>
  <c r="CO13" i="2"/>
  <c r="CO11" i="2"/>
  <c r="CO25" i="2" s="1"/>
  <c r="CO15" i="2"/>
  <c r="CO16" i="2"/>
  <c r="CE107" i="2"/>
  <c r="AU106" i="2"/>
  <c r="AU107" i="2" s="1"/>
  <c r="BK107" i="2"/>
  <c r="CO18" i="2"/>
  <c r="CL45" i="2"/>
  <c r="CL98" i="2" s="1"/>
  <c r="CL61" i="2"/>
  <c r="CL106" i="2" s="1"/>
  <c r="CC105" i="2"/>
  <c r="CC107" i="2" s="1"/>
  <c r="CK105" i="2"/>
  <c r="CB105" i="2"/>
  <c r="CB107" i="2" s="1"/>
  <c r="BC97" i="2"/>
  <c r="H107" i="2"/>
  <c r="X107" i="2"/>
  <c r="AF107" i="2"/>
  <c r="CO96" i="2"/>
  <c r="CD105" i="2"/>
  <c r="CD107" i="2" s="1"/>
  <c r="CL105" i="2"/>
  <c r="CG107" i="2"/>
  <c r="BP20" i="2"/>
  <c r="BK69" i="2"/>
  <c r="BD97" i="2"/>
  <c r="BL97" i="2"/>
  <c r="BJ98" i="2"/>
  <c r="Y107" i="2"/>
  <c r="AG107" i="2"/>
  <c r="CM105" i="2"/>
  <c r="CM107" i="2" s="1"/>
  <c r="BL69" i="2"/>
  <c r="AZ107" i="2"/>
  <c r="J107" i="2"/>
  <c r="R107" i="2"/>
  <c r="Z107" i="2"/>
  <c r="BF107" i="2"/>
  <c r="CN105" i="2"/>
  <c r="CN107" i="2" s="1"/>
  <c r="CJ105" i="2"/>
  <c r="CJ107" i="2" s="1"/>
  <c r="AA107" i="2"/>
  <c r="CK90" i="2"/>
  <c r="CO105" i="2"/>
  <c r="CO107" i="2" s="1"/>
  <c r="BN13" i="2"/>
  <c r="BN19" i="2"/>
  <c r="BC69" i="2"/>
  <c r="CL90" i="2"/>
  <c r="BZ105" i="2"/>
  <c r="BZ107" i="2" s="1"/>
  <c r="CH105" i="2"/>
  <c r="CH107" i="2" s="1"/>
  <c r="BP107" i="2"/>
  <c r="C107" i="2"/>
  <c r="E107" i="2"/>
  <c r="I107" i="2"/>
  <c r="K107" i="2"/>
  <c r="N107" i="2"/>
  <c r="P107" i="2"/>
  <c r="Q107" i="2"/>
  <c r="S107" i="2"/>
  <c r="U107" i="2"/>
  <c r="AH107" i="2"/>
  <c r="AI107" i="2"/>
  <c r="AL107" i="2"/>
  <c r="AN107" i="2"/>
  <c r="AO107" i="2"/>
  <c r="AP107" i="2"/>
  <c r="AQ107" i="2"/>
  <c r="AS107" i="2"/>
  <c r="AV107" i="2"/>
  <c r="AX107" i="2"/>
  <c r="AY107" i="2"/>
  <c r="BA107" i="2"/>
  <c r="BD107" i="2"/>
  <c r="BE107" i="2"/>
  <c r="BG107" i="2"/>
  <c r="BI107" i="2"/>
  <c r="BJ107" i="2"/>
  <c r="BO107" i="2"/>
  <c r="BL107" i="2"/>
  <c r="BM107" i="2"/>
  <c r="BN107" i="2"/>
  <c r="AX51" i="2"/>
  <c r="AX69" i="2" s="1"/>
  <c r="AX66" i="2"/>
  <c r="BB66" i="2"/>
  <c r="BF51" i="2"/>
  <c r="CM51" i="2" s="1"/>
  <c r="BJ51" i="2"/>
  <c r="CN51" i="2" s="1"/>
  <c r="BN51" i="2"/>
  <c r="CO51" i="2" s="1"/>
  <c r="BB51" i="2"/>
  <c r="BB53" i="2" s="1"/>
  <c r="BD66" i="2"/>
  <c r="BA69" i="2"/>
  <c r="BC24" i="2"/>
  <c r="BK66" i="2"/>
  <c r="BC26" i="2"/>
  <c r="BJ18" i="2"/>
  <c r="BG20" i="2"/>
  <c r="BL22" i="2"/>
  <c r="BJ16" i="2"/>
  <c r="BL23" i="2"/>
  <c r="BM23" i="2"/>
  <c r="BO28" i="2"/>
  <c r="BJ37" i="2"/>
  <c r="BJ17" i="2"/>
  <c r="BD41" i="2"/>
  <c r="BG42" i="2"/>
  <c r="BO27" i="2"/>
  <c r="BO20" i="2"/>
  <c r="BI40" i="2"/>
  <c r="BI26" i="2"/>
  <c r="BP42" i="2"/>
  <c r="BK23" i="2"/>
  <c r="BG28" i="2"/>
  <c r="BC22" i="2"/>
  <c r="BC41" i="2"/>
  <c r="BP26" i="2"/>
  <c r="BK24" i="2"/>
  <c r="BC28" i="2"/>
  <c r="BI38" i="2"/>
  <c r="BK41" i="2"/>
  <c r="BE41" i="2"/>
  <c r="BP27" i="2"/>
  <c r="BL24" i="2"/>
  <c r="BE44" i="2"/>
  <c r="BJ36" i="2"/>
  <c r="BP40" i="2"/>
  <c r="BL41" i="2"/>
  <c r="BM20" i="2"/>
  <c r="BP28" i="2"/>
  <c r="BK25" i="2"/>
  <c r="BM44" i="2"/>
  <c r="BP41" i="2"/>
  <c r="BM41" i="2"/>
  <c r="BN14" i="2"/>
  <c r="BH42" i="2"/>
  <c r="BG22" i="2"/>
  <c r="BO22" i="2"/>
  <c r="BM24" i="2"/>
  <c r="BL25" i="2"/>
  <c r="BK26" i="2"/>
  <c r="BI28" i="2"/>
  <c r="BN15" i="2"/>
  <c r="BJ19" i="2"/>
  <c r="BI20" i="2"/>
  <c r="BD22" i="2"/>
  <c r="BD24" i="2"/>
  <c r="BD26" i="2"/>
  <c r="BD28" i="2"/>
  <c r="BG44" i="2"/>
  <c r="BO44" i="2"/>
  <c r="BN35" i="2"/>
  <c r="BK38" i="2"/>
  <c r="BC40" i="2"/>
  <c r="BK40" i="2"/>
  <c r="BI42" i="2"/>
  <c r="BP22" i="2"/>
  <c r="BH22" i="2"/>
  <c r="BG23" i="2"/>
  <c r="BO23" i="2"/>
  <c r="BM25" i="2"/>
  <c r="BL26" i="2"/>
  <c r="BK27" i="2"/>
  <c r="BN16" i="2"/>
  <c r="BE22" i="2"/>
  <c r="BE24" i="2"/>
  <c r="BE26" i="2"/>
  <c r="BE28" i="2"/>
  <c r="BH44" i="2"/>
  <c r="BN36" i="2"/>
  <c r="BL38" i="2"/>
  <c r="BD40" i="2"/>
  <c r="BL40" i="2"/>
  <c r="BG41" i="2"/>
  <c r="BO41" i="2"/>
  <c r="BH20" i="2"/>
  <c r="BP23" i="2"/>
  <c r="BI22" i="2"/>
  <c r="BH23" i="2"/>
  <c r="BG24" i="2"/>
  <c r="BO24" i="2"/>
  <c r="BM26" i="2"/>
  <c r="BL27" i="2"/>
  <c r="BK28" i="2"/>
  <c r="BJ13" i="2"/>
  <c r="BN17" i="2"/>
  <c r="BK20" i="2"/>
  <c r="BI44" i="2"/>
  <c r="BN37" i="2"/>
  <c r="BM38" i="2"/>
  <c r="BE40" i="2"/>
  <c r="BM40" i="2"/>
  <c r="BH41" i="2"/>
  <c r="BH28" i="2"/>
  <c r="BP24" i="2"/>
  <c r="BI23" i="2"/>
  <c r="BH24" i="2"/>
  <c r="BG25" i="2"/>
  <c r="BO25" i="2"/>
  <c r="BM27" i="2"/>
  <c r="BL28" i="2"/>
  <c r="BJ14" i="2"/>
  <c r="BN18" i="2"/>
  <c r="BL20" i="2"/>
  <c r="BC23" i="2"/>
  <c r="BC25" i="2"/>
  <c r="BC27" i="2"/>
  <c r="BP44" i="2"/>
  <c r="BI27" i="2"/>
  <c r="BP25" i="2"/>
  <c r="BK22" i="2"/>
  <c r="BI24" i="2"/>
  <c r="BH25" i="2"/>
  <c r="BG26" i="2"/>
  <c r="BM28" i="2"/>
  <c r="BJ15" i="2"/>
  <c r="BD23" i="2"/>
  <c r="BD25" i="2"/>
  <c r="BD27" i="2"/>
  <c r="BG38" i="2"/>
  <c r="BO38" i="2"/>
  <c r="BO40" i="2"/>
  <c r="BH27" i="2"/>
  <c r="BE23" i="2"/>
  <c r="BE25" i="2"/>
  <c r="BH38" i="2"/>
  <c r="BF33" i="2"/>
  <c r="BF42" i="2" s="1"/>
  <c r="BN33" i="2"/>
  <c r="BJ33" i="2"/>
  <c r="BJ41" i="2" s="1"/>
  <c r="BF11" i="2"/>
  <c r="BF22" i="2" s="1"/>
  <c r="BJ11" i="2"/>
  <c r="BJ23" i="2" s="1"/>
  <c r="BN11" i="2"/>
  <c r="BN27" i="2" s="1"/>
  <c r="CR4" i="2" l="1"/>
  <c r="CS4" i="2" s="1"/>
  <c r="BG67" i="2"/>
  <c r="BG68" i="2"/>
  <c r="BE68" i="2"/>
  <c r="BE67" i="2"/>
  <c r="BI68" i="2"/>
  <c r="BI67" i="2"/>
  <c r="BM67" i="2"/>
  <c r="BM68" i="2"/>
  <c r="BH68" i="2"/>
  <c r="BH67" i="2"/>
  <c r="BP68" i="2"/>
  <c r="BP67" i="2"/>
  <c r="BO67" i="2"/>
  <c r="BO68" i="2"/>
  <c r="CQ48" i="2"/>
  <c r="CQ50" i="2"/>
  <c r="CQ47" i="2"/>
  <c r="CQ49" i="2"/>
  <c r="CQ45" i="2"/>
  <c r="CQ46" i="2" s="1"/>
  <c r="BO46" i="2"/>
  <c r="BO53" i="2" s="1"/>
  <c r="BO65" i="2"/>
  <c r="BH46" i="2"/>
  <c r="BH53" i="2" s="1"/>
  <c r="BH65" i="2"/>
  <c r="BP46" i="2"/>
  <c r="BP65" i="2"/>
  <c r="BG46" i="2"/>
  <c r="BG53" i="2" s="1"/>
  <c r="BG65" i="2"/>
  <c r="CQ20" i="2"/>
  <c r="BE46" i="2"/>
  <c r="BE53" i="2" s="1"/>
  <c r="BE65" i="2"/>
  <c r="BI46" i="2"/>
  <c r="BI53" i="2" s="1"/>
  <c r="BI65" i="2"/>
  <c r="BM46" i="2"/>
  <c r="BM53" i="2" s="1"/>
  <c r="BM65" i="2"/>
  <c r="AX53" i="2"/>
  <c r="CK51" i="2"/>
  <c r="CK107" i="2"/>
  <c r="CP20" i="2"/>
  <c r="CP44" i="2"/>
  <c r="D72" i="2"/>
  <c r="D62" i="2"/>
  <c r="AR62" i="2"/>
  <c r="AR72" i="2"/>
  <c r="L62" i="2"/>
  <c r="L72" i="2"/>
  <c r="AJ72" i="2"/>
  <c r="AJ62" i="2"/>
  <c r="T72" i="2"/>
  <c r="T62" i="2"/>
  <c r="AK72" i="2"/>
  <c r="AK62" i="2"/>
  <c r="AS62" i="2"/>
  <c r="AS72" i="2"/>
  <c r="M62" i="2"/>
  <c r="M72" i="2"/>
  <c r="E72" i="2"/>
  <c r="E62" i="2"/>
  <c r="U72" i="2"/>
  <c r="U62" i="2"/>
  <c r="AB62" i="2"/>
  <c r="AB72" i="2"/>
  <c r="AH72" i="2"/>
  <c r="AQ72" i="2"/>
  <c r="Z72" i="2"/>
  <c r="J72" i="2"/>
  <c r="V102" i="2"/>
  <c r="K72" i="2"/>
  <c r="W70" i="2"/>
  <c r="AI72" i="2"/>
  <c r="S72" i="2"/>
  <c r="R72" i="2"/>
  <c r="AP72" i="2"/>
  <c r="AA72" i="2"/>
  <c r="C72" i="2"/>
  <c r="CE53" i="2"/>
  <c r="CC53" i="2"/>
  <c r="CI53" i="2"/>
  <c r="BP97" i="2"/>
  <c r="CL107" i="2"/>
  <c r="CA53" i="2"/>
  <c r="BO97" i="2"/>
  <c r="BG97" i="2"/>
  <c r="BH97" i="2"/>
  <c r="CG53" i="2"/>
  <c r="CN27" i="2"/>
  <c r="CF53" i="2"/>
  <c r="O102" i="2"/>
  <c r="AE102" i="2"/>
  <c r="G102" i="2"/>
  <c r="H102" i="2"/>
  <c r="CN24" i="2"/>
  <c r="AI102" i="2"/>
  <c r="AQ102" i="2"/>
  <c r="U102" i="2"/>
  <c r="M102" i="2"/>
  <c r="AC102" i="2"/>
  <c r="E102" i="2"/>
  <c r="CN23" i="2"/>
  <c r="CN26" i="2"/>
  <c r="CO24" i="2"/>
  <c r="CO27" i="2"/>
  <c r="BB69" i="2"/>
  <c r="CL51" i="2"/>
  <c r="BP69" i="2"/>
  <c r="BI69" i="2"/>
  <c r="BI97" i="2"/>
  <c r="CO26" i="2"/>
  <c r="CO23" i="2"/>
  <c r="CO20" i="2"/>
  <c r="CO28" i="2"/>
  <c r="BM69" i="2"/>
  <c r="BM97" i="2"/>
  <c r="BE69" i="2"/>
  <c r="BE97" i="2"/>
  <c r="CN25" i="2"/>
  <c r="CO22" i="2"/>
  <c r="CN22" i="2"/>
  <c r="BH66" i="2"/>
  <c r="BP66" i="2"/>
  <c r="BO66" i="2"/>
  <c r="BO69" i="2"/>
  <c r="BG66" i="2"/>
  <c r="BG69" i="2"/>
  <c r="BE66" i="2"/>
  <c r="BI66" i="2"/>
  <c r="BM66" i="2"/>
  <c r="BH69" i="2"/>
  <c r="BF40" i="2"/>
  <c r="BF28" i="2"/>
  <c r="BN38" i="2"/>
  <c r="BJ40" i="2"/>
  <c r="BF25" i="2"/>
  <c r="BF24" i="2"/>
  <c r="BJ42" i="2"/>
  <c r="BN20" i="2"/>
  <c r="BN28" i="2"/>
  <c r="BN22" i="2"/>
  <c r="BN44" i="2"/>
  <c r="BN42" i="2"/>
  <c r="BJ25" i="2"/>
  <c r="BJ44" i="2"/>
  <c r="BJ20" i="2"/>
  <c r="BJ26" i="2"/>
  <c r="BJ27" i="2"/>
  <c r="BN24" i="2"/>
  <c r="BF44" i="2"/>
  <c r="BF23" i="2"/>
  <c r="BF27" i="2"/>
  <c r="BN25" i="2"/>
  <c r="BN40" i="2"/>
  <c r="BJ38" i="2"/>
  <c r="BN41" i="2"/>
  <c r="BF41" i="2"/>
  <c r="BJ22" i="2"/>
  <c r="BN26" i="2"/>
  <c r="BJ24" i="2"/>
  <c r="BJ28" i="2"/>
  <c r="BF26" i="2"/>
  <c r="BN23" i="2"/>
  <c r="CR11" i="2" l="1"/>
  <c r="CR20" i="2" s="1"/>
  <c r="BN68" i="2"/>
  <c r="BN67" i="2"/>
  <c r="BJ67" i="2"/>
  <c r="BJ68" i="2"/>
  <c r="BF67" i="2"/>
  <c r="BF68" i="2"/>
  <c r="CP45" i="2"/>
  <c r="CP46" i="2" s="1"/>
  <c r="CP49" i="2"/>
  <c r="CP50" i="2"/>
  <c r="CP48" i="2"/>
  <c r="CP47" i="2"/>
  <c r="CQ51" i="2"/>
  <c r="CQ53" i="2" s="1"/>
  <c r="BJ46" i="2"/>
  <c r="BJ53" i="2" s="1"/>
  <c r="BJ65" i="2"/>
  <c r="CS11" i="2"/>
  <c r="CT4" i="2"/>
  <c r="BF46" i="2"/>
  <c r="BF53" i="2" s="1"/>
  <c r="BF65" i="2"/>
  <c r="BN46" i="2"/>
  <c r="BN53" i="2" s="1"/>
  <c r="BN65" i="2"/>
  <c r="P72" i="2"/>
  <c r="P62" i="2"/>
  <c r="H62" i="2"/>
  <c r="H72" i="2"/>
  <c r="I62" i="2"/>
  <c r="I72" i="2"/>
  <c r="Y62" i="2"/>
  <c r="Y72" i="2"/>
  <c r="X62" i="2"/>
  <c r="X72" i="2"/>
  <c r="AN62" i="2"/>
  <c r="AN72" i="2"/>
  <c r="P102" i="2"/>
  <c r="AC72" i="2"/>
  <c r="AC62" i="2"/>
  <c r="AO62" i="2"/>
  <c r="AO72" i="2"/>
  <c r="AF72" i="2"/>
  <c r="AF62" i="2"/>
  <c r="AG72" i="2"/>
  <c r="AG62" i="2"/>
  <c r="Q72" i="2"/>
  <c r="Q62" i="2"/>
  <c r="F72" i="2"/>
  <c r="AD72" i="2"/>
  <c r="V72" i="2"/>
  <c r="N72" i="2"/>
  <c r="N102" i="2"/>
  <c r="AL72" i="2"/>
  <c r="AT72" i="2"/>
  <c r="AD102" i="2"/>
  <c r="AR102" i="2"/>
  <c r="BJ97" i="2"/>
  <c r="AK102" i="2"/>
  <c r="BF97" i="2"/>
  <c r="BN97" i="2"/>
  <c r="AP102" i="2"/>
  <c r="AJ102" i="2"/>
  <c r="AS102" i="2"/>
  <c r="Y102" i="2"/>
  <c r="J102" i="2"/>
  <c r="X102" i="2"/>
  <c r="Z102" i="2"/>
  <c r="R102" i="2"/>
  <c r="BN66" i="2"/>
  <c r="BN69" i="2"/>
  <c r="BF66" i="2"/>
  <c r="BF69" i="2"/>
  <c r="BJ66" i="2"/>
  <c r="BJ69" i="2"/>
  <c r="G1496" i="3"/>
  <c r="G1495" i="3"/>
  <c r="G1494" i="3"/>
  <c r="G1493" i="3"/>
  <c r="G1492" i="3"/>
  <c r="G1491" i="3"/>
  <c r="G1490" i="3"/>
  <c r="G1489" i="3"/>
  <c r="G1488" i="3"/>
  <c r="G1487" i="3"/>
  <c r="G1486" i="3"/>
  <c r="G1485" i="3"/>
  <c r="G1484" i="3"/>
  <c r="G1483" i="3"/>
  <c r="G1482" i="3"/>
  <c r="G1481" i="3"/>
  <c r="G1480" i="3"/>
  <c r="G1479" i="3"/>
  <c r="G1478" i="3"/>
  <c r="G1477" i="3"/>
  <c r="G1476" i="3"/>
  <c r="G1475" i="3"/>
  <c r="G1474" i="3"/>
  <c r="G1473" i="3"/>
  <c r="G1472" i="3"/>
  <c r="G1471" i="3"/>
  <c r="G1470" i="3"/>
  <c r="G1469" i="3"/>
  <c r="G1468" i="3"/>
  <c r="G1467" i="3"/>
  <c r="G1466" i="3"/>
  <c r="G1465" i="3"/>
  <c r="G1464" i="3"/>
  <c r="G1463" i="3"/>
  <c r="G1462" i="3"/>
  <c r="G1461" i="3"/>
  <c r="G1460" i="3"/>
  <c r="G1459" i="3"/>
  <c r="G1458" i="3"/>
  <c r="G1457" i="3"/>
  <c r="G1456" i="3"/>
  <c r="G1455" i="3"/>
  <c r="G1454" i="3"/>
  <c r="G1453" i="3"/>
  <c r="G1452" i="3"/>
  <c r="G1451" i="3"/>
  <c r="G1450" i="3"/>
  <c r="G1449" i="3"/>
  <c r="G1448" i="3"/>
  <c r="G1447" i="3"/>
  <c r="G1446" i="3"/>
  <c r="G1445" i="3"/>
  <c r="G1444" i="3"/>
  <c r="G1443" i="3"/>
  <c r="G1442" i="3"/>
  <c r="G1441" i="3"/>
  <c r="G1440" i="3"/>
  <c r="G1439" i="3"/>
  <c r="G1438" i="3"/>
  <c r="G1437" i="3"/>
  <c r="G1436" i="3"/>
  <c r="G1435" i="3"/>
  <c r="G1434" i="3"/>
  <c r="G1433" i="3"/>
  <c r="G1432" i="3"/>
  <c r="G1431" i="3"/>
  <c r="G1430" i="3"/>
  <c r="G1429" i="3"/>
  <c r="G1428" i="3"/>
  <c r="G1427" i="3"/>
  <c r="G1426" i="3"/>
  <c r="G1425" i="3"/>
  <c r="G1424" i="3"/>
  <c r="G1423" i="3"/>
  <c r="G1422" i="3"/>
  <c r="G1421" i="3"/>
  <c r="G1420" i="3"/>
  <c r="G1419" i="3"/>
  <c r="G1418" i="3"/>
  <c r="G1417" i="3"/>
  <c r="G1416" i="3"/>
  <c r="G1415" i="3"/>
  <c r="G1414" i="3"/>
  <c r="G1413" i="3"/>
  <c r="G1412" i="3"/>
  <c r="G1411" i="3"/>
  <c r="G1410" i="3"/>
  <c r="G1409" i="3"/>
  <c r="G1408" i="3"/>
  <c r="G1407" i="3"/>
  <c r="G1406" i="3"/>
  <c r="G1405" i="3"/>
  <c r="G1404" i="3"/>
  <c r="G1403" i="3"/>
  <c r="G1402" i="3"/>
  <c r="G1401" i="3"/>
  <c r="G1400" i="3"/>
  <c r="G1399" i="3"/>
  <c r="G1398" i="3"/>
  <c r="G1397" i="3"/>
  <c r="G1396" i="3"/>
  <c r="G1395" i="3"/>
  <c r="G1394" i="3"/>
  <c r="G1393" i="3"/>
  <c r="G1392" i="3"/>
  <c r="G1391" i="3"/>
  <c r="G1390" i="3"/>
  <c r="G1389" i="3"/>
  <c r="G1388" i="3"/>
  <c r="G1387" i="3"/>
  <c r="G1386" i="3"/>
  <c r="G1385" i="3"/>
  <c r="G1384" i="3"/>
  <c r="G1383" i="3"/>
  <c r="G1382" i="3"/>
  <c r="G1381" i="3"/>
  <c r="G1380" i="3"/>
  <c r="G1379" i="3"/>
  <c r="G1378" i="3"/>
  <c r="G1377" i="3"/>
  <c r="G1376" i="3"/>
  <c r="G1375" i="3"/>
  <c r="G1374" i="3"/>
  <c r="G1373" i="3"/>
  <c r="G1372" i="3"/>
  <c r="G1371" i="3"/>
  <c r="G1370" i="3"/>
  <c r="G1369" i="3"/>
  <c r="G1368" i="3"/>
  <c r="G1367" i="3"/>
  <c r="G1366" i="3"/>
  <c r="G1365" i="3"/>
  <c r="G1364" i="3"/>
  <c r="G1363" i="3"/>
  <c r="G1362" i="3"/>
  <c r="G1361" i="3"/>
  <c r="G1360" i="3"/>
  <c r="G1359" i="3"/>
  <c r="G1358" i="3"/>
  <c r="G1357" i="3"/>
  <c r="G1356" i="3"/>
  <c r="G1355" i="3"/>
  <c r="G1354" i="3"/>
  <c r="G1353" i="3"/>
  <c r="G1352" i="3"/>
  <c r="G1351" i="3"/>
  <c r="G1350" i="3"/>
  <c r="G1349" i="3"/>
  <c r="G1348" i="3"/>
  <c r="G1347" i="3"/>
  <c r="G1346" i="3"/>
  <c r="G1345" i="3"/>
  <c r="G1344" i="3"/>
  <c r="G1343" i="3"/>
  <c r="G1342" i="3"/>
  <c r="G1341" i="3"/>
  <c r="G1340" i="3"/>
  <c r="G1339" i="3"/>
  <c r="G1338" i="3"/>
  <c r="G1337" i="3"/>
  <c r="G1336" i="3"/>
  <c r="G1335" i="3"/>
  <c r="G1334" i="3"/>
  <c r="G1333" i="3"/>
  <c r="G1332" i="3"/>
  <c r="G1331" i="3"/>
  <c r="G1330" i="3"/>
  <c r="G1329" i="3"/>
  <c r="G1328" i="3"/>
  <c r="G1327" i="3"/>
  <c r="G1326" i="3"/>
  <c r="G1325" i="3"/>
  <c r="G1324" i="3"/>
  <c r="G1323" i="3"/>
  <c r="G1322" i="3"/>
  <c r="G1321" i="3"/>
  <c r="G1320" i="3"/>
  <c r="G1319" i="3"/>
  <c r="G1318" i="3"/>
  <c r="G1317" i="3"/>
  <c r="G1316" i="3"/>
  <c r="G1315" i="3"/>
  <c r="G1314" i="3"/>
  <c r="G1313" i="3"/>
  <c r="G1312" i="3"/>
  <c r="G1311" i="3"/>
  <c r="G1310" i="3"/>
  <c r="G1309" i="3"/>
  <c r="G1308" i="3"/>
  <c r="G1307" i="3"/>
  <c r="G1306" i="3"/>
  <c r="G1305" i="3"/>
  <c r="G1304" i="3"/>
  <c r="G1303" i="3"/>
  <c r="G1302" i="3"/>
  <c r="G1301" i="3"/>
  <c r="G1300" i="3"/>
  <c r="G1299" i="3"/>
  <c r="G1298" i="3"/>
  <c r="G1297" i="3"/>
  <c r="G1296" i="3"/>
  <c r="G1295" i="3"/>
  <c r="G1294" i="3"/>
  <c r="G1293" i="3"/>
  <c r="G1292" i="3"/>
  <c r="G1291" i="3"/>
  <c r="G1290" i="3"/>
  <c r="G1289" i="3"/>
  <c r="G1288" i="3"/>
  <c r="G1287" i="3"/>
  <c r="G1286" i="3"/>
  <c r="G1285" i="3"/>
  <c r="G1284" i="3"/>
  <c r="G1283" i="3"/>
  <c r="G1282" i="3"/>
  <c r="G1281" i="3"/>
  <c r="G1280" i="3"/>
  <c r="G1279" i="3"/>
  <c r="G1278" i="3"/>
  <c r="G1277" i="3"/>
  <c r="G1276" i="3"/>
  <c r="G1275" i="3"/>
  <c r="G1274" i="3"/>
  <c r="G1273" i="3"/>
  <c r="G1272" i="3"/>
  <c r="G1271" i="3"/>
  <c r="G1270" i="3"/>
  <c r="G1269" i="3"/>
  <c r="G1268" i="3"/>
  <c r="G1267" i="3"/>
  <c r="G1266" i="3"/>
  <c r="G1265" i="3"/>
  <c r="G1264" i="3"/>
  <c r="G1263" i="3"/>
  <c r="G1262" i="3"/>
  <c r="G1261" i="3"/>
  <c r="G1260" i="3"/>
  <c r="G1259" i="3"/>
  <c r="G1258" i="3"/>
  <c r="G1257" i="3"/>
  <c r="G1256" i="3"/>
  <c r="G1255" i="3"/>
  <c r="G1254" i="3"/>
  <c r="G1253" i="3"/>
  <c r="G1252" i="3"/>
  <c r="G1251" i="3"/>
  <c r="G1250" i="3"/>
  <c r="G1249" i="3"/>
  <c r="G1248" i="3"/>
  <c r="G1247" i="3"/>
  <c r="G1246" i="3"/>
  <c r="G1245" i="3"/>
  <c r="G1244" i="3"/>
  <c r="G1243" i="3"/>
  <c r="G1242" i="3"/>
  <c r="G1241" i="3"/>
  <c r="G1240" i="3"/>
  <c r="G1239" i="3"/>
  <c r="G1238" i="3"/>
  <c r="G1237" i="3"/>
  <c r="G1236" i="3"/>
  <c r="G1235" i="3"/>
  <c r="G1234" i="3"/>
  <c r="G1233" i="3"/>
  <c r="G1232" i="3"/>
  <c r="G1231" i="3"/>
  <c r="G1230" i="3"/>
  <c r="G1229" i="3"/>
  <c r="G1228" i="3"/>
  <c r="G1227" i="3"/>
  <c r="G1226" i="3"/>
  <c r="G1225" i="3"/>
  <c r="G1224" i="3"/>
  <c r="G1223" i="3"/>
  <c r="G1222" i="3"/>
  <c r="G1221" i="3"/>
  <c r="G1220" i="3"/>
  <c r="G1219" i="3"/>
  <c r="G1218" i="3"/>
  <c r="G1217" i="3"/>
  <c r="G1216" i="3"/>
  <c r="G1215" i="3"/>
  <c r="G1214" i="3"/>
  <c r="G1213" i="3"/>
  <c r="G1212" i="3"/>
  <c r="G1211" i="3"/>
  <c r="G1210" i="3"/>
  <c r="G1209" i="3"/>
  <c r="G1208" i="3"/>
  <c r="G1207" i="3"/>
  <c r="G1206" i="3"/>
  <c r="G1205" i="3"/>
  <c r="G1204" i="3"/>
  <c r="G1203" i="3"/>
  <c r="G1202" i="3"/>
  <c r="G1201" i="3"/>
  <c r="G1200" i="3"/>
  <c r="G1199" i="3"/>
  <c r="G1198" i="3"/>
  <c r="G1197" i="3"/>
  <c r="G1196" i="3"/>
  <c r="G1195" i="3"/>
  <c r="G1194" i="3"/>
  <c r="G1193" i="3"/>
  <c r="G1192" i="3"/>
  <c r="G1191" i="3"/>
  <c r="G1190" i="3"/>
  <c r="G1189" i="3"/>
  <c r="G1188" i="3"/>
  <c r="G1187" i="3"/>
  <c r="G1186" i="3"/>
  <c r="G1185" i="3"/>
  <c r="G1184" i="3"/>
  <c r="G1183" i="3"/>
  <c r="G1182" i="3"/>
  <c r="G1181" i="3"/>
  <c r="G1180" i="3"/>
  <c r="G1179" i="3"/>
  <c r="G1178" i="3"/>
  <c r="G1177" i="3"/>
  <c r="G1176" i="3"/>
  <c r="G1175" i="3"/>
  <c r="G1174" i="3"/>
  <c r="G1173" i="3"/>
  <c r="G1172" i="3"/>
  <c r="G1171" i="3"/>
  <c r="G1170" i="3"/>
  <c r="G1169" i="3"/>
  <c r="G1168" i="3"/>
  <c r="G1167" i="3"/>
  <c r="G1166" i="3"/>
  <c r="G1165" i="3"/>
  <c r="G1164" i="3"/>
  <c r="G1163" i="3"/>
  <c r="G1162" i="3"/>
  <c r="G1161" i="3"/>
  <c r="G1160" i="3"/>
  <c r="G1159" i="3"/>
  <c r="G1158" i="3"/>
  <c r="G1157" i="3"/>
  <c r="G1156" i="3"/>
  <c r="G1155" i="3"/>
  <c r="G1154" i="3"/>
  <c r="G1153" i="3"/>
  <c r="G1152" i="3"/>
  <c r="G1151" i="3"/>
  <c r="G1150" i="3"/>
  <c r="G1149" i="3"/>
  <c r="G1148" i="3"/>
  <c r="G1147" i="3"/>
  <c r="G1146" i="3"/>
  <c r="G1145" i="3"/>
  <c r="G1144" i="3"/>
  <c r="G1143" i="3"/>
  <c r="G1142" i="3"/>
  <c r="G1141" i="3"/>
  <c r="G1140" i="3"/>
  <c r="G1139" i="3"/>
  <c r="G1138" i="3"/>
  <c r="G1137" i="3"/>
  <c r="G1136" i="3"/>
  <c r="G1135" i="3"/>
  <c r="G1134" i="3"/>
  <c r="G1133" i="3"/>
  <c r="G1132" i="3"/>
  <c r="G1131" i="3"/>
  <c r="G1130" i="3"/>
  <c r="G1129" i="3"/>
  <c r="G1128" i="3"/>
  <c r="G1127" i="3"/>
  <c r="G1126" i="3"/>
  <c r="G1125" i="3"/>
  <c r="G1124" i="3"/>
  <c r="G1123" i="3"/>
  <c r="G1122" i="3"/>
  <c r="G1121" i="3"/>
  <c r="G1120" i="3"/>
  <c r="G1119" i="3"/>
  <c r="G1118" i="3"/>
  <c r="G1117" i="3"/>
  <c r="G1116" i="3"/>
  <c r="G1115" i="3"/>
  <c r="G1114" i="3"/>
  <c r="G1113" i="3"/>
  <c r="G1112" i="3"/>
  <c r="G1111" i="3"/>
  <c r="G1110" i="3"/>
  <c r="G1109" i="3"/>
  <c r="G1108" i="3"/>
  <c r="G1107" i="3"/>
  <c r="G1106" i="3"/>
  <c r="G1105" i="3"/>
  <c r="G1104" i="3"/>
  <c r="G1103" i="3"/>
  <c r="G1102" i="3"/>
  <c r="G1101" i="3"/>
  <c r="G1100" i="3"/>
  <c r="G1099" i="3"/>
  <c r="G1098" i="3"/>
  <c r="G1097" i="3"/>
  <c r="G1096" i="3"/>
  <c r="G1095" i="3"/>
  <c r="G1094" i="3"/>
  <c r="G1093" i="3"/>
  <c r="G1092" i="3"/>
  <c r="G1091" i="3"/>
  <c r="G1090" i="3"/>
  <c r="G1089" i="3"/>
  <c r="G1088" i="3"/>
  <c r="G1087" i="3"/>
  <c r="G1086" i="3"/>
  <c r="G1085" i="3"/>
  <c r="G1084" i="3"/>
  <c r="G1083" i="3"/>
  <c r="G1082" i="3"/>
  <c r="G1081" i="3"/>
  <c r="G1080" i="3"/>
  <c r="G1079" i="3"/>
  <c r="G1078" i="3"/>
  <c r="G1077" i="3"/>
  <c r="G1076" i="3"/>
  <c r="G1075" i="3"/>
  <c r="G1074" i="3"/>
  <c r="G1073" i="3"/>
  <c r="G1072" i="3"/>
  <c r="G1071" i="3"/>
  <c r="G1070" i="3"/>
  <c r="G1069" i="3"/>
  <c r="G1068" i="3"/>
  <c r="G1067" i="3"/>
  <c r="G1066" i="3"/>
  <c r="G1065" i="3"/>
  <c r="G1064" i="3"/>
  <c r="G1063" i="3"/>
  <c r="G1062" i="3"/>
  <c r="G1061" i="3"/>
  <c r="G1060" i="3"/>
  <c r="G1059" i="3"/>
  <c r="G1058" i="3"/>
  <c r="G1057" i="3"/>
  <c r="G1056" i="3"/>
  <c r="G1055" i="3"/>
  <c r="G1054" i="3"/>
  <c r="G1053" i="3"/>
  <c r="G1052" i="3"/>
  <c r="G1051" i="3"/>
  <c r="G1050" i="3"/>
  <c r="G1049" i="3"/>
  <c r="G1048" i="3"/>
  <c r="G1047" i="3"/>
  <c r="G1046" i="3"/>
  <c r="G1045" i="3"/>
  <c r="G1044" i="3"/>
  <c r="G1043" i="3"/>
  <c r="G1042" i="3"/>
  <c r="G1041" i="3"/>
  <c r="G1040" i="3"/>
  <c r="G1039" i="3"/>
  <c r="G1038" i="3"/>
  <c r="G1037" i="3"/>
  <c r="G1036" i="3"/>
  <c r="G1035" i="3"/>
  <c r="G1034" i="3"/>
  <c r="G1033" i="3"/>
  <c r="G1032" i="3"/>
  <c r="G1031" i="3"/>
  <c r="G1030" i="3"/>
  <c r="G1029" i="3"/>
  <c r="G1028" i="3"/>
  <c r="G1027" i="3"/>
  <c r="G1026" i="3"/>
  <c r="G1025" i="3"/>
  <c r="G1024" i="3"/>
  <c r="G1023" i="3"/>
  <c r="G1022" i="3"/>
  <c r="G1021" i="3"/>
  <c r="G1020" i="3"/>
  <c r="G1019" i="3"/>
  <c r="G1018" i="3"/>
  <c r="G1017" i="3"/>
  <c r="G1016" i="3"/>
  <c r="G1015" i="3"/>
  <c r="G1014" i="3"/>
  <c r="G1013" i="3"/>
  <c r="G1012" i="3"/>
  <c r="G1011" i="3"/>
  <c r="G1010" i="3"/>
  <c r="G1009" i="3"/>
  <c r="G1008" i="3"/>
  <c r="G1007" i="3"/>
  <c r="G1006" i="3"/>
  <c r="G1005" i="3"/>
  <c r="G1004" i="3"/>
  <c r="G1003" i="3"/>
  <c r="G1002" i="3"/>
  <c r="G1001" i="3"/>
  <c r="G1000" i="3"/>
  <c r="G999" i="3"/>
  <c r="G998" i="3"/>
  <c r="G997" i="3"/>
  <c r="G996" i="3"/>
  <c r="G995" i="3"/>
  <c r="G994" i="3"/>
  <c r="G993" i="3"/>
  <c r="G992" i="3"/>
  <c r="G991" i="3"/>
  <c r="G990" i="3"/>
  <c r="G989" i="3"/>
  <c r="G988" i="3"/>
  <c r="G987" i="3"/>
  <c r="G986" i="3"/>
  <c r="G985" i="3"/>
  <c r="G984" i="3"/>
  <c r="G983" i="3"/>
  <c r="G982" i="3"/>
  <c r="G981" i="3"/>
  <c r="G980" i="3"/>
  <c r="G979" i="3"/>
  <c r="G978" i="3"/>
  <c r="G977" i="3"/>
  <c r="G976" i="3"/>
  <c r="G975" i="3"/>
  <c r="G974" i="3"/>
  <c r="G973" i="3"/>
  <c r="G972" i="3"/>
  <c r="G971" i="3"/>
  <c r="G970" i="3"/>
  <c r="G969" i="3"/>
  <c r="G968" i="3"/>
  <c r="G967" i="3"/>
  <c r="G966" i="3"/>
  <c r="G965" i="3"/>
  <c r="G964" i="3"/>
  <c r="G963" i="3"/>
  <c r="G962" i="3"/>
  <c r="G961" i="3"/>
  <c r="G960" i="3"/>
  <c r="G959" i="3"/>
  <c r="G958" i="3"/>
  <c r="G957" i="3"/>
  <c r="G956" i="3"/>
  <c r="G955" i="3"/>
  <c r="G954" i="3"/>
  <c r="G953" i="3"/>
  <c r="G952" i="3"/>
  <c r="G951" i="3"/>
  <c r="G950" i="3"/>
  <c r="G949" i="3"/>
  <c r="G948" i="3"/>
  <c r="G947" i="3"/>
  <c r="G946" i="3"/>
  <c r="G945" i="3"/>
  <c r="G944" i="3"/>
  <c r="G943" i="3"/>
  <c r="G942" i="3"/>
  <c r="G941" i="3"/>
  <c r="G940" i="3"/>
  <c r="G939" i="3"/>
  <c r="G938" i="3"/>
  <c r="G937" i="3"/>
  <c r="G936" i="3"/>
  <c r="G935" i="3"/>
  <c r="G934" i="3"/>
  <c r="G933" i="3"/>
  <c r="G932" i="3"/>
  <c r="G931" i="3"/>
  <c r="G930" i="3"/>
  <c r="G929" i="3"/>
  <c r="G928" i="3"/>
  <c r="G927" i="3"/>
  <c r="G926" i="3"/>
  <c r="G925" i="3"/>
  <c r="G924" i="3"/>
  <c r="G923" i="3"/>
  <c r="G922" i="3"/>
  <c r="G921" i="3"/>
  <c r="G920" i="3"/>
  <c r="G919" i="3"/>
  <c r="G918" i="3"/>
  <c r="G917" i="3"/>
  <c r="G916" i="3"/>
  <c r="G915" i="3"/>
  <c r="G914" i="3"/>
  <c r="G913" i="3"/>
  <c r="G912" i="3"/>
  <c r="G911" i="3"/>
  <c r="G910" i="3"/>
  <c r="G909" i="3"/>
  <c r="G908" i="3"/>
  <c r="G907" i="3"/>
  <c r="G906" i="3"/>
  <c r="G905" i="3"/>
  <c r="G904" i="3"/>
  <c r="G903" i="3"/>
  <c r="G902" i="3"/>
  <c r="G901" i="3"/>
  <c r="G900" i="3"/>
  <c r="G899" i="3"/>
  <c r="G898" i="3"/>
  <c r="G897" i="3"/>
  <c r="G896" i="3"/>
  <c r="G895" i="3"/>
  <c r="G894" i="3"/>
  <c r="G893" i="3"/>
  <c r="G892" i="3"/>
  <c r="G891" i="3"/>
  <c r="G890" i="3"/>
  <c r="G889" i="3"/>
  <c r="G888" i="3"/>
  <c r="G887" i="3"/>
  <c r="G886" i="3"/>
  <c r="G885" i="3"/>
  <c r="G884" i="3"/>
  <c r="G883" i="3"/>
  <c r="G882" i="3"/>
  <c r="G881" i="3"/>
  <c r="G880" i="3"/>
  <c r="G879" i="3"/>
  <c r="G878" i="3"/>
  <c r="G877" i="3"/>
  <c r="G876" i="3"/>
  <c r="G875" i="3"/>
  <c r="G874" i="3"/>
  <c r="G873" i="3"/>
  <c r="G872" i="3"/>
  <c r="G871" i="3"/>
  <c r="G870" i="3"/>
  <c r="G869" i="3"/>
  <c r="G868" i="3"/>
  <c r="G867" i="3"/>
  <c r="G866" i="3"/>
  <c r="G865" i="3"/>
  <c r="G864" i="3"/>
  <c r="G863" i="3"/>
  <c r="G862" i="3"/>
  <c r="G861" i="3"/>
  <c r="G860" i="3"/>
  <c r="G859" i="3"/>
  <c r="G858" i="3"/>
  <c r="G857" i="3"/>
  <c r="G856" i="3"/>
  <c r="G855" i="3"/>
  <c r="G854" i="3"/>
  <c r="G853" i="3"/>
  <c r="G852" i="3"/>
  <c r="G851" i="3"/>
  <c r="G850" i="3"/>
  <c r="G849" i="3"/>
  <c r="G848" i="3"/>
  <c r="G847" i="3"/>
  <c r="G846" i="3"/>
  <c r="G845" i="3"/>
  <c r="G844" i="3"/>
  <c r="G843" i="3"/>
  <c r="G842" i="3"/>
  <c r="G841" i="3"/>
  <c r="G840" i="3"/>
  <c r="G839" i="3"/>
  <c r="G838" i="3"/>
  <c r="G837" i="3"/>
  <c r="G836" i="3"/>
  <c r="G835" i="3"/>
  <c r="G834" i="3"/>
  <c r="G833" i="3"/>
  <c r="G832" i="3"/>
  <c r="G831" i="3"/>
  <c r="G830" i="3"/>
  <c r="G829" i="3"/>
  <c r="G828" i="3"/>
  <c r="G827" i="3"/>
  <c r="G826" i="3"/>
  <c r="G825" i="3"/>
  <c r="G824" i="3"/>
  <c r="G823" i="3"/>
  <c r="G822" i="3"/>
  <c r="G821" i="3"/>
  <c r="G820" i="3"/>
  <c r="G819" i="3"/>
  <c r="G818" i="3"/>
  <c r="G817" i="3"/>
  <c r="G816" i="3"/>
  <c r="G815" i="3"/>
  <c r="G814" i="3"/>
  <c r="G813" i="3"/>
  <c r="G812" i="3"/>
  <c r="G811" i="3"/>
  <c r="G810" i="3"/>
  <c r="G809" i="3"/>
  <c r="G808" i="3"/>
  <c r="G807" i="3"/>
  <c r="G806" i="3"/>
  <c r="G805" i="3"/>
  <c r="G804" i="3"/>
  <c r="G803" i="3"/>
  <c r="G802" i="3"/>
  <c r="G801" i="3"/>
  <c r="G800" i="3"/>
  <c r="G799" i="3"/>
  <c r="G798" i="3"/>
  <c r="G797" i="3"/>
  <c r="G796" i="3"/>
  <c r="G795" i="3"/>
  <c r="G794" i="3"/>
  <c r="G793" i="3"/>
  <c r="G792" i="3"/>
  <c r="G791" i="3"/>
  <c r="G790" i="3"/>
  <c r="G789" i="3"/>
  <c r="G788" i="3"/>
  <c r="G787" i="3"/>
  <c r="G786" i="3"/>
  <c r="G785" i="3"/>
  <c r="G784" i="3"/>
  <c r="G783" i="3"/>
  <c r="G782" i="3"/>
  <c r="G781" i="3"/>
  <c r="G780" i="3"/>
  <c r="G779" i="3"/>
  <c r="G778" i="3"/>
  <c r="G777" i="3"/>
  <c r="G776" i="3"/>
  <c r="G775" i="3"/>
  <c r="G774" i="3"/>
  <c r="G773" i="3"/>
  <c r="G772" i="3"/>
  <c r="G771" i="3"/>
  <c r="G770" i="3"/>
  <c r="G769" i="3"/>
  <c r="G768" i="3"/>
  <c r="G767" i="3"/>
  <c r="G766" i="3"/>
  <c r="G765" i="3"/>
  <c r="G764" i="3"/>
  <c r="G763" i="3"/>
  <c r="G762" i="3"/>
  <c r="G761" i="3"/>
  <c r="G760" i="3"/>
  <c r="G759" i="3"/>
  <c r="G758" i="3"/>
  <c r="G757" i="3"/>
  <c r="G756" i="3"/>
  <c r="G755" i="3"/>
  <c r="G754" i="3"/>
  <c r="G753" i="3"/>
  <c r="G752" i="3"/>
  <c r="G751" i="3"/>
  <c r="G750" i="3"/>
  <c r="G749" i="3"/>
  <c r="G748" i="3"/>
  <c r="G747" i="3"/>
  <c r="G746" i="3"/>
  <c r="G745" i="3"/>
  <c r="G744" i="3"/>
  <c r="G743" i="3"/>
  <c r="G742" i="3"/>
  <c r="G741" i="3"/>
  <c r="G740" i="3"/>
  <c r="G739" i="3"/>
  <c r="G738" i="3"/>
  <c r="G737" i="3"/>
  <c r="G736" i="3"/>
  <c r="G735" i="3"/>
  <c r="G734" i="3"/>
  <c r="G733" i="3"/>
  <c r="G732" i="3"/>
  <c r="G731" i="3"/>
  <c r="G730" i="3"/>
  <c r="G729" i="3"/>
  <c r="G728" i="3"/>
  <c r="G727" i="3"/>
  <c r="G726" i="3"/>
  <c r="G725" i="3"/>
  <c r="G724" i="3"/>
  <c r="G723" i="3"/>
  <c r="G722" i="3"/>
  <c r="G721" i="3"/>
  <c r="G720" i="3"/>
  <c r="G719" i="3"/>
  <c r="G718" i="3"/>
  <c r="G717" i="3"/>
  <c r="G716" i="3"/>
  <c r="G715" i="3"/>
  <c r="G714" i="3"/>
  <c r="G713" i="3"/>
  <c r="G712" i="3"/>
  <c r="G711" i="3"/>
  <c r="G710" i="3"/>
  <c r="G709" i="3"/>
  <c r="G708" i="3"/>
  <c r="G707" i="3"/>
  <c r="G706" i="3"/>
  <c r="G705" i="3"/>
  <c r="G704" i="3"/>
  <c r="G703" i="3"/>
  <c r="G702" i="3"/>
  <c r="G701" i="3"/>
  <c r="G700" i="3"/>
  <c r="G699" i="3"/>
  <c r="G698" i="3"/>
  <c r="G697" i="3"/>
  <c r="G696" i="3"/>
  <c r="G695" i="3"/>
  <c r="G694" i="3"/>
  <c r="G693" i="3"/>
  <c r="G692" i="3"/>
  <c r="G691" i="3"/>
  <c r="G690" i="3"/>
  <c r="G689" i="3"/>
  <c r="G688" i="3"/>
  <c r="G687" i="3"/>
  <c r="G686" i="3"/>
  <c r="G685" i="3"/>
  <c r="G684" i="3"/>
  <c r="G683" i="3"/>
  <c r="G682" i="3"/>
  <c r="G681" i="3"/>
  <c r="G680" i="3"/>
  <c r="G679" i="3"/>
  <c r="G678" i="3"/>
  <c r="G677" i="3"/>
  <c r="G676" i="3"/>
  <c r="G675" i="3"/>
  <c r="G674" i="3"/>
  <c r="G673" i="3"/>
  <c r="G672" i="3"/>
  <c r="G671" i="3"/>
  <c r="G670" i="3"/>
  <c r="G669" i="3"/>
  <c r="G668" i="3"/>
  <c r="G667" i="3"/>
  <c r="G666" i="3"/>
  <c r="G665" i="3"/>
  <c r="G664" i="3"/>
  <c r="G663" i="3"/>
  <c r="G662" i="3"/>
  <c r="G661" i="3"/>
  <c r="G660" i="3"/>
  <c r="G659" i="3"/>
  <c r="G658" i="3"/>
  <c r="G657" i="3"/>
  <c r="G656" i="3"/>
  <c r="G655" i="3"/>
  <c r="G654" i="3"/>
  <c r="G653" i="3"/>
  <c r="G652" i="3"/>
  <c r="G651" i="3"/>
  <c r="G650" i="3"/>
  <c r="G649" i="3"/>
  <c r="G648" i="3"/>
  <c r="G647" i="3"/>
  <c r="G646" i="3"/>
  <c r="G645" i="3"/>
  <c r="G644" i="3"/>
  <c r="G643" i="3"/>
  <c r="G642" i="3"/>
  <c r="G641" i="3"/>
  <c r="G640" i="3"/>
  <c r="G639" i="3"/>
  <c r="G638" i="3"/>
  <c r="G637" i="3"/>
  <c r="G636" i="3"/>
  <c r="G635" i="3"/>
  <c r="G634" i="3"/>
  <c r="G633" i="3"/>
  <c r="G632" i="3"/>
  <c r="G631" i="3"/>
  <c r="G630" i="3"/>
  <c r="G629" i="3"/>
  <c r="G628" i="3"/>
  <c r="G627" i="3"/>
  <c r="G626" i="3"/>
  <c r="G625" i="3"/>
  <c r="G624" i="3"/>
  <c r="G623" i="3"/>
  <c r="G622" i="3"/>
  <c r="G621" i="3"/>
  <c r="G620" i="3"/>
  <c r="G619" i="3"/>
  <c r="G618" i="3"/>
  <c r="G617" i="3"/>
  <c r="G616" i="3"/>
  <c r="G615" i="3"/>
  <c r="G614" i="3"/>
  <c r="G613" i="3"/>
  <c r="G612" i="3"/>
  <c r="G611" i="3"/>
  <c r="G610" i="3"/>
  <c r="G609" i="3"/>
  <c r="G608" i="3"/>
  <c r="G607" i="3"/>
  <c r="G606" i="3"/>
  <c r="G605" i="3"/>
  <c r="G604" i="3"/>
  <c r="G603" i="3"/>
  <c r="G602" i="3"/>
  <c r="G601" i="3"/>
  <c r="G600" i="3"/>
  <c r="G599" i="3"/>
  <c r="G598" i="3"/>
  <c r="G597" i="3"/>
  <c r="G596" i="3"/>
  <c r="G595" i="3"/>
  <c r="G594" i="3"/>
  <c r="G593" i="3"/>
  <c r="G592" i="3"/>
  <c r="G591" i="3"/>
  <c r="G590" i="3"/>
  <c r="G589" i="3"/>
  <c r="G588" i="3"/>
  <c r="G587" i="3"/>
  <c r="G586" i="3"/>
  <c r="G585" i="3"/>
  <c r="G584" i="3"/>
  <c r="G583" i="3"/>
  <c r="G582" i="3"/>
  <c r="G581" i="3"/>
  <c r="G580" i="3"/>
  <c r="G579" i="3"/>
  <c r="G578" i="3"/>
  <c r="G577" i="3"/>
  <c r="G576" i="3"/>
  <c r="G575" i="3"/>
  <c r="G574" i="3"/>
  <c r="G573" i="3"/>
  <c r="G572" i="3"/>
  <c r="G571" i="3"/>
  <c r="G570" i="3"/>
  <c r="G569" i="3"/>
  <c r="G568" i="3"/>
  <c r="G567" i="3"/>
  <c r="G566" i="3"/>
  <c r="G565" i="3"/>
  <c r="G564" i="3"/>
  <c r="G563" i="3"/>
  <c r="G562" i="3"/>
  <c r="G561" i="3"/>
  <c r="G560" i="3"/>
  <c r="G559" i="3"/>
  <c r="G558" i="3"/>
  <c r="G557" i="3"/>
  <c r="G556" i="3"/>
  <c r="G555" i="3"/>
  <c r="G554" i="3"/>
  <c r="G553" i="3"/>
  <c r="G552" i="3"/>
  <c r="G551" i="3"/>
  <c r="G550" i="3"/>
  <c r="G549" i="3"/>
  <c r="G548" i="3"/>
  <c r="G547" i="3"/>
  <c r="G546" i="3"/>
  <c r="G545" i="3"/>
  <c r="G544" i="3"/>
  <c r="G543" i="3"/>
  <c r="G542" i="3"/>
  <c r="G541" i="3"/>
  <c r="G540" i="3"/>
  <c r="G539" i="3"/>
  <c r="G538" i="3"/>
  <c r="G537" i="3"/>
  <c r="G536" i="3"/>
  <c r="G535" i="3"/>
  <c r="G534" i="3"/>
  <c r="G533" i="3"/>
  <c r="G532" i="3"/>
  <c r="G531" i="3"/>
  <c r="G530" i="3"/>
  <c r="G529" i="3"/>
  <c r="G528" i="3"/>
  <c r="G527" i="3"/>
  <c r="G526" i="3"/>
  <c r="G525" i="3"/>
  <c r="G524" i="3"/>
  <c r="G523" i="3"/>
  <c r="G522" i="3"/>
  <c r="G521" i="3"/>
  <c r="G520" i="3"/>
  <c r="G519" i="3"/>
  <c r="G518" i="3"/>
  <c r="G517" i="3"/>
  <c r="G516" i="3"/>
  <c r="G515" i="3"/>
  <c r="G514" i="3"/>
  <c r="G513" i="3"/>
  <c r="G512" i="3"/>
  <c r="G511" i="3"/>
  <c r="G510" i="3"/>
  <c r="G509" i="3"/>
  <c r="G508" i="3"/>
  <c r="G507" i="3"/>
  <c r="G506" i="3"/>
  <c r="G505" i="3"/>
  <c r="G504" i="3"/>
  <c r="G503" i="3"/>
  <c r="G502" i="3"/>
  <c r="G501" i="3"/>
  <c r="G500" i="3"/>
  <c r="G499" i="3"/>
  <c r="G498" i="3"/>
  <c r="G497" i="3"/>
  <c r="G496" i="3"/>
  <c r="G495" i="3"/>
  <c r="G494" i="3"/>
  <c r="G493" i="3"/>
  <c r="G492" i="3"/>
  <c r="G491" i="3"/>
  <c r="G490" i="3"/>
  <c r="G489" i="3"/>
  <c r="G488" i="3"/>
  <c r="G487" i="3"/>
  <c r="G486" i="3"/>
  <c r="G485" i="3"/>
  <c r="G484" i="3"/>
  <c r="G483" i="3"/>
  <c r="G482" i="3"/>
  <c r="G481" i="3"/>
  <c r="G480" i="3"/>
  <c r="G479" i="3"/>
  <c r="G478" i="3"/>
  <c r="G477" i="3"/>
  <c r="G476" i="3"/>
  <c r="G475" i="3"/>
  <c r="G474" i="3"/>
  <c r="G473" i="3"/>
  <c r="G472" i="3"/>
  <c r="G471" i="3"/>
  <c r="G470" i="3"/>
  <c r="G469" i="3"/>
  <c r="G468" i="3"/>
  <c r="G467" i="3"/>
  <c r="G466" i="3"/>
  <c r="G465" i="3"/>
  <c r="G464" i="3"/>
  <c r="G463" i="3"/>
  <c r="G462" i="3"/>
  <c r="G461" i="3"/>
  <c r="G460" i="3"/>
  <c r="G459" i="3"/>
  <c r="G458" i="3"/>
  <c r="G457" i="3"/>
  <c r="G456" i="3"/>
  <c r="G455" i="3"/>
  <c r="G454" i="3"/>
  <c r="G453" i="3"/>
  <c r="G452" i="3"/>
  <c r="G451" i="3"/>
  <c r="G450" i="3"/>
  <c r="G449" i="3"/>
  <c r="G448" i="3"/>
  <c r="G447" i="3"/>
  <c r="G446" i="3"/>
  <c r="G445" i="3"/>
  <c r="G444" i="3"/>
  <c r="G443" i="3"/>
  <c r="G442" i="3"/>
  <c r="G441" i="3"/>
  <c r="G440" i="3"/>
  <c r="G439" i="3"/>
  <c r="G438" i="3"/>
  <c r="G437" i="3"/>
  <c r="G436" i="3"/>
  <c r="G435" i="3"/>
  <c r="G434" i="3"/>
  <c r="G433" i="3"/>
  <c r="G432" i="3"/>
  <c r="G431" i="3"/>
  <c r="G430" i="3"/>
  <c r="G429" i="3"/>
  <c r="G428" i="3"/>
  <c r="G427" i="3"/>
  <c r="G426" i="3"/>
  <c r="G425" i="3"/>
  <c r="G424" i="3"/>
  <c r="G423" i="3"/>
  <c r="G422" i="3"/>
  <c r="G421" i="3"/>
  <c r="G420" i="3"/>
  <c r="G419" i="3"/>
  <c r="G418" i="3"/>
  <c r="G417" i="3"/>
  <c r="G416" i="3"/>
  <c r="G415" i="3"/>
  <c r="G414" i="3"/>
  <c r="G413" i="3"/>
  <c r="G412" i="3"/>
  <c r="G411" i="3"/>
  <c r="G410" i="3"/>
  <c r="G409" i="3"/>
  <c r="G408" i="3"/>
  <c r="G407" i="3"/>
  <c r="G406" i="3"/>
  <c r="G405" i="3"/>
  <c r="G404" i="3"/>
  <c r="G403" i="3"/>
  <c r="G402" i="3"/>
  <c r="G401" i="3"/>
  <c r="G400" i="3"/>
  <c r="G399" i="3"/>
  <c r="G398" i="3"/>
  <c r="G397" i="3"/>
  <c r="G396" i="3"/>
  <c r="G395" i="3"/>
  <c r="G394" i="3"/>
  <c r="G393" i="3"/>
  <c r="G392" i="3"/>
  <c r="G391" i="3"/>
  <c r="G390" i="3"/>
  <c r="G389" i="3"/>
  <c r="G388" i="3"/>
  <c r="G387" i="3"/>
  <c r="G386" i="3"/>
  <c r="G385" i="3"/>
  <c r="G384" i="3"/>
  <c r="G383" i="3"/>
  <c r="G382" i="3"/>
  <c r="G381" i="3"/>
  <c r="G380" i="3"/>
  <c r="G379" i="3"/>
  <c r="G378" i="3"/>
  <c r="G377" i="3"/>
  <c r="G376" i="3"/>
  <c r="G375" i="3"/>
  <c r="G374" i="3"/>
  <c r="G373" i="3"/>
  <c r="G372" i="3"/>
  <c r="G371" i="3"/>
  <c r="G370" i="3"/>
  <c r="G369" i="3"/>
  <c r="G368" i="3"/>
  <c r="G367" i="3"/>
  <c r="G366" i="3"/>
  <c r="G365" i="3"/>
  <c r="G364" i="3"/>
  <c r="G363" i="3"/>
  <c r="G362" i="3"/>
  <c r="G361" i="3"/>
  <c r="G360" i="3"/>
  <c r="G359" i="3"/>
  <c r="G358" i="3"/>
  <c r="G357" i="3"/>
  <c r="G356" i="3"/>
  <c r="G355" i="3"/>
  <c r="G354" i="3"/>
  <c r="G353" i="3"/>
  <c r="G352" i="3"/>
  <c r="G351" i="3"/>
  <c r="G350" i="3"/>
  <c r="G349" i="3"/>
  <c r="G348" i="3"/>
  <c r="G347" i="3"/>
  <c r="G346" i="3"/>
  <c r="G345" i="3"/>
  <c r="G344" i="3"/>
  <c r="G343" i="3"/>
  <c r="G342" i="3"/>
  <c r="G341" i="3"/>
  <c r="G340" i="3"/>
  <c r="G339" i="3"/>
  <c r="G338" i="3"/>
  <c r="G337" i="3"/>
  <c r="G336" i="3"/>
  <c r="G335" i="3"/>
  <c r="G334" i="3"/>
  <c r="G333" i="3"/>
  <c r="G332" i="3"/>
  <c r="G331" i="3"/>
  <c r="G330" i="3"/>
  <c r="G329" i="3"/>
  <c r="G328" i="3"/>
  <c r="G327" i="3"/>
  <c r="G326" i="3"/>
  <c r="G325" i="3"/>
  <c r="G324" i="3"/>
  <c r="G323" i="3"/>
  <c r="G322" i="3"/>
  <c r="G321" i="3"/>
  <c r="G320" i="3"/>
  <c r="G319" i="3"/>
  <c r="G318" i="3"/>
  <c r="G317" i="3"/>
  <c r="G316" i="3"/>
  <c r="G315" i="3"/>
  <c r="G314" i="3"/>
  <c r="G313" i="3"/>
  <c r="G312" i="3"/>
  <c r="G311" i="3"/>
  <c r="G310" i="3"/>
  <c r="G309" i="3"/>
  <c r="G308" i="3"/>
  <c r="G307" i="3"/>
  <c r="G306" i="3"/>
  <c r="G305" i="3"/>
  <c r="G304" i="3"/>
  <c r="G303" i="3"/>
  <c r="G302" i="3"/>
  <c r="G301" i="3"/>
  <c r="G300" i="3"/>
  <c r="G299" i="3"/>
  <c r="G298" i="3"/>
  <c r="G297" i="3"/>
  <c r="G296" i="3"/>
  <c r="G295" i="3"/>
  <c r="G294" i="3"/>
  <c r="G293" i="3"/>
  <c r="G292" i="3"/>
  <c r="G291" i="3"/>
  <c r="G290" i="3"/>
  <c r="G289" i="3"/>
  <c r="G288" i="3"/>
  <c r="G287" i="3"/>
  <c r="G286" i="3"/>
  <c r="G285" i="3"/>
  <c r="G284" i="3"/>
  <c r="G283" i="3"/>
  <c r="G282" i="3"/>
  <c r="G281" i="3"/>
  <c r="G280" i="3"/>
  <c r="G279" i="3"/>
  <c r="G278" i="3"/>
  <c r="G277" i="3"/>
  <c r="G276" i="3"/>
  <c r="G275" i="3"/>
  <c r="G274" i="3"/>
  <c r="G273" i="3"/>
  <c r="G272" i="3"/>
  <c r="G271" i="3"/>
  <c r="G270" i="3"/>
  <c r="G269" i="3"/>
  <c r="G268" i="3"/>
  <c r="G267" i="3"/>
  <c r="G266" i="3"/>
  <c r="G265" i="3"/>
  <c r="G264" i="3"/>
  <c r="G263" i="3"/>
  <c r="G262" i="3"/>
  <c r="G261" i="3"/>
  <c r="G260" i="3"/>
  <c r="G259" i="3"/>
  <c r="G258" i="3"/>
  <c r="G257" i="3"/>
  <c r="G256" i="3"/>
  <c r="G255" i="3"/>
  <c r="G254" i="3"/>
  <c r="G253" i="3"/>
  <c r="G252" i="3"/>
  <c r="G251" i="3"/>
  <c r="G250" i="3"/>
  <c r="G249" i="3"/>
  <c r="G248" i="3"/>
  <c r="G247" i="3"/>
  <c r="G246" i="3"/>
  <c r="G245" i="3"/>
  <c r="G244" i="3"/>
  <c r="G243" i="3"/>
  <c r="G1497" i="3"/>
  <c r="CK74" i="2"/>
  <c r="CL74" i="2"/>
  <c r="CM74" i="2"/>
  <c r="CN74" i="2"/>
  <c r="CO44" i="2"/>
  <c r="CN44" i="2"/>
  <c r="CM44" i="2"/>
  <c r="CL44" i="2"/>
  <c r="CK44" i="2"/>
  <c r="CJ44" i="2"/>
  <c r="CI44" i="2"/>
  <c r="CI70" i="2" s="1"/>
  <c r="CH44" i="2"/>
  <c r="CH70" i="2" s="1"/>
  <c r="CG44" i="2"/>
  <c r="CG70" i="2" s="1"/>
  <c r="CF44" i="2"/>
  <c r="CF70" i="2" s="1"/>
  <c r="CE44" i="2"/>
  <c r="CE70" i="2" s="1"/>
  <c r="CD44" i="2"/>
  <c r="CD70" i="2" s="1"/>
  <c r="CC44" i="2"/>
  <c r="CC70" i="2" s="1"/>
  <c r="CB44" i="2"/>
  <c r="CB70" i="2" s="1"/>
  <c r="CA44" i="2"/>
  <c r="CA70" i="2" s="1"/>
  <c r="BZ44" i="2"/>
  <c r="BZ70" i="2" s="1"/>
  <c r="CO33" i="2"/>
  <c r="CN33" i="2"/>
  <c r="CM33" i="2"/>
  <c r="CO32" i="2"/>
  <c r="CN32" i="2"/>
  <c r="CM32" i="2"/>
  <c r="CO31" i="2"/>
  <c r="CN31" i="2"/>
  <c r="CM31" i="2"/>
  <c r="CO30" i="2"/>
  <c r="CN30" i="2"/>
  <c r="CM30" i="2"/>
  <c r="CM10" i="2"/>
  <c r="CM9" i="2"/>
  <c r="CM8" i="2"/>
  <c r="CM7" i="2"/>
  <c r="CM6" i="2"/>
  <c r="CM5" i="2"/>
  <c r="CA3" i="2"/>
  <c r="CB3" i="2" s="1"/>
  <c r="CC3" i="2" s="1"/>
  <c r="CD3" i="2" s="1"/>
  <c r="CE3" i="2" s="1"/>
  <c r="CF3" i="2" s="1"/>
  <c r="CG3" i="2" s="1"/>
  <c r="CH3" i="2" s="1"/>
  <c r="CI3" i="2" s="1"/>
  <c r="CJ3" i="2" s="1"/>
  <c r="CK3" i="2" s="1"/>
  <c r="CL3" i="2" s="1"/>
  <c r="CM3" i="2" s="1"/>
  <c r="CN3" i="2" s="1"/>
  <c r="CO3" i="2" s="1"/>
  <c r="CP3" i="2" s="1"/>
  <c r="CQ3" i="2" s="1"/>
  <c r="CR3" i="2" s="1"/>
  <c r="CS3" i="2" s="1"/>
  <c r="CT3" i="2" s="1"/>
  <c r="CU3" i="2" s="1"/>
  <c r="CV3" i="2" s="1"/>
  <c r="CW3" i="2" s="1"/>
  <c r="CX3" i="2" s="1"/>
  <c r="CY3" i="2" s="1"/>
  <c r="CZ3" i="2" s="1"/>
  <c r="DA3" i="2" s="1"/>
  <c r="DB3" i="2" s="1"/>
  <c r="DC3" i="2" s="1"/>
  <c r="DD3" i="2" s="1"/>
  <c r="DE3" i="2" s="1"/>
  <c r="DF3" i="2" s="1"/>
  <c r="DG3" i="2" s="1"/>
  <c r="DH3" i="2" s="1"/>
  <c r="DI3" i="2" s="1"/>
  <c r="DJ3" i="2" s="1"/>
  <c r="DK3" i="2" s="1"/>
  <c r="DL3" i="2" s="1"/>
  <c r="DM3" i="2" s="1"/>
  <c r="DN3" i="2" s="1"/>
  <c r="DO3" i="2" s="1"/>
  <c r="DP3" i="2" s="1"/>
  <c r="DQ3" i="2" s="1"/>
  <c r="DR3" i="2" s="1"/>
  <c r="DS3" i="2" s="1"/>
  <c r="DT3" i="2" s="1"/>
  <c r="DU3" i="2" s="1"/>
  <c r="DV3" i="2" s="1"/>
  <c r="DW3" i="2" s="1"/>
  <c r="DX3" i="2" s="1"/>
  <c r="DY3" i="2" s="1"/>
  <c r="DZ3" i="2" s="1"/>
  <c r="EA3" i="2" s="1"/>
  <c r="EB3" i="2" s="1"/>
  <c r="EC3" i="2" s="1"/>
  <c r="ED3" i="2" s="1"/>
  <c r="EE3" i="2" s="1"/>
  <c r="EF3" i="2" s="1"/>
  <c r="EG3" i="2" s="1"/>
  <c r="EH3" i="2" s="1"/>
  <c r="EI3" i="2" s="1"/>
  <c r="EJ3" i="2" s="1"/>
  <c r="EK3" i="2" s="1"/>
  <c r="EL3" i="2" s="1"/>
  <c r="EM3" i="2" s="1"/>
  <c r="EN3" i="2" s="1"/>
  <c r="EO3" i="2" s="1"/>
  <c r="EP3" i="2" s="1"/>
  <c r="EQ3" i="2" s="1"/>
  <c r="ER3" i="2" s="1"/>
  <c r="ES3" i="2" s="1"/>
  <c r="ET3" i="2" s="1"/>
  <c r="EU3" i="2" s="1"/>
  <c r="EV3" i="2" s="1"/>
  <c r="EW3" i="2" s="1"/>
  <c r="C5" i="1"/>
  <c r="C8" i="1" s="1"/>
  <c r="CR44" i="2" l="1"/>
  <c r="CR45" i="2" s="1"/>
  <c r="CR46" i="2" s="1"/>
  <c r="CN65" i="2"/>
  <c r="CN68" i="2"/>
  <c r="CN67" i="2"/>
  <c r="CL68" i="2"/>
  <c r="CL67" i="2"/>
  <c r="CM65" i="2"/>
  <c r="CM67" i="2"/>
  <c r="CM68" i="2"/>
  <c r="CO65" i="2"/>
  <c r="CO68" i="2"/>
  <c r="CO67" i="2"/>
  <c r="CS78" i="2"/>
  <c r="CV78" i="2" s="1"/>
  <c r="CK65" i="2"/>
  <c r="CK67" i="2"/>
  <c r="CK68" i="2"/>
  <c r="CP51" i="2"/>
  <c r="CP53" i="2" s="1"/>
  <c r="CQ70" i="2"/>
  <c r="CS20" i="2"/>
  <c r="CS44" i="2"/>
  <c r="CT11" i="2"/>
  <c r="CU4" i="2"/>
  <c r="CL69" i="2"/>
  <c r="CL65" i="2"/>
  <c r="W72" i="2"/>
  <c r="CE60" i="2"/>
  <c r="CE62" i="2" s="1"/>
  <c r="AM102" i="2"/>
  <c r="W102" i="2"/>
  <c r="AH102" i="2"/>
  <c r="CO38" i="2"/>
  <c r="AT102" i="2"/>
  <c r="CJ60" i="2"/>
  <c r="CJ72" i="2" s="1"/>
  <c r="AF102" i="2"/>
  <c r="CG60" i="2"/>
  <c r="CG72" i="2" s="1"/>
  <c r="AL102" i="2"/>
  <c r="CH60" i="2"/>
  <c r="CH72" i="2" s="1"/>
  <c r="AB102" i="2"/>
  <c r="AG102" i="2"/>
  <c r="AN102" i="2"/>
  <c r="CI60" i="2"/>
  <c r="CI72" i="2" s="1"/>
  <c r="AO102" i="2"/>
  <c r="S102" i="2"/>
  <c r="CD60" i="2"/>
  <c r="CD72" i="2" s="1"/>
  <c r="I102" i="2"/>
  <c r="CA60" i="2"/>
  <c r="CA72" i="2" s="1"/>
  <c r="AA102" i="2"/>
  <c r="CF60" i="2"/>
  <c r="CF72" i="2" s="1"/>
  <c r="K102" i="2"/>
  <c r="CB60" i="2"/>
  <c r="Q102" i="2"/>
  <c r="CC60" i="2"/>
  <c r="CC72" i="2" s="1"/>
  <c r="C102" i="2"/>
  <c r="L102" i="2"/>
  <c r="D102" i="2"/>
  <c r="T102" i="2"/>
  <c r="BZ60" i="2"/>
  <c r="BZ72" i="2" s="1"/>
  <c r="F102" i="2"/>
  <c r="CL94" i="2"/>
  <c r="CL96" i="2"/>
  <c r="CL95" i="2"/>
  <c r="CM40" i="2"/>
  <c r="CO37" i="2"/>
  <c r="CO42" i="2"/>
  <c r="CK97" i="2"/>
  <c r="CK66" i="2"/>
  <c r="CK69" i="2"/>
  <c r="CK96" i="2"/>
  <c r="CK94" i="2"/>
  <c r="CK95" i="2"/>
  <c r="CJ70" i="2"/>
  <c r="CN14" i="2"/>
  <c r="CM11" i="2"/>
  <c r="CM27" i="2" s="1"/>
  <c r="CO40" i="2"/>
  <c r="CO35" i="2"/>
  <c r="CN38" i="2"/>
  <c r="CM97" i="2"/>
  <c r="CM66" i="2"/>
  <c r="CM69" i="2"/>
  <c r="CM41" i="2"/>
  <c r="CN97" i="2"/>
  <c r="CN66" i="2"/>
  <c r="CN69" i="2"/>
  <c r="CL97" i="2"/>
  <c r="CL66" i="2"/>
  <c r="CN36" i="2"/>
  <c r="CN41" i="2"/>
  <c r="CO97" i="2"/>
  <c r="CO66" i="2"/>
  <c r="CO69" i="2"/>
  <c r="CN19" i="2"/>
  <c r="CN40" i="2"/>
  <c r="CN35" i="2"/>
  <c r="CN16" i="2"/>
  <c r="CN17" i="2"/>
  <c r="CO36" i="2"/>
  <c r="CO41" i="2"/>
  <c r="CN95" i="2"/>
  <c r="CN94" i="2"/>
  <c r="CN96" i="2"/>
  <c r="CN42" i="2"/>
  <c r="CN37" i="2"/>
  <c r="CN15" i="2"/>
  <c r="CN18" i="2"/>
  <c r="CM42" i="2"/>
  <c r="CM94" i="2"/>
  <c r="CM95" i="2"/>
  <c r="CM96" i="2"/>
  <c r="K198" i="3"/>
  <c r="K201" i="3"/>
  <c r="K199" i="3"/>
  <c r="K200" i="3"/>
  <c r="K202" i="3"/>
  <c r="K203" i="3" s="1"/>
  <c r="CR50" i="2" l="1"/>
  <c r="CR49" i="2"/>
  <c r="CR47" i="2"/>
  <c r="CR48" i="2"/>
  <c r="CP57" i="2"/>
  <c r="CP58" i="2" s="1"/>
  <c r="CP60" i="2" s="1"/>
  <c r="CP70" i="2"/>
  <c r="CS48" i="2"/>
  <c r="CS47" i="2"/>
  <c r="CS49" i="2"/>
  <c r="CS50" i="2"/>
  <c r="CS45" i="2"/>
  <c r="CS46" i="2" s="1"/>
  <c r="CT20" i="2"/>
  <c r="CT44" i="2"/>
  <c r="CE102" i="2"/>
  <c r="CU11" i="2"/>
  <c r="CV4" i="2"/>
  <c r="CE72" i="2"/>
  <c r="CJ62" i="2"/>
  <c r="CJ102" i="2"/>
  <c r="CH62" i="2"/>
  <c r="CH102" i="2"/>
  <c r="CG102" i="2"/>
  <c r="CG62" i="2"/>
  <c r="CI102" i="2"/>
  <c r="CI62" i="2"/>
  <c r="CA62" i="2"/>
  <c r="CA102" i="2"/>
  <c r="CB62" i="2"/>
  <c r="CB102" i="2"/>
  <c r="CC102" i="2"/>
  <c r="CC62" i="2"/>
  <c r="CF102" i="2"/>
  <c r="CF62" i="2"/>
  <c r="CD102" i="2"/>
  <c r="CD62" i="2"/>
  <c r="CB72" i="2"/>
  <c r="BZ62" i="2"/>
  <c r="BZ102" i="2"/>
  <c r="CM24" i="2"/>
  <c r="CM23" i="2"/>
  <c r="CM26" i="2"/>
  <c r="CM28" i="2"/>
  <c r="CM22" i="2"/>
  <c r="CN20" i="2"/>
  <c r="CM25" i="2"/>
  <c r="P214" i="3"/>
  <c r="P222" i="3"/>
  <c r="P218" i="3"/>
  <c r="P220" i="3"/>
  <c r="P221" i="3"/>
  <c r="P215" i="3"/>
  <c r="P223" i="3"/>
  <c r="P219" i="3"/>
  <c r="P216" i="3"/>
  <c r="P217" i="3"/>
  <c r="P212" i="3"/>
  <c r="P213" i="3"/>
  <c r="M210" i="3"/>
  <c r="M211" i="3"/>
  <c r="M219" i="3"/>
  <c r="M227" i="3"/>
  <c r="M235" i="3"/>
  <c r="M243" i="3"/>
  <c r="M251" i="3"/>
  <c r="M259" i="3"/>
  <c r="M230" i="3"/>
  <c r="M254" i="3"/>
  <c r="M231" i="3"/>
  <c r="M247" i="3"/>
  <c r="M232" i="3"/>
  <c r="M256" i="3"/>
  <c r="M217" i="3"/>
  <c r="M249" i="3"/>
  <c r="M234" i="3"/>
  <c r="M250" i="3"/>
  <c r="M212" i="3"/>
  <c r="M220" i="3"/>
  <c r="M228" i="3"/>
  <c r="M236" i="3"/>
  <c r="M244" i="3"/>
  <c r="M252" i="3"/>
  <c r="M260" i="3"/>
  <c r="M238" i="3"/>
  <c r="M262" i="3"/>
  <c r="M215" i="3"/>
  <c r="M255" i="3"/>
  <c r="M216" i="3"/>
  <c r="M240" i="3"/>
  <c r="M233" i="3"/>
  <c r="M257" i="3"/>
  <c r="M218" i="3"/>
  <c r="M258" i="3"/>
  <c r="M213" i="3"/>
  <c r="M221" i="3"/>
  <c r="M229" i="3"/>
  <c r="M237" i="3"/>
  <c r="M245" i="3"/>
  <c r="M253" i="3"/>
  <c r="M261" i="3"/>
  <c r="M222" i="3"/>
  <c r="M246" i="3"/>
  <c r="M223" i="3"/>
  <c r="M239" i="3"/>
  <c r="P210" i="3"/>
  <c r="M224" i="3"/>
  <c r="M248" i="3"/>
  <c r="P211" i="3"/>
  <c r="M225" i="3"/>
  <c r="M241" i="3"/>
  <c r="M226" i="3"/>
  <c r="M242" i="3"/>
  <c r="M214" i="3"/>
  <c r="CR51" i="2" l="1"/>
  <c r="CR53" i="2" s="1"/>
  <c r="CR70" i="2" s="1"/>
  <c r="CR69" i="2"/>
  <c r="CP72" i="2"/>
  <c r="CP74" i="2"/>
  <c r="CQ54" i="2" s="1"/>
  <c r="CU20" i="2"/>
  <c r="CU44" i="2"/>
  <c r="CS51" i="2"/>
  <c r="CS53" i="2" s="1"/>
  <c r="CS70" i="2" s="1"/>
  <c r="CS69" i="2"/>
  <c r="CT45" i="2"/>
  <c r="CT46" i="2" s="1"/>
  <c r="CT47" i="2"/>
  <c r="CT48" i="2"/>
  <c r="CT50" i="2"/>
  <c r="CT49" i="2"/>
  <c r="CW4" i="2"/>
  <c r="CV11" i="2"/>
  <c r="BP64" i="2"/>
  <c r="BP53" i="2"/>
  <c r="BP70" i="2" s="1"/>
  <c r="CQ57" i="2" l="1"/>
  <c r="CQ58" i="2" s="1"/>
  <c r="CQ60" i="2" s="1"/>
  <c r="CQ72" i="2" s="1"/>
  <c r="CV20" i="2"/>
  <c r="CV44" i="2"/>
  <c r="CT51" i="2"/>
  <c r="CT53" i="2" s="1"/>
  <c r="CT70" i="2" s="1"/>
  <c r="CT69" i="2"/>
  <c r="CU49" i="2"/>
  <c r="CU45" i="2"/>
  <c r="CU46" i="2" s="1"/>
  <c r="CU50" i="2"/>
  <c r="CU48" i="2"/>
  <c r="CU47" i="2"/>
  <c r="CX4" i="2"/>
  <c r="CW11" i="2"/>
  <c r="BP57" i="2"/>
  <c r="BP71" i="2" s="1"/>
  <c r="CN46" i="2"/>
  <c r="CN64" i="2" s="1"/>
  <c r="CO46" i="2"/>
  <c r="CO64" i="2" s="1"/>
  <c r="CK46" i="2"/>
  <c r="CK64" i="2" s="1"/>
  <c r="AX64" i="2"/>
  <c r="BG64" i="2"/>
  <c r="CL46" i="2"/>
  <c r="CL64" i="2" s="1"/>
  <c r="CM46" i="2"/>
  <c r="CM64" i="2" s="1"/>
  <c r="BD64" i="2"/>
  <c r="BJ70" i="2"/>
  <c r="AU64" i="2"/>
  <c r="BK64" i="2"/>
  <c r="BO64" i="2"/>
  <c r="BI64" i="2"/>
  <c r="BJ64" i="2"/>
  <c r="AV70" i="2"/>
  <c r="BM64" i="2"/>
  <c r="AW64" i="2"/>
  <c r="BK70" i="2"/>
  <c r="BB64" i="2"/>
  <c r="BL70" i="2"/>
  <c r="BL57" i="2"/>
  <c r="AW57" i="2"/>
  <c r="AW60" i="2" s="1"/>
  <c r="BF64" i="2"/>
  <c r="BA64" i="2"/>
  <c r="BE57" i="2"/>
  <c r="BL64" i="2"/>
  <c r="AY64" i="2"/>
  <c r="BE70" i="2"/>
  <c r="BB57" i="2"/>
  <c r="BB60" i="2" s="1"/>
  <c r="BB70" i="2"/>
  <c r="BM70" i="2"/>
  <c r="BD70" i="2"/>
  <c r="BD57" i="2"/>
  <c r="BN64" i="2"/>
  <c r="AX70" i="2"/>
  <c r="AV64" i="2"/>
  <c r="BF70" i="2"/>
  <c r="BF57" i="2"/>
  <c r="BF60" i="2" s="1"/>
  <c r="BC70" i="2"/>
  <c r="BC57" i="2"/>
  <c r="CN53" i="2"/>
  <c r="CN70" i="2" s="1"/>
  <c r="BG57" i="2"/>
  <c r="BH64" i="2"/>
  <c r="BA70" i="2"/>
  <c r="BJ57" i="2"/>
  <c r="BJ60" i="2" s="1"/>
  <c r="CO53" i="2"/>
  <c r="BK57" i="2"/>
  <c r="BK60" i="2" s="1"/>
  <c r="BI70" i="2"/>
  <c r="AZ64" i="2"/>
  <c r="BN70" i="2"/>
  <c r="BN57" i="2"/>
  <c r="BE64" i="2"/>
  <c r="AZ70" i="2"/>
  <c r="AZ57" i="2"/>
  <c r="AZ60" i="2" s="1"/>
  <c r="BO57" i="2"/>
  <c r="BO60" i="2" s="1"/>
  <c r="AU57" i="2"/>
  <c r="AU60" i="2" s="1"/>
  <c r="BC64" i="2"/>
  <c r="AY70" i="2"/>
  <c r="BH70" i="2"/>
  <c r="AU70" i="2"/>
  <c r="BL71" i="2" l="1"/>
  <c r="BL60" i="2"/>
  <c r="BN71" i="2"/>
  <c r="BN60" i="2"/>
  <c r="BG71" i="2"/>
  <c r="BG60" i="2"/>
  <c r="BC71" i="2"/>
  <c r="BC60" i="2"/>
  <c r="BP60" i="2"/>
  <c r="BD71" i="2"/>
  <c r="BD60" i="2"/>
  <c r="BE71" i="2"/>
  <c r="BE60" i="2"/>
  <c r="CQ74" i="2"/>
  <c r="CW20" i="2"/>
  <c r="CW44" i="2"/>
  <c r="CU51" i="2"/>
  <c r="CU53" i="2" s="1"/>
  <c r="CU70" i="2" s="1"/>
  <c r="CU69" i="2"/>
  <c r="CV50" i="2"/>
  <c r="CV47" i="2"/>
  <c r="CV48" i="2"/>
  <c r="CV49" i="2"/>
  <c r="CV45" i="2"/>
  <c r="CV46" i="2" s="1"/>
  <c r="CY4" i="2"/>
  <c r="CY11" i="2" s="1"/>
  <c r="CY44" i="2" s="1"/>
  <c r="CX11" i="2"/>
  <c r="CO70" i="2"/>
  <c r="BP99" i="2"/>
  <c r="BP72" i="2"/>
  <c r="CM57" i="2"/>
  <c r="CM71" i="2" s="1"/>
  <c r="BF71" i="2"/>
  <c r="BK100" i="2"/>
  <c r="BK102" i="2"/>
  <c r="BK99" i="2"/>
  <c r="BK62" i="2"/>
  <c r="BK72" i="2"/>
  <c r="BB71" i="2"/>
  <c r="BO71" i="2"/>
  <c r="AZ100" i="2"/>
  <c r="AZ62" i="2"/>
  <c r="AZ72" i="2"/>
  <c r="AZ99" i="2"/>
  <c r="AZ102" i="2"/>
  <c r="BJ102" i="2"/>
  <c r="BJ99" i="2"/>
  <c r="BJ72" i="2"/>
  <c r="BJ62" i="2"/>
  <c r="BJ100" i="2"/>
  <c r="BF99" i="2"/>
  <c r="BF72" i="2"/>
  <c r="BF102" i="2"/>
  <c r="BF62" i="2"/>
  <c r="BF100" i="2"/>
  <c r="AW71" i="2"/>
  <c r="CK53" i="2"/>
  <c r="CK70" i="2" s="1"/>
  <c r="BA57" i="2"/>
  <c r="BA60" i="2" s="1"/>
  <c r="BH57" i="2"/>
  <c r="BH60" i="2" s="1"/>
  <c r="AX57" i="2"/>
  <c r="AX60" i="2" s="1"/>
  <c r="CL53" i="2"/>
  <c r="CL70" i="2" s="1"/>
  <c r="CM53" i="2"/>
  <c r="CM70" i="2" s="1"/>
  <c r="AY57" i="2"/>
  <c r="AY60" i="2" s="1"/>
  <c r="AZ71" i="2"/>
  <c r="AV57" i="2"/>
  <c r="AV60" i="2" s="1"/>
  <c r="BO70" i="2"/>
  <c r="BI57" i="2"/>
  <c r="BI60" i="2" s="1"/>
  <c r="BM57" i="2"/>
  <c r="BM60" i="2" s="1"/>
  <c r="AW70" i="2"/>
  <c r="BK71" i="2"/>
  <c r="AU71" i="2"/>
  <c r="BJ71" i="2"/>
  <c r="BG70" i="2"/>
  <c r="CR54" i="2" l="1"/>
  <c r="CR57" i="2" s="1"/>
  <c r="CR58" i="2" s="1"/>
  <c r="CR60" i="2" s="1"/>
  <c r="BP62" i="2"/>
  <c r="BP102" i="2"/>
  <c r="BP100" i="2"/>
  <c r="CX20" i="2"/>
  <c r="CX44" i="2"/>
  <c r="CV51" i="2"/>
  <c r="CV53" i="2" s="1"/>
  <c r="CV70" i="2" s="1"/>
  <c r="CV69" i="2"/>
  <c r="CY48" i="2"/>
  <c r="CY50" i="2"/>
  <c r="CY47" i="2"/>
  <c r="CY49" i="2"/>
  <c r="CY45" i="2"/>
  <c r="CY46" i="2" s="1"/>
  <c r="CW50" i="2"/>
  <c r="CW48" i="2"/>
  <c r="CW47" i="2"/>
  <c r="CW45" i="2"/>
  <c r="CW46" i="2" s="1"/>
  <c r="CW49" i="2"/>
  <c r="CY20" i="2"/>
  <c r="BH71" i="2"/>
  <c r="CN57" i="2"/>
  <c r="CN71" i="2" s="1"/>
  <c r="AY71" i="2"/>
  <c r="CL57" i="2"/>
  <c r="CL71" i="2" s="1"/>
  <c r="BE99" i="2"/>
  <c r="BE72" i="2"/>
  <c r="BE102" i="2"/>
  <c r="BE100" i="2"/>
  <c r="BE62" i="2"/>
  <c r="BG72" i="2"/>
  <c r="BG100" i="2"/>
  <c r="BG62" i="2"/>
  <c r="BG102" i="2"/>
  <c r="BG99" i="2"/>
  <c r="BM71" i="2"/>
  <c r="AU72" i="2"/>
  <c r="AU62" i="2"/>
  <c r="AU102" i="2"/>
  <c r="AV71" i="2"/>
  <c r="BD100" i="2"/>
  <c r="BD99" i="2"/>
  <c r="BD62" i="2"/>
  <c r="BD72" i="2"/>
  <c r="BD102" i="2"/>
  <c r="AW102" i="2"/>
  <c r="AW72" i="2"/>
  <c r="AW62" i="2"/>
  <c r="BA71" i="2"/>
  <c r="CN60" i="2"/>
  <c r="BI71" i="2"/>
  <c r="BO72" i="2"/>
  <c r="BO62" i="2"/>
  <c r="BO100" i="2"/>
  <c r="BO99" i="2"/>
  <c r="BO102" i="2"/>
  <c r="BB102" i="2"/>
  <c r="BB100" i="2"/>
  <c r="BB72" i="2"/>
  <c r="BB62" i="2"/>
  <c r="BB99" i="2"/>
  <c r="BL62" i="2"/>
  <c r="BL100" i="2"/>
  <c r="BL72" i="2"/>
  <c r="BL102" i="2"/>
  <c r="BL99" i="2"/>
  <c r="AX71" i="2"/>
  <c r="BN72" i="2"/>
  <c r="BN102" i="2"/>
  <c r="BN100" i="2"/>
  <c r="BN99" i="2"/>
  <c r="BN62" i="2"/>
  <c r="CO57" i="2"/>
  <c r="CO71" i="2" s="1"/>
  <c r="CQ79" i="2" s="1"/>
  <c r="BC62" i="2"/>
  <c r="BC99" i="2"/>
  <c r="BC102" i="2"/>
  <c r="CM60" i="2"/>
  <c r="BC100" i="2"/>
  <c r="BC72" i="2"/>
  <c r="CK57" i="2"/>
  <c r="CK71" i="2" s="1"/>
  <c r="CR72" i="2" l="1"/>
  <c r="CR74" i="2"/>
  <c r="CW51" i="2"/>
  <c r="CW69" i="2"/>
  <c r="CY69" i="2"/>
  <c r="CY51" i="2"/>
  <c r="CY53" i="2" s="1"/>
  <c r="CY70" i="2" s="1"/>
  <c r="CW53" i="2"/>
  <c r="CW70" i="2" s="1"/>
  <c r="CX49" i="2"/>
  <c r="CX48" i="2"/>
  <c r="CX50" i="2"/>
  <c r="CX47" i="2"/>
  <c r="CX45" i="2"/>
  <c r="CX46" i="2" s="1"/>
  <c r="CN99" i="2"/>
  <c r="CN62" i="2"/>
  <c r="CN72" i="2"/>
  <c r="CN102" i="2"/>
  <c r="CN100" i="2"/>
  <c r="AX102" i="2"/>
  <c r="AX72" i="2"/>
  <c r="AX100" i="2"/>
  <c r="AX99" i="2"/>
  <c r="AX62" i="2"/>
  <c r="AY102" i="2"/>
  <c r="AY100" i="2"/>
  <c r="AY72" i="2"/>
  <c r="AY62" i="2"/>
  <c r="CL60" i="2"/>
  <c r="AY99" i="2"/>
  <c r="BA72" i="2"/>
  <c r="BA102" i="2"/>
  <c r="BA100" i="2"/>
  <c r="BA62" i="2"/>
  <c r="BA99" i="2"/>
  <c r="BH72" i="2"/>
  <c r="BH100" i="2"/>
  <c r="BH62" i="2"/>
  <c r="BH102" i="2"/>
  <c r="BH99" i="2"/>
  <c r="BM100" i="2"/>
  <c r="BM62" i="2"/>
  <c r="BM102" i="2"/>
  <c r="BM99" i="2"/>
  <c r="BM72" i="2"/>
  <c r="CK60" i="2"/>
  <c r="BI99" i="2"/>
  <c r="BI72" i="2"/>
  <c r="BI100" i="2"/>
  <c r="BI102" i="2"/>
  <c r="BI62" i="2"/>
  <c r="CM72" i="2"/>
  <c r="CM102" i="2"/>
  <c r="CM100" i="2"/>
  <c r="CM99" i="2"/>
  <c r="CM62" i="2"/>
  <c r="AV102" i="2"/>
  <c r="AV72" i="2"/>
  <c r="AV62" i="2"/>
  <c r="CO60" i="2"/>
  <c r="CS54" i="2" l="1"/>
  <c r="CS57" i="2" s="1"/>
  <c r="CS58" i="2" s="1"/>
  <c r="CS60" i="2" s="1"/>
  <c r="CX51" i="2"/>
  <c r="CX53" i="2" s="1"/>
  <c r="CX70" i="2" s="1"/>
  <c r="CX69" i="2"/>
  <c r="CK99" i="2"/>
  <c r="CK62" i="2"/>
  <c r="CK100" i="2"/>
  <c r="CK102" i="2"/>
  <c r="CK72" i="2"/>
  <c r="CO62" i="2"/>
  <c r="CO72" i="2"/>
  <c r="CO99" i="2"/>
  <c r="CO102" i="2"/>
  <c r="CO100" i="2"/>
  <c r="CL102" i="2"/>
  <c r="CL72" i="2"/>
  <c r="CL62" i="2"/>
  <c r="CL99" i="2"/>
  <c r="CL100" i="2"/>
  <c r="CS72" i="2" l="1"/>
  <c r="CS74" i="2"/>
  <c r="CT54" i="2" s="1"/>
  <c r="CT57" i="2" s="1"/>
  <c r="CT58" i="2" l="1"/>
  <c r="CT60" i="2" s="1"/>
  <c r="CT72" i="2" l="1"/>
  <c r="CT74" i="2"/>
  <c r="CU54" i="2" s="1"/>
  <c r="CU57" i="2" l="1"/>
  <c r="CU58" i="2" s="1"/>
  <c r="CU60" i="2" s="1"/>
  <c r="CU74" i="2" l="1"/>
  <c r="CV54" i="2" s="1"/>
  <c r="CU72" i="2"/>
  <c r="CV57" i="2" l="1"/>
  <c r="CV58" i="2" s="1"/>
  <c r="CV60" i="2" s="1"/>
  <c r="CV72" i="2" l="1"/>
  <c r="CV74" i="2"/>
  <c r="CW54" i="2" s="1"/>
  <c r="CW57" i="2" l="1"/>
  <c r="CW58" i="2" s="1"/>
  <c r="CW60" i="2" s="1"/>
  <c r="CW72" i="2" l="1"/>
  <c r="CW74" i="2"/>
  <c r="CX54" i="2" s="1"/>
  <c r="CX57" i="2" l="1"/>
  <c r="CX58" i="2" s="1"/>
  <c r="CX60" i="2" s="1"/>
  <c r="CX72" i="2" l="1"/>
  <c r="CX74" i="2"/>
  <c r="CY54" i="2" s="1"/>
  <c r="CY57" i="2" l="1"/>
  <c r="CY58" i="2" s="1"/>
  <c r="CY60" i="2" s="1"/>
  <c r="CY74" i="2" l="1"/>
  <c r="CZ60" i="2"/>
  <c r="DA60" i="2" s="1"/>
  <c r="DB60" i="2" s="1"/>
  <c r="DC60" i="2" s="1"/>
  <c r="DD60" i="2" s="1"/>
  <c r="DE60" i="2" s="1"/>
  <c r="DF60" i="2" s="1"/>
  <c r="DG60" i="2" s="1"/>
  <c r="DH60" i="2" s="1"/>
  <c r="DI60" i="2" s="1"/>
  <c r="DJ60" i="2" s="1"/>
  <c r="DK60" i="2" s="1"/>
  <c r="DL60" i="2" s="1"/>
  <c r="DM60" i="2" s="1"/>
  <c r="DN60" i="2" s="1"/>
  <c r="DO60" i="2" s="1"/>
  <c r="DP60" i="2" s="1"/>
  <c r="DQ60" i="2" s="1"/>
  <c r="DR60" i="2" s="1"/>
  <c r="DS60" i="2" s="1"/>
  <c r="DT60" i="2" s="1"/>
  <c r="DU60" i="2" s="1"/>
  <c r="DV60" i="2" s="1"/>
  <c r="DW60" i="2" s="1"/>
  <c r="DX60" i="2" s="1"/>
  <c r="DY60" i="2" s="1"/>
  <c r="DZ60" i="2" s="1"/>
  <c r="EA60" i="2" s="1"/>
  <c r="EB60" i="2" s="1"/>
  <c r="EC60" i="2" s="1"/>
  <c r="ED60" i="2" s="1"/>
  <c r="EE60" i="2" s="1"/>
  <c r="EF60" i="2" s="1"/>
  <c r="EG60" i="2" s="1"/>
  <c r="EH60" i="2" s="1"/>
  <c r="EI60" i="2" s="1"/>
  <c r="EJ60" i="2" s="1"/>
  <c r="EK60" i="2" s="1"/>
  <c r="EL60" i="2" s="1"/>
  <c r="EM60" i="2" s="1"/>
  <c r="EN60" i="2" s="1"/>
  <c r="EO60" i="2" s="1"/>
  <c r="EP60" i="2" s="1"/>
  <c r="EQ60" i="2" s="1"/>
  <c r="ER60" i="2" s="1"/>
  <c r="ES60" i="2" s="1"/>
  <c r="ET60" i="2" s="1"/>
  <c r="EU60" i="2" s="1"/>
  <c r="EV60" i="2" s="1"/>
  <c r="EW60" i="2" s="1"/>
  <c r="CY83" i="2" s="1"/>
  <c r="CY85" i="2" s="1"/>
  <c r="CY87" i="2" s="1"/>
  <c r="CX88" i="2" s="1" a="1"/>
  <c r="CX88" i="2" s="1"/>
  <c r="CY72" i="2"/>
  <c r="CZ87"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2B66CC4-CB21-4D30-98EA-6B5E533C47DB}" keepAlive="1" name="Query - Table 2" description="Connection to the 'Table 2' query in the workbook." type="5" refreshedVersion="0" background="1">
    <dbPr connection="Provider=Microsoft.Mashup.OleDb.1;Data Source=$Workbook$;Location=&quot;Table 2&quot;;Extended Properties=&quot;&quot;" command="SELECT * FROM [Table 2]"/>
  </connection>
  <connection id="2" xr16:uid="{A91C11D9-AF4F-4747-B502-49DA244BA74A}" keepAlive="1" name="Query - Table 4" description="Connection to the 'Table 4' query in the workbook." type="5" refreshedVersion="0" background="1">
    <dbPr connection="Provider=Microsoft.Mashup.OleDb.1;Data Source=$Workbook$;Location=&quot;Table 4&quot;;Extended Properties=&quot;&quot;" command="SELECT * FROM [Table 4]"/>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<sst xmlns="http://schemas.openxmlformats.org/spreadsheetml/2006/main" count="2136" uniqueCount="1946">
  <si>
    <t xml:space="preserve">Price </t>
  </si>
  <si>
    <t>SO</t>
  </si>
  <si>
    <t>MC</t>
  </si>
  <si>
    <t>Cash</t>
  </si>
  <si>
    <t>Debt</t>
  </si>
  <si>
    <t>EV</t>
  </si>
  <si>
    <t>Investor Relations Contact:</t>
  </si>
  <si>
    <t>SEC filings</t>
  </si>
  <si>
    <t>Godel Terminal</t>
  </si>
  <si>
    <t>Company Overview:</t>
  </si>
  <si>
    <t>[Bold Title]</t>
  </si>
  <si>
    <t>Line Titles</t>
  </si>
  <si>
    <t>&lt;-- General</t>
  </si>
  <si>
    <t>&lt;-- Info</t>
  </si>
  <si>
    <t>Revenue Breakdown by Segment (Build graph for this section if applicable…. See example below)</t>
  </si>
  <si>
    <t>Notes:</t>
  </si>
  <si>
    <t>[X]</t>
  </si>
  <si>
    <t>[Y]</t>
  </si>
  <si>
    <t>[Z]</t>
  </si>
  <si>
    <t>Close</t>
  </si>
  <si>
    <t>High</t>
  </si>
  <si>
    <t>Low</t>
  </si>
  <si>
    <t>Open</t>
  </si>
  <si>
    <t>Volume</t>
  </si>
  <si>
    <t>UTC Date</t>
  </si>
  <si>
    <t>Change</t>
  </si>
  <si>
    <t>Min</t>
  </si>
  <si>
    <t>Max</t>
  </si>
  <si>
    <t>Mean μ</t>
  </si>
  <si>
    <t>Median</t>
  </si>
  <si>
    <t>SD σ</t>
  </si>
  <si>
    <t xml:space="preserve">  3σ 1-Day Δ: ±</t>
  </si>
  <si>
    <t>β (1-year avg.)</t>
  </si>
  <si>
    <t>&lt;- Sortino Ratio (Downside Risk Adjusted Return)</t>
  </si>
  <si>
    <r>
      <rPr>
        <i/>
        <sz val="11"/>
        <color theme="1"/>
        <rFont val="Calibre"/>
      </rPr>
      <t>n</t>
    </r>
    <r>
      <rPr>
        <sz val="11"/>
        <color theme="1"/>
        <rFont val="Calibre"/>
      </rPr>
      <t xml:space="preserve"> =</t>
    </r>
  </si>
  <si>
    <t>Histogram Data</t>
  </si>
  <si>
    <t>Distribution Overlay</t>
  </si>
  <si>
    <t>SD Lines</t>
  </si>
  <si>
    <t>Bin</t>
  </si>
  <si>
    <t>Frequency</t>
  </si>
  <si>
    <r>
      <t xml:space="preserve"> (X) 1-Day</t>
    </r>
    <r>
      <rPr>
        <b/>
        <i/>
        <sz val="11"/>
        <color theme="1"/>
        <rFont val="Calibri"/>
        <family val="2"/>
        <scheme val="minor"/>
      </rPr>
      <t xml:space="preserve"> Δ </t>
    </r>
    <r>
      <rPr>
        <i/>
        <sz val="11"/>
        <color theme="1"/>
        <rFont val="Calibri"/>
        <family val="2"/>
        <scheme val="minor"/>
      </rPr>
      <t xml:space="preserve"> </t>
    </r>
  </si>
  <si>
    <t xml:space="preserve">(Y) Pop. Density </t>
  </si>
  <si>
    <t>X</t>
  </si>
  <si>
    <t>Y</t>
  </si>
  <si>
    <t>Q1 2009</t>
  </si>
  <si>
    <t>Q2 2009</t>
  </si>
  <si>
    <t>Q3 2009</t>
  </si>
  <si>
    <t>Q4 2009</t>
  </si>
  <si>
    <t>Q1 2010</t>
  </si>
  <si>
    <t>Q2 2010</t>
  </si>
  <si>
    <t>Q3 2010</t>
  </si>
  <si>
    <t>Q4 2010</t>
  </si>
  <si>
    <t>Q1 2011</t>
  </si>
  <si>
    <t>Q2 2011</t>
  </si>
  <si>
    <t>Q3 2011</t>
  </si>
  <si>
    <t>Q4 2011</t>
  </si>
  <si>
    <t>Q1 2012</t>
  </si>
  <si>
    <t>Q2 2012</t>
  </si>
  <si>
    <t>Q3 2012</t>
  </si>
  <si>
    <t>Q4 2012</t>
  </si>
  <si>
    <t>Q1 2013</t>
  </si>
  <si>
    <t>Q2 2013</t>
  </si>
  <si>
    <t>Q3 2013</t>
  </si>
  <si>
    <t>Q4 2013</t>
  </si>
  <si>
    <t>Q1 2014</t>
  </si>
  <si>
    <t>Q2 2014</t>
  </si>
  <si>
    <t>Q3 2014</t>
  </si>
  <si>
    <t>Q4 2014</t>
  </si>
  <si>
    <t>Q1 2015</t>
  </si>
  <si>
    <t>Q2 2015</t>
  </si>
  <si>
    <t>Q3 2015</t>
  </si>
  <si>
    <t>Q4 2015</t>
  </si>
  <si>
    <t>Q1 2016</t>
  </si>
  <si>
    <t>Q2 2016</t>
  </si>
  <si>
    <t>Q3 2016</t>
  </si>
  <si>
    <t>Q4 2016</t>
  </si>
  <si>
    <t>Q1 2017</t>
  </si>
  <si>
    <t>Q2 2017</t>
  </si>
  <si>
    <t>Q3 2017</t>
  </si>
  <si>
    <t>Q4 2017</t>
  </si>
  <si>
    <t>Q1 2018</t>
  </si>
  <si>
    <t>Q2 2018</t>
  </si>
  <si>
    <t>Q3 2018</t>
  </si>
  <si>
    <t>Q4 2018</t>
  </si>
  <si>
    <t>Q1 2019</t>
  </si>
  <si>
    <t>Q2 2019</t>
  </si>
  <si>
    <t>Q3 2019</t>
  </si>
  <si>
    <t>Q4 2019</t>
  </si>
  <si>
    <t>Q1 2020</t>
  </si>
  <si>
    <t>Q2 2020</t>
  </si>
  <si>
    <t>Q3 2020</t>
  </si>
  <si>
    <t>Q4 2020</t>
  </si>
  <si>
    <t>Q1 2021</t>
  </si>
  <si>
    <t>Q2 2021</t>
  </si>
  <si>
    <t>Q3 2021</t>
  </si>
  <si>
    <t>Q4 2021</t>
  </si>
  <si>
    <t>Q1 2022</t>
  </si>
  <si>
    <t>Q2 2022</t>
  </si>
  <si>
    <t>Q3 2022</t>
  </si>
  <si>
    <t>Q4 2022</t>
  </si>
  <si>
    <t>Q1 2023</t>
  </si>
  <si>
    <t>Q2 2023</t>
  </si>
  <si>
    <t>Q3 2023</t>
  </si>
  <si>
    <t>Q4 2023</t>
  </si>
  <si>
    <t>Q1 2024</t>
  </si>
  <si>
    <t>Q2 2024</t>
  </si>
  <si>
    <t>Q3 2024</t>
  </si>
  <si>
    <t>Q4 2024</t>
  </si>
  <si>
    <t>Q1 2025</t>
  </si>
  <si>
    <t>Q2 2025</t>
  </si>
  <si>
    <t>Q3 2025</t>
  </si>
  <si>
    <t>Q4 2025</t>
  </si>
  <si>
    <t>Q1 2026</t>
  </si>
  <si>
    <t>Q2 2026</t>
  </si>
  <si>
    <t>Q3 2026</t>
  </si>
  <si>
    <t>[Use for Graphing]</t>
  </si>
  <si>
    <t>Quarterly</t>
  </si>
  <si>
    <t>Revenues</t>
  </si>
  <si>
    <t>Ttl Revenues</t>
  </si>
  <si>
    <t>GP</t>
  </si>
  <si>
    <t>Gross Profit Margin</t>
  </si>
  <si>
    <t>R&amp;D as % of Revenue</t>
  </si>
  <si>
    <t>SG&amp;A as % of Revenue</t>
  </si>
  <si>
    <t>Operating Profit Margin</t>
  </si>
  <si>
    <t>Effective Tax Rate</t>
  </si>
  <si>
    <t>Net Profit Margin</t>
  </si>
  <si>
    <t xml:space="preserve">Cash &amp; CEs </t>
  </si>
  <si>
    <t>ST Investments</t>
  </si>
  <si>
    <t>Current Ratio</t>
  </si>
  <si>
    <t>Quick Ratio</t>
  </si>
  <si>
    <t>Cash Ratio</t>
  </si>
  <si>
    <t>Ttl Asset Turnover</t>
  </si>
  <si>
    <t>Inventory Turnover Ratio</t>
  </si>
  <si>
    <t>Return on Assets</t>
  </si>
  <si>
    <t>Return on Equity</t>
  </si>
  <si>
    <t>Net Income</t>
  </si>
  <si>
    <t>CFFO</t>
  </si>
  <si>
    <t>CapEx, net</t>
  </si>
  <si>
    <t>FCF</t>
  </si>
  <si>
    <t>SC</t>
  </si>
  <si>
    <t>FCF per Share</t>
  </si>
  <si>
    <t>General Notes/Observations (Updated Q1'25)</t>
  </si>
  <si>
    <t>Financial Stmts. Notes/Observations (Updated Q1'25)</t>
  </si>
  <si>
    <t>Revenues:</t>
  </si>
  <si>
    <t>[Godel Snapshot of projected sales]</t>
  </si>
  <si>
    <t>Earnings Scope:</t>
  </si>
  <si>
    <t>[Godel Snapshot of projected earnings/EPS]</t>
  </si>
  <si>
    <t>Balance Sheet Scope:</t>
  </si>
  <si>
    <t>[Godel Snapshot of projected balances (assets, liabilities, equity)]</t>
  </si>
  <si>
    <t>[Equity Preformance Compared to Peers]</t>
  </si>
  <si>
    <t>Use Godel CMS command</t>
  </si>
  <si>
    <t>Mean</t>
  </si>
  <si>
    <t>-3σ</t>
  </si>
  <si>
    <t>-2σ</t>
  </si>
  <si>
    <t>-1σ</t>
  </si>
  <si>
    <t>1σ</t>
  </si>
  <si>
    <t>2σ</t>
  </si>
  <si>
    <t>3σ</t>
  </si>
  <si>
    <t>Phone:</t>
  </si>
  <si>
    <t xml:space="preserve">Email: </t>
  </si>
  <si>
    <t>&lt;- Sharpe Ratio (Risk Adjusted Return)</t>
  </si>
  <si>
    <t>Earnings Calls</t>
  </si>
  <si>
    <t>Equity Analysis</t>
  </si>
  <si>
    <t>https://app.godelterminal.com/</t>
  </si>
  <si>
    <t>Investors Relation Department</t>
  </si>
  <si>
    <t>Business Segments and Geographical Info:</t>
  </si>
  <si>
    <t>Employee Scope:</t>
  </si>
  <si>
    <t>Resources:</t>
  </si>
  <si>
    <t>Y/y Total Revenues, Net Income, FCF</t>
  </si>
  <si>
    <t>Q/q Total Revenues, Net Income, FCF</t>
  </si>
  <si>
    <t>Institutional Ownership Snapshot Q2'25</t>
  </si>
  <si>
    <t>Mon, 18 Aug 2025 00:00:00 GMT</t>
  </si>
  <si>
    <t>Fri, 15 Aug 2025 00:00:00 GMT</t>
  </si>
  <si>
    <t>Thu, 14 Aug 2025 00:00:00 GMT</t>
  </si>
  <si>
    <t>Wed, 13 Aug 2025 00:00:00 GMT</t>
  </si>
  <si>
    <t>Tue, 12 Aug 2025 00:00:00 GMT</t>
  </si>
  <si>
    <t>Mon, 11 Aug 2025 00:00:00 GMT</t>
  </si>
  <si>
    <t>Fri, 08 Aug 2025 00:00:00 GMT</t>
  </si>
  <si>
    <t>Thu, 07 Aug 2025 00:00:00 GMT</t>
  </si>
  <si>
    <t>Wed, 06 Aug 2025 00:00:00 GMT</t>
  </si>
  <si>
    <t>Tue, 05 Aug 2025 00:00:00 GMT</t>
  </si>
  <si>
    <t>Mon, 04 Aug 2025 00:00:00 GMT</t>
  </si>
  <si>
    <t>Fri, 01 Aug 2025 00:00:00 GMT</t>
  </si>
  <si>
    <t>Thu, 31 Jul 2025 00:00:00 GMT</t>
  </si>
  <si>
    <t>Wed, 30 Jul 2025 00:00:00 GMT</t>
  </si>
  <si>
    <t>Tue, 29 Jul 2025 00:00:00 GMT</t>
  </si>
  <si>
    <t>Mon, 28 Jul 2025 00:00:00 GMT</t>
  </si>
  <si>
    <t>Fri, 25 Jul 2025 00:00:00 GMT</t>
  </si>
  <si>
    <t>Thu, 24 Jul 2025 00:00:00 GMT</t>
  </si>
  <si>
    <t>Wed, 23 Jul 2025 00:00:00 GMT</t>
  </si>
  <si>
    <t>Tue, 22 Jul 2025 00:00:00 GMT</t>
  </si>
  <si>
    <t>Mon, 21 Jul 2025 00:00:00 GMT</t>
  </si>
  <si>
    <t>Fri, 18 Jul 2025 00:00:00 GMT</t>
  </si>
  <si>
    <t>Thu, 17 Jul 2025 00:00:00 GMT</t>
  </si>
  <si>
    <t>Wed, 16 Jul 2025 00:00:00 GMT</t>
  </si>
  <si>
    <t>Tue, 15 Jul 2025 00:00:00 GMT</t>
  </si>
  <si>
    <t>Mon, 14 Jul 2025 00:00:00 GMT</t>
  </si>
  <si>
    <t>Fri, 11 Jul 2025 00:00:00 GMT</t>
  </si>
  <si>
    <t>Thu, 10 Jul 2025 00:00:00 GMT</t>
  </si>
  <si>
    <t>Wed, 09 Jul 2025 00:00:00 GMT</t>
  </si>
  <si>
    <t>Tue, 08 Jul 2025 00:00:00 GMT</t>
  </si>
  <si>
    <t>Mon, 07 Jul 2025 00:00:00 GMT</t>
  </si>
  <si>
    <t>Thu, 03 Jul 2025 00:00:00 GMT</t>
  </si>
  <si>
    <t>Wed, 02 Jul 2025 00:00:00 GMT</t>
  </si>
  <si>
    <t>Tue, 01 Jul 2025 00:00:00 GMT</t>
  </si>
  <si>
    <t>Mon, 30 Jun 2025 00:00:00 GMT</t>
  </si>
  <si>
    <t>Fri, 27 Jun 2025 00:00:00 GMT</t>
  </si>
  <si>
    <t>Thu, 26 Jun 2025 00:00:00 GMT</t>
  </si>
  <si>
    <t>Wed, 25 Jun 2025 00:00:00 GMT</t>
  </si>
  <si>
    <t>Tue, 24 Jun 2025 00:00:00 GMT</t>
  </si>
  <si>
    <t>Mon, 23 Jun 2025 00:00:00 GMT</t>
  </si>
  <si>
    <t>Fri, 20 Jun 2025 00:00:00 GMT</t>
  </si>
  <si>
    <t>Wed, 18 Jun 2025 00:00:00 GMT</t>
  </si>
  <si>
    <t>Tue, 17 Jun 2025 00:00:00 GMT</t>
  </si>
  <si>
    <t>Mon, 16 Jun 2025 00:00:00 GMT</t>
  </si>
  <si>
    <t>Fri, 13 Jun 2025 00:00:00 GMT</t>
  </si>
  <si>
    <t>Thu, 12 Jun 2025 00:00:00 GMT</t>
  </si>
  <si>
    <t>Wed, 11 Jun 2025 00:00:00 GMT</t>
  </si>
  <si>
    <t>Tue, 10 Jun 2025 00:00:00 GMT</t>
  </si>
  <si>
    <t>Mon, 09 Jun 2025 00:00:00 GMT</t>
  </si>
  <si>
    <t>Fri, 06 Jun 2025 00:00:00 GMT</t>
  </si>
  <si>
    <t>Thu, 05 Jun 2025 00:00:00 GMT</t>
  </si>
  <si>
    <t>Wed, 04 Jun 2025 00:00:00 GMT</t>
  </si>
  <si>
    <t>Tue, 03 Jun 2025 00:00:00 GMT</t>
  </si>
  <si>
    <t>Mon, 02 Jun 2025 00:00:00 GMT</t>
  </si>
  <si>
    <t>Fri, 30 May 2025 00:00:00 GMT</t>
  </si>
  <si>
    <t>Thu, 29 May 2025 00:00:00 GMT</t>
  </si>
  <si>
    <t>Wed, 28 May 2025 00:00:00 GMT</t>
  </si>
  <si>
    <t>Tue, 27 May 2025 00:00:00 GMT</t>
  </si>
  <si>
    <t>Fri, 23 May 2025 00:00:00 GMT</t>
  </si>
  <si>
    <t>Thu, 22 May 2025 00:00:00 GMT</t>
  </si>
  <si>
    <t>Wed, 21 May 2025 00:00:00 GMT</t>
  </si>
  <si>
    <t>Tue, 20 May 2025 00:00:00 GMT</t>
  </si>
  <si>
    <t>Mon, 19 May 2025 00:00:00 GMT</t>
  </si>
  <si>
    <t>Fri, 16 May 2025 00:00:00 GMT</t>
  </si>
  <si>
    <t>Thu, 15 May 2025 00:00:00 GMT</t>
  </si>
  <si>
    <t>Wed, 14 May 2025 00:00:00 GMT</t>
  </si>
  <si>
    <t>Tue, 13 May 2025 00:00:00 GMT</t>
  </si>
  <si>
    <t>Mon, 12 May 2025 00:00:00 GMT</t>
  </si>
  <si>
    <t>Fri, 09 May 2025 00:00:00 GMT</t>
  </si>
  <si>
    <t>Thu, 08 May 2025 00:00:00 GMT</t>
  </si>
  <si>
    <t>Wed, 07 May 2025 00:00:00 GMT</t>
  </si>
  <si>
    <t>Tue, 06 May 2025 00:00:00 GMT</t>
  </si>
  <si>
    <t>Mon, 05 May 2025 00:00:00 GMT</t>
  </si>
  <si>
    <t>Fri, 02 May 2025 00:00:00 GMT</t>
  </si>
  <si>
    <t>Thu, 01 May 2025 00:00:00 GMT</t>
  </si>
  <si>
    <t>Wed, 30 Apr 2025 00:00:00 GMT</t>
  </si>
  <si>
    <t>Tue, 29 Apr 2025 00:00:00 GMT</t>
  </si>
  <si>
    <t>Mon, 28 Apr 2025 00:00:00 GMT</t>
  </si>
  <si>
    <t>Fri, 25 Apr 2025 00:00:00 GMT</t>
  </si>
  <si>
    <t>Thu, 24 Apr 2025 00:00:00 GMT</t>
  </si>
  <si>
    <t>Wed, 23 Apr 2025 00:00:00 GMT</t>
  </si>
  <si>
    <t>Tue, 22 Apr 2025 00:00:00 GMT</t>
  </si>
  <si>
    <t>Mon, 21 Apr 2025 00:00:00 GMT</t>
  </si>
  <si>
    <t>Thu, 17 Apr 2025 00:00:00 GMT</t>
  </si>
  <si>
    <t>Wed, 16 Apr 2025 00:00:00 GMT</t>
  </si>
  <si>
    <t>Tue, 15 Apr 2025 00:00:00 GMT</t>
  </si>
  <si>
    <t>Mon, 14 Apr 2025 00:00:00 GMT</t>
  </si>
  <si>
    <t>Fri, 11 Apr 2025 00:00:00 GMT</t>
  </si>
  <si>
    <t>Thu, 10 Apr 2025 00:00:00 GMT</t>
  </si>
  <si>
    <t>Wed, 09 Apr 2025 00:00:00 GMT</t>
  </si>
  <si>
    <t>Tue, 08 Apr 2025 00:00:00 GMT</t>
  </si>
  <si>
    <t>Mon, 07 Apr 2025 00:00:00 GMT</t>
  </si>
  <si>
    <t>Fri, 04 Apr 2025 00:00:00 GMT</t>
  </si>
  <si>
    <t>Thu, 03 Apr 2025 00:00:00 GMT</t>
  </si>
  <si>
    <t>Wed, 02 Apr 2025 00:00:00 GMT</t>
  </si>
  <si>
    <t>Tue, 01 Apr 2025 00:00:00 GMT</t>
  </si>
  <si>
    <t>Mon, 31 Mar 2025 00:00:00 GMT</t>
  </si>
  <si>
    <t>Fri, 28 Mar 2025 00:00:00 GMT</t>
  </si>
  <si>
    <t>Thu, 27 Mar 2025 00:00:00 GMT</t>
  </si>
  <si>
    <t>Wed, 26 Mar 2025 00:00:00 GMT</t>
  </si>
  <si>
    <t>Tue, 25 Mar 2025 00:00:00 GMT</t>
  </si>
  <si>
    <t>Mon, 24 Mar 2025 00:00:00 GMT</t>
  </si>
  <si>
    <t>Fri, 21 Mar 2025 00:00:00 GMT</t>
  </si>
  <si>
    <t>Thu, 20 Mar 2025 00:00:00 GMT</t>
  </si>
  <si>
    <t>Wed, 19 Mar 2025 00:00:00 GMT</t>
  </si>
  <si>
    <t>Tue, 18 Mar 2025 00:00:00 GMT</t>
  </si>
  <si>
    <t>Mon, 17 Mar 2025 00:00:00 GMT</t>
  </si>
  <si>
    <t>Fri, 14 Mar 2025 00:00:00 GMT</t>
  </si>
  <si>
    <t>Thu, 13 Mar 2025 00:00:00 GMT</t>
  </si>
  <si>
    <t>Wed, 12 Mar 2025 00:00:00 GMT</t>
  </si>
  <si>
    <t>Tue, 11 Mar 2025 00:00:00 GMT</t>
  </si>
  <si>
    <t>Mon, 10 Mar 2025 00:00:00 GMT</t>
  </si>
  <si>
    <t>Fri, 07 Mar 2025 00:00:00 GMT</t>
  </si>
  <si>
    <t>Thu, 06 Mar 2025 00:00:00 GMT</t>
  </si>
  <si>
    <t>Wed, 05 Mar 2025 00:00:00 GMT</t>
  </si>
  <si>
    <t>Tue, 04 Mar 2025 00:00:00 GMT</t>
  </si>
  <si>
    <t>Mon, 03 Mar 2025 00:00:00 GMT</t>
  </si>
  <si>
    <t>Fri, 28 Feb 2025 00:00:00 GMT</t>
  </si>
  <si>
    <t>Thu, 27 Feb 2025 00:00:00 GMT</t>
  </si>
  <si>
    <t>Wed, 26 Feb 2025 00:00:00 GMT</t>
  </si>
  <si>
    <t>Tue, 25 Feb 2025 00:00:00 GMT</t>
  </si>
  <si>
    <t>Mon, 24 Feb 2025 00:00:00 GMT</t>
  </si>
  <si>
    <t>Fri, 21 Feb 2025 00:00:00 GMT</t>
  </si>
  <si>
    <t>Thu, 20 Feb 2025 00:00:00 GMT</t>
  </si>
  <si>
    <t>Wed, 19 Feb 2025 00:00:00 GMT</t>
  </si>
  <si>
    <t>Tue, 18 Feb 2025 00:00:00 GMT</t>
  </si>
  <si>
    <t>Fri, 14 Feb 2025 00:00:00 GMT</t>
  </si>
  <si>
    <t>Thu, 13 Feb 2025 00:00:00 GMT</t>
  </si>
  <si>
    <t>Wed, 12 Feb 2025 00:00:00 GMT</t>
  </si>
  <si>
    <t>Tue, 11 Feb 2025 00:00:00 GMT</t>
  </si>
  <si>
    <t>Mon, 10 Feb 2025 00:00:00 GMT</t>
  </si>
  <si>
    <t>Fri, 07 Feb 2025 00:00:00 GMT</t>
  </si>
  <si>
    <t>Thu, 06 Feb 2025 00:00:00 GMT</t>
  </si>
  <si>
    <t>Wed, 05 Feb 2025 00:00:00 GMT</t>
  </si>
  <si>
    <t>Tue, 04 Feb 2025 00:00:00 GMT</t>
  </si>
  <si>
    <t>Mon, 03 Feb 2025 00:00:00 GMT</t>
  </si>
  <si>
    <t>Fri, 31 Jan 2025 00:00:00 GMT</t>
  </si>
  <si>
    <t>Thu, 30 Jan 2025 00:00:00 GMT</t>
  </si>
  <si>
    <t>Wed, 29 Jan 2025 00:00:00 GMT</t>
  </si>
  <si>
    <t>Tue, 28 Jan 2025 00:00:00 GMT</t>
  </si>
  <si>
    <t>Mon, 27 Jan 2025 00:00:00 GMT</t>
  </si>
  <si>
    <t>Fri, 24 Jan 2025 00:00:00 GMT</t>
  </si>
  <si>
    <t>Thu, 23 Jan 2025 00:00:00 GMT</t>
  </si>
  <si>
    <t>Wed, 22 Jan 2025 00:00:00 GMT</t>
  </si>
  <si>
    <t>Tue, 21 Jan 2025 00:00:00 GMT</t>
  </si>
  <si>
    <t>Fri, 17 Jan 2025 00:00:00 GMT</t>
  </si>
  <si>
    <t>Thu, 16 Jan 2025 00:00:00 GMT</t>
  </si>
  <si>
    <t>Wed, 15 Jan 2025 00:00:00 GMT</t>
  </si>
  <si>
    <t>Tue, 14 Jan 2025 00:00:00 GMT</t>
  </si>
  <si>
    <t>Mon, 13 Jan 2025 00:00:00 GMT</t>
  </si>
  <si>
    <t>Fri, 10 Jan 2025 00:00:00 GMT</t>
  </si>
  <si>
    <t>Wed, 08 Jan 2025 00:00:00 GMT</t>
  </si>
  <si>
    <t>Tue, 07 Jan 2025 00:00:00 GMT</t>
  </si>
  <si>
    <t>Mon, 06 Jan 2025 00:00:00 GMT</t>
  </si>
  <si>
    <t>Fri, 03 Jan 2025 00:00:00 GMT</t>
  </si>
  <si>
    <t>Thu, 02 Jan 2025 00:00:00 GMT</t>
  </si>
  <si>
    <t>Tue, 31 Dec 2024 00:00:00 GMT</t>
  </si>
  <si>
    <t>Mon, 30 Dec 2024 00:00:00 GMT</t>
  </si>
  <si>
    <t>Fri, 27 Dec 2024 00:00:00 GMT</t>
  </si>
  <si>
    <t>Thu, 26 Dec 2024 00:00:00 GMT</t>
  </si>
  <si>
    <t>Tue, 24 Dec 2024 00:00:00 GMT</t>
  </si>
  <si>
    <t>Mon, 23 Dec 2024 00:00:00 GMT</t>
  </si>
  <si>
    <t>Fri, 20 Dec 2024 00:00:00 GMT</t>
  </si>
  <si>
    <t>Thu, 19 Dec 2024 00:00:00 GMT</t>
  </si>
  <si>
    <t>Wed, 18 Dec 2024 00:00:00 GMT</t>
  </si>
  <si>
    <t>Tue, 17 Dec 2024 00:00:00 GMT</t>
  </si>
  <si>
    <t>Mon, 16 Dec 2024 00:00:00 GMT</t>
  </si>
  <si>
    <t>Fri, 13 Dec 2024 00:00:00 GMT</t>
  </si>
  <si>
    <t>Thu, 12 Dec 2024 00:00:00 GMT</t>
  </si>
  <si>
    <t>Wed, 11 Dec 2024 00:00:00 GMT</t>
  </si>
  <si>
    <t>Tue, 10 Dec 2024 00:00:00 GMT</t>
  </si>
  <si>
    <t>Mon, 09 Dec 2024 00:00:00 GMT</t>
  </si>
  <si>
    <t>Fri, 06 Dec 2024 00:00:00 GMT</t>
  </si>
  <si>
    <t>Thu, 05 Dec 2024 00:00:00 GMT</t>
  </si>
  <si>
    <t>Wed, 04 Dec 2024 00:00:00 GMT</t>
  </si>
  <si>
    <t>Tue, 03 Dec 2024 00:00:00 GMT</t>
  </si>
  <si>
    <t>Mon, 02 Dec 2024 00:00:00 GMT</t>
  </si>
  <si>
    <t>Fri, 29 Nov 2024 00:00:00 GMT</t>
  </si>
  <si>
    <t>Wed, 27 Nov 2024 00:00:00 GMT</t>
  </si>
  <si>
    <t>Tue, 26 Nov 2024 00:00:00 GMT</t>
  </si>
  <si>
    <t>Mon, 25 Nov 2024 00:00:00 GMT</t>
  </si>
  <si>
    <t>Fri, 22 Nov 2024 00:00:00 GMT</t>
  </si>
  <si>
    <t>Thu, 21 Nov 2024 00:00:00 GMT</t>
  </si>
  <si>
    <t>Wed, 20 Nov 2024 00:00:00 GMT</t>
  </si>
  <si>
    <t>Tue, 19 Nov 2024 00:00:00 GMT</t>
  </si>
  <si>
    <t>Mon, 18 Nov 2024 00:00:00 GMT</t>
  </si>
  <si>
    <t>Fri, 15 Nov 2024 00:00:00 GMT</t>
  </si>
  <si>
    <t>Thu, 14 Nov 2024 00:00:00 GMT</t>
  </si>
  <si>
    <t>Wed, 13 Nov 2024 00:00:00 GMT</t>
  </si>
  <si>
    <t>Tue, 12 Nov 2024 00:00:00 GMT</t>
  </si>
  <si>
    <t>Mon, 11 Nov 2024 00:00:00 GMT</t>
  </si>
  <si>
    <t>Fri, 08 Nov 2024 00:00:00 GMT</t>
  </si>
  <si>
    <t>Thu, 07 Nov 2024 00:00:00 GMT</t>
  </si>
  <si>
    <t>Wed, 06 Nov 2024 00:00:00 GMT</t>
  </si>
  <si>
    <t>Tue, 05 Nov 2024 00:00:00 GMT</t>
  </si>
  <si>
    <t>Mon, 04 Nov 2024 00:00:00 GMT</t>
  </si>
  <si>
    <t>Fri, 01 Nov 2024 00:00:00 GMT</t>
  </si>
  <si>
    <t>Thu, 31 Oct 2024 00:00:00 GMT</t>
  </si>
  <si>
    <t>Wed, 30 Oct 2024 00:00:00 GMT</t>
  </si>
  <si>
    <t>Tue, 29 Oct 2024 00:00:00 GMT</t>
  </si>
  <si>
    <t>Mon, 28 Oct 2024 00:00:00 GMT</t>
  </si>
  <si>
    <t>Fri, 25 Oct 2024 00:00:00 GMT</t>
  </si>
  <si>
    <t>Thu, 24 Oct 2024 00:00:00 GMT</t>
  </si>
  <si>
    <t>Wed, 23 Oct 2024 00:00:00 GMT</t>
  </si>
  <si>
    <t>Tue, 22 Oct 2024 00:00:00 GMT</t>
  </si>
  <si>
    <t>Mon, 21 Oct 2024 00:00:00 GMT</t>
  </si>
  <si>
    <t>Fri, 18 Oct 2024 00:00:00 GMT</t>
  </si>
  <si>
    <t>Thu, 17 Oct 2024 00:00:00 GMT</t>
  </si>
  <si>
    <t>Wed, 16 Oct 2024 00:00:00 GMT</t>
  </si>
  <si>
    <t>Tue, 15 Oct 2024 00:00:00 GMT</t>
  </si>
  <si>
    <t>Mon, 14 Oct 2024 00:00:00 GMT</t>
  </si>
  <si>
    <t>Fri, 11 Oct 2024 00:00:00 GMT</t>
  </si>
  <si>
    <t>Thu, 10 Oct 2024 00:00:00 GMT</t>
  </si>
  <si>
    <t>Wed, 09 Oct 2024 00:00:00 GMT</t>
  </si>
  <si>
    <t>Tue, 08 Oct 2024 00:00:00 GMT</t>
  </si>
  <si>
    <t>Mon, 07 Oct 2024 00:00:00 GMT</t>
  </si>
  <si>
    <t>Fri, 04 Oct 2024 00:00:00 GMT</t>
  </si>
  <si>
    <t>Thu, 03 Oct 2024 00:00:00 GMT</t>
  </si>
  <si>
    <t>Wed, 02 Oct 2024 00:00:00 GMT</t>
  </si>
  <si>
    <t>Tue, 01 Oct 2024 00:00:00 GMT</t>
  </si>
  <si>
    <t>Mon, 30 Sep 2024 00:00:00 GMT</t>
  </si>
  <si>
    <t>Fri, 27 Sep 2024 00:00:00 GMT</t>
  </si>
  <si>
    <t>Thu, 26 Sep 2024 00:00:00 GMT</t>
  </si>
  <si>
    <t>Wed, 25 Sep 2024 00:00:00 GMT</t>
  </si>
  <si>
    <t>Tue, 24 Sep 2024 00:00:00 GMT</t>
  </si>
  <si>
    <t>Mon, 23 Sep 2024 00:00:00 GMT</t>
  </si>
  <si>
    <t>Fri, 20 Sep 2024 00:00:00 GMT</t>
  </si>
  <si>
    <t>Thu, 19 Sep 2024 00:00:00 GMT</t>
  </si>
  <si>
    <t>Wed, 18 Sep 2024 00:00:00 GMT</t>
  </si>
  <si>
    <t>Tue, 17 Sep 2024 00:00:00 GMT</t>
  </si>
  <si>
    <t>Mon, 16 Sep 2024 00:00:00 GMT</t>
  </si>
  <si>
    <t>Fri, 13 Sep 2024 00:00:00 GMT</t>
  </si>
  <si>
    <t>Thu, 12 Sep 2024 00:00:00 GMT</t>
  </si>
  <si>
    <t>Wed, 11 Sep 2024 00:00:00 GMT</t>
  </si>
  <si>
    <t>Tue, 10 Sep 2024 00:00:00 GMT</t>
  </si>
  <si>
    <t>Mon, 09 Sep 2024 00:00:00 GMT</t>
  </si>
  <si>
    <t>Fri, 06 Sep 2024 00:00:00 GMT</t>
  </si>
  <si>
    <t>Thu, 05 Sep 2024 00:00:00 GMT</t>
  </si>
  <si>
    <t>Wed, 04 Sep 2024 00:00:00 GMT</t>
  </si>
  <si>
    <t>Tue, 03 Sep 2024 00:00:00 GMT</t>
  </si>
  <si>
    <t>Fri, 30 Aug 2024 00:00:00 GMT</t>
  </si>
  <si>
    <t>Thu, 29 Aug 2024 00:00:00 GMT</t>
  </si>
  <si>
    <t>Wed, 28 Aug 2024 00:00:00 GMT</t>
  </si>
  <si>
    <t>Tue, 27 Aug 2024 00:00:00 GMT</t>
  </si>
  <si>
    <t>Mon, 26 Aug 2024 00:00:00 GMT</t>
  </si>
  <si>
    <t>Fri, 23 Aug 2024 00:00:00 GMT</t>
  </si>
  <si>
    <t>Thu, 22 Aug 2024 00:00:00 GMT</t>
  </si>
  <si>
    <t>Wed, 21 Aug 2024 00:00:00 GMT</t>
  </si>
  <si>
    <t>Tue, 20 Aug 2024 00:00:00 GMT</t>
  </si>
  <si>
    <t>Mon, 19 Aug 2024 00:00:00 GMT</t>
  </si>
  <si>
    <t>Fri, 16 Aug 2024 00:00:00 GMT</t>
  </si>
  <si>
    <t>Thu, 15 Aug 2024 00:00:00 GMT</t>
  </si>
  <si>
    <t>Wed, 14 Aug 2024 00:00:00 GMT</t>
  </si>
  <si>
    <t>Tue, 13 Aug 2024 00:00:00 GMT</t>
  </si>
  <si>
    <t>Mon, 12 Aug 2024 00:00:00 GMT</t>
  </si>
  <si>
    <t>Fri, 09 Aug 2024 00:00:00 GMT</t>
  </si>
  <si>
    <t>Thu, 08 Aug 2024 00:00:00 GMT</t>
  </si>
  <si>
    <t>Wed, 07 Aug 2024 00:00:00 GMT</t>
  </si>
  <si>
    <t>Tue, 06 Aug 2024 00:00:00 GMT</t>
  </si>
  <si>
    <t>Mon, 05 Aug 2024 00:00:00 GMT</t>
  </si>
  <si>
    <t>Fri, 02 Aug 2024 00:00:00 GMT</t>
  </si>
  <si>
    <t>Thu, 01 Aug 2024 00:00:00 GMT</t>
  </si>
  <si>
    <t>Wed, 31 Jul 2024 00:00:00 GMT</t>
  </si>
  <si>
    <t>Tue, 30 Jul 2024 00:00:00 GMT</t>
  </si>
  <si>
    <t>Mon, 29 Jul 2024 00:00:00 GMT</t>
  </si>
  <si>
    <t>Fri, 26 Jul 2024 00:00:00 GMT</t>
  </si>
  <si>
    <t>Thu, 25 Jul 2024 00:00:00 GMT</t>
  </si>
  <si>
    <t>Wed, 24 Jul 2024 00:00:00 GMT</t>
  </si>
  <si>
    <t>Tue, 23 Jul 2024 00:00:00 GMT</t>
  </si>
  <si>
    <t>Mon, 22 Jul 2024 00:00:00 GMT</t>
  </si>
  <si>
    <t>Fri, 19 Jul 2024 00:00:00 GMT</t>
  </si>
  <si>
    <t>Thu, 18 Jul 2024 00:00:00 GMT</t>
  </si>
  <si>
    <t>Wed, 17 Jul 2024 00:00:00 GMT</t>
  </si>
  <si>
    <t>Tue, 16 Jul 2024 00:00:00 GMT</t>
  </si>
  <si>
    <t>Mon, 15 Jul 2024 00:00:00 GMT</t>
  </si>
  <si>
    <t>Fri, 12 Jul 2024 00:00:00 GMT</t>
  </si>
  <si>
    <t>Thu, 11 Jul 2024 00:00:00 GMT</t>
  </si>
  <si>
    <t>Wed, 10 Jul 2024 00:00:00 GMT</t>
  </si>
  <si>
    <t>Tue, 09 Jul 2024 00:00:00 GMT</t>
  </si>
  <si>
    <t>Mon, 08 Jul 2024 00:00:00 GMT</t>
  </si>
  <si>
    <t>Fri, 05 Jul 2024 00:00:00 GMT</t>
  </si>
  <si>
    <t>Wed, 03 Jul 2024 00:00:00 GMT</t>
  </si>
  <si>
    <t>Tue, 02 Jul 2024 00:00:00 GMT</t>
  </si>
  <si>
    <t>Mon, 01 Jul 2024 00:00:00 GMT</t>
  </si>
  <si>
    <t>Fri, 28 Jun 2024 00:00:00 GMT</t>
  </si>
  <si>
    <t>Thu, 27 Jun 2024 00:00:00 GMT</t>
  </si>
  <si>
    <t>Wed, 26 Jun 2024 00:00:00 GMT</t>
  </si>
  <si>
    <t>Tue, 25 Jun 2024 00:00:00 GMT</t>
  </si>
  <si>
    <t>Mon, 24 Jun 2024 00:00:00 GMT</t>
  </si>
  <si>
    <t>Fri, 21 Jun 2024 00:00:00 GMT</t>
  </si>
  <si>
    <t>Thu, 20 Jun 2024 00:00:00 GMT</t>
  </si>
  <si>
    <t>Tue, 18 Jun 2024 00:00:00 GMT</t>
  </si>
  <si>
    <t>Mon, 17 Jun 2024 00:00:00 GMT</t>
  </si>
  <si>
    <t>Fri, 14 Jun 2024 00:00:00 GMT</t>
  </si>
  <si>
    <t>Thu, 13 Jun 2024 00:00:00 GMT</t>
  </si>
  <si>
    <t>Wed, 12 Jun 2024 00:00:00 GMT</t>
  </si>
  <si>
    <t>Tue, 11 Jun 2024 00:00:00 GMT</t>
  </si>
  <si>
    <t>Mon, 10 Jun 2024 00:00:00 GMT</t>
  </si>
  <si>
    <t>Fri, 07 Jun 2024 00:00:00 GMT</t>
  </si>
  <si>
    <t>Thu, 06 Jun 2024 00:00:00 GMT</t>
  </si>
  <si>
    <t>Wed, 05 Jun 2024 00:00:00 GMT</t>
  </si>
  <si>
    <t>Tue, 04 Jun 2024 00:00:00 GMT</t>
  </si>
  <si>
    <t>Mon, 03 Jun 2024 00:00:00 GMT</t>
  </si>
  <si>
    <t>Fri, 31 May 2024 00:00:00 GMT</t>
  </si>
  <si>
    <t>Thu, 30 May 2024 00:00:00 GMT</t>
  </si>
  <si>
    <t>Wed, 29 May 2024 00:00:00 GMT</t>
  </si>
  <si>
    <t>Tue, 28 May 2024 00:00:00 GMT</t>
  </si>
  <si>
    <t>Fri, 24 May 2024 00:00:00 GMT</t>
  </si>
  <si>
    <t>Thu, 23 May 2024 00:00:00 GMT</t>
  </si>
  <si>
    <t>Wed, 22 May 2024 00:00:00 GMT</t>
  </si>
  <si>
    <t>Tue, 21 May 2024 00:00:00 GMT</t>
  </si>
  <si>
    <t>Mon, 20 May 2024 00:00:00 GMT</t>
  </si>
  <si>
    <t>Fri, 17 May 2024 00:00:00 GMT</t>
  </si>
  <si>
    <t>Thu, 16 May 2024 00:00:00 GMT</t>
  </si>
  <si>
    <t>Wed, 15 May 2024 00:00:00 GMT</t>
  </si>
  <si>
    <t>Tue, 14 May 2024 00:00:00 GMT</t>
  </si>
  <si>
    <t>Mon, 13 May 2024 00:00:00 GMT</t>
  </si>
  <si>
    <t>Fri, 10 May 2024 00:00:00 GMT</t>
  </si>
  <si>
    <t>Thu, 09 May 2024 00:00:00 GMT</t>
  </si>
  <si>
    <t>Wed, 08 May 2024 00:00:00 GMT</t>
  </si>
  <si>
    <t>Tue, 07 May 2024 00:00:00 GMT</t>
  </si>
  <si>
    <t>Mon, 06 May 2024 00:00:00 GMT</t>
  </si>
  <si>
    <t>Fri, 03 May 2024 00:00:00 GMT</t>
  </si>
  <si>
    <t>Thu, 02 May 2024 00:00:00 GMT</t>
  </si>
  <si>
    <t>Wed, 01 May 2024 00:00:00 GMT</t>
  </si>
  <si>
    <t>Tue, 30 Apr 2024 00:00:00 GMT</t>
  </si>
  <si>
    <t>Mon, 29 Apr 2024 00:00:00 GMT</t>
  </si>
  <si>
    <t>Fri, 26 Apr 2024 00:00:00 GMT</t>
  </si>
  <si>
    <t>Thu, 25 Apr 2024 00:00:00 GMT</t>
  </si>
  <si>
    <t>Wed, 24 Apr 2024 00:00:00 GMT</t>
  </si>
  <si>
    <t>Tue, 23 Apr 2024 00:00:00 GMT</t>
  </si>
  <si>
    <t>Mon, 22 Apr 2024 00:00:00 GMT</t>
  </si>
  <si>
    <t>Fri, 19 Apr 2024 00:00:00 GMT</t>
  </si>
  <si>
    <t>Thu, 18 Apr 2024 00:00:00 GMT</t>
  </si>
  <si>
    <t>Wed, 17 Apr 2024 00:00:00 GMT</t>
  </si>
  <si>
    <t>Tue, 16 Apr 2024 00:00:00 GMT</t>
  </si>
  <si>
    <t>Mon, 15 Apr 2024 00:00:00 GMT</t>
  </si>
  <si>
    <t>Fri, 12 Apr 2024 00:00:00 GMT</t>
  </si>
  <si>
    <t>Thu, 11 Apr 2024 00:00:00 GMT</t>
  </si>
  <si>
    <t>Wed, 10 Apr 2024 00:00:00 GMT</t>
  </si>
  <si>
    <t>Tue, 09 Apr 2024 00:00:00 GMT</t>
  </si>
  <si>
    <t>Mon, 08 Apr 2024 00:00:00 GMT</t>
  </si>
  <si>
    <t>Fri, 05 Apr 2024 00:00:00 GMT</t>
  </si>
  <si>
    <t>Thu, 04 Apr 2024 00:00:00 GMT</t>
  </si>
  <si>
    <t>Wed, 03 Apr 2024 00:00:00 GMT</t>
  </si>
  <si>
    <t>Tue, 02 Apr 2024 00:00:00 GMT</t>
  </si>
  <si>
    <t>Mon, 01 Apr 2024 00:00:00 GMT</t>
  </si>
  <si>
    <t>Thu, 28 Mar 2024 00:00:00 GMT</t>
  </si>
  <si>
    <t>Wed, 27 Mar 2024 00:00:00 GMT</t>
  </si>
  <si>
    <t>Tue, 26 Mar 2024 00:00:00 GMT</t>
  </si>
  <si>
    <t>Mon, 25 Mar 2024 00:00:00 GMT</t>
  </si>
  <si>
    <t>Fri, 22 Mar 2024 00:00:00 GMT</t>
  </si>
  <si>
    <t>Thu, 21 Mar 2024 00:00:00 GMT</t>
  </si>
  <si>
    <t>Wed, 20 Mar 2024 00:00:00 GMT</t>
  </si>
  <si>
    <t>Tue, 19 Mar 2024 00:00:00 GMT</t>
  </si>
  <si>
    <t>Mon, 18 Mar 2024 00:00:00 GMT</t>
  </si>
  <si>
    <t>Fri, 15 Mar 2024 00:00:00 GMT</t>
  </si>
  <si>
    <t>Thu, 14 Mar 2024 00:00:00 GMT</t>
  </si>
  <si>
    <t>Wed, 13 Mar 2024 00:00:00 GMT</t>
  </si>
  <si>
    <t>Tue, 12 Mar 2024 00:00:00 GMT</t>
  </si>
  <si>
    <t>Mon, 11 Mar 2024 00:00:00 GMT</t>
  </si>
  <si>
    <t>Fri, 08 Mar 2024 00:00:00 GMT</t>
  </si>
  <si>
    <t>Thu, 07 Mar 2024 00:00:00 GMT</t>
  </si>
  <si>
    <t>Wed, 06 Mar 2024 00:00:00 GMT</t>
  </si>
  <si>
    <t>Tue, 05 Mar 2024 00:00:00 GMT</t>
  </si>
  <si>
    <t>Mon, 04 Mar 2024 00:00:00 GMT</t>
  </si>
  <si>
    <t>Fri, 01 Mar 2024 00:00:00 GMT</t>
  </si>
  <si>
    <t>Thu, 29 Feb 2024 00:00:00 GMT</t>
  </si>
  <si>
    <t>Wed, 28 Feb 2024 00:00:00 GMT</t>
  </si>
  <si>
    <t>Tue, 27 Feb 2024 00:00:00 GMT</t>
  </si>
  <si>
    <t>Mon, 26 Feb 2024 00:00:00 GMT</t>
  </si>
  <si>
    <t>Fri, 23 Feb 2024 00:00:00 GMT</t>
  </si>
  <si>
    <t>Thu, 22 Feb 2024 00:00:00 GMT</t>
  </si>
  <si>
    <t>Wed, 21 Feb 2024 00:00:00 GMT</t>
  </si>
  <si>
    <t>Tue, 20 Feb 2024 00:00:00 GMT</t>
  </si>
  <si>
    <t>Fri, 16 Feb 2024 00:00:00 GMT</t>
  </si>
  <si>
    <t>Thu, 15 Feb 2024 00:00:00 GMT</t>
  </si>
  <si>
    <t>Wed, 14 Feb 2024 00:00:00 GMT</t>
  </si>
  <si>
    <t>Tue, 13 Feb 2024 00:00:00 GMT</t>
  </si>
  <si>
    <t>Mon, 12 Feb 2024 00:00:00 GMT</t>
  </si>
  <si>
    <t>Fri, 09 Feb 2024 00:00:00 GMT</t>
  </si>
  <si>
    <t>Thu, 08 Feb 2024 00:00:00 GMT</t>
  </si>
  <si>
    <t>Wed, 07 Feb 2024 00:00:00 GMT</t>
  </si>
  <si>
    <t>Tue, 06 Feb 2024 00:00:00 GMT</t>
  </si>
  <si>
    <t>Mon, 05 Feb 2024 00:00:00 GMT</t>
  </si>
  <si>
    <t>Fri, 02 Feb 2024 00:00:00 GMT</t>
  </si>
  <si>
    <t>Thu, 01 Feb 2024 00:00:00 GMT</t>
  </si>
  <si>
    <t>Wed, 31 Jan 2024 00:00:00 GMT</t>
  </si>
  <si>
    <t>Tue, 30 Jan 2024 00:00:00 GMT</t>
  </si>
  <si>
    <t>Mon, 29 Jan 2024 00:00:00 GMT</t>
  </si>
  <si>
    <t>Fri, 26 Jan 2024 00:00:00 GMT</t>
  </si>
  <si>
    <t>Thu, 25 Jan 2024 00:00:00 GMT</t>
  </si>
  <si>
    <t>Wed, 24 Jan 2024 00:00:00 GMT</t>
  </si>
  <si>
    <t>Tue, 23 Jan 2024 00:00:00 GMT</t>
  </si>
  <si>
    <t>Mon, 22 Jan 2024 00:00:00 GMT</t>
  </si>
  <si>
    <t>Fri, 19 Jan 2024 00:00:00 GMT</t>
  </si>
  <si>
    <t>Thu, 18 Jan 2024 00:00:00 GMT</t>
  </si>
  <si>
    <t>Wed, 17 Jan 2024 00:00:00 GMT</t>
  </si>
  <si>
    <t>Tue, 16 Jan 2024 00:00:00 GMT</t>
  </si>
  <si>
    <t>Fri, 12 Jan 2024 00:00:00 GMT</t>
  </si>
  <si>
    <t>Thu, 11 Jan 2024 00:00:00 GMT</t>
  </si>
  <si>
    <t>Wed, 10 Jan 2024 00:00:00 GMT</t>
  </si>
  <si>
    <t>Tue, 09 Jan 2024 00:00:00 GMT</t>
  </si>
  <si>
    <t>Mon, 08 Jan 2024 00:00:00 GMT</t>
  </si>
  <si>
    <t>Fri, 05 Jan 2024 00:00:00 GMT</t>
  </si>
  <si>
    <t>Thu, 04 Jan 2024 00:00:00 GMT</t>
  </si>
  <si>
    <t>Wed, 03 Jan 2024 00:00:00 GMT</t>
  </si>
  <si>
    <t>Tue, 02 Jan 2024 00:00:00 GMT</t>
  </si>
  <si>
    <t>Fri, 29 Dec 2023 00:00:00 GMT</t>
  </si>
  <si>
    <t>Thu, 28 Dec 2023 00:00:00 GMT</t>
  </si>
  <si>
    <t>Wed, 27 Dec 2023 00:00:00 GMT</t>
  </si>
  <si>
    <t>Tue, 26 Dec 2023 00:00:00 GMT</t>
  </si>
  <si>
    <t>Fri, 22 Dec 2023 00:00:00 GMT</t>
  </si>
  <si>
    <t>Thu, 21 Dec 2023 00:00:00 GMT</t>
  </si>
  <si>
    <t>Wed, 20 Dec 2023 00:00:00 GMT</t>
  </si>
  <si>
    <t>Tue, 19 Dec 2023 00:00:00 GMT</t>
  </si>
  <si>
    <t>Mon, 18 Dec 2023 00:00:00 GMT</t>
  </si>
  <si>
    <t>Fri, 15 Dec 2023 00:00:00 GMT</t>
  </si>
  <si>
    <t>Thu, 14 Dec 2023 00:00:00 GMT</t>
  </si>
  <si>
    <t>Wed, 13 Dec 2023 00:00:00 GMT</t>
  </si>
  <si>
    <t>Tue, 12 Dec 2023 00:00:00 GMT</t>
  </si>
  <si>
    <t>Mon, 11 Dec 2023 00:00:00 GMT</t>
  </si>
  <si>
    <t>Fri, 08 Dec 2023 00:00:00 GMT</t>
  </si>
  <si>
    <t>Thu, 07 Dec 2023 00:00:00 GMT</t>
  </si>
  <si>
    <t>Wed, 06 Dec 2023 00:00:00 GMT</t>
  </si>
  <si>
    <t>Tue, 05 Dec 2023 00:00:00 GMT</t>
  </si>
  <si>
    <t>Mon, 04 Dec 2023 00:00:00 GMT</t>
  </si>
  <si>
    <t>Fri, 01 Dec 2023 00:00:00 GMT</t>
  </si>
  <si>
    <t>Thu, 30 Nov 2023 00:00:00 GMT</t>
  </si>
  <si>
    <t>Wed, 29 Nov 2023 00:00:00 GMT</t>
  </si>
  <si>
    <t>Tue, 28 Nov 2023 00:00:00 GMT</t>
  </si>
  <si>
    <t>Mon, 27 Nov 2023 00:00:00 GMT</t>
  </si>
  <si>
    <t>Fri, 24 Nov 2023 00:00:00 GMT</t>
  </si>
  <si>
    <t>Wed, 22 Nov 2023 00:00:00 GMT</t>
  </si>
  <si>
    <t>Tue, 21 Nov 2023 00:00:00 GMT</t>
  </si>
  <si>
    <t>Mon, 20 Nov 2023 00:00:00 GMT</t>
  </si>
  <si>
    <t>Fri, 17 Nov 2023 00:00:00 GMT</t>
  </si>
  <si>
    <t>Thu, 16 Nov 2023 00:00:00 GMT</t>
  </si>
  <si>
    <t>Wed, 15 Nov 2023 00:00:00 GMT</t>
  </si>
  <si>
    <t>Tue, 14 Nov 2023 00:00:00 GMT</t>
  </si>
  <si>
    <t>Mon, 13 Nov 2023 00:00:00 GMT</t>
  </si>
  <si>
    <t>Fri, 10 Nov 2023 00:00:00 GMT</t>
  </si>
  <si>
    <t>Thu, 09 Nov 2023 00:00:00 GMT</t>
  </si>
  <si>
    <t>Wed, 08 Nov 2023 00:00:00 GMT</t>
  </si>
  <si>
    <t>Tue, 07 Nov 2023 00:00:00 GMT</t>
  </si>
  <si>
    <t>Mon, 06 Nov 2023 00:00:00 GMT</t>
  </si>
  <si>
    <t>Fri, 03 Nov 2023 00:00:00 GMT</t>
  </si>
  <si>
    <t>Thu, 02 Nov 2023 00:00:00 GMT</t>
  </si>
  <si>
    <t>Wed, 01 Nov 2023 00:00:00 GMT</t>
  </si>
  <si>
    <t>Tue, 31 Oct 2023 00:00:00 GMT</t>
  </si>
  <si>
    <t>Mon, 30 Oct 2023 00:00:00 GMT</t>
  </si>
  <si>
    <t>Fri, 27 Oct 2023 00:00:00 GMT</t>
  </si>
  <si>
    <t>Thu, 26 Oct 2023 00:00:00 GMT</t>
  </si>
  <si>
    <t>Wed, 25 Oct 2023 00:00:00 GMT</t>
  </si>
  <si>
    <t>Tue, 24 Oct 2023 00:00:00 GMT</t>
  </si>
  <si>
    <t>Mon, 23 Oct 2023 00:00:00 GMT</t>
  </si>
  <si>
    <t>Fri, 20 Oct 2023 00:00:00 GMT</t>
  </si>
  <si>
    <t>Thu, 19 Oct 2023 00:00:00 GMT</t>
  </si>
  <si>
    <t>Wed, 18 Oct 2023 00:00:00 GMT</t>
  </si>
  <si>
    <t>Tue, 17 Oct 2023 00:00:00 GMT</t>
  </si>
  <si>
    <t>Mon, 16 Oct 2023 00:00:00 GMT</t>
  </si>
  <si>
    <t>Fri, 13 Oct 2023 00:00:00 GMT</t>
  </si>
  <si>
    <t>Thu, 12 Oct 2023 00:00:00 GMT</t>
  </si>
  <si>
    <t>Wed, 11 Oct 2023 00:00:00 GMT</t>
  </si>
  <si>
    <t>Tue, 10 Oct 2023 00:00:00 GMT</t>
  </si>
  <si>
    <t>Mon, 09 Oct 2023 00:00:00 GMT</t>
  </si>
  <si>
    <t>Fri, 06 Oct 2023 00:00:00 GMT</t>
  </si>
  <si>
    <t>Thu, 05 Oct 2023 00:00:00 GMT</t>
  </si>
  <si>
    <t>Wed, 04 Oct 2023 00:00:00 GMT</t>
  </si>
  <si>
    <t>Tue, 03 Oct 2023 00:00:00 GMT</t>
  </si>
  <si>
    <t>Mon, 02 Oct 2023 00:00:00 GMT</t>
  </si>
  <si>
    <t>Fri, 29 Sep 2023 00:00:00 GMT</t>
  </si>
  <si>
    <t>Thu, 28 Sep 2023 00:00:00 GMT</t>
  </si>
  <si>
    <t>Wed, 27 Sep 2023 00:00:00 GMT</t>
  </si>
  <si>
    <t>Tue, 26 Sep 2023 00:00:00 GMT</t>
  </si>
  <si>
    <t>Mon, 25 Sep 2023 00:00:00 GMT</t>
  </si>
  <si>
    <t>Fri, 22 Sep 2023 00:00:00 GMT</t>
  </si>
  <si>
    <t>Thu, 21 Sep 2023 00:00:00 GMT</t>
  </si>
  <si>
    <t>Wed, 20 Sep 2023 00:00:00 GMT</t>
  </si>
  <si>
    <t>Tue, 19 Sep 2023 00:00:00 GMT</t>
  </si>
  <si>
    <t>Mon, 18 Sep 2023 00:00:00 GMT</t>
  </si>
  <si>
    <t>Fri, 15 Sep 2023 00:00:00 GMT</t>
  </si>
  <si>
    <t>Thu, 14 Sep 2023 00:00:00 GMT</t>
  </si>
  <si>
    <t>Wed, 13 Sep 2023 00:00:00 GMT</t>
  </si>
  <si>
    <t>Tue, 12 Sep 2023 00:00:00 GMT</t>
  </si>
  <si>
    <t>Mon, 11 Sep 2023 00:00:00 GMT</t>
  </si>
  <si>
    <t>Fri, 08 Sep 2023 00:00:00 GMT</t>
  </si>
  <si>
    <t>Thu, 07 Sep 2023 00:00:00 GMT</t>
  </si>
  <si>
    <t>Wed, 06 Sep 2023 00:00:00 GMT</t>
  </si>
  <si>
    <t>Tue, 05 Sep 2023 00:00:00 GMT</t>
  </si>
  <si>
    <t>Fri, 01 Sep 2023 00:00:00 GMT</t>
  </si>
  <si>
    <t>Thu, 31 Aug 2023 00:00:00 GMT</t>
  </si>
  <si>
    <t>Wed, 30 Aug 2023 00:00:00 GMT</t>
  </si>
  <si>
    <t>Tue, 29 Aug 2023 00:00:00 GMT</t>
  </si>
  <si>
    <t>Mon, 28 Aug 2023 00:00:00 GMT</t>
  </si>
  <si>
    <t>Fri, 25 Aug 2023 00:00:00 GMT</t>
  </si>
  <si>
    <t>Thu, 24 Aug 2023 00:00:00 GMT</t>
  </si>
  <si>
    <t>Wed, 23 Aug 2023 00:00:00 GMT</t>
  </si>
  <si>
    <t>Tue, 22 Aug 2023 00:00:00 GMT</t>
  </si>
  <si>
    <t>Mon, 21 Aug 2023 00:00:00 GMT</t>
  </si>
  <si>
    <t>Fri, 18 Aug 2023 00:00:00 GMT</t>
  </si>
  <si>
    <t>Thu, 17 Aug 2023 00:00:00 GMT</t>
  </si>
  <si>
    <t>Wed, 16 Aug 2023 00:00:00 GMT</t>
  </si>
  <si>
    <t>Tue, 15 Aug 2023 00:00:00 GMT</t>
  </si>
  <si>
    <t>Mon, 14 Aug 2023 00:00:00 GMT</t>
  </si>
  <si>
    <t>Fri, 11 Aug 2023 00:00:00 GMT</t>
  </si>
  <si>
    <t>Thu, 10 Aug 2023 00:00:00 GMT</t>
  </si>
  <si>
    <t>Wed, 09 Aug 2023 00:00:00 GMT</t>
  </si>
  <si>
    <t>Tue, 08 Aug 2023 00:00:00 GMT</t>
  </si>
  <si>
    <t>Mon, 07 Aug 2023 00:00:00 GMT</t>
  </si>
  <si>
    <t>Fri, 04 Aug 2023 00:00:00 GMT</t>
  </si>
  <si>
    <t>Thu, 03 Aug 2023 00:00:00 GMT</t>
  </si>
  <si>
    <t>Wed, 02 Aug 2023 00:00:00 GMT</t>
  </si>
  <si>
    <t>Tue, 01 Aug 2023 00:00:00 GMT</t>
  </si>
  <si>
    <t>Mon, 31 Jul 2023 00:00:00 GMT</t>
  </si>
  <si>
    <t>Fri, 28 Jul 2023 00:00:00 GMT</t>
  </si>
  <si>
    <t>Thu, 27 Jul 2023 00:00:00 GMT</t>
  </si>
  <si>
    <t>Wed, 26 Jul 2023 00:00:00 GMT</t>
  </si>
  <si>
    <t>Tue, 25 Jul 2023 00:00:00 GMT</t>
  </si>
  <si>
    <t>Mon, 24 Jul 2023 00:00:00 GMT</t>
  </si>
  <si>
    <t>Fri, 21 Jul 2023 00:00:00 GMT</t>
  </si>
  <si>
    <t>Thu, 20 Jul 2023 00:00:00 GMT</t>
  </si>
  <si>
    <t>Wed, 19 Jul 2023 00:00:00 GMT</t>
  </si>
  <si>
    <t>Tue, 18 Jul 2023 00:00:00 GMT</t>
  </si>
  <si>
    <t>Mon, 17 Jul 2023 00:00:00 GMT</t>
  </si>
  <si>
    <t>Fri, 14 Jul 2023 00:00:00 GMT</t>
  </si>
  <si>
    <t>Thu, 13 Jul 2023 00:00:00 GMT</t>
  </si>
  <si>
    <t>Wed, 12 Jul 2023 00:00:00 GMT</t>
  </si>
  <si>
    <t>Tue, 11 Jul 2023 00:00:00 GMT</t>
  </si>
  <si>
    <t>Mon, 10 Jul 2023 00:00:00 GMT</t>
  </si>
  <si>
    <t>Fri, 07 Jul 2023 00:00:00 GMT</t>
  </si>
  <si>
    <t>Thu, 06 Jul 2023 00:00:00 GMT</t>
  </si>
  <si>
    <t>Wed, 05 Jul 2023 00:00:00 GMT</t>
  </si>
  <si>
    <t>Mon, 03 Jul 2023 00:00:00 GMT</t>
  </si>
  <si>
    <t>Fri, 30 Jun 2023 00:00:00 GMT</t>
  </si>
  <si>
    <t>Thu, 29 Jun 2023 00:00:00 GMT</t>
  </si>
  <si>
    <t>Wed, 28 Jun 2023 00:00:00 GMT</t>
  </si>
  <si>
    <t>Tue, 27 Jun 2023 00:00:00 GMT</t>
  </si>
  <si>
    <t>Mon, 26 Jun 2023 00:00:00 GMT</t>
  </si>
  <si>
    <t>Fri, 23 Jun 2023 00:00:00 GMT</t>
  </si>
  <si>
    <t>Thu, 22 Jun 2023 00:00:00 GMT</t>
  </si>
  <si>
    <t>Wed, 21 Jun 2023 00:00:00 GMT</t>
  </si>
  <si>
    <t>Tue, 20 Jun 2023 00:00:00 GMT</t>
  </si>
  <si>
    <t>Fri, 16 Jun 2023 00:00:00 GMT</t>
  </si>
  <si>
    <t>Thu, 15 Jun 2023 00:00:00 GMT</t>
  </si>
  <si>
    <t>Wed, 14 Jun 2023 00:00:00 GMT</t>
  </si>
  <si>
    <t>Tue, 13 Jun 2023 00:00:00 GMT</t>
  </si>
  <si>
    <t>Mon, 12 Jun 2023 00:00:00 GMT</t>
  </si>
  <si>
    <t>Fri, 09 Jun 2023 00:00:00 GMT</t>
  </si>
  <si>
    <t>Thu, 08 Jun 2023 00:00:00 GMT</t>
  </si>
  <si>
    <t>Wed, 07 Jun 2023 00:00:00 GMT</t>
  </si>
  <si>
    <t>Tue, 06 Jun 2023 00:00:00 GMT</t>
  </si>
  <si>
    <t>Mon, 05 Jun 2023 00:00:00 GMT</t>
  </si>
  <si>
    <t>Fri, 02 Jun 2023 00:00:00 GMT</t>
  </si>
  <si>
    <t>Thu, 01 Jun 2023 00:00:00 GMT</t>
  </si>
  <si>
    <t>Wed, 31 May 2023 00:00:00 GMT</t>
  </si>
  <si>
    <t>Tue, 30 May 2023 00:00:00 GMT</t>
  </si>
  <si>
    <t>Fri, 26 May 2023 00:00:00 GMT</t>
  </si>
  <si>
    <t>Thu, 25 May 2023 00:00:00 GMT</t>
  </si>
  <si>
    <t>Wed, 24 May 2023 00:00:00 GMT</t>
  </si>
  <si>
    <t>Tue, 23 May 2023 00:00:00 GMT</t>
  </si>
  <si>
    <t>Mon, 22 May 2023 00:00:00 GMT</t>
  </si>
  <si>
    <t>Fri, 19 May 2023 00:00:00 GMT</t>
  </si>
  <si>
    <t>Thu, 18 May 2023 00:00:00 GMT</t>
  </si>
  <si>
    <t>Wed, 17 May 2023 00:00:00 GMT</t>
  </si>
  <si>
    <t>Tue, 16 May 2023 00:00:00 GMT</t>
  </si>
  <si>
    <t>Mon, 15 May 2023 00:00:00 GMT</t>
  </si>
  <si>
    <t>Fri, 12 May 2023 00:00:00 GMT</t>
  </si>
  <si>
    <t>Thu, 11 May 2023 00:00:00 GMT</t>
  </si>
  <si>
    <t>Wed, 10 May 2023 00:00:00 GMT</t>
  </si>
  <si>
    <t>Tue, 09 May 2023 00:00:00 GMT</t>
  </si>
  <si>
    <t>Mon, 08 May 2023 00:00:00 GMT</t>
  </si>
  <si>
    <t>Fri, 05 May 2023 00:00:00 GMT</t>
  </si>
  <si>
    <t>Thu, 04 May 2023 00:00:00 GMT</t>
  </si>
  <si>
    <t>Wed, 03 May 2023 00:00:00 GMT</t>
  </si>
  <si>
    <t>Tue, 02 May 2023 00:00:00 GMT</t>
  </si>
  <si>
    <t>Mon, 01 May 2023 00:00:00 GMT</t>
  </si>
  <si>
    <t>Fri, 28 Apr 2023 00:00:00 GMT</t>
  </si>
  <si>
    <t>Thu, 27 Apr 2023 00:00:00 GMT</t>
  </si>
  <si>
    <t>Wed, 26 Apr 2023 00:00:00 GMT</t>
  </si>
  <si>
    <t>Tue, 25 Apr 2023 00:00:00 GMT</t>
  </si>
  <si>
    <t>Mon, 24 Apr 2023 00:00:00 GMT</t>
  </si>
  <si>
    <t>Fri, 21 Apr 2023 00:00:00 GMT</t>
  </si>
  <si>
    <t>Thu, 20 Apr 2023 00:00:00 GMT</t>
  </si>
  <si>
    <t>Wed, 19 Apr 2023 00:00:00 GMT</t>
  </si>
  <si>
    <t>Tue, 18 Apr 2023 00:00:00 GMT</t>
  </si>
  <si>
    <t>Mon, 17 Apr 2023 00:00:00 GMT</t>
  </si>
  <si>
    <t>Fri, 14 Apr 2023 00:00:00 GMT</t>
  </si>
  <si>
    <t>Thu, 13 Apr 2023 00:00:00 GMT</t>
  </si>
  <si>
    <t>Wed, 12 Apr 2023 00:00:00 GMT</t>
  </si>
  <si>
    <t>Tue, 11 Apr 2023 00:00:00 GMT</t>
  </si>
  <si>
    <t>Mon, 10 Apr 2023 00:00:00 GMT</t>
  </si>
  <si>
    <t>Thu, 06 Apr 2023 00:00:00 GMT</t>
  </si>
  <si>
    <t>Wed, 05 Apr 2023 00:00:00 GMT</t>
  </si>
  <si>
    <t>Tue, 04 Apr 2023 00:00:00 GMT</t>
  </si>
  <si>
    <t>Mon, 03 Apr 2023 00:00:00 GMT</t>
  </si>
  <si>
    <t>Fri, 31 Mar 2023 00:00:00 GMT</t>
  </si>
  <si>
    <t>Thu, 30 Mar 2023 00:00:00 GMT</t>
  </si>
  <si>
    <t>Wed, 29 Mar 2023 00:00:00 GMT</t>
  </si>
  <si>
    <t>Tue, 28 Mar 2023 00:00:00 GMT</t>
  </si>
  <si>
    <t>Mon, 27 Mar 2023 00:00:00 GMT</t>
  </si>
  <si>
    <t>Fri, 24 Mar 2023 00:00:00 GMT</t>
  </si>
  <si>
    <t>Thu, 23 Mar 2023 00:00:00 GMT</t>
  </si>
  <si>
    <t>Wed, 22 Mar 2023 00:00:00 GMT</t>
  </si>
  <si>
    <t>Tue, 21 Mar 2023 00:00:00 GMT</t>
  </si>
  <si>
    <t>Mon, 20 Mar 2023 00:00:00 GMT</t>
  </si>
  <si>
    <t>Fri, 17 Mar 2023 00:00:00 GMT</t>
  </si>
  <si>
    <t>Thu, 16 Mar 2023 00:00:00 GMT</t>
  </si>
  <si>
    <t>Wed, 15 Mar 2023 00:00:00 GMT</t>
  </si>
  <si>
    <t>Tue, 14 Mar 2023 00:00:00 GMT</t>
  </si>
  <si>
    <t>Mon, 13 Mar 2023 00:00:00 GMT</t>
  </si>
  <si>
    <t>Fri, 10 Mar 2023 00:00:00 GMT</t>
  </si>
  <si>
    <t>Thu, 09 Mar 2023 00:00:00 GMT</t>
  </si>
  <si>
    <t>Wed, 08 Mar 2023 00:00:00 GMT</t>
  </si>
  <si>
    <t>Tue, 07 Mar 2023 00:00:00 GMT</t>
  </si>
  <si>
    <t>Mon, 06 Mar 2023 00:00:00 GMT</t>
  </si>
  <si>
    <t>Fri, 03 Mar 2023 00:00:00 GMT</t>
  </si>
  <si>
    <t>Thu, 02 Mar 2023 00:00:00 GMT</t>
  </si>
  <si>
    <t>Wed, 01 Mar 2023 00:00:00 GMT</t>
  </si>
  <si>
    <t>Tue, 28 Feb 2023 00:00:00 GMT</t>
  </si>
  <si>
    <t>Mon, 27 Feb 2023 00:00:00 GMT</t>
  </si>
  <si>
    <t>Fri, 24 Feb 2023 00:00:00 GMT</t>
  </si>
  <si>
    <t>Thu, 23 Feb 2023 00:00:00 GMT</t>
  </si>
  <si>
    <t>Wed, 22 Feb 2023 00:00:00 GMT</t>
  </si>
  <si>
    <t>Tue, 21 Feb 2023 00:00:00 GMT</t>
  </si>
  <si>
    <t>Fri, 17 Feb 2023 00:00:00 GMT</t>
  </si>
  <si>
    <t>Thu, 16 Feb 2023 00:00:00 GMT</t>
  </si>
  <si>
    <t>Wed, 15 Feb 2023 00:00:00 GMT</t>
  </si>
  <si>
    <t>Tue, 14 Feb 2023 00:00:00 GMT</t>
  </si>
  <si>
    <t>Mon, 13 Feb 2023 00:00:00 GMT</t>
  </si>
  <si>
    <t>Fri, 10 Feb 2023 00:00:00 GMT</t>
  </si>
  <si>
    <t>Thu, 09 Feb 2023 00:00:00 GMT</t>
  </si>
  <si>
    <t>Wed, 08 Feb 2023 00:00:00 GMT</t>
  </si>
  <si>
    <t>Tue, 07 Feb 2023 00:00:00 GMT</t>
  </si>
  <si>
    <t>Mon, 06 Feb 2023 00:00:00 GMT</t>
  </si>
  <si>
    <t>Fri, 03 Feb 2023 00:00:00 GMT</t>
  </si>
  <si>
    <t>Thu, 02 Feb 2023 00:00:00 GMT</t>
  </si>
  <si>
    <t>Wed, 01 Feb 2023 00:00:00 GMT</t>
  </si>
  <si>
    <t>Tue, 31 Jan 2023 00:00:00 GMT</t>
  </si>
  <si>
    <t>Mon, 30 Jan 2023 00:00:00 GMT</t>
  </si>
  <si>
    <t>Fri, 27 Jan 2023 00:00:00 GMT</t>
  </si>
  <si>
    <t>Thu, 26 Jan 2023 00:00:00 GMT</t>
  </si>
  <si>
    <t>Wed, 25 Jan 2023 00:00:00 GMT</t>
  </si>
  <si>
    <t>Tue, 24 Jan 2023 00:00:00 GMT</t>
  </si>
  <si>
    <t>Mon, 23 Jan 2023 00:00:00 GMT</t>
  </si>
  <si>
    <t>Fri, 20 Jan 2023 00:00:00 GMT</t>
  </si>
  <si>
    <t>Thu, 19 Jan 2023 00:00:00 GMT</t>
  </si>
  <si>
    <t>Wed, 18 Jan 2023 00:00:00 GMT</t>
  </si>
  <si>
    <t>Tue, 17 Jan 2023 00:00:00 GMT</t>
  </si>
  <si>
    <t>Fri, 13 Jan 2023 00:00:00 GMT</t>
  </si>
  <si>
    <t>Thu, 12 Jan 2023 00:00:00 GMT</t>
  </si>
  <si>
    <t>Wed, 11 Jan 2023 00:00:00 GMT</t>
  </si>
  <si>
    <t>Tue, 10 Jan 2023 00:00:00 GMT</t>
  </si>
  <si>
    <t>Mon, 09 Jan 2023 00:00:00 GMT</t>
  </si>
  <si>
    <t>Fri, 06 Jan 2023 00:00:00 GMT</t>
  </si>
  <si>
    <t>Thu, 05 Jan 2023 00:00:00 GMT</t>
  </si>
  <si>
    <t>Wed, 04 Jan 2023 00:00:00 GMT</t>
  </si>
  <si>
    <t>Tue, 03 Jan 2023 00:00:00 GMT</t>
  </si>
  <si>
    <t>Fri, 30 Dec 2022 00:00:00 GMT</t>
  </si>
  <si>
    <t>Thu, 29 Dec 2022 00:00:00 GMT</t>
  </si>
  <si>
    <t>Wed, 28 Dec 2022 00:00:00 GMT</t>
  </si>
  <si>
    <t>Tue, 27 Dec 2022 00:00:00 GMT</t>
  </si>
  <si>
    <t>Fri, 23 Dec 2022 00:00:00 GMT</t>
  </si>
  <si>
    <t>Thu, 22 Dec 2022 00:00:00 GMT</t>
  </si>
  <si>
    <t>Wed, 21 Dec 2022 00:00:00 GMT</t>
  </si>
  <si>
    <t>Tue, 20 Dec 2022 00:00:00 GMT</t>
  </si>
  <si>
    <t>Mon, 19 Dec 2022 00:00:00 GMT</t>
  </si>
  <si>
    <t>Fri, 16 Dec 2022 00:00:00 GMT</t>
  </si>
  <si>
    <t>Thu, 15 Dec 2022 00:00:00 GMT</t>
  </si>
  <si>
    <t>Wed, 14 Dec 2022 00:00:00 GMT</t>
  </si>
  <si>
    <t>Tue, 13 Dec 2022 00:00:00 GMT</t>
  </si>
  <si>
    <t>Mon, 12 Dec 2022 00:00:00 GMT</t>
  </si>
  <si>
    <t>Fri, 09 Dec 2022 00:00:00 GMT</t>
  </si>
  <si>
    <t>Thu, 08 Dec 2022 00:00:00 GMT</t>
  </si>
  <si>
    <t>Wed, 07 Dec 2022 00:00:00 GMT</t>
  </si>
  <si>
    <t>Tue, 06 Dec 2022 00:00:00 GMT</t>
  </si>
  <si>
    <t>Mon, 05 Dec 2022 00:00:00 GMT</t>
  </si>
  <si>
    <t>Fri, 02 Dec 2022 00:00:00 GMT</t>
  </si>
  <si>
    <t>Thu, 01 Dec 2022 00:00:00 GMT</t>
  </si>
  <si>
    <t>Wed, 30 Nov 2022 00:00:00 GMT</t>
  </si>
  <si>
    <t>Tue, 29 Nov 2022 00:00:00 GMT</t>
  </si>
  <si>
    <t>Mon, 28 Nov 2022 00:00:00 GMT</t>
  </si>
  <si>
    <t>Fri, 25 Nov 2022 00:00:00 GMT</t>
  </si>
  <si>
    <t>Wed, 23 Nov 2022 00:00:00 GMT</t>
  </si>
  <si>
    <t>Tue, 22 Nov 2022 00:00:00 GMT</t>
  </si>
  <si>
    <t>Mon, 21 Nov 2022 00:00:00 GMT</t>
  </si>
  <si>
    <t>Fri, 18 Nov 2022 00:00:00 GMT</t>
  </si>
  <si>
    <t>Thu, 17 Nov 2022 00:00:00 GMT</t>
  </si>
  <si>
    <t>Wed, 16 Nov 2022 00:00:00 GMT</t>
  </si>
  <si>
    <t>Tue, 15 Nov 2022 00:00:00 GMT</t>
  </si>
  <si>
    <t>Mon, 14 Nov 2022 00:00:00 GMT</t>
  </si>
  <si>
    <t>Fri, 11 Nov 2022 00:00:00 GMT</t>
  </si>
  <si>
    <t>Thu, 10 Nov 2022 00:00:00 GMT</t>
  </si>
  <si>
    <t>Wed, 09 Nov 2022 00:00:00 GMT</t>
  </si>
  <si>
    <t>Tue, 08 Nov 2022 00:00:00 GMT</t>
  </si>
  <si>
    <t>Mon, 07 Nov 2022 00:00:00 GMT</t>
  </si>
  <si>
    <t>Fri, 04 Nov 2022 00:00:00 GMT</t>
  </si>
  <si>
    <t>Thu, 03 Nov 2022 00:00:00 GMT</t>
  </si>
  <si>
    <t>Wed, 02 Nov 2022 00:00:00 GMT</t>
  </si>
  <si>
    <t>Tue, 01 Nov 2022 00:00:00 GMT</t>
  </si>
  <si>
    <t>Mon, 31 Oct 2022 00:00:00 GMT</t>
  </si>
  <si>
    <t>Fri, 28 Oct 2022 00:00:00 GMT</t>
  </si>
  <si>
    <t>Thu, 27 Oct 2022 00:00:00 GMT</t>
  </si>
  <si>
    <t>Wed, 26 Oct 2022 00:00:00 GMT</t>
  </si>
  <si>
    <t>Tue, 25 Oct 2022 00:00:00 GMT</t>
  </si>
  <si>
    <t>Mon, 24 Oct 2022 00:00:00 GMT</t>
  </si>
  <si>
    <t>Fri, 21 Oct 2022 00:00:00 GMT</t>
  </si>
  <si>
    <t>Thu, 20 Oct 2022 00:00:00 GMT</t>
  </si>
  <si>
    <t>Wed, 19 Oct 2022 00:00:00 GMT</t>
  </si>
  <si>
    <t>Tue, 18 Oct 2022 00:00:00 GMT</t>
  </si>
  <si>
    <t>Mon, 17 Oct 2022 00:00:00 GMT</t>
  </si>
  <si>
    <t>Fri, 14 Oct 2022 00:00:00 GMT</t>
  </si>
  <si>
    <t>Thu, 13 Oct 2022 00:00:00 GMT</t>
  </si>
  <si>
    <t>Wed, 12 Oct 2022 00:00:00 GMT</t>
  </si>
  <si>
    <t>Tue, 11 Oct 2022 00:00:00 GMT</t>
  </si>
  <si>
    <t>Mon, 10 Oct 2022 00:00:00 GMT</t>
  </si>
  <si>
    <t>Fri, 07 Oct 2022 00:00:00 GMT</t>
  </si>
  <si>
    <t>Thu, 06 Oct 2022 00:00:00 GMT</t>
  </si>
  <si>
    <t>Wed, 05 Oct 2022 00:00:00 GMT</t>
  </si>
  <si>
    <t>Tue, 04 Oct 2022 00:00:00 GMT</t>
  </si>
  <si>
    <t>Mon, 03 Oct 2022 00:00:00 GMT</t>
  </si>
  <si>
    <t>Fri, 30 Sep 2022 00:00:00 GMT</t>
  </si>
  <si>
    <t>Thu, 29 Sep 2022 00:00:00 GMT</t>
  </si>
  <si>
    <t>Wed, 28 Sep 2022 00:00:00 GMT</t>
  </si>
  <si>
    <t>Tue, 27 Sep 2022 00:00:00 GMT</t>
  </si>
  <si>
    <t>Mon, 26 Sep 2022 00:00:00 GMT</t>
  </si>
  <si>
    <t>Fri, 23 Sep 2022 00:00:00 GMT</t>
  </si>
  <si>
    <t>Thu, 22 Sep 2022 00:00:00 GMT</t>
  </si>
  <si>
    <t>Wed, 21 Sep 2022 00:00:00 GMT</t>
  </si>
  <si>
    <t>Tue, 20 Sep 2022 00:00:00 GMT</t>
  </si>
  <si>
    <t>Mon, 19 Sep 2022 00:00:00 GMT</t>
  </si>
  <si>
    <t>Fri, 16 Sep 2022 00:00:00 GMT</t>
  </si>
  <si>
    <t>Thu, 15 Sep 2022 00:00:00 GMT</t>
  </si>
  <si>
    <t>Wed, 14 Sep 2022 00:00:00 GMT</t>
  </si>
  <si>
    <t>Tue, 13 Sep 2022 00:00:00 GMT</t>
  </si>
  <si>
    <t>Mon, 12 Sep 2022 00:00:00 GMT</t>
  </si>
  <si>
    <t>Fri, 09 Sep 2022 00:00:00 GMT</t>
  </si>
  <si>
    <t>Thu, 08 Sep 2022 00:00:00 GMT</t>
  </si>
  <si>
    <t>Wed, 07 Sep 2022 00:00:00 GMT</t>
  </si>
  <si>
    <t>Tue, 06 Sep 2022 00:00:00 GMT</t>
  </si>
  <si>
    <t>Fri, 02 Sep 2022 00:00:00 GMT</t>
  </si>
  <si>
    <t>Thu, 01 Sep 2022 00:00:00 GMT</t>
  </si>
  <si>
    <t>Wed, 31 Aug 2022 00:00:00 GMT</t>
  </si>
  <si>
    <t>Tue, 30 Aug 2022 00:00:00 GMT</t>
  </si>
  <si>
    <t>Mon, 29 Aug 2022 00:00:00 GMT</t>
  </si>
  <si>
    <t>Fri, 26 Aug 2022 00:00:00 GMT</t>
  </si>
  <si>
    <t>Thu, 25 Aug 2022 00:00:00 GMT</t>
  </si>
  <si>
    <t>Wed, 24 Aug 2022 00:00:00 GMT</t>
  </si>
  <si>
    <t>Tue, 23 Aug 2022 00:00:00 GMT</t>
  </si>
  <si>
    <t>Mon, 22 Aug 2022 00:00:00 GMT</t>
  </si>
  <si>
    <t>Fri, 19 Aug 2022 00:00:00 GMT</t>
  </si>
  <si>
    <t>Thu, 18 Aug 2022 00:00:00 GMT</t>
  </si>
  <si>
    <t>Wed, 17 Aug 2022 00:00:00 GMT</t>
  </si>
  <si>
    <t>Tue, 16 Aug 2022 00:00:00 GMT</t>
  </si>
  <si>
    <t>Mon, 15 Aug 2022 00:00:00 GMT</t>
  </si>
  <si>
    <t>Fri, 12 Aug 2022 00:00:00 GMT</t>
  </si>
  <si>
    <t>Thu, 11 Aug 2022 00:00:00 GMT</t>
  </si>
  <si>
    <t>Wed, 10 Aug 2022 00:00:00 GMT</t>
  </si>
  <si>
    <t>Tue, 09 Aug 2022 00:00:00 GMT</t>
  </si>
  <si>
    <t>Mon, 08 Aug 2022 00:00:00 GMT</t>
  </si>
  <si>
    <t>Fri, 05 Aug 2022 00:00:00 GMT</t>
  </si>
  <si>
    <t>Thu, 04 Aug 2022 00:00:00 GMT</t>
  </si>
  <si>
    <t>Wed, 03 Aug 2022 00:00:00 GMT</t>
  </si>
  <si>
    <t>Tue, 02 Aug 2022 00:00:00 GMT</t>
  </si>
  <si>
    <t>Mon, 01 Aug 2022 00:00:00 GMT</t>
  </si>
  <si>
    <t>Fri, 29 Jul 2022 00:00:00 GMT</t>
  </si>
  <si>
    <t>Thu, 28 Jul 2022 00:00:00 GMT</t>
  </si>
  <si>
    <t>Wed, 27 Jul 2022 00:00:00 GMT</t>
  </si>
  <si>
    <t>Tue, 26 Jul 2022 00:00:00 GMT</t>
  </si>
  <si>
    <t>Mon, 25 Jul 2022 00:00:00 GMT</t>
  </si>
  <si>
    <t>Fri, 22 Jul 2022 00:00:00 GMT</t>
  </si>
  <si>
    <t>Thu, 21 Jul 2022 00:00:00 GMT</t>
  </si>
  <si>
    <t>Wed, 20 Jul 2022 00:00:00 GMT</t>
  </si>
  <si>
    <t>Tue, 19 Jul 2022 00:00:00 GMT</t>
  </si>
  <si>
    <t>Mon, 18 Jul 2022 00:00:00 GMT</t>
  </si>
  <si>
    <t>Fri, 15 Jul 2022 00:00:00 GMT</t>
  </si>
  <si>
    <t>Thu, 14 Jul 2022 00:00:00 GMT</t>
  </si>
  <si>
    <t>Wed, 13 Jul 2022 00:00:00 GMT</t>
  </si>
  <si>
    <t>Tue, 12 Jul 2022 00:00:00 GMT</t>
  </si>
  <si>
    <t>Mon, 11 Jul 2022 00:00:00 GMT</t>
  </si>
  <si>
    <t>Fri, 08 Jul 2022 00:00:00 GMT</t>
  </si>
  <si>
    <t>Thu, 07 Jul 2022 00:00:00 GMT</t>
  </si>
  <si>
    <t>Wed, 06 Jul 2022 00:00:00 GMT</t>
  </si>
  <si>
    <t>Tue, 05 Jul 2022 00:00:00 GMT</t>
  </si>
  <si>
    <t>Fri, 01 Jul 2022 00:00:00 GMT</t>
  </si>
  <si>
    <t>Thu, 30 Jun 2022 00:00:00 GMT</t>
  </si>
  <si>
    <t>Wed, 29 Jun 2022 00:00:00 GMT</t>
  </si>
  <si>
    <t>Tue, 28 Jun 2022 00:00:00 GMT</t>
  </si>
  <si>
    <t>Mon, 27 Jun 2022 00:00:00 GMT</t>
  </si>
  <si>
    <t>Fri, 24 Jun 2022 00:00:00 GMT</t>
  </si>
  <si>
    <t>Thu, 23 Jun 2022 00:00:00 GMT</t>
  </si>
  <si>
    <t>Wed, 22 Jun 2022 00:00:00 GMT</t>
  </si>
  <si>
    <t>Tue, 21 Jun 2022 00:00:00 GMT</t>
  </si>
  <si>
    <t>Fri, 17 Jun 2022 00:00:00 GMT</t>
  </si>
  <si>
    <t>Thu, 16 Jun 2022 00:00:00 GMT</t>
  </si>
  <si>
    <t>Wed, 15 Jun 2022 00:00:00 GMT</t>
  </si>
  <si>
    <t>Tue, 14 Jun 2022 00:00:00 GMT</t>
  </si>
  <si>
    <t>Mon, 13 Jun 2022 00:00:00 GMT</t>
  </si>
  <si>
    <t>Fri, 10 Jun 2022 00:00:00 GMT</t>
  </si>
  <si>
    <t>Thu, 09 Jun 2022 00:00:00 GMT</t>
  </si>
  <si>
    <t>Wed, 08 Jun 2022 00:00:00 GMT</t>
  </si>
  <si>
    <t>Tue, 07 Jun 2022 00:00:00 GMT</t>
  </si>
  <si>
    <t>Mon, 06 Jun 2022 00:00:00 GMT</t>
  </si>
  <si>
    <t>Fri, 03 Jun 2022 00:00:00 GMT</t>
  </si>
  <si>
    <t>Thu, 02 Jun 2022 00:00:00 GMT</t>
  </si>
  <si>
    <t>Wed, 01 Jun 2022 00:00:00 GMT</t>
  </si>
  <si>
    <t>Tue, 31 May 2022 00:00:00 GMT</t>
  </si>
  <si>
    <t>Fri, 27 May 2022 00:00:00 GMT</t>
  </si>
  <si>
    <t>Thu, 26 May 2022 00:00:00 GMT</t>
  </si>
  <si>
    <t>Wed, 25 May 2022 00:00:00 GMT</t>
  </si>
  <si>
    <t>Tue, 24 May 2022 00:00:00 GMT</t>
  </si>
  <si>
    <t>Mon, 23 May 2022 00:00:00 GMT</t>
  </si>
  <si>
    <t>Fri, 20 May 2022 00:00:00 GMT</t>
  </si>
  <si>
    <t>Thu, 19 May 2022 00:00:00 GMT</t>
  </si>
  <si>
    <t>Wed, 18 May 2022 00:00:00 GMT</t>
  </si>
  <si>
    <t>Tue, 17 May 2022 00:00:00 GMT</t>
  </si>
  <si>
    <t>Mon, 16 May 2022 00:00:00 GMT</t>
  </si>
  <si>
    <t>Fri, 13 May 2022 00:00:00 GMT</t>
  </si>
  <si>
    <t>Thu, 12 May 2022 00:00:00 GMT</t>
  </si>
  <si>
    <t>Wed, 11 May 2022 00:00:00 GMT</t>
  </si>
  <si>
    <t>Tue, 10 May 2022 00:00:00 GMT</t>
  </si>
  <si>
    <t>Mon, 09 May 2022 00:00:00 GMT</t>
  </si>
  <si>
    <t>Fri, 06 May 2022 00:00:00 GMT</t>
  </si>
  <si>
    <t>Thu, 05 May 2022 00:00:00 GMT</t>
  </si>
  <si>
    <t>Wed, 04 May 2022 00:00:00 GMT</t>
  </si>
  <si>
    <t>Tue, 03 May 2022 00:00:00 GMT</t>
  </si>
  <si>
    <t>Mon, 02 May 2022 00:00:00 GMT</t>
  </si>
  <si>
    <t>Fri, 29 Apr 2022 00:00:00 GMT</t>
  </si>
  <si>
    <t>Thu, 28 Apr 2022 00:00:00 GMT</t>
  </si>
  <si>
    <t>Wed, 27 Apr 2022 00:00:00 GMT</t>
  </si>
  <si>
    <t>Tue, 26 Apr 2022 00:00:00 GMT</t>
  </si>
  <si>
    <t>Mon, 25 Apr 2022 00:00:00 GMT</t>
  </si>
  <si>
    <t>Fri, 22 Apr 2022 00:00:00 GMT</t>
  </si>
  <si>
    <t>Thu, 21 Apr 2022 00:00:00 GMT</t>
  </si>
  <si>
    <t>Wed, 20 Apr 2022 00:00:00 GMT</t>
  </si>
  <si>
    <t>Tue, 19 Apr 2022 00:00:00 GMT</t>
  </si>
  <si>
    <t>Mon, 18 Apr 2022 00:00:00 GMT</t>
  </si>
  <si>
    <t>Thu, 14 Apr 2022 00:00:00 GMT</t>
  </si>
  <si>
    <t>Wed, 13 Apr 2022 00:00:00 GMT</t>
  </si>
  <si>
    <t>Tue, 12 Apr 2022 00:00:00 GMT</t>
  </si>
  <si>
    <t>Mon, 11 Apr 2022 00:00:00 GMT</t>
  </si>
  <si>
    <t>Fri, 08 Apr 2022 00:00:00 GMT</t>
  </si>
  <si>
    <t>Thu, 07 Apr 2022 00:00:00 GMT</t>
  </si>
  <si>
    <t>Wed, 06 Apr 2022 00:00:00 GMT</t>
  </si>
  <si>
    <t>Tue, 05 Apr 2022 00:00:00 GMT</t>
  </si>
  <si>
    <t>Mon, 04 Apr 2022 00:00:00 GMT</t>
  </si>
  <si>
    <t>Fri, 01 Apr 2022 00:00:00 GMT</t>
  </si>
  <si>
    <t>Thu, 31 Mar 2022 00:00:00 GMT</t>
  </si>
  <si>
    <t>Wed, 30 Mar 2022 00:00:00 GMT</t>
  </si>
  <si>
    <t>Tue, 29 Mar 2022 00:00:00 GMT</t>
  </si>
  <si>
    <t>Mon, 28 Mar 2022 00:00:00 GMT</t>
  </si>
  <si>
    <t>Fri, 25 Mar 2022 00:00:00 GMT</t>
  </si>
  <si>
    <t>Thu, 24 Mar 2022 00:00:00 GMT</t>
  </si>
  <si>
    <t>Wed, 23 Mar 2022 00:00:00 GMT</t>
  </si>
  <si>
    <t>Tue, 22 Mar 2022 00:00:00 GMT</t>
  </si>
  <si>
    <t>Mon, 21 Mar 2022 00:00:00 GMT</t>
  </si>
  <si>
    <t>Fri, 18 Mar 2022 00:00:00 GMT</t>
  </si>
  <si>
    <t>Thu, 17 Mar 2022 00:00:00 GMT</t>
  </si>
  <si>
    <t>Wed, 16 Mar 2022 00:00:00 GMT</t>
  </si>
  <si>
    <t>Tue, 15 Mar 2022 00:00:00 GMT</t>
  </si>
  <si>
    <t>Mon, 14 Mar 2022 00:00:00 GMT</t>
  </si>
  <si>
    <t>Fri, 11 Mar 2022 00:00:00 GMT</t>
  </si>
  <si>
    <t>Thu, 10 Mar 2022 00:00:00 GMT</t>
  </si>
  <si>
    <t>Wed, 09 Mar 2022 00:00:00 GMT</t>
  </si>
  <si>
    <t>Tue, 08 Mar 2022 00:00:00 GMT</t>
  </si>
  <si>
    <t>Mon, 07 Mar 2022 00:00:00 GMT</t>
  </si>
  <si>
    <t>Fri, 04 Mar 2022 00:00:00 GMT</t>
  </si>
  <si>
    <t>Thu, 03 Mar 2022 00:00:00 GMT</t>
  </si>
  <si>
    <t>Wed, 02 Mar 2022 00:00:00 GMT</t>
  </si>
  <si>
    <t>Tue, 01 Mar 2022 00:00:00 GMT</t>
  </si>
  <si>
    <t>Mon, 28 Feb 2022 00:00:00 GMT</t>
  </si>
  <si>
    <t>Fri, 25 Feb 2022 00:00:00 GMT</t>
  </si>
  <si>
    <t>Thu, 24 Feb 2022 00:00:00 GMT</t>
  </si>
  <si>
    <t>Wed, 23 Feb 2022 00:00:00 GMT</t>
  </si>
  <si>
    <t>Tue, 22 Feb 2022 00:00:00 GMT</t>
  </si>
  <si>
    <t>Fri, 18 Feb 2022 00:00:00 GMT</t>
  </si>
  <si>
    <t>Thu, 17 Feb 2022 00:00:00 GMT</t>
  </si>
  <si>
    <t>Wed, 16 Feb 2022 00:00:00 GMT</t>
  </si>
  <si>
    <t>Tue, 15 Feb 2022 00:00:00 GMT</t>
  </si>
  <si>
    <t>Mon, 14 Feb 2022 00:00:00 GMT</t>
  </si>
  <si>
    <t>Fri, 11 Feb 2022 00:00:00 GMT</t>
  </si>
  <si>
    <t>Thu, 10 Feb 2022 00:00:00 GMT</t>
  </si>
  <si>
    <t>Wed, 09 Feb 2022 00:00:00 GMT</t>
  </si>
  <si>
    <t>Tue, 08 Feb 2022 00:00:00 GMT</t>
  </si>
  <si>
    <t>Mon, 07 Feb 2022 00:00:00 GMT</t>
  </si>
  <si>
    <t>Fri, 04 Feb 2022 00:00:00 GMT</t>
  </si>
  <si>
    <t>Thu, 03 Feb 2022 00:00:00 GMT</t>
  </si>
  <si>
    <t>Wed, 02 Feb 2022 00:00:00 GMT</t>
  </si>
  <si>
    <t>Tue, 01 Feb 2022 00:00:00 GMT</t>
  </si>
  <si>
    <t>Mon, 31 Jan 2022 00:00:00 GMT</t>
  </si>
  <si>
    <t>Fri, 28 Jan 2022 00:00:00 GMT</t>
  </si>
  <si>
    <t>Thu, 27 Jan 2022 00:00:00 GMT</t>
  </si>
  <si>
    <t>Wed, 26 Jan 2022 00:00:00 GMT</t>
  </si>
  <si>
    <t>Tue, 25 Jan 2022 00:00:00 GMT</t>
  </si>
  <si>
    <t>Mon, 24 Jan 2022 00:00:00 GMT</t>
  </si>
  <si>
    <t>Fri, 21 Jan 2022 00:00:00 GMT</t>
  </si>
  <si>
    <t>Thu, 20 Jan 2022 00:00:00 GMT</t>
  </si>
  <si>
    <t>Wed, 19 Jan 2022 00:00:00 GMT</t>
  </si>
  <si>
    <t>Tue, 18 Jan 2022 00:00:00 GMT</t>
  </si>
  <si>
    <t>Fri, 14 Jan 2022 00:00:00 GMT</t>
  </si>
  <si>
    <t>Thu, 13 Jan 2022 00:00:00 GMT</t>
  </si>
  <si>
    <t>Wed, 12 Jan 2022 00:00:00 GMT</t>
  </si>
  <si>
    <t>Tue, 11 Jan 2022 00:00:00 GMT</t>
  </si>
  <si>
    <t>Mon, 10 Jan 2022 00:00:00 GMT</t>
  </si>
  <si>
    <t>Fri, 07 Jan 2022 00:00:00 GMT</t>
  </si>
  <si>
    <t>Thu, 06 Jan 2022 00:00:00 GMT</t>
  </si>
  <si>
    <t>Wed, 05 Jan 2022 00:00:00 GMT</t>
  </si>
  <si>
    <t>Tue, 04 Jan 2022 00:00:00 GMT</t>
  </si>
  <si>
    <t>Mon, 03 Jan 2022 00:00:00 GMT</t>
  </si>
  <si>
    <t>Fri, 31 Dec 2021 00:00:00 GMT</t>
  </si>
  <si>
    <t>Thu, 30 Dec 2021 00:00:00 GMT</t>
  </si>
  <si>
    <t>Wed, 29 Dec 2021 00:00:00 GMT</t>
  </si>
  <si>
    <t>Tue, 28 Dec 2021 00:00:00 GMT</t>
  </si>
  <si>
    <t>Mon, 27 Dec 2021 00:00:00 GMT</t>
  </si>
  <si>
    <t>Thu, 23 Dec 2021 00:00:00 GMT</t>
  </si>
  <si>
    <t>Wed, 22 Dec 2021 00:00:00 GMT</t>
  </si>
  <si>
    <t>Tue, 21 Dec 2021 00:00:00 GMT</t>
  </si>
  <si>
    <t>Mon, 20 Dec 2021 00:00:00 GMT</t>
  </si>
  <si>
    <t>Fri, 17 Dec 2021 00:00:00 GMT</t>
  </si>
  <si>
    <t>Thu, 16 Dec 2021 00:00:00 GMT</t>
  </si>
  <si>
    <t>Wed, 15 Dec 2021 00:00:00 GMT</t>
  </si>
  <si>
    <t>Tue, 14 Dec 2021 00:00:00 GMT</t>
  </si>
  <si>
    <t>Mon, 13 Dec 2021 00:00:00 GMT</t>
  </si>
  <si>
    <t>Fri, 10 Dec 2021 00:00:00 GMT</t>
  </si>
  <si>
    <t>Thu, 09 Dec 2021 00:00:00 GMT</t>
  </si>
  <si>
    <t>Wed, 08 Dec 2021 00:00:00 GMT</t>
  </si>
  <si>
    <t>Tue, 07 Dec 2021 00:00:00 GMT</t>
  </si>
  <si>
    <t>Mon, 06 Dec 2021 00:00:00 GMT</t>
  </si>
  <si>
    <t>Fri, 03 Dec 2021 00:00:00 GMT</t>
  </si>
  <si>
    <t>Thu, 02 Dec 2021 00:00:00 GMT</t>
  </si>
  <si>
    <t>Wed, 01 Dec 2021 00:00:00 GMT</t>
  </si>
  <si>
    <t>Tue, 30 Nov 2021 00:00:00 GMT</t>
  </si>
  <si>
    <t>Mon, 29 Nov 2021 00:00:00 GMT</t>
  </si>
  <si>
    <t>Fri, 26 Nov 2021 00:00:00 GMT</t>
  </si>
  <si>
    <t>Wed, 24 Nov 2021 00:00:00 GMT</t>
  </si>
  <si>
    <t>Tue, 23 Nov 2021 00:00:00 GMT</t>
  </si>
  <si>
    <t>Mon, 22 Nov 2021 00:00:00 GMT</t>
  </si>
  <si>
    <t>Fri, 19 Nov 2021 00:00:00 GMT</t>
  </si>
  <si>
    <t>Thu, 18 Nov 2021 00:00:00 GMT</t>
  </si>
  <si>
    <t>Wed, 17 Nov 2021 00:00:00 GMT</t>
  </si>
  <si>
    <t>Tue, 16 Nov 2021 00:00:00 GMT</t>
  </si>
  <si>
    <t>Mon, 15 Nov 2021 00:00:00 GMT</t>
  </si>
  <si>
    <t>Fri, 12 Nov 2021 00:00:00 GMT</t>
  </si>
  <si>
    <t>Thu, 11 Nov 2021 00:00:00 GMT</t>
  </si>
  <si>
    <t>Wed, 10 Nov 2021 00:00:00 GMT</t>
  </si>
  <si>
    <t>Tue, 09 Nov 2021 00:00:00 GMT</t>
  </si>
  <si>
    <t>Mon, 08 Nov 2021 00:00:00 GMT</t>
  </si>
  <si>
    <t>Fri, 05 Nov 2021 00:00:00 GMT</t>
  </si>
  <si>
    <t>Thu, 04 Nov 2021 00:00:00 GMT</t>
  </si>
  <si>
    <t>Wed, 03 Nov 2021 00:00:00 GMT</t>
  </si>
  <si>
    <t>Tue, 02 Nov 2021 00:00:00 GMT</t>
  </si>
  <si>
    <t>Mon, 01 Nov 2021 00:00:00 GMT</t>
  </si>
  <si>
    <t>Fri, 29 Oct 2021 00:00:00 GMT</t>
  </si>
  <si>
    <t>Thu, 28 Oct 2021 00:00:00 GMT</t>
  </si>
  <si>
    <t>Wed, 27 Oct 2021 00:00:00 GMT</t>
  </si>
  <si>
    <t>Tue, 26 Oct 2021 00:00:00 GMT</t>
  </si>
  <si>
    <t>Mon, 25 Oct 2021 00:00:00 GMT</t>
  </si>
  <si>
    <t>Fri, 22 Oct 2021 00:00:00 GMT</t>
  </si>
  <si>
    <t>Thu, 21 Oct 2021 00:00:00 GMT</t>
  </si>
  <si>
    <t>Wed, 20 Oct 2021 00:00:00 GMT</t>
  </si>
  <si>
    <t>Tue, 19 Oct 2021 00:00:00 GMT</t>
  </si>
  <si>
    <t>Mon, 18 Oct 2021 00:00:00 GMT</t>
  </si>
  <si>
    <t>Fri, 15 Oct 2021 00:00:00 GMT</t>
  </si>
  <si>
    <t>Thu, 14 Oct 2021 00:00:00 GMT</t>
  </si>
  <si>
    <t>Wed, 13 Oct 2021 00:00:00 GMT</t>
  </si>
  <si>
    <t>Tue, 12 Oct 2021 00:00:00 GMT</t>
  </si>
  <si>
    <t>Mon, 11 Oct 2021 00:00:00 GMT</t>
  </si>
  <si>
    <t>Fri, 08 Oct 2021 00:00:00 GMT</t>
  </si>
  <si>
    <t>Thu, 07 Oct 2021 00:00:00 GMT</t>
  </si>
  <si>
    <t>Wed, 06 Oct 2021 00:00:00 GMT</t>
  </si>
  <si>
    <t>Tue, 05 Oct 2021 00:00:00 GMT</t>
  </si>
  <si>
    <t>Mon, 04 Oct 2021 00:00:00 GMT</t>
  </si>
  <si>
    <t>Fri, 01 Oct 2021 00:00:00 GMT</t>
  </si>
  <si>
    <t>Thu, 30 Sep 2021 00:00:00 GMT</t>
  </si>
  <si>
    <t>Wed, 29 Sep 2021 00:00:00 GMT</t>
  </si>
  <si>
    <t>Tue, 28 Sep 2021 00:00:00 GMT</t>
  </si>
  <si>
    <t>Mon, 27 Sep 2021 00:00:00 GMT</t>
  </si>
  <si>
    <t>Fri, 24 Sep 2021 00:00:00 GMT</t>
  </si>
  <si>
    <t>Thu, 23 Sep 2021 00:00:00 GMT</t>
  </si>
  <si>
    <t>Wed, 22 Sep 2021 00:00:00 GMT</t>
  </si>
  <si>
    <t>Tue, 21 Sep 2021 00:00:00 GMT</t>
  </si>
  <si>
    <t>Mon, 20 Sep 2021 00:00:00 GMT</t>
  </si>
  <si>
    <t>Fri, 17 Sep 2021 00:00:00 GMT</t>
  </si>
  <si>
    <t>Thu, 16 Sep 2021 00:00:00 GMT</t>
  </si>
  <si>
    <t>Wed, 15 Sep 2021 00:00:00 GMT</t>
  </si>
  <si>
    <t>Tue, 14 Sep 2021 00:00:00 GMT</t>
  </si>
  <si>
    <t>Mon, 13 Sep 2021 00:00:00 GMT</t>
  </si>
  <si>
    <t>Fri, 10 Sep 2021 00:00:00 GMT</t>
  </si>
  <si>
    <t>Thu, 09 Sep 2021 00:00:00 GMT</t>
  </si>
  <si>
    <t>Wed, 08 Sep 2021 00:00:00 GMT</t>
  </si>
  <si>
    <t>Tue, 07 Sep 2021 00:00:00 GMT</t>
  </si>
  <si>
    <t>Fri, 03 Sep 2021 00:00:00 GMT</t>
  </si>
  <si>
    <t>Thu, 02 Sep 2021 00:00:00 GMT</t>
  </si>
  <si>
    <t>Wed, 01 Sep 2021 00:00:00 GMT</t>
  </si>
  <si>
    <t>Tue, 31 Aug 2021 00:00:00 GMT</t>
  </si>
  <si>
    <t>Mon, 30 Aug 2021 00:00:00 GMT</t>
  </si>
  <si>
    <t>Fri, 27 Aug 2021 00:00:00 GMT</t>
  </si>
  <si>
    <t>Thu, 26 Aug 2021 00:00:00 GMT</t>
  </si>
  <si>
    <t>Wed, 25 Aug 2021 00:00:00 GMT</t>
  </si>
  <si>
    <t>Tue, 24 Aug 2021 00:00:00 GMT</t>
  </si>
  <si>
    <t>Mon, 23 Aug 2021 00:00:00 GMT</t>
  </si>
  <si>
    <t>Fri, 20 Aug 2021 00:00:00 GMT</t>
  </si>
  <si>
    <t>Thu, 19 Aug 2021 00:00:00 GMT</t>
  </si>
  <si>
    <t>Wed, 18 Aug 2021 00:00:00 GMT</t>
  </si>
  <si>
    <t>Tue, 17 Aug 2021 00:00:00 GMT</t>
  </si>
  <si>
    <t>Mon, 16 Aug 2021 00:00:00 GMT</t>
  </si>
  <si>
    <t>Fri, 13 Aug 2021 00:00:00 GMT</t>
  </si>
  <si>
    <t>Thu, 12 Aug 2021 00:00:00 GMT</t>
  </si>
  <si>
    <t>Wed, 11 Aug 2021 00:00:00 GMT</t>
  </si>
  <si>
    <t>Tue, 10 Aug 2021 00:00:00 GMT</t>
  </si>
  <si>
    <t>Mon, 09 Aug 2021 00:00:00 GMT</t>
  </si>
  <si>
    <t>Fri, 06 Aug 2021 00:00:00 GMT</t>
  </si>
  <si>
    <t>Thu, 05 Aug 2021 00:00:00 GMT</t>
  </si>
  <si>
    <t>Wed, 04 Aug 2021 00:00:00 GMT</t>
  </si>
  <si>
    <t>Tue, 03 Aug 2021 00:00:00 GMT</t>
  </si>
  <si>
    <t>Mon, 02 Aug 2021 00:00:00 GMT</t>
  </si>
  <si>
    <t>Fri, 30 Jul 2021 00:00:00 GMT</t>
  </si>
  <si>
    <t>Thu, 29 Jul 2021 00:00:00 GMT</t>
  </si>
  <si>
    <t>Wed, 28 Jul 2021 00:00:00 GMT</t>
  </si>
  <si>
    <t>Tue, 27 Jul 2021 00:00:00 GMT</t>
  </si>
  <si>
    <t>Mon, 26 Jul 2021 00:00:00 GMT</t>
  </si>
  <si>
    <t>Fri, 23 Jul 2021 00:00:00 GMT</t>
  </si>
  <si>
    <t>Thu, 22 Jul 2021 00:00:00 GMT</t>
  </si>
  <si>
    <t>Wed, 21 Jul 2021 00:00:00 GMT</t>
  </si>
  <si>
    <t>Tue, 20 Jul 2021 00:00:00 GMT</t>
  </si>
  <si>
    <t>Mon, 19 Jul 2021 00:00:00 GMT</t>
  </si>
  <si>
    <t>Fri, 16 Jul 2021 00:00:00 GMT</t>
  </si>
  <si>
    <t>Thu, 15 Jul 2021 00:00:00 GMT</t>
  </si>
  <si>
    <t>Wed, 14 Jul 2021 00:00:00 GMT</t>
  </si>
  <si>
    <t>Tue, 13 Jul 2021 00:00:00 GMT</t>
  </si>
  <si>
    <t>Mon, 12 Jul 2021 00:00:00 GMT</t>
  </si>
  <si>
    <t>Fri, 09 Jul 2021 00:00:00 GMT</t>
  </si>
  <si>
    <t>Thu, 08 Jul 2021 00:00:00 GMT</t>
  </si>
  <si>
    <t>Wed, 07 Jul 2021 00:00:00 GMT</t>
  </si>
  <si>
    <t>Tue, 06 Jul 2021 00:00:00 GMT</t>
  </si>
  <si>
    <t>Fri, 02 Jul 2021 00:00:00 GMT</t>
  </si>
  <si>
    <t>Thu, 01 Jul 2021 00:00:00 GMT</t>
  </si>
  <si>
    <t>Wed, 30 Jun 2021 00:00:00 GMT</t>
  </si>
  <si>
    <t>Tue, 29 Jun 2021 00:00:00 GMT</t>
  </si>
  <si>
    <t>Mon, 28 Jun 2021 00:00:00 GMT</t>
  </si>
  <si>
    <t>Fri, 25 Jun 2021 00:00:00 GMT</t>
  </si>
  <si>
    <t>Thu, 24 Jun 2021 00:00:00 GMT</t>
  </si>
  <si>
    <t>Wed, 23 Jun 2021 00:00:00 GMT</t>
  </si>
  <si>
    <t>Tue, 22 Jun 2021 00:00:00 GMT</t>
  </si>
  <si>
    <t>Mon, 21 Jun 2021 00:00:00 GMT</t>
  </si>
  <si>
    <t>Fri, 18 Jun 2021 00:00:00 GMT</t>
  </si>
  <si>
    <t>Thu, 17 Jun 2021 00:00:00 GMT</t>
  </si>
  <si>
    <t>Wed, 16 Jun 2021 00:00:00 GMT</t>
  </si>
  <si>
    <t>Tue, 15 Jun 2021 00:00:00 GMT</t>
  </si>
  <si>
    <t>Mon, 14 Jun 2021 00:00:00 GMT</t>
  </si>
  <si>
    <t>Fri, 11 Jun 2021 00:00:00 GMT</t>
  </si>
  <si>
    <t>Thu, 10 Jun 2021 00:00:00 GMT</t>
  </si>
  <si>
    <t>Wed, 09 Jun 2021 00:00:00 GMT</t>
  </si>
  <si>
    <t>Tue, 08 Jun 2021 00:00:00 GMT</t>
  </si>
  <si>
    <t>Mon, 07 Jun 2021 00:00:00 GMT</t>
  </si>
  <si>
    <t>Fri, 04 Jun 2021 00:00:00 GMT</t>
  </si>
  <si>
    <t>Thu, 03 Jun 2021 00:00:00 GMT</t>
  </si>
  <si>
    <t>Wed, 02 Jun 2021 00:00:00 GMT</t>
  </si>
  <si>
    <t>Tue, 01 Jun 2021 00:00:00 GMT</t>
  </si>
  <si>
    <t>Fri, 28 May 2021 00:00:00 GMT</t>
  </si>
  <si>
    <t>Thu, 27 May 2021 00:00:00 GMT</t>
  </si>
  <si>
    <t>Wed, 26 May 2021 00:00:00 GMT</t>
  </si>
  <si>
    <t>Tue, 25 May 2021 00:00:00 GMT</t>
  </si>
  <si>
    <t>Mon, 24 May 2021 00:00:00 GMT</t>
  </si>
  <si>
    <t>Fri, 21 May 2021 00:00:00 GMT</t>
  </si>
  <si>
    <t>Thu, 20 May 2021 00:00:00 GMT</t>
  </si>
  <si>
    <t>Wed, 19 May 2021 00:00:00 GMT</t>
  </si>
  <si>
    <t>Tue, 18 May 2021 00:00:00 GMT</t>
  </si>
  <si>
    <t>Mon, 17 May 2021 00:00:00 GMT</t>
  </si>
  <si>
    <t>Fri, 14 May 2021 00:00:00 GMT</t>
  </si>
  <si>
    <t>Thu, 13 May 2021 00:00:00 GMT</t>
  </si>
  <si>
    <t>Wed, 12 May 2021 00:00:00 GMT</t>
  </si>
  <si>
    <t>Tue, 11 May 2021 00:00:00 GMT</t>
  </si>
  <si>
    <t>Mon, 10 May 2021 00:00:00 GMT</t>
  </si>
  <si>
    <t>Fri, 07 May 2021 00:00:00 GMT</t>
  </si>
  <si>
    <t>Thu, 06 May 2021 00:00:00 GMT</t>
  </si>
  <si>
    <t>Wed, 05 May 2021 00:00:00 GMT</t>
  </si>
  <si>
    <t>Tue, 04 May 2021 00:00:00 GMT</t>
  </si>
  <si>
    <t>Mon, 03 May 2021 00:00:00 GMT</t>
  </si>
  <si>
    <t>Fri, 30 Apr 2021 00:00:00 GMT</t>
  </si>
  <si>
    <t>Thu, 29 Apr 2021 00:00:00 GMT</t>
  </si>
  <si>
    <t>Wed, 28 Apr 2021 00:00:00 GMT</t>
  </si>
  <si>
    <t>Tue, 27 Apr 2021 00:00:00 GMT</t>
  </si>
  <si>
    <t>Mon, 26 Apr 2021 00:00:00 GMT</t>
  </si>
  <si>
    <t>Fri, 23 Apr 2021 00:00:00 GMT</t>
  </si>
  <si>
    <t>Thu, 22 Apr 2021 00:00:00 GMT</t>
  </si>
  <si>
    <t>Wed, 21 Apr 2021 00:00:00 GMT</t>
  </si>
  <si>
    <t>Tue, 20 Apr 2021 00:00:00 GMT</t>
  </si>
  <si>
    <t>Mon, 19 Apr 2021 00:00:00 GMT</t>
  </si>
  <si>
    <t>Fri, 16 Apr 2021 00:00:00 GMT</t>
  </si>
  <si>
    <t>Thu, 15 Apr 2021 00:00:00 GMT</t>
  </si>
  <si>
    <t>Wed, 14 Apr 2021 00:00:00 GMT</t>
  </si>
  <si>
    <t>Tue, 13 Apr 2021 00:00:00 GMT</t>
  </si>
  <si>
    <t>Mon, 12 Apr 2021 00:00:00 GMT</t>
  </si>
  <si>
    <t>Fri, 09 Apr 2021 00:00:00 GMT</t>
  </si>
  <si>
    <t>Thu, 08 Apr 2021 00:00:00 GMT</t>
  </si>
  <si>
    <t>Wed, 07 Apr 2021 00:00:00 GMT</t>
  </si>
  <si>
    <t>Tue, 06 Apr 2021 00:00:00 GMT</t>
  </si>
  <si>
    <t>Mon, 05 Apr 2021 00:00:00 GMT</t>
  </si>
  <si>
    <t>Thu, 01 Apr 2021 00:00:00 GMT</t>
  </si>
  <si>
    <t>Wed, 31 Mar 2021 00:00:00 GMT</t>
  </si>
  <si>
    <t>Tue, 30 Mar 2021 00:00:00 GMT</t>
  </si>
  <si>
    <t>Mon, 29 Mar 2021 00:00:00 GMT</t>
  </si>
  <si>
    <t>Fri, 26 Mar 2021 00:00:00 GMT</t>
  </si>
  <si>
    <t>Thu, 25 Mar 2021 00:00:00 GMT</t>
  </si>
  <si>
    <t>Wed, 24 Mar 2021 00:00:00 GMT</t>
  </si>
  <si>
    <t>Tue, 23 Mar 2021 00:00:00 GMT</t>
  </si>
  <si>
    <t>Mon, 22 Mar 2021 00:00:00 GMT</t>
  </si>
  <si>
    <t>Fri, 19 Mar 2021 00:00:00 GMT</t>
  </si>
  <si>
    <t>Thu, 18 Mar 2021 00:00:00 GMT</t>
  </si>
  <si>
    <t>Wed, 17 Mar 2021 00:00:00 GMT</t>
  </si>
  <si>
    <t>Tue, 16 Mar 2021 00:00:00 GMT</t>
  </si>
  <si>
    <t>Mon, 15 Mar 2021 00:00:00 GMT</t>
  </si>
  <si>
    <t>Fri, 12 Mar 2021 00:00:00 GMT</t>
  </si>
  <si>
    <t>Thu, 11 Mar 2021 00:00:00 GMT</t>
  </si>
  <si>
    <t>Wed, 10 Mar 2021 00:00:00 GMT</t>
  </si>
  <si>
    <t>Tue, 09 Mar 2021 00:00:00 GMT</t>
  </si>
  <si>
    <t>Mon, 08 Mar 2021 00:00:00 GMT</t>
  </si>
  <si>
    <t>Fri, 05 Mar 2021 00:00:00 GMT</t>
  </si>
  <si>
    <t>Thu, 04 Mar 2021 00:00:00 GMT</t>
  </si>
  <si>
    <t>Wed, 03 Mar 2021 00:00:00 GMT</t>
  </si>
  <si>
    <t>Tue, 02 Mar 2021 00:00:00 GMT</t>
  </si>
  <si>
    <t>Mon, 01 Mar 2021 00:00:00 GMT</t>
  </si>
  <si>
    <t>Fri, 26 Feb 2021 00:00:00 GMT</t>
  </si>
  <si>
    <t>Thu, 25 Feb 2021 00:00:00 GMT</t>
  </si>
  <si>
    <t>Wed, 24 Feb 2021 00:00:00 GMT</t>
  </si>
  <si>
    <t>Tue, 23 Feb 2021 00:00:00 GMT</t>
  </si>
  <si>
    <t>Mon, 22 Feb 2021 00:00:00 GMT</t>
  </si>
  <si>
    <t>Fri, 19 Feb 2021 00:00:00 GMT</t>
  </si>
  <si>
    <t>Thu, 18 Feb 2021 00:00:00 GMT</t>
  </si>
  <si>
    <t>Wed, 17 Feb 2021 00:00:00 GMT</t>
  </si>
  <si>
    <t>Tue, 16 Feb 2021 00:00:00 GMT</t>
  </si>
  <si>
    <t>Fri, 12 Feb 2021 00:00:00 GMT</t>
  </si>
  <si>
    <t>Thu, 11 Feb 2021 00:00:00 GMT</t>
  </si>
  <si>
    <t>Wed, 10 Feb 2021 00:00:00 GMT</t>
  </si>
  <si>
    <t>Tue, 09 Feb 2021 00:00:00 GMT</t>
  </si>
  <si>
    <t>Mon, 08 Feb 2021 00:00:00 GMT</t>
  </si>
  <si>
    <t>Fri, 05 Feb 2021 00:00:00 GMT</t>
  </si>
  <si>
    <t>Thu, 04 Feb 2021 00:00:00 GMT</t>
  </si>
  <si>
    <t>Wed, 03 Feb 2021 00:00:00 GMT</t>
  </si>
  <si>
    <t>Tue, 02 Feb 2021 00:00:00 GMT</t>
  </si>
  <si>
    <t>Mon, 01 Feb 2021 00:00:00 GMT</t>
  </si>
  <si>
    <t>Fri, 29 Jan 2021 00:00:00 GMT</t>
  </si>
  <si>
    <t>Thu, 28 Jan 2021 00:00:00 GMT</t>
  </si>
  <si>
    <t>Wed, 27 Jan 2021 00:00:00 GMT</t>
  </si>
  <si>
    <t>Tue, 26 Jan 2021 00:00:00 GMT</t>
  </si>
  <si>
    <t>Mon, 25 Jan 2021 00:00:00 GMT</t>
  </si>
  <si>
    <t>Fri, 22 Jan 2021 00:00:00 GMT</t>
  </si>
  <si>
    <t>Thu, 21 Jan 2021 00:00:00 GMT</t>
  </si>
  <si>
    <t>Wed, 20 Jan 2021 00:00:00 GMT</t>
  </si>
  <si>
    <t>Tue, 19 Jan 2021 00:00:00 GMT</t>
  </si>
  <si>
    <t>Fri, 15 Jan 2021 00:00:00 GMT</t>
  </si>
  <si>
    <t>Thu, 14 Jan 2021 00:00:00 GMT</t>
  </si>
  <si>
    <t>Wed, 13 Jan 2021 00:00:00 GMT</t>
  </si>
  <si>
    <t>Tue, 12 Jan 2021 00:00:00 GMT</t>
  </si>
  <si>
    <t>Mon, 11 Jan 2021 00:00:00 GMT</t>
  </si>
  <si>
    <t>Fri, 08 Jan 2021 00:00:00 GMT</t>
  </si>
  <si>
    <t>Thu, 07 Jan 2021 00:00:00 GMT</t>
  </si>
  <si>
    <t>Wed, 06 Jan 2021 00:00:00 GMT</t>
  </si>
  <si>
    <t>Tue, 05 Jan 2021 00:00:00 GMT</t>
  </si>
  <si>
    <t>Mon, 04 Jan 2021 00:00:00 GMT</t>
  </si>
  <si>
    <t>Thu, 31 Dec 2020 00:00:00 GMT</t>
  </si>
  <si>
    <t>Wed, 30 Dec 2020 00:00:00 GMT</t>
  </si>
  <si>
    <t>Tue, 29 Dec 2020 00:00:00 GMT</t>
  </si>
  <si>
    <t>Mon, 28 Dec 2020 00:00:00 GMT</t>
  </si>
  <si>
    <t>Thu, 24 Dec 2020 00:00:00 GMT</t>
  </si>
  <si>
    <t>Wed, 23 Dec 2020 00:00:00 GMT</t>
  </si>
  <si>
    <t>Tue, 22 Dec 2020 00:00:00 GMT</t>
  </si>
  <si>
    <t>Mon, 21 Dec 2020 00:00:00 GMT</t>
  </si>
  <si>
    <t>Fri, 18 Dec 2020 00:00:00 GMT</t>
  </si>
  <si>
    <t>Thu, 17 Dec 2020 00:00:00 GMT</t>
  </si>
  <si>
    <t>Wed, 16 Dec 2020 00:00:00 GMT</t>
  </si>
  <si>
    <t>Tue, 15 Dec 2020 00:00:00 GMT</t>
  </si>
  <si>
    <t>Mon, 14 Dec 2020 00:00:00 GMT</t>
  </si>
  <si>
    <t>Fri, 11 Dec 2020 00:00:00 GMT</t>
  </si>
  <si>
    <t>Thu, 10 Dec 2020 00:00:00 GMT</t>
  </si>
  <si>
    <t>Wed, 09 Dec 2020 00:00:00 GMT</t>
  </si>
  <si>
    <t>Tue, 08 Dec 2020 00:00:00 GMT</t>
  </si>
  <si>
    <t>Mon, 07 Dec 2020 00:00:00 GMT</t>
  </si>
  <si>
    <t>Fri, 04 Dec 2020 00:00:00 GMT</t>
  </si>
  <si>
    <t>Thu, 03 Dec 2020 00:00:00 GMT</t>
  </si>
  <si>
    <t>Wed, 02 Dec 2020 00:00:00 GMT</t>
  </si>
  <si>
    <t>Tue, 01 Dec 2020 00:00:00 GMT</t>
  </si>
  <si>
    <t>Mon, 30 Nov 2020 00:00:00 GMT</t>
  </si>
  <si>
    <t>Fri, 27 Nov 2020 00:00:00 GMT</t>
  </si>
  <si>
    <t>Wed, 25 Nov 2020 00:00:00 GMT</t>
  </si>
  <si>
    <t>Tue, 24 Nov 2020 00:00:00 GMT</t>
  </si>
  <si>
    <t>Mon, 23 Nov 2020 00:00:00 GMT</t>
  </si>
  <si>
    <t>Fri, 20 Nov 2020 00:00:00 GMT</t>
  </si>
  <si>
    <t>Thu, 19 Nov 2020 00:00:00 GMT</t>
  </si>
  <si>
    <t>Wed, 18 Nov 2020 00:00:00 GMT</t>
  </si>
  <si>
    <t>Tue, 17 Nov 2020 00:00:00 GMT</t>
  </si>
  <si>
    <t>Mon, 16 Nov 2020 00:00:00 GMT</t>
  </si>
  <si>
    <t>Fri, 13 Nov 2020 00:00:00 GMT</t>
  </si>
  <si>
    <t>Thu, 12 Nov 2020 00:00:00 GMT</t>
  </si>
  <si>
    <t>Wed, 11 Nov 2020 00:00:00 GMT</t>
  </si>
  <si>
    <t>Tue, 10 Nov 2020 00:00:00 GMT</t>
  </si>
  <si>
    <t>Mon, 09 Nov 2020 00:00:00 GMT</t>
  </si>
  <si>
    <t>Fri, 06 Nov 2020 00:00:00 GMT</t>
  </si>
  <si>
    <t>Thu, 05 Nov 2020 00:00:00 GMT</t>
  </si>
  <si>
    <t>Wed, 04 Nov 2020 00:00:00 GMT</t>
  </si>
  <si>
    <t>Tue, 03 Nov 2020 00:00:00 GMT</t>
  </si>
  <si>
    <t>Mon, 02 Nov 2020 00:00:00 GMT</t>
  </si>
  <si>
    <t>Fri, 30 Oct 2020 00:00:00 GMT</t>
  </si>
  <si>
    <t>Thu, 29 Oct 2020 00:00:00 GMT</t>
  </si>
  <si>
    <t>Wed, 28 Oct 2020 00:00:00 GMT</t>
  </si>
  <si>
    <t>Tue, 27 Oct 2020 00:00:00 GMT</t>
  </si>
  <si>
    <t>Mon, 26 Oct 2020 00:00:00 GMT</t>
  </si>
  <si>
    <t>Fri, 23 Oct 2020 00:00:00 GMT</t>
  </si>
  <si>
    <t>Thu, 22 Oct 2020 00:00:00 GMT</t>
  </si>
  <si>
    <t>Wed, 21 Oct 2020 00:00:00 GMT</t>
  </si>
  <si>
    <t>Tue, 20 Oct 2020 00:00:00 GMT</t>
  </si>
  <si>
    <t>Mon, 19 Oct 2020 00:00:00 GMT</t>
  </si>
  <si>
    <t>Fri, 16 Oct 2020 00:00:00 GMT</t>
  </si>
  <si>
    <t>Thu, 15 Oct 2020 00:00:00 GMT</t>
  </si>
  <si>
    <t>Wed, 14 Oct 2020 00:00:00 GMT</t>
  </si>
  <si>
    <t>Tue, 13 Oct 2020 00:00:00 GMT</t>
  </si>
  <si>
    <t>Mon, 12 Oct 2020 00:00:00 GMT</t>
  </si>
  <si>
    <t>Fri, 09 Oct 2020 00:00:00 GMT</t>
  </si>
  <si>
    <t>Thu, 08 Oct 2020 00:00:00 GMT</t>
  </si>
  <si>
    <t>Wed, 07 Oct 2020 00:00:00 GMT</t>
  </si>
  <si>
    <t>Tue, 06 Oct 2020 00:00:00 GMT</t>
  </si>
  <si>
    <t>Mon, 05 Oct 2020 00:00:00 GMT</t>
  </si>
  <si>
    <t>Fri, 02 Oct 2020 00:00:00 GMT</t>
  </si>
  <si>
    <t>Thu, 01 Oct 2020 00:00:00 GMT</t>
  </si>
  <si>
    <t>Wed, 30 Sep 2020 00:00:00 GMT</t>
  </si>
  <si>
    <t>Tue, 29 Sep 2020 00:00:00 GMT</t>
  </si>
  <si>
    <t>Mon, 28 Sep 2020 00:00:00 GMT</t>
  </si>
  <si>
    <t>Fri, 25 Sep 2020 00:00:00 GMT</t>
  </si>
  <si>
    <t>Thu, 24 Sep 2020 00:00:00 GMT</t>
  </si>
  <si>
    <t>Wed, 23 Sep 2020 00:00:00 GMT</t>
  </si>
  <si>
    <t>Tue, 22 Sep 2020 00:00:00 GMT</t>
  </si>
  <si>
    <t>Mon, 21 Sep 2020 00:00:00 GMT</t>
  </si>
  <si>
    <t>Fri, 18 Sep 2020 00:00:00 GMT</t>
  </si>
  <si>
    <t>Thu, 17 Sep 2020 00:00:00 GMT</t>
  </si>
  <si>
    <t>Wed, 16 Sep 2020 00:00:00 GMT</t>
  </si>
  <si>
    <t>Tue, 15 Sep 2020 00:00:00 GMT</t>
  </si>
  <si>
    <t>Mon, 14 Sep 2020 00:00:00 GMT</t>
  </si>
  <si>
    <t>Fri, 11 Sep 2020 00:00:00 GMT</t>
  </si>
  <si>
    <t>Thu, 10 Sep 2020 00:00:00 GMT</t>
  </si>
  <si>
    <t>Wed, 09 Sep 2020 00:00:00 GMT</t>
  </si>
  <si>
    <t>Tue, 08 Sep 2020 00:00:00 GMT</t>
  </si>
  <si>
    <t>Fri, 04 Sep 2020 00:00:00 GMT</t>
  </si>
  <si>
    <t>Thu, 03 Sep 2020 00:00:00 GMT</t>
  </si>
  <si>
    <t>Wed, 02 Sep 2020 00:00:00 GMT</t>
  </si>
  <si>
    <t>Tue, 01 Sep 2020 00:00:00 GMT</t>
  </si>
  <si>
    <t>Mon, 31 Aug 2020 00:00:00 GMT</t>
  </si>
  <si>
    <t>Fri, 28 Aug 2020 00:00:00 GMT</t>
  </si>
  <si>
    <t>Thu, 27 Aug 2020 00:00:00 GMT</t>
  </si>
  <si>
    <t>Wed, 26 Aug 2020 00:00:00 GMT</t>
  </si>
  <si>
    <t>Tue, 25 Aug 2020 00:00:00 GMT</t>
  </si>
  <si>
    <t>Mon, 24 Aug 2020 00:00:00 GMT</t>
  </si>
  <si>
    <t>Fri, 21 Aug 2020 00:00:00 GMT</t>
  </si>
  <si>
    <t>Thu, 20 Aug 2020 00:00:00 GMT</t>
  </si>
  <si>
    <t>Wed, 19 Aug 2020 00:00:00 GMT</t>
  </si>
  <si>
    <r>
      <rPr>
        <i/>
        <sz val="11"/>
        <color theme="1"/>
        <rFont val="Calibre"/>
      </rPr>
      <t xml:space="preserve">1256 </t>
    </r>
    <r>
      <rPr>
        <sz val="11"/>
        <color theme="1"/>
        <rFont val="Calibre"/>
      </rPr>
      <t>Trading Days? (From: 8/19/2020 - 8/19/2025)</t>
    </r>
  </si>
  <si>
    <t>More</t>
  </si>
  <si>
    <t>Company</t>
  </si>
  <si>
    <t>Business</t>
  </si>
  <si>
    <t>Price</t>
  </si>
  <si>
    <t>Used as or Integrated With</t>
  </si>
  <si>
    <t>Date of Acquisition</t>
  </si>
  <si>
    <t>Productivity suite</t>
  </si>
  <si>
    <t>Bookpages</t>
  </si>
  <si>
    <t>Amazon UK</t>
  </si>
  <si>
    <t>Telebook</t>
  </si>
  <si>
    <t>Amazon Germany</t>
  </si>
  <si>
    <t>IMDb</t>
  </si>
  <si>
    <t>Junglee</t>
  </si>
  <si>
    <t>PlanetAll</t>
  </si>
  <si>
    <t>LiveBid.com</t>
  </si>
  <si>
    <t>Accept.com</t>
  </si>
  <si>
    <t>Alexa Internet</t>
  </si>
  <si>
    <t>e-Niche Incorporated</t>
  </si>
  <si>
    <t>Convergence Corporation</t>
  </si>
  <si>
    <t>Back to Basics Toys</t>
  </si>
  <si>
    <t>Leep Technology Inc.</t>
  </si>
  <si>
    <t>MindCorps Incorporated</t>
  </si>
  <si>
    <t>Egghead Software</t>
  </si>
  <si>
    <t>OurHouse.com</t>
  </si>
  <si>
    <t>Joyo.com</t>
  </si>
  <si>
    <t>Amazon China</t>
  </si>
  <si>
    <t>BookSurge</t>
  </si>
  <si>
    <t>CreateSpace</t>
  </si>
  <si>
    <t>Mobipocket</t>
  </si>
  <si>
    <t>CustomFlix</t>
  </si>
  <si>
    <t>smallparts.com</t>
  </si>
  <si>
    <t>Amazon Business</t>
  </si>
  <si>
    <t>Shopbop</t>
  </si>
  <si>
    <t>TextPayMe</t>
  </si>
  <si>
    <t>Amazon Payments</t>
  </si>
  <si>
    <t>Digital Photography Review</t>
  </si>
  <si>
    <t>Brilliance Audio</t>
  </si>
  <si>
    <t>Withoutabox</t>
  </si>
  <si>
    <t>Audible</t>
  </si>
  <si>
    <t>Fabric.com</t>
  </si>
  <si>
    <t>AbeBooks</t>
  </si>
  <si>
    <t>Shelfari</t>
  </si>
  <si>
    <t>Goodreads</t>
  </si>
  <si>
    <t>Reflexive Entertainment</t>
  </si>
  <si>
    <t>Box Office Mojo</t>
  </si>
  <si>
    <t>Lexcycle</t>
  </si>
  <si>
    <t>SnapTell</t>
  </si>
  <si>
    <t>Zappos</t>
  </si>
  <si>
    <t>Touchco</t>
  </si>
  <si>
    <t>Woot</t>
  </si>
  <si>
    <t>Amie Street</t>
  </si>
  <si>
    <t>BuyVIP</t>
  </si>
  <si>
    <t>Quidsi</t>
  </si>
  <si>
    <t>Toby Press</t>
  </si>
  <si>
    <t>LoveFilm</t>
  </si>
  <si>
    <t>Amazon Prime Video</t>
  </si>
  <si>
    <t>The Book Depository</t>
  </si>
  <si>
    <t>Pushbutton</t>
  </si>
  <si>
    <t>Yap</t>
  </si>
  <si>
    <t>Amazon Echo</t>
  </si>
  <si>
    <t>Double Helix Games</t>
  </si>
  <si>
    <t>Teachstreet</t>
  </si>
  <si>
    <t>Kiva Systems</t>
  </si>
  <si>
    <t>Amazon Robotics</t>
  </si>
  <si>
    <t>Evi</t>
  </si>
  <si>
    <t>Avalon Books</t>
  </si>
  <si>
    <t>Amazon Publishing</t>
  </si>
  <si>
    <t>UpNext</t>
  </si>
  <si>
    <t>IVONA Software</t>
  </si>
  <si>
    <t>Liquavista</t>
  </si>
  <si>
    <t>TenMarks Education, Inc.</t>
  </si>
  <si>
    <t>ComiXology</t>
  </si>
  <si>
    <t>Amiato</t>
  </si>
  <si>
    <t>Amazon Web Services</t>
  </si>
  <si>
    <t>Twitch Interactive</t>
  </si>
  <si>
    <t>Rooftop Media</t>
  </si>
  <si>
    <t>GoodGame</t>
  </si>
  <si>
    <t>Annapurna Labs</t>
  </si>
  <si>
    <t>2lemetry</t>
  </si>
  <si>
    <t>Shoefitr</t>
  </si>
  <si>
    <t>ClusterK</t>
  </si>
  <si>
    <t>AppThwack</t>
  </si>
  <si>
    <t>Elemental Technologies</t>
  </si>
  <si>
    <t>AWS Elemental</t>
  </si>
  <si>
    <t>Safaba Translation Systems</t>
  </si>
  <si>
    <t>Biba Systems</t>
  </si>
  <si>
    <t>Amazon Chime</t>
  </si>
  <si>
    <t>Orbeus</t>
  </si>
  <si>
    <t>NICE</t>
  </si>
  <si>
    <t>Emvantage Payments</t>
  </si>
  <si>
    <t>Cloud9 IDE</t>
  </si>
  <si>
    <t>Curse, Inc.</t>
  </si>
  <si>
    <t>Curse LLC</t>
  </si>
  <si>
    <t>Westland</t>
  </si>
  <si>
    <t>Partpic</t>
  </si>
  <si>
    <t>harvest.ai</t>
  </si>
  <si>
    <t>Thinkbox Software</t>
  </si>
  <si>
    <t>Do.com</t>
  </si>
  <si>
    <t>Whole Foods Market</t>
  </si>
  <si>
    <t>Souq.com</t>
  </si>
  <si>
    <t>Graphiq</t>
  </si>
  <si>
    <t>GameSparks</t>
  </si>
  <si>
    <t>Wing.ae</t>
  </si>
  <si>
    <t>Body Labs</t>
  </si>
  <si>
    <t>Goo Technologies</t>
  </si>
  <si>
    <t>Amazon Sumerian</t>
  </si>
  <si>
    <t>Dispatch</t>
  </si>
  <si>
    <t>Amazon Scout</t>
  </si>
  <si>
    <t>Blink Home</t>
  </si>
  <si>
    <t>Sqrrl</t>
  </si>
  <si>
    <t>Ring</t>
  </si>
  <si>
    <t>PillPack</t>
  </si>
  <si>
    <t>Amazon Pharmacy</t>
  </si>
  <si>
    <t>Tapzo</t>
  </si>
  <si>
    <t>Amazon Pay</t>
  </si>
  <si>
    <t>CloudEndure</t>
  </si>
  <si>
    <t>TSO Logic</t>
  </si>
  <si>
    <t>Eero</t>
  </si>
  <si>
    <t>Canvas Technology</t>
  </si>
  <si>
    <t>Bebo</t>
  </si>
  <si>
    <t>E8 Storage</t>
  </si>
  <si>
    <t>IGDB</t>
  </si>
  <si>
    <t>INLT</t>
  </si>
  <si>
    <t>Zoox</t>
  </si>
  <si>
    <t>Wondery</t>
  </si>
  <si>
    <t>Amazon Music</t>
  </si>
  <si>
    <t>Umbra 3D</t>
  </si>
  <si>
    <t>Metro-Goldwyn-Mayer</t>
  </si>
  <si>
    <t>Art19</t>
  </si>
  <si>
    <t>Wickr</t>
  </si>
  <si>
    <t>Veeqo</t>
  </si>
  <si>
    <t>Strio.AI</t>
  </si>
  <si>
    <t>GlowRoad</t>
  </si>
  <si>
    <t>One Medical</t>
  </si>
  <si>
    <t>Cloostermans</t>
  </si>
  <si>
    <t>Spirit.ai</t>
  </si>
  <si>
    <t>Fig</t>
  </si>
  <si>
    <t>AWS</t>
  </si>
  <si>
    <t>MX Player</t>
  </si>
  <si>
    <t xml:space="preserve">Acquisitions </t>
  </si>
  <si>
    <t>Stakes</t>
  </si>
  <si>
    <t>GeoWorks</t>
  </si>
  <si>
    <t>Drugstore.com</t>
  </si>
  <si>
    <t>Homegrocer.com</t>
  </si>
  <si>
    <t>Grocery delivery</t>
  </si>
  <si>
    <t>Gear.com</t>
  </si>
  <si>
    <t>Ashford.com</t>
  </si>
  <si>
    <t>Della.com</t>
  </si>
  <si>
    <t>Gift registry</t>
  </si>
  <si>
    <t>Kozmo.com</t>
  </si>
  <si>
    <t>Naxon Corporation</t>
  </si>
  <si>
    <t>Pets.com</t>
  </si>
  <si>
    <t>Greg Manning Auctions, Inc.</t>
  </si>
  <si>
    <t>Auctioneering</t>
  </si>
  <si>
    <t>Eziba.com</t>
  </si>
  <si>
    <t>Basis Technology</t>
  </si>
  <si>
    <t>Greenlight.com</t>
  </si>
  <si>
    <t>Car retailer</t>
  </si>
  <si>
    <t>Altura International</t>
  </si>
  <si>
    <t>Daksh.com</t>
  </si>
  <si>
    <t>Air Transport Services Group</t>
  </si>
  <si>
    <t>Financial services</t>
  </si>
  <si>
    <t>Embodied</t>
  </si>
  <si>
    <t>SevenRooms</t>
  </si>
  <si>
    <t>Rivian</t>
  </si>
  <si>
    <t>YES Network</t>
  </si>
  <si>
    <t>Anthropic</t>
  </si>
  <si>
    <t>$280M</t>
  </si>
  <si>
    <t>$131M</t>
  </si>
  <si>
    <t>$5M</t>
  </si>
  <si>
    <t>$17.5M</t>
  </si>
  <si>
    <t>$10M</t>
  </si>
  <si>
    <t>$42.5M</t>
  </si>
  <si>
    <t>UK online bookstore</t>
  </si>
  <si>
    <t>German online bookstore</t>
  </si>
  <si>
    <t>Internet Movie Database</t>
  </si>
  <si>
    <t>Comparison shopping site</t>
  </si>
  <si>
    <t>Social networking/calendar</t>
  </si>
  <si>
    <t>Online auction platform</t>
  </si>
  <si>
    <t>Online payment systems</t>
  </si>
  <si>
    <t>Web analytics service</t>
  </si>
  <si>
    <t>E-commerce technology</t>
  </si>
  <si>
    <t>Wireless technology (sync)</t>
  </si>
  <si>
    <t>Tools retail business</t>
  </si>
  <si>
    <t>Toys retailer</t>
  </si>
  <si>
    <t>Voice recognition tech</t>
  </si>
  <si>
    <t>Groupware software</t>
  </si>
  <si>
    <t>Online software retailer</t>
  </si>
  <si>
    <t>Home improvement retail</t>
  </si>
  <si>
    <t>China online bookstore</t>
  </si>
  <si>
    <t>Self-publishing platform</t>
  </si>
  <si>
    <t>E-book software/platform</t>
  </si>
  <si>
    <t>DVD publishing/production services</t>
  </si>
  <si>
    <t>Industrial/Scientific supplies</t>
  </si>
  <si>
    <t>Fashion retailer</t>
  </si>
  <si>
    <t>Mobile payment service</t>
  </si>
  <si>
    <t>Photography news/reviews</t>
  </si>
  <si>
    <t>Audiobook publisher</t>
  </si>
  <si>
    <t>Film festival submission portal</t>
  </si>
  <si>
    <t>Audiobooks and spoken word platform</t>
  </si>
  <si>
    <t>Online fabric retailer</t>
  </si>
  <si>
    <t>Used/rare book marketplace</t>
  </si>
  <si>
    <t>Social cataloging/Book communities</t>
  </si>
  <si>
    <t>Game development/publishing</t>
  </si>
  <si>
    <t>Box office revenue site</t>
  </si>
  <si>
    <t>E-book reader app (Stanza)</t>
  </si>
  <si>
    <t>Mobile image recognition tech</t>
  </si>
  <si>
    <t>Online shoe and clothing retailer</t>
  </si>
  <si>
    <t>Touch technology startup</t>
  </si>
  <si>
    <t>Daily deals retailer</t>
  </si>
  <si>
    <t>Online music retailer</t>
  </si>
  <si>
    <t>Fashion flash sales (Spain)</t>
  </si>
  <si>
    <t>E-commerce (Diapers.com, Soap.com, etc)</t>
  </si>
  <si>
    <t>Book publisher</t>
  </si>
  <si>
    <t>DVD rental/streaming (UK/EU)</t>
  </si>
  <si>
    <t>IMDb website</t>
  </si>
  <si>
    <t>Shopping search technology</t>
  </si>
  <si>
    <t>Folded into Amazon user accounts</t>
  </si>
  <si>
    <t>Folded into auctions</t>
  </si>
  <si>
    <t>Payments system</t>
  </si>
  <si>
    <t>Alexa web traffic &amp; search</t>
  </si>
  <si>
    <t>E-commerce tools for sellers</t>
  </si>
  <si>
    <t>Mobile/E-commerce sync tools</t>
  </si>
  <si>
    <t>Tool Crib of the North</t>
  </si>
  <si>
    <t>Integrated into Amazon retail</t>
  </si>
  <si>
    <t>Amazon toys</t>
  </si>
  <si>
    <t>Technology folded in</t>
  </si>
  <si>
    <t>Folded into Amazon</t>
  </si>
  <si>
    <t>Software sales</t>
  </si>
  <si>
    <t>Integrated into Amazon home</t>
  </si>
  <si>
    <t>CreateSpace (later KDP Print)</t>
  </si>
  <si>
    <t>Kindle/Mobipocket</t>
  </si>
  <si>
    <t>Shopbop branded store</t>
  </si>
  <si>
    <t>Maintained as a standalone site</t>
  </si>
  <si>
    <t>Audiobook sales</t>
  </si>
  <si>
    <t>Linked with IMDb/film initiatives</t>
  </si>
  <si>
    <t>Audible (subsidiary)</t>
  </si>
  <si>
    <t>Fabric.com brand</t>
  </si>
  <si>
    <t>AbeBooks marketplace</t>
  </si>
  <si>
    <t>Goodreads (eventual integration)</t>
  </si>
  <si>
    <t>Reflexive brand/tech</t>
  </si>
  <si>
    <t>IMDb/Box Office Mojo website</t>
  </si>
  <si>
    <t>Kindle ecosystem</t>
  </si>
  <si>
    <t>Amazon mobile tech</t>
  </si>
  <si>
    <t>Zappos subsidiary</t>
  </si>
  <si>
    <t>Kindle hardware</t>
  </si>
  <si>
    <t>Woot.com brand</t>
  </si>
  <si>
    <t>Folded into Songza/Amazon Music</t>
  </si>
  <si>
    <t>BuyVIP brand</t>
  </si>
  <si>
    <t>Amazon Prime Now/Amazon Fresh</t>
  </si>
  <si>
    <t>Amazon Prime Video (EU/UK)</t>
  </si>
  <si>
    <t>$55M</t>
  </si>
  <si>
    <t>$23M</t>
  </si>
  <si>
    <t>$250M</t>
  </si>
  <si>
    <t>Online book retailer (UK)</t>
  </si>
  <si>
    <t>Book Depository (independent)</t>
  </si>
  <si>
    <t>Interactive tech (UK)</t>
  </si>
  <si>
    <t>Voice-to-text tech</t>
  </si>
  <si>
    <t>Video game developer</t>
  </si>
  <si>
    <t>Amazon Game Studios</t>
  </si>
  <si>
    <t>Online marketplace for classes</t>
  </si>
  <si>
    <t>Warehouse robotics</t>
  </si>
  <si>
    <t>Voice recognition and AI</t>
  </si>
  <si>
    <t>Amazon Alexa/Echo</t>
  </si>
  <si>
    <t>3D mapping service</t>
  </si>
  <si>
    <t>UpNext (integrated tech)</t>
  </si>
  <si>
    <t>Speech synthesis software (Poland)</t>
  </si>
  <si>
    <t>Alexa, Amazon Polly</t>
  </si>
  <si>
    <t>Social book cataloging</t>
  </si>
  <si>
    <t>Electrowetting displays (Netherlands)</t>
  </si>
  <si>
    <t>Kindle</t>
  </si>
  <si>
    <t>Online math education platform</t>
  </si>
  <si>
    <t>Digital comics platform</t>
  </si>
  <si>
    <t>Data integration startup</t>
  </si>
  <si>
    <t>Video game live streaming</t>
  </si>
  <si>
    <t>Twitch (subsidiary)</t>
  </si>
  <si>
    <t>Comedy/audio content producer</t>
  </si>
  <si>
    <t>Esports agency</t>
  </si>
  <si>
    <t>Semiconductor design (Israel)</t>
  </si>
  <si>
    <t>Annapurna Labs/AWS</t>
  </si>
  <si>
    <t>IoT platform</t>
  </si>
  <si>
    <t>Virtual shoe fitting tech</t>
  </si>
  <si>
    <t>Cloud cost optimization</t>
  </si>
  <si>
    <t>Mobile app testing service</t>
  </si>
  <si>
    <t>Video processing tech</t>
  </si>
  <si>
    <t>Automated translation software</t>
  </si>
  <si>
    <t>Mobile conferencing app</t>
  </si>
  <si>
    <t>Image recognition AI</t>
  </si>
  <si>
    <t>Colis PrivÃ©</t>
  </si>
  <si>
    <t>Package delivery company (France)</t>
  </si>
  <si>
    <t>Cloud-based computing (Italy)</t>
  </si>
  <si>
    <t>Online payments (India)</t>
  </si>
  <si>
    <t>Web-based development environment</t>
  </si>
  <si>
    <t>Gaming community</t>
  </si>
  <si>
    <t>Indian book publisher</t>
  </si>
  <si>
    <t>Visual part search for e-commerce</t>
  </si>
  <si>
    <t>Amazon Mobile App</t>
  </si>
  <si>
    <t>Machine learning security</t>
  </si>
  <si>
    <t>Media rendering tech</t>
  </si>
  <si>
    <t>Grocery stores</t>
  </si>
  <si>
    <t>Middle East e-commerce</t>
  </si>
  <si>
    <t>Data visualization tech</t>
  </si>
  <si>
    <t>Alexa/Echo</t>
  </si>
  <si>
    <t>Backend for online games</t>
  </si>
  <si>
    <t>Delivery logistics (subsidiary of Souq.com)</t>
  </si>
  <si>
    <t>3D body modeling tech</t>
  </si>
  <si>
    <t>Body Labs/AI/Shopping</t>
  </si>
  <si>
    <t>WebGL graphics platform</t>
  </si>
  <si>
    <t>Last-mile robot delivery</t>
  </si>
  <si>
    <t>Wireless home security cameras</t>
  </si>
  <si>
    <t>Threat hunting, cybersecurity</t>
  </si>
  <si>
    <t>Smart home doorbells, security</t>
  </si>
  <si>
    <t>Online pharmacy</t>
  </si>
  <si>
    <t>Mobile payments (India)</t>
  </si>
  <si>
    <t>Disaster recovery for cloud</t>
  </si>
  <si>
    <t>Data center optimization</t>
  </si>
  <si>
    <t>Mesh WiFi</t>
  </si>
  <si>
    <t>Robotics startup</t>
  </si>
  <si>
    <t>Sizmek Ad Server and Sizmek DCO</t>
  </si>
  <si>
    <t>Ad targeting and dynamic optimization</t>
  </si>
  <si>
    <t>Social networking site</t>
  </si>
  <si>
    <t>Flash storage arrays</t>
  </si>
  <si>
    <t>Video game database</t>
  </si>
  <si>
    <t>Customs compliance software</t>
  </si>
  <si>
    <t>Autonomous vehicles</t>
  </si>
  <si>
    <t>Zoox (self-driving cars)</t>
  </si>
  <si>
    <t>Podcast network</t>
  </si>
  <si>
    <t>3D graphics/optimization</t>
  </si>
  <si>
    <t>Movie/TV studio</t>
  </si>
  <si>
    <t>MGM Studios / Amazon Prime Video</t>
  </si>
  <si>
    <t>Podcast hosting/analytics</t>
  </si>
  <si>
    <t>Secure messaging app</t>
  </si>
  <si>
    <t>eCommerce shipping platform</t>
  </si>
  <si>
    <t>Robotics/AI for agriculture</t>
  </si>
  <si>
    <t>Social commerce (India)</t>
  </si>
  <si>
    <t>Healthcare/primary care</t>
  </si>
  <si>
    <t>Warehouse automation/intralogistics (Belgium)</t>
  </si>
  <si>
    <t>Conversational AI (UK)</t>
  </si>
  <si>
    <t>Crowdfunding/publishing for games</t>
  </si>
  <si>
    <t>Video player app (India)</t>
  </si>
  <si>
    <t>Technology (mobile software)</t>
  </si>
  <si>
    <t>E-commerce (online pharmacy)</t>
  </si>
  <si>
    <t>Retail (sports gear e-commerce)</t>
  </si>
  <si>
    <t>Folded into Amazon retail</t>
  </si>
  <si>
    <t>Retail (luxury goods)</t>
  </si>
  <si>
    <t>Delivery (fast local delivery)</t>
  </si>
  <si>
    <t>â€” (little info available)</t>
  </si>
  <si>
    <t>Retail (pet supplies)</t>
  </si>
  <si>
    <t>Retail (home dÃ©cor/furnishings)</t>
  </si>
  <si>
    <t>Technology (language processing)</t>
  </si>
  <si>
    <t>â€” (likely e-commerce/retail)</t>
  </si>
  <si>
    <t>Technology (BPO, India)</t>
  </si>
  <si>
    <t>Amazon Customer Service</t>
  </si>
  <si>
    <t>Music streaming (download store)</t>
  </si>
  <si>
    <t>Folded into Amazon Music</t>
  </si>
  <si>
    <t>Cargo airline/logistics</t>
  </si>
  <si>
    <t>Amazon Air</t>
  </si>
  <si>
    <t>Mar 8, 2016 / Mar 8, 2021</t>
  </si>
  <si>
    <t>Greenlight Financial Technology</t>
  </si>
  <si>
    <t>Robotics (AI robots for children)</t>
  </si>
  <si>
    <t>Supermarket chain (India)</t>
  </si>
  <si>
    <t>Amazon India</t>
  </si>
  <si>
    <t>Hospitality software</t>
  </si>
  <si>
    <t>EV/Autonomous driving</t>
  </si>
  <si>
    <t>Amazon Logistics (EV van deal)</t>
  </si>
  <si>
    <t>Feb 15, 2019 (investment)</t>
  </si>
  <si>
    <t>Regional sports network (stake)</t>
  </si>
  <si>
    <t>2019 (stake, minority holder)</t>
  </si>
  <si>
    <t>Artificial Intelligence</t>
  </si>
  <si>
    <t>AWS/AI partnership</t>
  </si>
  <si>
    <t>Sep 25, 2023 (stake)</t>
  </si>
  <si>
    <t>$1.2B</t>
  </si>
  <si>
    <t>$8.45B</t>
  </si>
  <si>
    <t>$3.9B</t>
  </si>
  <si>
    <t>$13.7B</t>
  </si>
  <si>
    <t>-</t>
  </si>
  <si>
    <t>$55M (stock)</t>
  </si>
  <si>
    <t>$300M</t>
  </si>
  <si>
    <t>$101.8M</t>
  </si>
  <si>
    <t>$6.1M</t>
  </si>
  <si>
    <t>$75M</t>
  </si>
  <si>
    <t>$3M</t>
  </si>
  <si>
    <t>$110M</t>
  </si>
  <si>
    <t>$100M</t>
  </si>
  <si>
    <t>$545M</t>
  </si>
  <si>
    <t>$312M</t>
  </si>
  <si>
    <t>$775M</t>
  </si>
  <si>
    <t>$26M</t>
  </si>
  <si>
    <t>$970M</t>
  </si>
  <si>
    <t>~$350M</t>
  </si>
  <si>
    <t>$35M</t>
  </si>
  <si>
    <t>$500M</t>
  </si>
  <si>
    <t>$20M</t>
  </si>
  <si>
    <t>$580M</t>
  </si>
  <si>
    <t>$50M</t>
  </si>
  <si>
    <t>$60M</t>
  </si>
  <si>
    <t>$90M</t>
  </si>
  <si>
    <t>$40M</t>
  </si>
  <si>
    <t>$839M</t>
  </si>
  <si>
    <t>$753M</t>
  </si>
  <si>
    <t>$97M</t>
  </si>
  <si>
    <t>$25M</t>
  </si>
  <si>
    <t>$1.25B (stake)</t>
  </si>
  <si>
    <t>AMZN</t>
  </si>
  <si>
    <t>Amazon.com, Inc. (AMZN)</t>
  </si>
  <si>
    <t>Current CEO: Andrew Jassy</t>
  </si>
  <si>
    <t>Industry: Internet Retail</t>
  </si>
  <si>
    <t>Sector: Consumer Discretionary</t>
  </si>
  <si>
    <t>Founded: July 5th, 1994</t>
  </si>
  <si>
    <t>IPO: May 15th, 1997</t>
  </si>
  <si>
    <t>Founder(s): Jeff Bezos</t>
  </si>
  <si>
    <t>Registered Exchange: NASDAQ</t>
  </si>
  <si>
    <t>Address: 410 Terry Avenue North, Seattle, Washington 98109 US</t>
  </si>
  <si>
    <t>Headquarters: Seattle, WA</t>
  </si>
  <si>
    <t>(206) 266 - 1000</t>
  </si>
  <si>
    <t>Amazon Homepage</t>
  </si>
  <si>
    <t>Amazon IR Page</t>
  </si>
  <si>
    <t>MacroTrends</t>
  </si>
  <si>
    <t>ROIC, WACC</t>
  </si>
  <si>
    <t>https://www.macrotrends.net/stocks/charts/AMZN/amazon/income-statement?freq=A</t>
  </si>
  <si>
    <t>https://stockanalysis.com/stocks/amzn/company/</t>
  </si>
  <si>
    <t>https://seekingalpha.com/symbol/AMZN/earnings/transcripts</t>
  </si>
  <si>
    <t>https://www.gurufocus.com/term/wacc/AMZN</t>
  </si>
  <si>
    <t>https://www.aboutamazon.com/</t>
  </si>
  <si>
    <t>https://ir.aboutamazon.com/overview/default.aspx</t>
  </si>
  <si>
    <t>https://www.sec.gov/edgar/browse/?CIK=1018724&amp;owner=exclude</t>
  </si>
  <si>
    <t>Amazon.com, Inc. is a diversified global technology and retail company engaged in the sale of consumer products, advertising, digital content, and subscriptions through both its online and physical store platforms</t>
  </si>
  <si>
    <t>The Company operates across three major segments: North America, International, and Amazon Web Services (AWS)</t>
  </si>
  <si>
    <t>The Company’s broad offerings include the sale of merchandise and media, manufacturing and distribution of proprietary electronic devices, digital content production, and a suite of cloud-based products and services</t>
  </si>
  <si>
    <t>AWS, The Company's cloud division, provides compute, storage, analytics, machine learning, and database solutions to enterprise, public sector, and developer customers worldwide</t>
  </si>
  <si>
    <t>Amazon’s global platform facilitates transactions between individual consumers, large enterprises, small and medium-sized businesses, independent sellers, content creators, and advertisers</t>
  </si>
  <si>
    <t>The Company's marketplace hosts millions of sellers, augmenting the company’s first-party offerings and significantly expanding product selection and reach</t>
  </si>
  <si>
    <t>In addition, Amazon owns and operates a portfolio of subsidiaries spanning areas such as grocery (Whole Foods Market), health care (One Medical, PillPack), smart home technology (Ring, Blink, Eero), and entertainment (Twitch, MGM Studios, Audible, and Prime Video)</t>
  </si>
  <si>
    <t>The Company’s substantial investments in logistics, fulfillment, digital infrastructure, and its Prime membership ecosystem underpin a business model focused on operational scale, customer engagement, and sustained long-term growth</t>
  </si>
  <si>
    <t>Amazon.com, Inc. was incorporated in 1994 and is headquartered in Seattle, Washington</t>
  </si>
  <si>
    <t>Online Stores</t>
  </si>
  <si>
    <t>Physical Stores</t>
  </si>
  <si>
    <t>Third-party Seller Services</t>
  </si>
  <si>
    <t>Advertising Services</t>
  </si>
  <si>
    <t>Subscription Services</t>
  </si>
  <si>
    <t>Other</t>
  </si>
  <si>
    <t>Ttl Revenue Growth Y/y</t>
  </si>
  <si>
    <t>Other Growth Y/y</t>
  </si>
  <si>
    <t>Online Stores Growth Y/y</t>
  </si>
  <si>
    <t>Physical Stores Growth Y/y</t>
  </si>
  <si>
    <t>Third-party Seller Services Growth Y/y</t>
  </si>
  <si>
    <t>Advertising Services Growth Y/y</t>
  </si>
  <si>
    <t>Subscription Services Growth Y/y</t>
  </si>
  <si>
    <t>AWS Growth Y/y</t>
  </si>
  <si>
    <t>Online Stores % of Ttl Revenue</t>
  </si>
  <si>
    <t>Physical Stores % of Ttl Revenue</t>
  </si>
  <si>
    <t>Third-party Seller Services % of Ttl Revenue</t>
  </si>
  <si>
    <t>Advertising Services % of Ttl Revenue</t>
  </si>
  <si>
    <t>Subscription Services % of Ttl Revenue</t>
  </si>
  <si>
    <t>AWS % of Ttl Revenue</t>
  </si>
  <si>
    <t>Other % of Ttl Revenue</t>
  </si>
  <si>
    <t>North America Revenues</t>
  </si>
  <si>
    <t>International Revenues</t>
  </si>
  <si>
    <t>AWS Revenues</t>
  </si>
  <si>
    <t>Total Revenues</t>
  </si>
  <si>
    <t>North America Revenues Growth Y/y</t>
  </si>
  <si>
    <t>International Revenues Growth Y/y</t>
  </si>
  <si>
    <t>AWS Revenues Growth Y/y</t>
  </si>
  <si>
    <t>Total Revenue Growth Y/y</t>
  </si>
  <si>
    <t>North America Revenues % of Revenues</t>
  </si>
  <si>
    <t>International Revenues % of Revenues</t>
  </si>
  <si>
    <t>AWS Revenues % of Revenues</t>
  </si>
  <si>
    <t>Fullfillment</t>
  </si>
  <si>
    <t>Sales &amp; Marketing</t>
  </si>
  <si>
    <t>General &amp; Admin</t>
  </si>
  <si>
    <t>Ttl SG&amp;A</t>
  </si>
  <si>
    <t>Other Expenses</t>
  </si>
  <si>
    <t>OI</t>
  </si>
  <si>
    <t>Interest Income</t>
  </si>
  <si>
    <t>Interest Expenses</t>
  </si>
  <si>
    <t>Other Income (Expenses), net</t>
  </si>
  <si>
    <t>Pretax Income</t>
  </si>
  <si>
    <t>Taxes</t>
  </si>
  <si>
    <t>NI</t>
  </si>
  <si>
    <t>EPS</t>
  </si>
  <si>
    <t>Equity-method Investment</t>
  </si>
  <si>
    <t>Inventories</t>
  </si>
  <si>
    <t>A/R</t>
  </si>
  <si>
    <t>PP&amp;E</t>
  </si>
  <si>
    <t>Operating Leases</t>
  </si>
  <si>
    <t>Goodwill</t>
  </si>
  <si>
    <t>Other LT Assets</t>
  </si>
  <si>
    <t>A/P</t>
  </si>
  <si>
    <t>Accrued Expenses</t>
  </si>
  <si>
    <t>Unearned Revenue</t>
  </si>
  <si>
    <t>LT Lease Liabilities</t>
  </si>
  <si>
    <t>LT Debt</t>
  </si>
  <si>
    <t>Other LT Liabilities</t>
  </si>
  <si>
    <t>Ttl Assets</t>
  </si>
  <si>
    <t>Ttl Liabilities</t>
  </si>
  <si>
    <t>SE</t>
  </si>
  <si>
    <t>Ttl L + SE</t>
  </si>
  <si>
    <t>Cost Of Sales</t>
  </si>
  <si>
    <t>Invested Capital</t>
  </si>
  <si>
    <t>AVG Invested Capital</t>
  </si>
  <si>
    <t>ROIC</t>
  </si>
  <si>
    <t>2023-2024</t>
  </si>
  <si>
    <t>Terminal</t>
  </si>
  <si>
    <t>RFR (10-year yield)</t>
  </si>
  <si>
    <t>ERP 
(Avg. market return - (less) RFR)</t>
  </si>
  <si>
    <t>Equity β (1-year avg.)</t>
  </si>
  <si>
    <t>Discount (Cost of Equity)</t>
  </si>
  <si>
    <t>NPV</t>
  </si>
  <si>
    <t>FV</t>
  </si>
  <si>
    <t>CP</t>
  </si>
  <si>
    <t>Change Δ:</t>
  </si>
  <si>
    <t>R&amp;D</t>
  </si>
  <si>
    <t>Fullfillment as % of Revenue</t>
  </si>
  <si>
    <t>Sales &amp; Marketing as % of Revenue</t>
  </si>
  <si>
    <t>General &amp; Admin as % of Revenue</t>
  </si>
  <si>
    <t>Projected ROIC:</t>
  </si>
  <si>
    <t>Employees: 1,532,000</t>
  </si>
  <si>
    <t>Q3'25</t>
  </si>
  <si>
    <t>1/10/2025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</si>
</sst>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44" formatCode="_(&quot;$&quot;* #,##0.00_);_(&quot;$&quot;* \(#,##0.00\);_(&quot;$&quot;* &quot;-&quot;??_);_(@_)"/>
    <numFmt numFmtId="164" formatCode="0.0%"/>
    <numFmt numFmtId="165" formatCode="0.0"/>
    <numFmt numFmtId="166" formatCode="_(&quot;$&quot;* #,##0_);_(&quot;$&quot;* \(#,##0\);_(&quot;$&quot;* &quot;-&quot;??_);_(@_)"/>
  </numFmts>
  <fonts count="22">
    <font>
      <sz val="11"/>
      <color theme="1"/>
      <name val="Calibri"/>
      <family val="2"/>
      <scheme val="minor"/>
    </font>
    <font>
      <sz val="11"/>
      <color theme="1"/>
      <name val="Calibri"/>
      <family val="2"/>
      <scheme val="minor"/>
    </font>
    <font>
      <sz val="11"/>
      <color theme="1"/>
      <name val="Calibre"/>
    </font>
    <font>
      <b/>
      <sz val="11"/>
      <color theme="1"/>
      <name val="Calibre"/>
    </font>
    <font>
      <b/>
      <sz val="11"/>
      <color theme="0"/>
      <name val="Calibre"/>
    </font>
    <font>
      <sz val="11"/>
      <color theme="0"/>
      <name val="Calibre"/>
    </font>
    <font>
      <b/>
      <sz val="10"/>
      <name val="Arial"/>
      <family val="2"/>
    </font>
    <font>
      <i/>
      <sz val="11"/>
      <color theme="1"/>
      <name val="Calibre"/>
    </font>
    <font>
      <b/>
      <sz val="10"/>
      <name val="Calibre"/>
    </font>
    <font>
      <i/>
      <sz val="11"/>
      <color theme="1"/>
      <name val="Calibri"/>
      <family val="2"/>
      <scheme val="minor"/>
    </font>
    <font>
      <b/>
      <i/>
      <sz val="11"/>
      <color theme="1"/>
      <name val="Calibri"/>
      <family val="2"/>
      <scheme val="minor"/>
    </font>
    <font>
      <b/>
      <sz val="11"/>
      <name val="Calibre"/>
    </font>
    <font>
      <b/>
      <sz val="11"/>
      <color rgb="FF0070C0"/>
      <name val="Calibre"/>
    </font>
    <font>
      <sz val="11"/>
      <color rgb="FF0070C0"/>
      <name val="Calibre"/>
    </font>
    <font>
      <sz val="11"/>
      <name val="Calibre"/>
    </font>
    <font>
      <u/>
      <sz val="11"/>
      <color theme="10"/>
      <name val="Calibri"/>
      <family val="2"/>
      <scheme val="minor"/>
    </font>
    <font>
      <u/>
      <sz val="11"/>
      <color rgb="FF00B0F0"/>
      <name val="Calibre"/>
    </font>
    <font>
      <sz val="10"/>
      <name val="Arial"/>
      <family val="2"/>
    </font>
    <font>
      <sz val="25"/>
      <color theme="1"/>
      <name val="Calibre"/>
    </font>
    <font>
      <sz val="25"/>
      <color theme="1"/>
      <name val="Calibri"/>
      <family val="2"/>
      <scheme val="minor"/>
    </font>
    <font>
      <sz val="11"/>
      <color theme="4" tint="-0.249977111117893"/>
      <name val="Calibre"/>
    </font>
    <font>
      <b/>
      <sz val="11"/>
      <color theme="4" tint="-0.249977111117893"/>
      <name val="Calibre"/>
    </font>
  </fonts>
  <fills count="6">
    <fill>
      <patternFill patternType="none"/>
    </fill>
    <fill>
      <patternFill patternType="gray125"/>
    </fill>
    <fill>
      <patternFill patternType="solid">
        <fgColor rgb="FF002060"/>
        <bgColor indexed="64"/>
      </patternFill>
    </fill>
    <fill>
      <patternFill patternType="solid">
        <fgColor theme="8" tint="-0.249977111117893"/>
        <bgColor indexed="64"/>
      </patternFill>
    </fill>
    <fill>
      <patternFill patternType="solid">
        <fgColor theme="4" tint="0.79998168889431442"/>
        <bgColor theme="4" tint="0.79998168889431442"/>
      </patternFill>
    </fill>
    <fill>
      <patternFill patternType="solid">
        <fgColor rgb="FFF5F5F5"/>
      </patternFill>
    </fill>
  </fills>
  <borders count="20">
    <border>
      <left/>
      <right/>
      <top/>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theme="4" tint="0.39997558519241921"/>
      </bottom>
      <diagonal/>
    </border>
    <border>
      <left/>
      <right style="thin">
        <color indexed="64"/>
      </right>
      <top style="thin">
        <color indexed="64"/>
      </top>
      <bottom style="thin">
        <color theme="4" tint="0.39997558519241921"/>
      </bottom>
      <diagonal/>
    </border>
    <border>
      <left style="thin">
        <color indexed="64"/>
      </left>
      <right/>
      <top/>
      <bottom/>
      <diagonal/>
    </border>
    <border>
      <left/>
      <right style="thin">
        <color indexed="64"/>
      </right>
      <top/>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4" tint="0.39997558519241921"/>
      </top>
      <bottom style="thin">
        <color indexed="64"/>
      </bottom>
      <diagonal/>
    </border>
    <border>
      <left/>
      <right style="thin">
        <color indexed="64"/>
      </right>
      <top style="thin">
        <color theme="4" tint="0.39997558519241921"/>
      </top>
      <bottom style="thin">
        <color indexed="64"/>
      </bottom>
      <diagonal/>
    </border>
    <border>
      <left/>
      <right/>
      <top style="medium">
        <color indexed="64"/>
      </top>
      <bottom style="thin">
        <color indexed="64"/>
      </bottom>
      <diagonal/>
    </border>
    <border>
      <left/>
      <right/>
      <top/>
      <bottom style="medium">
        <color indexed="64"/>
      </bottom>
      <diagonal/>
    </border>
    <border>
      <left style="thin">
        <color indexed="64"/>
      </left>
      <right/>
      <top style="thin">
        <color indexed="64"/>
      </top>
      <bottom style="thin">
        <color indexed="64"/>
      </bottom>
      <diagonal/>
    </border>
  </borders>
  <cellStyleXfs count="4">
    <xf numFmtId="0" fontId="0" fillId="0" borderId="0"/>
    <xf numFmtId="9" fontId="1" fillId="0" borderId="0" applyFont="0" applyFill="0" applyBorder="0" applyAlignment="0" applyProtection="0"/>
    <xf numFmtId="0" fontId="15" fillId="0" borderId="0" applyNumberFormat="0" applyFill="0" applyBorder="0" applyAlignment="0" applyProtection="0"/>
    <xf numFmtId="44" fontId="1" fillId="0" borderId="0" applyFont="0" applyFill="0" applyBorder="0" applyAlignment="0" applyProtection="0"/>
  </cellStyleXfs>
  <cellXfs count="84">
    <xf numFmtId="0" fontId="0" fillId="0" borderId="0" xfId="0"/>
    <xf numFmtId="0" fontId="2" fillId="0" borderId="0" xfId="0" applyFont="1"/>
    <xf numFmtId="0" fontId="3" fillId="0" borderId="0" xfId="0" applyFont="1"/>
    <xf numFmtId="0" fontId="4" fillId="2" borderId="1" xfId="0" applyFont="1" applyFill="1" applyBorder="1"/>
    <xf numFmtId="0" fontId="5" fillId="2" borderId="2" xfId="0" applyFont="1" applyFill="1" applyBorder="1"/>
    <xf numFmtId="0" fontId="5" fillId="2" borderId="3" xfId="0" applyFont="1" applyFill="1" applyBorder="1"/>
    <xf numFmtId="0" fontId="5" fillId="2" borderId="4" xfId="0" applyFont="1" applyFill="1" applyBorder="1"/>
    <xf numFmtId="0" fontId="4" fillId="3" borderId="1" xfId="0" applyFont="1" applyFill="1" applyBorder="1" applyAlignment="1">
      <alignment horizontal="left"/>
    </xf>
    <xf numFmtId="0" fontId="5" fillId="3" borderId="2" xfId="0" applyFont="1" applyFill="1" applyBorder="1" applyAlignment="1">
      <alignment horizontal="center"/>
    </xf>
    <xf numFmtId="0" fontId="5" fillId="3" borderId="5" xfId="0" applyFont="1" applyFill="1" applyBorder="1" applyAlignment="1">
      <alignment horizontal="center"/>
    </xf>
    <xf numFmtId="10" fontId="2" fillId="4" borderId="6" xfId="0" applyNumberFormat="1" applyFont="1" applyFill="1" applyBorder="1"/>
    <xf numFmtId="10" fontId="2" fillId="4" borderId="7" xfId="0" applyNumberFormat="1" applyFont="1" applyFill="1" applyBorder="1"/>
    <xf numFmtId="0" fontId="4" fillId="3" borderId="8" xfId="0" applyFont="1" applyFill="1" applyBorder="1" applyAlignment="1">
      <alignment horizontal="left"/>
    </xf>
    <xf numFmtId="0" fontId="5" fillId="3" borderId="0" xfId="0" applyFont="1" applyFill="1" applyAlignment="1">
      <alignment horizontal="center"/>
    </xf>
    <xf numFmtId="0" fontId="5" fillId="3" borderId="9" xfId="0" applyFont="1" applyFill="1" applyBorder="1" applyAlignment="1">
      <alignment horizontal="center"/>
    </xf>
    <xf numFmtId="10" fontId="2" fillId="0" borderId="10" xfId="0" applyNumberFormat="1" applyFont="1" applyBorder="1"/>
    <xf numFmtId="10" fontId="2" fillId="0" borderId="11" xfId="0" applyNumberFormat="1" applyFont="1" applyBorder="1"/>
    <xf numFmtId="10" fontId="2" fillId="4" borderId="10" xfId="0" applyNumberFormat="1" applyFont="1" applyFill="1" applyBorder="1"/>
    <xf numFmtId="10" fontId="2" fillId="4" borderId="11" xfId="0" applyNumberFormat="1" applyFont="1" applyFill="1" applyBorder="1"/>
    <xf numFmtId="0" fontId="4" fillId="3" borderId="12" xfId="0" applyFont="1" applyFill="1" applyBorder="1" applyAlignment="1">
      <alignment horizontal="left"/>
    </xf>
    <xf numFmtId="0" fontId="5" fillId="3" borderId="13" xfId="0" applyFont="1" applyFill="1" applyBorder="1" applyAlignment="1">
      <alignment horizontal="center"/>
    </xf>
    <xf numFmtId="0" fontId="5" fillId="3" borderId="14" xfId="0" applyFont="1" applyFill="1" applyBorder="1" applyAlignment="1">
      <alignment horizontal="center"/>
    </xf>
    <xf numFmtId="10" fontId="2" fillId="0" borderId="15" xfId="0" applyNumberFormat="1" applyFont="1" applyBorder="1"/>
    <xf numFmtId="10" fontId="2" fillId="0" borderId="16" xfId="0" applyNumberFormat="1" applyFont="1" applyBorder="1"/>
    <xf numFmtId="0" fontId="6" fillId="5" borderId="0" xfId="0" applyFont="1" applyFill="1" applyAlignment="1">
      <alignment horizontal="center" vertical="center"/>
    </xf>
    <xf numFmtId="10" fontId="2" fillId="0" borderId="0" xfId="0" applyNumberFormat="1" applyFont="1"/>
    <xf numFmtId="0" fontId="8" fillId="5" borderId="0" xfId="0" applyFont="1" applyFill="1" applyAlignment="1">
      <alignment horizontal="center" vertical="center"/>
    </xf>
    <xf numFmtId="10" fontId="8" fillId="5" borderId="0" xfId="0" applyNumberFormat="1" applyFont="1" applyFill="1" applyAlignment="1">
      <alignment horizontal="center" vertical="center"/>
    </xf>
    <xf numFmtId="0" fontId="8" fillId="5" borderId="0" xfId="0" applyFont="1" applyFill="1" applyAlignment="1">
      <alignment horizontal="right" vertical="center"/>
    </xf>
    <xf numFmtId="0" fontId="2" fillId="0" borderId="0" xfId="0" applyFont="1" applyAlignment="1">
      <alignment horizontal="right"/>
    </xf>
    <xf numFmtId="3" fontId="2" fillId="0" borderId="0" xfId="0" applyNumberFormat="1" applyFont="1" applyAlignment="1">
      <alignment horizontal="left"/>
    </xf>
    <xf numFmtId="0" fontId="9" fillId="0" borderId="17" xfId="0" applyFont="1" applyBorder="1" applyAlignment="1">
      <alignment horizontal="left"/>
    </xf>
    <xf numFmtId="0" fontId="9" fillId="0" borderId="17" xfId="0" applyFont="1" applyBorder="1" applyAlignment="1">
      <alignment horizontal="center" wrapText="1"/>
    </xf>
    <xf numFmtId="0" fontId="11" fillId="0" borderId="0" xfId="0" applyFont="1"/>
    <xf numFmtId="0" fontId="12" fillId="0" borderId="0" xfId="0" applyFont="1"/>
    <xf numFmtId="0" fontId="13" fillId="0" borderId="0" xfId="0" applyFont="1"/>
    <xf numFmtId="0" fontId="14" fillId="0" borderId="0" xfId="0" applyFont="1" applyAlignment="1">
      <alignment horizontal="left" indent="1"/>
    </xf>
    <xf numFmtId="0" fontId="14" fillId="0" borderId="0" xfId="0" applyFont="1"/>
    <xf numFmtId="2" fontId="2" fillId="0" borderId="0" xfId="1" quotePrefix="1" applyNumberFormat="1" applyFont="1"/>
    <xf numFmtId="2" fontId="2" fillId="0" borderId="0" xfId="0" applyNumberFormat="1" applyFont="1"/>
    <xf numFmtId="2" fontId="2" fillId="0" borderId="0" xfId="0" quotePrefix="1" applyNumberFormat="1" applyFont="1"/>
    <xf numFmtId="0" fontId="2" fillId="0" borderId="0" xfId="1" applyNumberFormat="1" applyFont="1"/>
    <xf numFmtId="49" fontId="2" fillId="0" borderId="0" xfId="0" applyNumberFormat="1" applyFont="1"/>
    <xf numFmtId="0" fontId="16" fillId="0" borderId="0" xfId="2" applyFont="1"/>
    <xf numFmtId="0" fontId="17" fillId="0" borderId="0" xfId="0" applyFont="1"/>
    <xf numFmtId="10" fontId="0" fillId="0" borderId="0" xfId="0" applyNumberFormat="1"/>
    <xf numFmtId="0" fontId="0" fillId="0" borderId="18" xfId="0" applyBorder="1"/>
    <xf numFmtId="0" fontId="9" fillId="0" borderId="17" xfId="0" applyFont="1" applyBorder="1" applyAlignment="1">
      <alignment horizontal="center"/>
    </xf>
    <xf numFmtId="0" fontId="4" fillId="2" borderId="3" xfId="0" applyFont="1" applyFill="1" applyBorder="1"/>
    <xf numFmtId="0" fontId="4" fillId="2" borderId="19" xfId="0" applyFont="1" applyFill="1" applyBorder="1"/>
    <xf numFmtId="0" fontId="4" fillId="2" borderId="2" xfId="0" applyFont="1" applyFill="1" applyBorder="1"/>
    <xf numFmtId="0" fontId="18" fillId="0" borderId="0" xfId="0" applyFont="1"/>
    <xf numFmtId="0" fontId="19" fillId="0" borderId="0" xfId="0" applyFont="1"/>
    <xf numFmtId="15" fontId="0" fillId="0" borderId="0" xfId="0" applyNumberFormat="1"/>
    <xf numFmtId="17" fontId="0" fillId="0" borderId="0" xfId="0" applyNumberFormat="1"/>
    <xf numFmtId="6" fontId="0" fillId="0" borderId="0" xfId="0" applyNumberFormat="1" applyAlignment="1">
      <alignment horizontal="center"/>
    </xf>
    <xf numFmtId="0" fontId="0" fillId="0" borderId="0" xfId="0" applyAlignment="1">
      <alignment horizontal="center"/>
    </xf>
    <xf numFmtId="0" fontId="0" fillId="0" borderId="0" xfId="0" applyAlignment="1">
      <alignment horizontal="left"/>
    </xf>
    <xf numFmtId="15" fontId="0" fillId="0" borderId="0" xfId="0" applyNumberFormat="1" applyAlignment="1">
      <alignment horizontal="left"/>
    </xf>
    <xf numFmtId="164" fontId="2" fillId="0" borderId="0" xfId="1" applyNumberFormat="1" applyFont="1"/>
    <xf numFmtId="164" fontId="3" fillId="0" borderId="0" xfId="1" applyNumberFormat="1" applyFont="1"/>
    <xf numFmtId="0" fontId="2" fillId="0" borderId="0" xfId="0" applyFont="1" applyAlignment="1">
      <alignment horizontal="left" indent="1"/>
    </xf>
    <xf numFmtId="1" fontId="2" fillId="0" borderId="0" xfId="0" applyNumberFormat="1" applyFont="1"/>
    <xf numFmtId="1" fontId="13" fillId="0" borderId="0" xfId="0" applyNumberFormat="1" applyFont="1"/>
    <xf numFmtId="164" fontId="13" fillId="0" borderId="0" xfId="1" applyNumberFormat="1" applyFont="1"/>
    <xf numFmtId="0" fontId="20" fillId="0" borderId="0" xfId="0" applyFont="1"/>
    <xf numFmtId="0" fontId="21" fillId="0" borderId="0" xfId="0" applyFont="1"/>
    <xf numFmtId="0" fontId="20" fillId="0" borderId="0" xfId="0" applyFont="1" applyAlignment="1">
      <alignment horizontal="right"/>
    </xf>
    <xf numFmtId="0" fontId="20" fillId="0" borderId="0" xfId="0" applyFont="1" applyAlignment="1">
      <alignment horizontal="center"/>
    </xf>
    <xf numFmtId="0" fontId="20" fillId="0" borderId="0" xfId="0" applyFont="1" applyAlignment="1">
      <alignment vertical="top" wrapText="1"/>
    </xf>
    <xf numFmtId="10" fontId="20" fillId="0" borderId="0" xfId="1" applyNumberFormat="1" applyFont="1"/>
    <xf numFmtId="10" fontId="20" fillId="0" borderId="0" xfId="0" applyNumberFormat="1" applyFont="1"/>
    <xf numFmtId="1" fontId="20" fillId="0" borderId="0" xfId="0" applyNumberFormat="1" applyFont="1"/>
    <xf numFmtId="164" fontId="20" fillId="0" borderId="0" xfId="1" applyNumberFormat="1" applyFont="1"/>
    <xf numFmtId="2" fontId="20" fillId="0" borderId="0" xfId="0" applyNumberFormat="1" applyFont="1"/>
    <xf numFmtId="1" fontId="12" fillId="0" borderId="0" xfId="0" applyNumberFormat="1" applyFont="1"/>
    <xf numFmtId="1" fontId="21" fillId="0" borderId="0" xfId="0" applyNumberFormat="1" applyFont="1"/>
    <xf numFmtId="164" fontId="13" fillId="0" borderId="0" xfId="0" applyNumberFormat="1" applyFont="1"/>
    <xf numFmtId="164" fontId="12" fillId="0" borderId="0" xfId="0" applyNumberFormat="1" applyFont="1"/>
    <xf numFmtId="44" fontId="2" fillId="0" borderId="0" xfId="0" applyNumberFormat="1" applyFont="1" applyAlignment="1">
      <alignment horizontal="right" indent="1"/>
    </xf>
    <xf numFmtId="165" fontId="2" fillId="0" borderId="0" xfId="0" applyNumberFormat="1" applyFont="1" applyAlignment="1">
      <alignment horizontal="left" indent="4"/>
    </xf>
    <xf numFmtId="166" fontId="2" fillId="0" borderId="0" xfId="3" applyNumberFormat="1" applyFont="1" applyAlignment="1">
      <alignment horizontal="right" indent="1"/>
    </xf>
    <xf numFmtId="166" fontId="2" fillId="0" borderId="0" xfId="0" applyNumberFormat="1" applyFont="1" applyAlignment="1">
      <alignment horizontal="right" indent="1"/>
    </xf>
    <xf numFmtId="0" fontId="20" fillId="0" borderId="0" xfId="0" applyFont="1" applyAlignment="1">
      <alignment horizontal="center"/>
    </xf>
  </cellXfs>
  <cellStyles count="4">
    <cellStyle name="Currency" xfId="3" builtinId="4"/>
    <cellStyle name="Hyperlink" xfId="2" builtinId="8"/>
    <cellStyle name="Normal" xfId="0" builtinId="0"/>
    <cellStyle name="Percent" xfId="1" builtinId="5"/>
  </cellStyles>
  <dxfs count="17">
    <dxf>
      <font>
        <b/>
        <i val="0"/>
        <color theme="0"/>
      </font>
      <fill>
        <patternFill>
          <bgColor rgb="FF5A8C38"/>
        </patternFill>
      </fill>
    </dxf>
    <dxf>
      <font>
        <b/>
        <i val="0"/>
        <color theme="0"/>
      </font>
      <fill>
        <patternFill>
          <bgColor theme="9" tint="0.39994506668294322"/>
        </patternFill>
      </fill>
    </dxf>
    <dxf>
      <font>
        <b/>
        <i val="0"/>
        <color theme="1"/>
      </font>
      <fill>
        <patternFill>
          <bgColor theme="7" tint="0.39994506668294322"/>
        </patternFill>
      </fill>
    </dxf>
    <dxf>
      <font>
        <b/>
        <i val="0"/>
        <color theme="0"/>
      </font>
      <fill>
        <patternFill>
          <bgColor rgb="FFFF6D6D"/>
        </patternFill>
      </fill>
    </dxf>
    <dxf>
      <font>
        <b/>
        <i val="0"/>
        <color theme="0"/>
      </font>
      <fill>
        <patternFill>
          <bgColor rgb="FFF20000"/>
        </patternFill>
      </fill>
    </dxf>
    <dxf>
      <font>
        <b val="0"/>
        <i val="0"/>
        <strike val="0"/>
        <condense val="0"/>
        <extend val="0"/>
        <outline val="0"/>
        <shadow val="0"/>
        <u val="none"/>
        <vertAlign val="baseline"/>
        <sz val="11"/>
        <color theme="1"/>
        <name val="Calibre"/>
        <scheme val="none"/>
      </font>
      <numFmt numFmtId="0" formatCode="General"/>
      <fill>
        <patternFill patternType="solid">
          <fgColor theme="4" tint="0.79998168889431442"/>
          <bgColor theme="4" tint="0.79998168889431442"/>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e"/>
        <scheme val="none"/>
      </font>
      <numFmt numFmtId="0" formatCode="General"/>
      <fill>
        <patternFill patternType="solid">
          <fgColor theme="4" tint="0.79998168889431442"/>
          <bgColor theme="4" tint="0.79998168889431442"/>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e"/>
        <scheme val="none"/>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1"/>
        <color theme="0"/>
        <name val="Calibre"/>
        <scheme val="none"/>
      </font>
      <numFmt numFmtId="0" formatCode="General"/>
      <fill>
        <patternFill patternType="solid">
          <fgColor theme="4" tint="0.79998168889431442"/>
          <bgColor theme="4" tint="0.79998168889431442"/>
        </patternFill>
      </fill>
      <alignment horizontal="left" vertical="bottom" textRotation="0" wrapText="0" indent="0" justifyLastLine="0" shrinkToFit="0" readingOrder="0"/>
    </dxf>
    <dxf>
      <font>
        <b/>
        <i val="0"/>
        <strike val="0"/>
        <condense val="0"/>
        <extend val="0"/>
        <outline val="0"/>
        <shadow val="0"/>
        <u val="none"/>
        <vertAlign val="baseline"/>
        <sz val="11"/>
        <color theme="0"/>
        <name val="Calibre"/>
        <scheme val="none"/>
      </font>
      <numFmt numFmtId="0" formatCode="General"/>
      <fill>
        <patternFill patternType="solid">
          <fgColor theme="4" tint="0.79998168889431442"/>
          <bgColor theme="4" tint="0.79998168889431442"/>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e"/>
        <scheme val="none"/>
      </font>
      <fill>
        <patternFill patternType="solid">
          <fgColor indexed="64"/>
          <bgColor theme="8" tint="-0.499984740745262"/>
        </patternFill>
      </fill>
    </dxf>
    <dxf>
      <font>
        <b val="0"/>
        <i val="0"/>
        <strike val="0"/>
        <condense val="0"/>
        <extend val="0"/>
        <outline val="0"/>
        <shadow val="0"/>
        <u val="none"/>
        <vertAlign val="baseline"/>
        <sz val="11"/>
        <color theme="1"/>
        <name val="Calibre"/>
        <scheme val="none"/>
      </font>
      <numFmt numFmtId="0" formatCode="General"/>
      <fill>
        <patternFill patternType="solid">
          <fgColor theme="4" tint="0.79998168889431442"/>
          <bgColor theme="4" tint="0.79998168889431442"/>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e"/>
        <scheme val="none"/>
      </font>
      <numFmt numFmtId="0" formatCode="General"/>
      <fill>
        <patternFill patternType="solid">
          <fgColor theme="4" tint="0.79998168889431442"/>
          <bgColor theme="4" tint="0.79998168889431442"/>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e"/>
        <scheme val="none"/>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1"/>
        <color theme="0"/>
        <name val="Calibre"/>
        <scheme val="none"/>
      </font>
      <numFmt numFmtId="0" formatCode="General"/>
      <fill>
        <patternFill patternType="solid">
          <fgColor theme="4" tint="0.79998168889431442"/>
          <bgColor theme="4" tint="0.79998168889431442"/>
        </patternFill>
      </fill>
      <alignment horizontal="left" vertical="bottom" textRotation="0" wrapText="0" indent="0" justifyLastLine="0" shrinkToFit="0" readingOrder="0"/>
    </dxf>
    <dxf>
      <font>
        <b/>
        <i val="0"/>
        <strike val="0"/>
        <condense val="0"/>
        <extend val="0"/>
        <outline val="0"/>
        <shadow val="0"/>
        <u val="none"/>
        <vertAlign val="baseline"/>
        <sz val="11"/>
        <color theme="0"/>
        <name val="Calibre"/>
        <scheme val="none"/>
      </font>
      <numFmt numFmtId="0" formatCode="General"/>
      <fill>
        <patternFill patternType="solid">
          <fgColor theme="4" tint="0.79998168889431442"/>
          <bgColor theme="4" tint="0.79998168889431442"/>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e"/>
        <scheme val="none"/>
      </font>
      <fill>
        <patternFill patternType="solid">
          <fgColor indexed="64"/>
          <bgColor theme="8" tint="-0.499984740745262"/>
        </patternFill>
      </fill>
    </dxf>
  </dxfs>
  <tableStyles count="0" defaultTableStyle="TableStyleMedium2" defaultPivotStyle="PivotStyleLight16"/>
  <colors>
    <mruColors>
      <color rgb="FF5A8C38"/>
      <color rgb="FF60943C"/>
      <color rgb="FFF20000"/>
      <color rgb="FFFF6D6D"/>
      <color rgb="FFFABE00"/>
      <color rgb="FFC5E500"/>
      <color rgb="FF73A9DB"/>
      <color rgb="FFFF5367"/>
      <color rgb="FFF3B285"/>
      <color rgb="FFDEA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t>(AMZN) Historical Return Histogram + Normal Distribution Overlay</a:t>
            </a:r>
          </a:p>
        </c:rich>
      </c:tx>
      <c:layout>
        <c:manualLayout>
          <c:xMode val="edge"/>
          <c:yMode val="edge"/>
          <c:x val="0.26993827160493827"/>
          <c:y val="9.084836817195378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3.5764397972669552E-2"/>
          <c:y val="6.6586524336012157E-2"/>
          <c:w val="0.93313376105764534"/>
          <c:h val="0.87215756826816704"/>
        </c:manualLayout>
      </c:layout>
      <c:scatterChart>
        <c:scatterStyle val="smoothMarker"/>
        <c:varyColors val="0"/>
        <c:ser>
          <c:idx val="0"/>
          <c:order val="0"/>
          <c:tx>
            <c:strRef>
              <c:f>'Notes | Quant Analysis'!$I$208</c:f>
              <c:strCache>
                <c:ptCount val="1"/>
                <c:pt idx="0">
                  <c:v>Histogram Data</c:v>
                </c:pt>
              </c:strCache>
            </c:strRef>
          </c:tx>
          <c:spPr>
            <a:ln w="38100" cap="rnd">
              <a:noFill/>
              <a:round/>
            </a:ln>
            <a:effectLst/>
          </c:spPr>
          <c:marker>
            <c:symbol val="none"/>
          </c:marker>
          <c:errBars>
            <c:errDir val="y"/>
            <c:errBarType val="minus"/>
            <c:errValType val="percentage"/>
            <c:noEndCap val="1"/>
            <c:val val="100"/>
            <c:spPr>
              <a:noFill/>
              <a:ln w="184150" cap="flat" cmpd="sng" algn="ctr">
                <a:solidFill>
                  <a:srgbClr val="00B0F0"/>
                </a:solidFill>
                <a:round/>
              </a:ln>
              <a:effectLst/>
            </c:spPr>
          </c:errBars>
          <c:xVal>
            <c:numRef>
              <c:f>'Notes | Quant Analysis'!$I$210:$I$260</c:f>
              <c:numCache>
                <c:formatCode>0.00%</c:formatCode>
                <c:ptCount val="51"/>
                <c:pt idx="0">
                  <c:v>-5.5E-2</c:v>
                </c:pt>
                <c:pt idx="1">
                  <c:v>-5.3999999999999999E-2</c:v>
                </c:pt>
                <c:pt idx="2">
                  <c:v>-5.2999999999999999E-2</c:v>
                </c:pt>
                <c:pt idx="3">
                  <c:v>-5.1999999999999998E-2</c:v>
                </c:pt>
                <c:pt idx="4">
                  <c:v>-5.0999999999999997E-2</c:v>
                </c:pt>
                <c:pt idx="5">
                  <c:v>-0.05</c:v>
                </c:pt>
                <c:pt idx="6">
                  <c:v>-4.7500000000000001E-2</c:v>
                </c:pt>
                <c:pt idx="7">
                  <c:v>-4.4999999999999998E-2</c:v>
                </c:pt>
                <c:pt idx="8">
                  <c:v>-4.2500000000000003E-2</c:v>
                </c:pt>
                <c:pt idx="9">
                  <c:v>-0.04</c:v>
                </c:pt>
                <c:pt idx="10">
                  <c:v>-3.7499999999999999E-2</c:v>
                </c:pt>
                <c:pt idx="11">
                  <c:v>-3.5000000000000003E-2</c:v>
                </c:pt>
                <c:pt idx="12">
                  <c:v>-3.2500000000000001E-2</c:v>
                </c:pt>
                <c:pt idx="13">
                  <c:v>-0.03</c:v>
                </c:pt>
                <c:pt idx="14">
                  <c:v>-2.75E-2</c:v>
                </c:pt>
                <c:pt idx="15">
                  <c:v>-2.5000000000000001E-2</c:v>
                </c:pt>
                <c:pt idx="16">
                  <c:v>-2.2499999999999999E-2</c:v>
                </c:pt>
                <c:pt idx="17">
                  <c:v>-0.02</c:v>
                </c:pt>
                <c:pt idx="18">
                  <c:v>-1.7500000000000002E-2</c:v>
                </c:pt>
                <c:pt idx="19">
                  <c:v>-1.4999999999999999E-2</c:v>
                </c:pt>
                <c:pt idx="20">
                  <c:v>-1.2500000000000001E-2</c:v>
                </c:pt>
                <c:pt idx="21">
                  <c:v>-0.01</c:v>
                </c:pt>
                <c:pt idx="22">
                  <c:v>-7.4999999999999997E-3</c:v>
                </c:pt>
                <c:pt idx="23">
                  <c:v>-5.0000000000000001E-3</c:v>
                </c:pt>
                <c:pt idx="24">
                  <c:v>-2.5000000000000001E-3</c:v>
                </c:pt>
                <c:pt idx="25">
                  <c:v>0</c:v>
                </c:pt>
                <c:pt idx="26">
                  <c:v>2.5000000000000001E-3</c:v>
                </c:pt>
                <c:pt idx="27">
                  <c:v>5.0000000000000001E-3</c:v>
                </c:pt>
                <c:pt idx="28">
                  <c:v>7.4999999999999997E-3</c:v>
                </c:pt>
                <c:pt idx="29">
                  <c:v>0.01</c:v>
                </c:pt>
                <c:pt idx="30">
                  <c:v>1.2500000000000001E-2</c:v>
                </c:pt>
                <c:pt idx="31">
                  <c:v>1.4999999999999999E-2</c:v>
                </c:pt>
                <c:pt idx="32">
                  <c:v>1.7500000000000002E-2</c:v>
                </c:pt>
                <c:pt idx="33">
                  <c:v>0.02</c:v>
                </c:pt>
                <c:pt idx="34">
                  <c:v>2.2499999999999999E-2</c:v>
                </c:pt>
                <c:pt idx="35">
                  <c:v>2.5000000000000001E-2</c:v>
                </c:pt>
                <c:pt idx="36">
                  <c:v>2.75E-2</c:v>
                </c:pt>
                <c:pt idx="37">
                  <c:v>0.03</c:v>
                </c:pt>
                <c:pt idx="38">
                  <c:v>3.2500000000000001E-2</c:v>
                </c:pt>
                <c:pt idx="39">
                  <c:v>3.5000000000000003E-2</c:v>
                </c:pt>
                <c:pt idx="40">
                  <c:v>3.7499999999999999E-2</c:v>
                </c:pt>
                <c:pt idx="41">
                  <c:v>0.04</c:v>
                </c:pt>
                <c:pt idx="42">
                  <c:v>4.2500000000000003E-2</c:v>
                </c:pt>
                <c:pt idx="43">
                  <c:v>4.4999999999999998E-2</c:v>
                </c:pt>
                <c:pt idx="44">
                  <c:v>4.7500000000000001E-2</c:v>
                </c:pt>
                <c:pt idx="45">
                  <c:v>0.05</c:v>
                </c:pt>
                <c:pt idx="46">
                  <c:v>5.0999999999999997E-2</c:v>
                </c:pt>
                <c:pt idx="47">
                  <c:v>5.1999999999999998E-2</c:v>
                </c:pt>
                <c:pt idx="48">
                  <c:v>5.2999999999999999E-2</c:v>
                </c:pt>
                <c:pt idx="49">
                  <c:v>5.3999999999999999E-2</c:v>
                </c:pt>
                <c:pt idx="50">
                  <c:v>5.5E-2</c:v>
                </c:pt>
              </c:numCache>
            </c:numRef>
          </c:xVal>
          <c:yVal>
            <c:numRef>
              <c:f>'Notes | Quant Analysis'!$J$210:$J$260</c:f>
              <c:numCache>
                <c:formatCode>General</c:formatCode>
                <c:ptCount val="51"/>
                <c:pt idx="0">
                  <c:v>1</c:v>
                </c:pt>
                <c:pt idx="1">
                  <c:v>1</c:v>
                </c:pt>
                <c:pt idx="2">
                  <c:v>3</c:v>
                </c:pt>
                <c:pt idx="3">
                  <c:v>0</c:v>
                </c:pt>
                <c:pt idx="4">
                  <c:v>0</c:v>
                </c:pt>
                <c:pt idx="5">
                  <c:v>0</c:v>
                </c:pt>
                <c:pt idx="6">
                  <c:v>1</c:v>
                </c:pt>
                <c:pt idx="7">
                  <c:v>1</c:v>
                </c:pt>
                <c:pt idx="8">
                  <c:v>4</c:v>
                </c:pt>
                <c:pt idx="9">
                  <c:v>4</c:v>
                </c:pt>
                <c:pt idx="10">
                  <c:v>5</c:v>
                </c:pt>
                <c:pt idx="11">
                  <c:v>4</c:v>
                </c:pt>
                <c:pt idx="12">
                  <c:v>10</c:v>
                </c:pt>
                <c:pt idx="13">
                  <c:v>10</c:v>
                </c:pt>
                <c:pt idx="14">
                  <c:v>15</c:v>
                </c:pt>
                <c:pt idx="15">
                  <c:v>26</c:v>
                </c:pt>
                <c:pt idx="16">
                  <c:v>22</c:v>
                </c:pt>
                <c:pt idx="17">
                  <c:v>33</c:v>
                </c:pt>
                <c:pt idx="18">
                  <c:v>31</c:v>
                </c:pt>
                <c:pt idx="19">
                  <c:v>50</c:v>
                </c:pt>
                <c:pt idx="20">
                  <c:v>38</c:v>
                </c:pt>
                <c:pt idx="21">
                  <c:v>60</c:v>
                </c:pt>
                <c:pt idx="22">
                  <c:v>69</c:v>
                </c:pt>
                <c:pt idx="23">
                  <c:v>86</c:v>
                </c:pt>
                <c:pt idx="24">
                  <c:v>74</c:v>
                </c:pt>
                <c:pt idx="25">
                  <c:v>78</c:v>
                </c:pt>
                <c:pt idx="26">
                  <c:v>84</c:v>
                </c:pt>
                <c:pt idx="27">
                  <c:v>92</c:v>
                </c:pt>
                <c:pt idx="28">
                  <c:v>66</c:v>
                </c:pt>
                <c:pt idx="29">
                  <c:v>61</c:v>
                </c:pt>
                <c:pt idx="30">
                  <c:v>68</c:v>
                </c:pt>
                <c:pt idx="31">
                  <c:v>55</c:v>
                </c:pt>
                <c:pt idx="32">
                  <c:v>48</c:v>
                </c:pt>
                <c:pt idx="33">
                  <c:v>25</c:v>
                </c:pt>
                <c:pt idx="34">
                  <c:v>26</c:v>
                </c:pt>
                <c:pt idx="35">
                  <c:v>20</c:v>
                </c:pt>
                <c:pt idx="36">
                  <c:v>14</c:v>
                </c:pt>
                <c:pt idx="37">
                  <c:v>13</c:v>
                </c:pt>
                <c:pt idx="38">
                  <c:v>16</c:v>
                </c:pt>
                <c:pt idx="39">
                  <c:v>6</c:v>
                </c:pt>
                <c:pt idx="40">
                  <c:v>12</c:v>
                </c:pt>
                <c:pt idx="41">
                  <c:v>4</c:v>
                </c:pt>
                <c:pt idx="42">
                  <c:v>5</c:v>
                </c:pt>
                <c:pt idx="43">
                  <c:v>5</c:v>
                </c:pt>
                <c:pt idx="44">
                  <c:v>1</c:v>
                </c:pt>
                <c:pt idx="45">
                  <c:v>1</c:v>
                </c:pt>
                <c:pt idx="46">
                  <c:v>0</c:v>
                </c:pt>
                <c:pt idx="47">
                  <c:v>0</c:v>
                </c:pt>
                <c:pt idx="48">
                  <c:v>0</c:v>
                </c:pt>
                <c:pt idx="49">
                  <c:v>0</c:v>
                </c:pt>
                <c:pt idx="50">
                  <c:v>1</c:v>
                </c:pt>
              </c:numCache>
            </c:numRef>
          </c:yVal>
          <c:smooth val="1"/>
          <c:extLst>
            <c:ext xmlns:c16="http://schemas.microsoft.com/office/drawing/2014/chart" uri="{C3380CC4-5D6E-409C-BE32-E72D297353CC}">
              <c16:uniqueId val="{00000000-28C7-4862-86E9-AF862A5BA0AD}"/>
            </c:ext>
          </c:extLst>
        </c:ser>
        <c:ser>
          <c:idx val="1"/>
          <c:order val="1"/>
          <c:tx>
            <c:strRef>
              <c:f>'Notes | Quant Analysis'!$L$208</c:f>
              <c:strCache>
                <c:ptCount val="1"/>
                <c:pt idx="0">
                  <c:v>Distribution Overlay</c:v>
                </c:pt>
              </c:strCache>
            </c:strRef>
          </c:tx>
          <c:spPr>
            <a:ln w="19050" cap="rnd">
              <a:solidFill>
                <a:srgbClr val="FFC000"/>
              </a:solidFill>
              <a:round/>
            </a:ln>
            <a:effectLst/>
          </c:spPr>
          <c:marker>
            <c:symbol val="none"/>
          </c:marker>
          <c:xVal>
            <c:numRef>
              <c:f>'Notes | Quant Analysis'!$L$210:$L$262</c:f>
              <c:numCache>
                <c:formatCode>0.00%</c:formatCode>
                <c:ptCount val="53"/>
                <c:pt idx="0">
                  <c:v>-5.6000000000000001E-2</c:v>
                </c:pt>
                <c:pt idx="1">
                  <c:v>-5.5E-2</c:v>
                </c:pt>
                <c:pt idx="2">
                  <c:v>-5.3999999999999999E-2</c:v>
                </c:pt>
                <c:pt idx="3">
                  <c:v>-5.2999999999999999E-2</c:v>
                </c:pt>
                <c:pt idx="4">
                  <c:v>-5.1999999999999998E-2</c:v>
                </c:pt>
                <c:pt idx="5">
                  <c:v>-5.0999999999999997E-2</c:v>
                </c:pt>
                <c:pt idx="6">
                  <c:v>-0.05</c:v>
                </c:pt>
                <c:pt idx="7">
                  <c:v>-4.7500000000000001E-2</c:v>
                </c:pt>
                <c:pt idx="8">
                  <c:v>-4.4999999999999998E-2</c:v>
                </c:pt>
                <c:pt idx="9">
                  <c:v>-4.2500000000000003E-2</c:v>
                </c:pt>
                <c:pt idx="10">
                  <c:v>-0.04</c:v>
                </c:pt>
                <c:pt idx="11">
                  <c:v>-3.7499999999999999E-2</c:v>
                </c:pt>
                <c:pt idx="12">
                  <c:v>-3.5000000000000003E-2</c:v>
                </c:pt>
                <c:pt idx="13">
                  <c:v>-3.2500000000000001E-2</c:v>
                </c:pt>
                <c:pt idx="14">
                  <c:v>-0.03</c:v>
                </c:pt>
                <c:pt idx="15">
                  <c:v>-2.75E-2</c:v>
                </c:pt>
                <c:pt idx="16">
                  <c:v>-2.5000000000000001E-2</c:v>
                </c:pt>
                <c:pt idx="17">
                  <c:v>-2.2499999999999999E-2</c:v>
                </c:pt>
                <c:pt idx="18">
                  <c:v>-0.02</c:v>
                </c:pt>
                <c:pt idx="19">
                  <c:v>-1.7500000000000002E-2</c:v>
                </c:pt>
                <c:pt idx="20">
                  <c:v>-1.4999999999999999E-2</c:v>
                </c:pt>
                <c:pt idx="21">
                  <c:v>-1.2500000000000001E-2</c:v>
                </c:pt>
                <c:pt idx="22">
                  <c:v>-0.01</c:v>
                </c:pt>
                <c:pt idx="23">
                  <c:v>-7.4999999999999997E-3</c:v>
                </c:pt>
                <c:pt idx="24">
                  <c:v>-5.0000000000000001E-3</c:v>
                </c:pt>
                <c:pt idx="25">
                  <c:v>-2.5000000000000001E-3</c:v>
                </c:pt>
                <c:pt idx="26">
                  <c:v>0</c:v>
                </c:pt>
                <c:pt idx="27">
                  <c:v>2.5000000000000001E-3</c:v>
                </c:pt>
                <c:pt idx="28">
                  <c:v>5.0000000000000001E-3</c:v>
                </c:pt>
                <c:pt idx="29">
                  <c:v>7.4999999999999997E-3</c:v>
                </c:pt>
                <c:pt idx="30">
                  <c:v>0.01</c:v>
                </c:pt>
                <c:pt idx="31">
                  <c:v>1.2500000000000001E-2</c:v>
                </c:pt>
                <c:pt idx="32">
                  <c:v>1.4999999999999999E-2</c:v>
                </c:pt>
                <c:pt idx="33">
                  <c:v>1.7500000000000002E-2</c:v>
                </c:pt>
                <c:pt idx="34">
                  <c:v>0.02</c:v>
                </c:pt>
                <c:pt idx="35">
                  <c:v>2.2499999999999999E-2</c:v>
                </c:pt>
                <c:pt idx="36">
                  <c:v>2.5000000000000001E-2</c:v>
                </c:pt>
                <c:pt idx="37">
                  <c:v>2.75E-2</c:v>
                </c:pt>
                <c:pt idx="38">
                  <c:v>0.03</c:v>
                </c:pt>
                <c:pt idx="39">
                  <c:v>3.2500000000000001E-2</c:v>
                </c:pt>
                <c:pt idx="40">
                  <c:v>3.5000000000000003E-2</c:v>
                </c:pt>
                <c:pt idx="41">
                  <c:v>3.7499999999999999E-2</c:v>
                </c:pt>
                <c:pt idx="42">
                  <c:v>0.04</c:v>
                </c:pt>
                <c:pt idx="43">
                  <c:v>4.2500000000000003E-2</c:v>
                </c:pt>
                <c:pt idx="44">
                  <c:v>4.4999999999999998E-2</c:v>
                </c:pt>
                <c:pt idx="45">
                  <c:v>4.7500000000000001E-2</c:v>
                </c:pt>
                <c:pt idx="46">
                  <c:v>0.05</c:v>
                </c:pt>
                <c:pt idx="47">
                  <c:v>5.0999999999999997E-2</c:v>
                </c:pt>
                <c:pt idx="48">
                  <c:v>5.1999999999999998E-2</c:v>
                </c:pt>
                <c:pt idx="49">
                  <c:v>5.2999999999999999E-2</c:v>
                </c:pt>
                <c:pt idx="50">
                  <c:v>5.3999999999999999E-2</c:v>
                </c:pt>
                <c:pt idx="51">
                  <c:v>5.5E-2</c:v>
                </c:pt>
                <c:pt idx="52">
                  <c:v>5.6000000000000001E-2</c:v>
                </c:pt>
              </c:numCache>
            </c:numRef>
          </c:xVal>
          <c:yVal>
            <c:numRef>
              <c:f>'Notes | Quant Analysis'!$M$210:$M$262</c:f>
              <c:numCache>
                <c:formatCode>General</c:formatCode>
                <c:ptCount val="53"/>
                <c:pt idx="0">
                  <c:v>0.12521991966188609</c:v>
                </c:pt>
                <c:pt idx="1">
                  <c:v>0.1506557117271192</c:v>
                </c:pt>
                <c:pt idx="2">
                  <c:v>0.18065421594927472</c:v>
                </c:pt>
                <c:pt idx="3">
                  <c:v>0.21590411508163188</c:v>
                </c:pt>
                <c:pt idx="4">
                  <c:v>0.25717222231117803</c:v>
                </c:pt>
                <c:pt idx="5">
                  <c:v>0.30530752921877763</c:v>
                </c:pt>
                <c:pt idx="6">
                  <c:v>0.36124453899289266</c:v>
                </c:pt>
                <c:pt idx="7">
                  <c:v>0.54214864419295583</c:v>
                </c:pt>
                <c:pt idx="8">
                  <c:v>0.79684702503170346</c:v>
                </c:pt>
                <c:pt idx="9">
                  <c:v>1.1470201019451152</c:v>
                </c:pt>
                <c:pt idx="10">
                  <c:v>1.6169872545630715</c:v>
                </c:pt>
                <c:pt idx="11">
                  <c:v>2.2324495759472809</c:v>
                </c:pt>
                <c:pt idx="12">
                  <c:v>3.0185349865032358</c:v>
                </c:pt>
                <c:pt idx="13">
                  <c:v>3.9971483188972816</c:v>
                </c:pt>
                <c:pt idx="14">
                  <c:v>5.183747121585446</c:v>
                </c:pt>
                <c:pt idx="15">
                  <c:v>6.5838032639499406</c:v>
                </c:pt>
                <c:pt idx="16">
                  <c:v>8.1893489439512717</c:v>
                </c:pt>
                <c:pt idx="17">
                  <c:v>9.9761139762376345</c:v>
                </c:pt>
                <c:pt idx="18">
                  <c:v>11.901807508097786</c:v>
                </c:pt>
                <c:pt idx="19">
                  <c:v>13.906054775787402</c:v>
                </c:pt>
                <c:pt idx="20">
                  <c:v>15.912354424073341</c:v>
                </c:pt>
                <c:pt idx="21">
                  <c:v>17.832180244331312</c:v>
                </c:pt>
                <c:pt idx="22">
                  <c:v>19.571041644103644</c:v>
                </c:pt>
                <c:pt idx="23">
                  <c:v>21.035988797311816</c:v>
                </c:pt>
                <c:pt idx="24">
                  <c:v>22.143762492328317</c:v>
                </c:pt>
                <c:pt idx="25">
                  <c:v>22.828605993126853</c:v>
                </c:pt>
                <c:pt idx="26">
                  <c:v>23.048722777344732</c:v>
                </c:pt>
                <c:pt idx="27">
                  <c:v>22.790498793246574</c:v>
                </c:pt>
                <c:pt idx="28">
                  <c:v>22.06989617861451</c:v>
                </c:pt>
                <c:pt idx="29">
                  <c:v>20.930820056821585</c:v>
                </c:pt>
                <c:pt idx="30">
                  <c:v>19.440690756725502</c:v>
                </c:pt>
                <c:pt idx="31">
                  <c:v>17.6838423251344</c:v>
                </c:pt>
                <c:pt idx="32">
                  <c:v>15.753645553380057</c:v>
                </c:pt>
                <c:pt idx="33">
                  <c:v>13.744375126392935</c:v>
                </c:pt>
                <c:pt idx="34">
                  <c:v>11.7437939805778</c:v>
                </c:pt>
                <c:pt idx="35">
                  <c:v>9.8272350085894047</c:v>
                </c:pt>
                <c:pt idx="36">
                  <c:v>8.0536685824528504</c:v>
                </c:pt>
                <c:pt idx="37">
                  <c:v>6.46391534407267</c:v>
                </c:pt>
                <c:pt idx="38">
                  <c:v>5.0808580309634808</c:v>
                </c:pt>
                <c:pt idx="39">
                  <c:v>3.9112714161090105</c:v>
                </c:pt>
                <c:pt idx="40">
                  <c:v>2.9487526367478383</c:v>
                </c:pt>
                <c:pt idx="41">
                  <c:v>2.177199492216916</c:v>
                </c:pt>
                <c:pt idx="42">
                  <c:v>1.5743366307984832</c:v>
                </c:pt>
                <c:pt idx="43">
                  <c:v>1.1149014252506144</c:v>
                </c:pt>
                <c:pt idx="44">
                  <c:v>0.77324093057394583</c:v>
                </c:pt>
                <c:pt idx="45">
                  <c:v>0.52520964511056345</c:v>
                </c:pt>
                <c:pt idx="46">
                  <c:v>0.34937356804054037</c:v>
                </c:pt>
                <c:pt idx="47">
                  <c:v>0.29507746542612551</c:v>
                </c:pt>
                <c:pt idx="48">
                  <c:v>0.24838900207890199</c:v>
                </c:pt>
                <c:pt idx="49">
                  <c:v>0.20839101979887681</c:v>
                </c:pt>
                <c:pt idx="50">
                  <c:v>0.1742512717007057</c:v>
                </c:pt>
                <c:pt idx="51">
                  <c:v>0.14521892973508299</c:v>
                </c:pt>
                <c:pt idx="52">
                  <c:v>0.12062041715313598</c:v>
                </c:pt>
              </c:numCache>
            </c:numRef>
          </c:yVal>
          <c:smooth val="1"/>
          <c:extLst>
            <c:ext xmlns:c16="http://schemas.microsoft.com/office/drawing/2014/chart" uri="{C3380CC4-5D6E-409C-BE32-E72D297353CC}">
              <c16:uniqueId val="{00000001-28C7-4862-86E9-AF862A5BA0AD}"/>
            </c:ext>
          </c:extLst>
        </c:ser>
        <c:ser>
          <c:idx val="2"/>
          <c:order val="2"/>
          <c:tx>
            <c:strRef>
              <c:f>'Notes | Quant Analysis'!$O$210</c:f>
              <c:strCache>
                <c:ptCount val="1"/>
                <c:pt idx="0">
                  <c:v>Mean</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2-28C7-4862-86E9-AF862A5BA0AD}"/>
                </c:ext>
              </c:extLst>
            </c:dLbl>
            <c:dLbl>
              <c:idx val="1"/>
              <c:layout>
                <c:manualLayout>
                  <c:x val="-6.2867669579158444E-2"/>
                  <c:y val="-2.9632875751832242E-2"/>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15:layout>
                    <c:manualLayout>
                      <c:w val="0.12311149656419403"/>
                      <c:h val="7.7448366460932602E-2"/>
                    </c:manualLayout>
                  </c15:layout>
                </c:ext>
                <c:ext xmlns:c16="http://schemas.microsoft.com/office/drawing/2014/chart" uri="{C3380CC4-5D6E-409C-BE32-E72D297353CC}">
                  <c16:uniqueId val="{00000003-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Analysis'!$P$210:$P$211</c:f>
              <c:numCache>
                <c:formatCode>0.00%</c:formatCode>
                <c:ptCount val="2"/>
                <c:pt idx="0">
                  <c:v>-1.0009957853329814E-4</c:v>
                </c:pt>
                <c:pt idx="1">
                  <c:v>-1.0009957853329814E-4</c:v>
                </c:pt>
              </c:numCache>
            </c:numRef>
          </c:xVal>
          <c:yVal>
            <c:numRef>
              <c:f>'Notes | Quant Analysis'!$Q$210:$Q$211</c:f>
              <c:numCache>
                <c:formatCode>General</c:formatCode>
                <c:ptCount val="2"/>
                <c:pt idx="0">
                  <c:v>0</c:v>
                </c:pt>
                <c:pt idx="1">
                  <c:v>25</c:v>
                </c:pt>
              </c:numCache>
            </c:numRef>
          </c:yVal>
          <c:smooth val="1"/>
          <c:extLst>
            <c:ext xmlns:c16="http://schemas.microsoft.com/office/drawing/2014/chart" uri="{C3380CC4-5D6E-409C-BE32-E72D297353CC}">
              <c16:uniqueId val="{00000004-28C7-4862-86E9-AF862A5BA0AD}"/>
            </c:ext>
          </c:extLst>
        </c:ser>
        <c:ser>
          <c:idx val="3"/>
          <c:order val="3"/>
          <c:tx>
            <c:strRef>
              <c:f>'Notes | Quant Analysis'!$O$212</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5-28C7-4862-86E9-AF862A5BA0AD}"/>
                </c:ext>
              </c:extLst>
            </c:dLbl>
            <c:dLbl>
              <c:idx val="1"/>
              <c:layout>
                <c:manualLayout>
                  <c:x val="-4.7875101743308522E-2"/>
                  <c:y val="-2.9376911638598777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6-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Analysis'!$P$212:$P$213</c:f>
              <c:numCache>
                <c:formatCode>0.00%</c:formatCode>
                <c:ptCount val="2"/>
                <c:pt idx="0">
                  <c:v>-5.2025181849210157E-2</c:v>
                </c:pt>
                <c:pt idx="1">
                  <c:v>-5.2025181849210157E-2</c:v>
                </c:pt>
              </c:numCache>
            </c:numRef>
          </c:xVal>
          <c:yVal>
            <c:numRef>
              <c:f>'Notes | Quant Analysis'!$Q$212:$Q$213</c:f>
              <c:numCache>
                <c:formatCode>General</c:formatCode>
                <c:ptCount val="2"/>
                <c:pt idx="0">
                  <c:v>0</c:v>
                </c:pt>
                <c:pt idx="1">
                  <c:v>2</c:v>
                </c:pt>
              </c:numCache>
            </c:numRef>
          </c:yVal>
          <c:smooth val="1"/>
          <c:extLst>
            <c:ext xmlns:c16="http://schemas.microsoft.com/office/drawing/2014/chart" uri="{C3380CC4-5D6E-409C-BE32-E72D297353CC}">
              <c16:uniqueId val="{00000007-28C7-4862-86E9-AF862A5BA0AD}"/>
            </c:ext>
          </c:extLst>
        </c:ser>
        <c:ser>
          <c:idx val="4"/>
          <c:order val="4"/>
          <c:tx>
            <c:strRef>
              <c:f>'Notes | Quant Analysis'!$O$214</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8-28C7-4862-86E9-AF862A5BA0AD}"/>
                </c:ext>
              </c:extLst>
            </c:dLbl>
            <c:dLbl>
              <c:idx val="1"/>
              <c:layout>
                <c:manualLayout>
                  <c:x val="-5.6986719055381385E-2"/>
                  <c:y val="-2.5769311595971105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9-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Analysis'!$P$214:$P$215</c:f>
              <c:numCache>
                <c:formatCode>0.00%</c:formatCode>
                <c:ptCount val="2"/>
                <c:pt idx="0">
                  <c:v>-3.4716821092317871E-2</c:v>
                </c:pt>
                <c:pt idx="1">
                  <c:v>-3.4716821092317871E-2</c:v>
                </c:pt>
              </c:numCache>
            </c:numRef>
          </c:xVal>
          <c:yVal>
            <c:numRef>
              <c:f>'Notes | Quant Analysis'!$Q$214:$Q$215</c:f>
              <c:numCache>
                <c:formatCode>General</c:formatCode>
                <c:ptCount val="2"/>
                <c:pt idx="0">
                  <c:v>0</c:v>
                </c:pt>
                <c:pt idx="1">
                  <c:v>5</c:v>
                </c:pt>
              </c:numCache>
            </c:numRef>
          </c:yVal>
          <c:smooth val="1"/>
          <c:extLst>
            <c:ext xmlns:c16="http://schemas.microsoft.com/office/drawing/2014/chart" uri="{C3380CC4-5D6E-409C-BE32-E72D297353CC}">
              <c16:uniqueId val="{0000000A-28C7-4862-86E9-AF862A5BA0AD}"/>
            </c:ext>
          </c:extLst>
        </c:ser>
        <c:ser>
          <c:idx val="5"/>
          <c:order val="5"/>
          <c:tx>
            <c:strRef>
              <c:f>'Notes | Quant Analysis'!$O$216</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B-28C7-4862-86E9-AF862A5BA0AD}"/>
                </c:ext>
              </c:extLst>
            </c:dLbl>
            <c:dLbl>
              <c:idx val="1"/>
              <c:layout>
                <c:manualLayout>
                  <c:x val="-7.049737108952045E-2"/>
                  <c:y val="-3.7525832954035207E-2"/>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15:layout>
                    <c:manualLayout>
                      <c:w val="9.2338745394283703E-2"/>
                      <c:h val="5.2796134045517779E-2"/>
                    </c:manualLayout>
                  </c15:layout>
                </c:ext>
                <c:ext xmlns:c16="http://schemas.microsoft.com/office/drawing/2014/chart" uri="{C3380CC4-5D6E-409C-BE32-E72D297353CC}">
                  <c16:uniqueId val="{0000000C-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Analysis'!$P$216:$P$217</c:f>
              <c:numCache>
                <c:formatCode>0.00%</c:formatCode>
                <c:ptCount val="2"/>
                <c:pt idx="0">
                  <c:v>-1.7408460335425584E-2</c:v>
                </c:pt>
                <c:pt idx="1">
                  <c:v>-1.7408460335425584E-2</c:v>
                </c:pt>
              </c:numCache>
            </c:numRef>
          </c:xVal>
          <c:yVal>
            <c:numRef>
              <c:f>'Notes | Quant Analysis'!$Q$216:$Q$217</c:f>
              <c:numCache>
                <c:formatCode>General</c:formatCode>
                <c:ptCount val="2"/>
                <c:pt idx="0">
                  <c:v>0</c:v>
                </c:pt>
                <c:pt idx="1">
                  <c:v>15</c:v>
                </c:pt>
              </c:numCache>
            </c:numRef>
          </c:yVal>
          <c:smooth val="1"/>
          <c:extLst>
            <c:ext xmlns:c16="http://schemas.microsoft.com/office/drawing/2014/chart" uri="{C3380CC4-5D6E-409C-BE32-E72D297353CC}">
              <c16:uniqueId val="{0000000D-28C7-4862-86E9-AF862A5BA0AD}"/>
            </c:ext>
          </c:extLst>
        </c:ser>
        <c:ser>
          <c:idx val="6"/>
          <c:order val="6"/>
          <c:tx>
            <c:strRef>
              <c:f>'Notes | Quant Analysis'!$O$218</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E-28C7-4862-86E9-AF862A5BA0AD}"/>
                </c:ext>
              </c:extLst>
            </c:dLbl>
            <c:dLbl>
              <c:idx val="1"/>
              <c:layout>
                <c:manualLayout>
                  <c:x val="-3.8363231653924343E-2"/>
                  <c:y val="-5.5234067727905262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0-EE2D-40A7-A22D-BAD8FA8D64DC}"/>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Analysis'!$P$218:$P$219</c:f>
              <c:numCache>
                <c:formatCode>0.00%</c:formatCode>
                <c:ptCount val="2"/>
                <c:pt idx="0">
                  <c:v>1.720826117835899E-2</c:v>
                </c:pt>
                <c:pt idx="1">
                  <c:v>1.720826117835899E-2</c:v>
                </c:pt>
              </c:numCache>
            </c:numRef>
          </c:xVal>
          <c:yVal>
            <c:numRef>
              <c:f>'Notes | Quant Analysis'!$Q$218:$Q$219</c:f>
              <c:numCache>
                <c:formatCode>General</c:formatCode>
                <c:ptCount val="2"/>
                <c:pt idx="0">
                  <c:v>0</c:v>
                </c:pt>
                <c:pt idx="1">
                  <c:v>15</c:v>
                </c:pt>
              </c:numCache>
            </c:numRef>
          </c:yVal>
          <c:smooth val="1"/>
          <c:extLst>
            <c:ext xmlns:c16="http://schemas.microsoft.com/office/drawing/2014/chart" uri="{C3380CC4-5D6E-409C-BE32-E72D297353CC}">
              <c16:uniqueId val="{0000000F-28C7-4862-86E9-AF862A5BA0AD}"/>
            </c:ext>
          </c:extLst>
        </c:ser>
        <c:ser>
          <c:idx val="7"/>
          <c:order val="7"/>
          <c:tx>
            <c:strRef>
              <c:f>'Notes | Quant Analysis'!$O$220</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0-28C7-4862-86E9-AF862A5BA0AD}"/>
                </c:ext>
              </c:extLst>
            </c:dLbl>
            <c:dLbl>
              <c:idx val="1"/>
              <c:layout>
                <c:manualLayout>
                  <c:x val="-4.2227824806285591E-2"/>
                  <c:y val="-3.8565326125171433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1-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Analysis'!$P$220:$P$221</c:f>
              <c:numCache>
                <c:formatCode>0.00%</c:formatCode>
                <c:ptCount val="2"/>
                <c:pt idx="0">
                  <c:v>3.4516621935251277E-2</c:v>
                </c:pt>
                <c:pt idx="1">
                  <c:v>3.4516621935251277E-2</c:v>
                </c:pt>
              </c:numCache>
            </c:numRef>
          </c:xVal>
          <c:yVal>
            <c:numRef>
              <c:f>'Notes | Quant Analysis'!$Q$220:$Q$221</c:f>
              <c:numCache>
                <c:formatCode>General</c:formatCode>
                <c:ptCount val="2"/>
                <c:pt idx="0">
                  <c:v>0</c:v>
                </c:pt>
                <c:pt idx="1">
                  <c:v>5</c:v>
                </c:pt>
              </c:numCache>
            </c:numRef>
          </c:yVal>
          <c:smooth val="1"/>
          <c:extLst>
            <c:ext xmlns:c16="http://schemas.microsoft.com/office/drawing/2014/chart" uri="{C3380CC4-5D6E-409C-BE32-E72D297353CC}">
              <c16:uniqueId val="{00000012-28C7-4862-86E9-AF862A5BA0AD}"/>
            </c:ext>
          </c:extLst>
        </c:ser>
        <c:ser>
          <c:idx val="8"/>
          <c:order val="8"/>
          <c:tx>
            <c:strRef>
              <c:f>'Notes | Quant Analysis'!$O$222</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3-28C7-4862-86E9-AF862A5BA0AD}"/>
                </c:ext>
              </c:extLst>
            </c:dLbl>
            <c:dLbl>
              <c:idx val="1"/>
              <c:layout>
                <c:manualLayout>
                  <c:x val="-4.1461472392584069E-2"/>
                  <c:y val="-2.6657716222447753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4-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Analysis'!$P$222:$P$223</c:f>
              <c:numCache>
                <c:formatCode>0.00%</c:formatCode>
                <c:ptCount val="2"/>
                <c:pt idx="0">
                  <c:v>5.1824982692143563E-2</c:v>
                </c:pt>
                <c:pt idx="1">
                  <c:v>5.1824982692143563E-2</c:v>
                </c:pt>
              </c:numCache>
            </c:numRef>
          </c:xVal>
          <c:yVal>
            <c:numRef>
              <c:f>'Notes | Quant Analysis'!$Q$222:$Q$223</c:f>
              <c:numCache>
                <c:formatCode>General</c:formatCode>
                <c:ptCount val="2"/>
                <c:pt idx="0">
                  <c:v>0</c:v>
                </c:pt>
                <c:pt idx="1">
                  <c:v>2</c:v>
                </c:pt>
              </c:numCache>
            </c:numRef>
          </c:yVal>
          <c:smooth val="1"/>
          <c:extLst>
            <c:ext xmlns:c16="http://schemas.microsoft.com/office/drawing/2014/chart" uri="{C3380CC4-5D6E-409C-BE32-E72D297353CC}">
              <c16:uniqueId val="{00000015-28C7-4862-86E9-AF862A5BA0AD}"/>
            </c:ext>
          </c:extLst>
        </c:ser>
        <c:dLbls>
          <c:showLegendKey val="0"/>
          <c:showVal val="0"/>
          <c:showCatName val="0"/>
          <c:showSerName val="0"/>
          <c:showPercent val="0"/>
          <c:showBubbleSize val="0"/>
        </c:dLbls>
        <c:axId val="1274098191"/>
        <c:axId val="1274092911"/>
      </c:scatterChart>
      <c:valAx>
        <c:axId val="1274098191"/>
        <c:scaling>
          <c:orientation val="minMax"/>
          <c:max val="6.0000000000000012E-2"/>
          <c:min val="-6.0000000000000012E-2"/>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92911"/>
        <c:crossesAt val="0"/>
        <c:crossBetween val="midCat"/>
        <c:majorUnit val="1.0000000000000002E-2"/>
      </c:valAx>
      <c:valAx>
        <c:axId val="1274092911"/>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98191"/>
        <c:crossesAt val="-1000"/>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(AMZN) Revenue by Segment (in $ millions)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5494345782263378E-2"/>
          <c:y val="0.16630261573867286"/>
          <c:w val="0.90335410284987017"/>
          <c:h val="0.74917903495450422"/>
        </c:manualLayout>
      </c:layout>
      <c:barChart>
        <c:barDir val="col"/>
        <c:grouping val="stacked"/>
        <c:varyColors val="0"/>
        <c:ser>
          <c:idx val="3"/>
          <c:order val="0"/>
          <c:tx>
            <c:strRef>
              <c:f>Model!$B$7</c:f>
              <c:strCache>
                <c:ptCount val="1"/>
                <c:pt idx="0">
                  <c:v>Advertising Services</c:v>
                </c:pt>
              </c:strCache>
            </c:strRef>
          </c:tx>
          <c:spPr>
            <a:solidFill>
              <a:srgbClr val="FABE00"/>
            </a:solidFill>
            <a:ln>
              <a:noFill/>
            </a:ln>
            <a:effectLst/>
          </c:spPr>
          <c:invertIfNegative val="0"/>
          <c:cat>
            <c:strRef>
              <c:f>Model!$BC$1:$BP$1</c:f>
              <c:strCache>
                <c:ptCount val="13"/>
                <c:pt idx="0">
                  <c:v>Q1 2022</c:v>
                </c:pt>
                <c:pt idx="4">
                  <c:v>Q1 2023</c:v>
                </c:pt>
                <c:pt idx="8">
                  <c:v>Q1 2024</c:v>
                </c:pt>
                <c:pt idx="12">
                  <c:v>Q1 2025</c:v>
                </c:pt>
              </c:strCache>
            </c:strRef>
          </c:cat>
          <c:val>
            <c:numRef>
              <c:f>Model!$BC$7:$BQ$7</c:f>
              <c:numCache>
                <c:formatCode>General</c:formatCode>
                <c:ptCount val="15"/>
                <c:pt idx="0">
                  <c:v>8410</c:v>
                </c:pt>
                <c:pt idx="1">
                  <c:v>8716</c:v>
                </c:pt>
                <c:pt idx="2">
                  <c:v>8903</c:v>
                </c:pt>
                <c:pt idx="3">
                  <c:v>11710</c:v>
                </c:pt>
                <c:pt idx="4">
                  <c:v>9657</c:v>
                </c:pt>
                <c:pt idx="5">
                  <c:v>9894</c:v>
                </c:pt>
                <c:pt idx="6">
                  <c:v>12060</c:v>
                </c:pt>
                <c:pt idx="7">
                  <c:v>15295</c:v>
                </c:pt>
                <c:pt idx="8">
                  <c:v>11824</c:v>
                </c:pt>
                <c:pt idx="9">
                  <c:v>12771</c:v>
                </c:pt>
                <c:pt idx="10">
                  <c:v>14331</c:v>
                </c:pt>
                <c:pt idx="11">
                  <c:v>17288</c:v>
                </c:pt>
                <c:pt idx="12">
                  <c:v>13921</c:v>
                </c:pt>
                <c:pt idx="13">
                  <c:v>15694</c:v>
                </c:pt>
                <c:pt idx="14">
                  <c:v>17703</c:v>
                </c:pt>
              </c:numCache>
            </c:numRef>
          </c:val>
          <c:extLst>
            <c:ext xmlns:c16="http://schemas.microsoft.com/office/drawing/2014/chart" uri="{C3380CC4-5D6E-409C-BE32-E72D297353CC}">
              <c16:uniqueId val="{00000001-504D-4566-B9BF-36D96C02AC8C}"/>
            </c:ext>
          </c:extLst>
        </c:ser>
        <c:ser>
          <c:idx val="4"/>
          <c:order val="1"/>
          <c:tx>
            <c:strRef>
              <c:f>Model!$B$8</c:f>
              <c:strCache>
                <c:ptCount val="1"/>
                <c:pt idx="0">
                  <c:v>Subscription Services</c:v>
                </c:pt>
              </c:strCache>
            </c:strRef>
          </c:tx>
          <c:spPr>
            <a:solidFill>
              <a:srgbClr val="FF5367"/>
            </a:solidFill>
            <a:ln>
              <a:noFill/>
            </a:ln>
            <a:effectLst/>
          </c:spPr>
          <c:invertIfNegative val="0"/>
          <c:cat>
            <c:strRef>
              <c:f>Model!$BC$1:$BP$1</c:f>
              <c:strCache>
                <c:ptCount val="13"/>
                <c:pt idx="0">
                  <c:v>Q1 2022</c:v>
                </c:pt>
                <c:pt idx="4">
                  <c:v>Q1 2023</c:v>
                </c:pt>
                <c:pt idx="8">
                  <c:v>Q1 2024</c:v>
                </c:pt>
                <c:pt idx="12">
                  <c:v>Q1 2025</c:v>
                </c:pt>
              </c:strCache>
            </c:strRef>
          </c:cat>
          <c:val>
            <c:numRef>
              <c:f>Model!$BC$8:$BQ$8</c:f>
              <c:numCache>
                <c:formatCode>General</c:formatCode>
                <c:ptCount val="15"/>
                <c:pt idx="0">
                  <c:v>7877</c:v>
                </c:pt>
                <c:pt idx="1">
                  <c:v>8757</c:v>
                </c:pt>
                <c:pt idx="2">
                  <c:v>9548</c:v>
                </c:pt>
                <c:pt idx="3">
                  <c:v>9036</c:v>
                </c:pt>
                <c:pt idx="4">
                  <c:v>9509</c:v>
                </c:pt>
                <c:pt idx="5">
                  <c:v>10683</c:v>
                </c:pt>
                <c:pt idx="6">
                  <c:v>10170</c:v>
                </c:pt>
                <c:pt idx="7">
                  <c:v>9847</c:v>
                </c:pt>
                <c:pt idx="8">
                  <c:v>10722</c:v>
                </c:pt>
                <c:pt idx="9">
                  <c:v>10866</c:v>
                </c:pt>
                <c:pt idx="10">
                  <c:v>11278</c:v>
                </c:pt>
                <c:pt idx="11">
                  <c:v>11508</c:v>
                </c:pt>
                <c:pt idx="12">
                  <c:v>11715</c:v>
                </c:pt>
                <c:pt idx="13">
                  <c:v>12208</c:v>
                </c:pt>
                <c:pt idx="14">
                  <c:v>12574</c:v>
                </c:pt>
              </c:numCache>
            </c:numRef>
          </c:val>
          <c:extLst>
            <c:ext xmlns:c16="http://schemas.microsoft.com/office/drawing/2014/chart" uri="{C3380CC4-5D6E-409C-BE32-E72D297353CC}">
              <c16:uniqueId val="{00000002-504D-4566-B9BF-36D96C02AC8C}"/>
            </c:ext>
          </c:extLst>
        </c:ser>
        <c:ser>
          <c:idx val="1"/>
          <c:order val="2"/>
          <c:tx>
            <c:strRef>
              <c:f>Model!$B$5</c:f>
              <c:strCache>
                <c:ptCount val="1"/>
                <c:pt idx="0">
                  <c:v>Physical Stores</c:v>
                </c:pt>
              </c:strCache>
            </c:strRef>
          </c:tx>
          <c:spPr>
            <a:solidFill>
              <a:srgbClr val="00C87B"/>
            </a:solidFill>
            <a:ln>
              <a:noFill/>
            </a:ln>
            <a:effectLst/>
          </c:spPr>
          <c:invertIfNegative val="0"/>
          <c:cat>
            <c:strRef>
              <c:f>Model!$BC$1:$BP$1</c:f>
              <c:strCache>
                <c:ptCount val="13"/>
                <c:pt idx="0">
                  <c:v>Q1 2022</c:v>
                </c:pt>
                <c:pt idx="4">
                  <c:v>Q1 2023</c:v>
                </c:pt>
                <c:pt idx="8">
                  <c:v>Q1 2024</c:v>
                </c:pt>
                <c:pt idx="12">
                  <c:v>Q1 2025</c:v>
                </c:pt>
              </c:strCache>
            </c:strRef>
          </c:cat>
          <c:val>
            <c:numRef>
              <c:f>Model!$BC$5:$BQ$5</c:f>
              <c:numCache>
                <c:formatCode>General</c:formatCode>
                <c:ptCount val="15"/>
                <c:pt idx="0">
                  <c:v>4591</c:v>
                </c:pt>
                <c:pt idx="1">
                  <c:v>4721</c:v>
                </c:pt>
                <c:pt idx="2">
                  <c:v>4694</c:v>
                </c:pt>
                <c:pt idx="3">
                  <c:v>4957</c:v>
                </c:pt>
                <c:pt idx="4">
                  <c:v>4895</c:v>
                </c:pt>
                <c:pt idx="5">
                  <c:v>5024</c:v>
                </c:pt>
                <c:pt idx="6">
                  <c:v>4959</c:v>
                </c:pt>
                <c:pt idx="7">
                  <c:v>5152</c:v>
                </c:pt>
                <c:pt idx="8">
                  <c:v>5202</c:v>
                </c:pt>
                <c:pt idx="9">
                  <c:v>5206</c:v>
                </c:pt>
                <c:pt idx="10">
                  <c:v>5228</c:v>
                </c:pt>
                <c:pt idx="11">
                  <c:v>5579</c:v>
                </c:pt>
                <c:pt idx="12">
                  <c:v>5533</c:v>
                </c:pt>
                <c:pt idx="13">
                  <c:v>5595</c:v>
                </c:pt>
                <c:pt idx="14">
                  <c:v>5578</c:v>
                </c:pt>
              </c:numCache>
            </c:numRef>
          </c:val>
          <c:extLst>
            <c:ext xmlns:c16="http://schemas.microsoft.com/office/drawing/2014/chart" uri="{C3380CC4-5D6E-409C-BE32-E72D297353CC}">
              <c16:uniqueId val="{00000000-504D-4566-B9BF-36D96C02AC8C}"/>
            </c:ext>
          </c:extLst>
        </c:ser>
        <c:ser>
          <c:idx val="5"/>
          <c:order val="3"/>
          <c:tx>
            <c:strRef>
              <c:f>Model!$B$9</c:f>
              <c:strCache>
                <c:ptCount val="1"/>
                <c:pt idx="0">
                  <c:v>AWS</c:v>
                </c:pt>
              </c:strCache>
            </c:strRef>
          </c:tx>
          <c:spPr>
            <a:solidFill>
              <a:srgbClr val="C5E500"/>
            </a:solidFill>
            <a:ln>
              <a:noFill/>
            </a:ln>
            <a:effectLst/>
          </c:spPr>
          <c:invertIfNegative val="0"/>
          <c:cat>
            <c:strRef>
              <c:f>Model!$BC$1:$BP$1</c:f>
              <c:strCache>
                <c:ptCount val="13"/>
                <c:pt idx="0">
                  <c:v>Q1 2022</c:v>
                </c:pt>
                <c:pt idx="4">
                  <c:v>Q1 2023</c:v>
                </c:pt>
                <c:pt idx="8">
                  <c:v>Q1 2024</c:v>
                </c:pt>
                <c:pt idx="12">
                  <c:v>Q1 2025</c:v>
                </c:pt>
              </c:strCache>
            </c:strRef>
          </c:cat>
          <c:val>
            <c:numRef>
              <c:f>Model!$BC$9:$BQ$9</c:f>
              <c:numCache>
                <c:formatCode>General</c:formatCode>
                <c:ptCount val="15"/>
                <c:pt idx="0">
                  <c:v>18441</c:v>
                </c:pt>
                <c:pt idx="1">
                  <c:v>19739</c:v>
                </c:pt>
                <c:pt idx="2">
                  <c:v>20538</c:v>
                </c:pt>
                <c:pt idx="3">
                  <c:v>21378</c:v>
                </c:pt>
                <c:pt idx="4">
                  <c:v>21354</c:v>
                </c:pt>
                <c:pt idx="5">
                  <c:v>22140</c:v>
                </c:pt>
                <c:pt idx="6">
                  <c:v>23059</c:v>
                </c:pt>
                <c:pt idx="7">
                  <c:v>24204</c:v>
                </c:pt>
                <c:pt idx="8">
                  <c:v>25037</c:v>
                </c:pt>
                <c:pt idx="9">
                  <c:v>26281</c:v>
                </c:pt>
                <c:pt idx="10">
                  <c:v>27452</c:v>
                </c:pt>
                <c:pt idx="11">
                  <c:v>28786</c:v>
                </c:pt>
                <c:pt idx="12">
                  <c:v>29267</c:v>
                </c:pt>
                <c:pt idx="13">
                  <c:v>30873</c:v>
                </c:pt>
                <c:pt idx="14">
                  <c:v>33006</c:v>
                </c:pt>
              </c:numCache>
            </c:numRef>
          </c:val>
          <c:extLst>
            <c:ext xmlns:c16="http://schemas.microsoft.com/office/drawing/2014/chart" uri="{C3380CC4-5D6E-409C-BE32-E72D297353CC}">
              <c16:uniqueId val="{00000003-504D-4566-B9BF-36D96C02AC8C}"/>
            </c:ext>
          </c:extLst>
        </c:ser>
        <c:ser>
          <c:idx val="6"/>
          <c:order val="4"/>
          <c:tx>
            <c:strRef>
              <c:f>Model!$B$10</c:f>
              <c:strCache>
                <c:ptCount val="1"/>
                <c:pt idx="0">
                  <c:v>Other</c:v>
                </c:pt>
              </c:strCache>
            </c:strRef>
          </c:tx>
          <c:spPr>
            <a:solidFill>
              <a:srgbClr val="7030A0"/>
            </a:solidFill>
            <a:ln>
              <a:noFill/>
            </a:ln>
            <a:effectLst/>
          </c:spPr>
          <c:invertIfNegative val="0"/>
          <c:cat>
            <c:strRef>
              <c:f>Model!$BC$1:$BP$1</c:f>
              <c:strCache>
                <c:ptCount val="13"/>
                <c:pt idx="0">
                  <c:v>Q1 2022</c:v>
                </c:pt>
                <c:pt idx="4">
                  <c:v>Q1 2023</c:v>
                </c:pt>
                <c:pt idx="8">
                  <c:v>Q1 2024</c:v>
                </c:pt>
                <c:pt idx="12">
                  <c:v>Q1 2025</c:v>
                </c:pt>
              </c:strCache>
            </c:strRef>
          </c:cat>
          <c:val>
            <c:numRef>
              <c:f>Model!$BC$10:$BQ$10</c:f>
              <c:numCache>
                <c:formatCode>General</c:formatCode>
                <c:ptCount val="15"/>
                <c:pt idx="0">
                  <c:v>661</c:v>
                </c:pt>
                <c:pt idx="1">
                  <c:v>1070</c:v>
                </c:pt>
                <c:pt idx="2">
                  <c:v>1263</c:v>
                </c:pt>
                <c:pt idx="3">
                  <c:v>1253</c:v>
                </c:pt>
                <c:pt idx="4">
                  <c:v>1027</c:v>
                </c:pt>
                <c:pt idx="5">
                  <c:v>1344</c:v>
                </c:pt>
                <c:pt idx="6">
                  <c:v>1226</c:v>
                </c:pt>
                <c:pt idx="7">
                  <c:v>1361</c:v>
                </c:pt>
                <c:pt idx="8">
                  <c:v>1262</c:v>
                </c:pt>
                <c:pt idx="9">
                  <c:v>1260</c:v>
                </c:pt>
                <c:pt idx="10">
                  <c:v>1313</c:v>
                </c:pt>
                <c:pt idx="11">
                  <c:v>1590</c:v>
                </c:pt>
                <c:pt idx="12">
                  <c:v>1312</c:v>
                </c:pt>
                <c:pt idx="13">
                  <c:v>1499</c:v>
                </c:pt>
                <c:pt idx="14">
                  <c:v>1415</c:v>
                </c:pt>
              </c:numCache>
            </c:numRef>
          </c:val>
          <c:extLst>
            <c:ext xmlns:c16="http://schemas.microsoft.com/office/drawing/2014/chart" uri="{C3380CC4-5D6E-409C-BE32-E72D297353CC}">
              <c16:uniqueId val="{00000004-504D-4566-B9BF-36D96C02AC8C}"/>
            </c:ext>
          </c:extLst>
        </c:ser>
        <c:ser>
          <c:idx val="2"/>
          <c:order val="5"/>
          <c:tx>
            <c:strRef>
              <c:f>Model!$B$6</c:f>
              <c:strCache>
                <c:ptCount val="1"/>
                <c:pt idx="0">
                  <c:v>Third-party Seller Services</c:v>
                </c:pt>
              </c:strCache>
            </c:strRef>
          </c:tx>
          <c:spPr>
            <a:solidFill>
              <a:srgbClr val="F3B285"/>
            </a:solidFill>
            <a:ln>
              <a:noFill/>
            </a:ln>
            <a:effectLst/>
          </c:spPr>
          <c:invertIfNegative val="0"/>
          <c:cat>
            <c:strRef>
              <c:f>Model!$BC$1:$BP$1</c:f>
              <c:strCache>
                <c:ptCount val="13"/>
                <c:pt idx="0">
                  <c:v>Q1 2022</c:v>
                </c:pt>
                <c:pt idx="4">
                  <c:v>Q1 2023</c:v>
                </c:pt>
                <c:pt idx="8">
                  <c:v>Q1 2024</c:v>
                </c:pt>
                <c:pt idx="12">
                  <c:v>Q1 2025</c:v>
                </c:pt>
              </c:strCache>
            </c:strRef>
          </c:cat>
          <c:val>
            <c:numRef>
              <c:f>Model!$BC$6:$BQ$6</c:f>
              <c:numCache>
                <c:formatCode>General</c:formatCode>
                <c:ptCount val="15"/>
                <c:pt idx="0">
                  <c:v>25335</c:v>
                </c:pt>
                <c:pt idx="1">
                  <c:v>27376</c:v>
                </c:pt>
                <c:pt idx="2">
                  <c:v>28666</c:v>
                </c:pt>
                <c:pt idx="3">
                  <c:v>36339</c:v>
                </c:pt>
                <c:pt idx="4">
                  <c:v>29820</c:v>
                </c:pt>
                <c:pt idx="5">
                  <c:v>32332</c:v>
                </c:pt>
                <c:pt idx="6">
                  <c:v>34342</c:v>
                </c:pt>
                <c:pt idx="7">
                  <c:v>43559</c:v>
                </c:pt>
                <c:pt idx="8">
                  <c:v>34596</c:v>
                </c:pt>
                <c:pt idx="9">
                  <c:v>36201</c:v>
                </c:pt>
                <c:pt idx="10">
                  <c:v>37864</c:v>
                </c:pt>
                <c:pt idx="11">
                  <c:v>47485</c:v>
                </c:pt>
                <c:pt idx="12">
                  <c:v>36512</c:v>
                </c:pt>
                <c:pt idx="13">
                  <c:v>40348</c:v>
                </c:pt>
                <c:pt idx="14">
                  <c:v>42486</c:v>
                </c:pt>
              </c:numCache>
            </c:numRef>
          </c:val>
          <c:extLst>
            <c:ext xmlns:c16="http://schemas.microsoft.com/office/drawing/2014/chart" uri="{C3380CC4-5D6E-409C-BE32-E72D297353CC}">
              <c16:uniqueId val="{00000005-504D-4566-B9BF-36D96C02AC8C}"/>
            </c:ext>
          </c:extLst>
        </c:ser>
        <c:ser>
          <c:idx val="0"/>
          <c:order val="6"/>
          <c:tx>
            <c:strRef>
              <c:f>Model!$B$4</c:f>
              <c:strCache>
                <c:ptCount val="1"/>
                <c:pt idx="0">
                  <c:v>Online Stores</c:v>
                </c:pt>
              </c:strCache>
            </c:strRef>
          </c:tx>
          <c:spPr>
            <a:solidFill>
              <a:srgbClr val="73A9DB"/>
            </a:solidFill>
            <a:ln>
              <a:noFill/>
            </a:ln>
            <a:effectLst/>
          </c:spPr>
          <c:invertIfNegative val="0"/>
          <c:cat>
            <c:strRef>
              <c:f>Model!$BC$1:$BP$1</c:f>
              <c:strCache>
                <c:ptCount val="13"/>
                <c:pt idx="0">
                  <c:v>Q1 2022</c:v>
                </c:pt>
                <c:pt idx="4">
                  <c:v>Q1 2023</c:v>
                </c:pt>
                <c:pt idx="8">
                  <c:v>Q1 2024</c:v>
                </c:pt>
                <c:pt idx="12">
                  <c:v>Q1 2025</c:v>
                </c:pt>
              </c:strCache>
            </c:strRef>
          </c:cat>
          <c:val>
            <c:numRef>
              <c:f>Model!$BC$4:$BQ$4</c:f>
              <c:numCache>
                <c:formatCode>General</c:formatCode>
                <c:ptCount val="15"/>
                <c:pt idx="0">
                  <c:v>51129</c:v>
                </c:pt>
                <c:pt idx="1">
                  <c:v>50855</c:v>
                </c:pt>
                <c:pt idx="2">
                  <c:v>53489</c:v>
                </c:pt>
                <c:pt idx="3">
                  <c:v>64531</c:v>
                </c:pt>
                <c:pt idx="4">
                  <c:v>51096</c:v>
                </c:pt>
                <c:pt idx="5">
                  <c:v>52966</c:v>
                </c:pt>
                <c:pt idx="6">
                  <c:v>57267</c:v>
                </c:pt>
                <c:pt idx="7">
                  <c:v>70543</c:v>
                </c:pt>
                <c:pt idx="8">
                  <c:v>54670</c:v>
                </c:pt>
                <c:pt idx="9">
                  <c:v>55392</c:v>
                </c:pt>
                <c:pt idx="10">
                  <c:v>61411</c:v>
                </c:pt>
                <c:pt idx="11">
                  <c:v>75556</c:v>
                </c:pt>
                <c:pt idx="12">
                  <c:v>57407</c:v>
                </c:pt>
                <c:pt idx="13">
                  <c:v>61485</c:v>
                </c:pt>
                <c:pt idx="14">
                  <c:v>67407</c:v>
                </c:pt>
              </c:numCache>
            </c:numRef>
          </c:val>
          <c:extLst>
            <c:ext xmlns:c16="http://schemas.microsoft.com/office/drawing/2014/chart" uri="{C3380CC4-5D6E-409C-BE32-E72D297353CC}">
              <c16:uniqueId val="{00000006-504D-4566-B9BF-36D96C02AC8C}"/>
            </c:ext>
          </c:extLst>
        </c:ser>
        <c:dLbls>
          <c:showLegendKey val="0"/>
          <c:showVal val="0"/>
          <c:showCatName val="0"/>
          <c:showSerName val="0"/>
          <c:showPercent val="0"/>
          <c:showBubbleSize val="0"/>
        </c:dLbls>
        <c:gapWidth val="46"/>
        <c:overlap val="100"/>
        <c:axId val="826587039"/>
        <c:axId val="826586079"/>
      </c:barChart>
      <c:catAx>
        <c:axId val="826587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6079"/>
        <c:crossesAt val="-10000"/>
        <c:auto val="1"/>
        <c:lblAlgn val="ctr"/>
        <c:lblOffset val="100"/>
        <c:noMultiLvlLbl val="0"/>
      </c:catAx>
      <c:valAx>
        <c:axId val="826586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703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(AMZN) Quarterly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1"/>
          <c:order val="1"/>
          <c:tx>
            <c:v>Income</c:v>
          </c:tx>
          <c:spPr>
            <a:solidFill>
              <a:srgbClr val="FFC000"/>
            </a:solidFill>
            <a:ln>
              <a:solidFill>
                <a:srgbClr val="FFC000"/>
              </a:solidFill>
            </a:ln>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Model!$AU$60:$BQ$60</c:f>
              <c:numCache>
                <c:formatCode>General</c:formatCode>
                <c:ptCount val="23"/>
                <c:pt idx="0">
                  <c:v>2535</c:v>
                </c:pt>
                <c:pt idx="1">
                  <c:v>5243</c:v>
                </c:pt>
                <c:pt idx="2">
                  <c:v>6149</c:v>
                </c:pt>
                <c:pt idx="3">
                  <c:v>7404</c:v>
                </c:pt>
                <c:pt idx="4">
                  <c:v>8107</c:v>
                </c:pt>
                <c:pt idx="5">
                  <c:v>7778</c:v>
                </c:pt>
                <c:pt idx="6">
                  <c:v>3156</c:v>
                </c:pt>
                <c:pt idx="7">
                  <c:v>14323</c:v>
                </c:pt>
                <c:pt idx="8">
                  <c:v>-3844</c:v>
                </c:pt>
                <c:pt idx="9">
                  <c:v>-2028</c:v>
                </c:pt>
                <c:pt idx="10">
                  <c:v>2872</c:v>
                </c:pt>
                <c:pt idx="11">
                  <c:v>278</c:v>
                </c:pt>
                <c:pt idx="12">
                  <c:v>3172</c:v>
                </c:pt>
                <c:pt idx="13">
                  <c:v>6750</c:v>
                </c:pt>
                <c:pt idx="14">
                  <c:v>9879</c:v>
                </c:pt>
                <c:pt idx="15">
                  <c:v>10624</c:v>
                </c:pt>
                <c:pt idx="16">
                  <c:v>10431</c:v>
                </c:pt>
                <c:pt idx="17">
                  <c:v>13485</c:v>
                </c:pt>
                <c:pt idx="18">
                  <c:v>15328</c:v>
                </c:pt>
                <c:pt idx="19">
                  <c:v>20004</c:v>
                </c:pt>
                <c:pt idx="20">
                  <c:v>17127</c:v>
                </c:pt>
                <c:pt idx="21">
                  <c:v>18164</c:v>
                </c:pt>
                <c:pt idx="22">
                  <c:v>35153</c:v>
                </c:pt>
              </c:numCache>
            </c:numRef>
          </c:val>
          <c:extLst>
            <c:ext xmlns:c16="http://schemas.microsoft.com/office/drawing/2014/chart" uri="{C3380CC4-5D6E-409C-BE32-E72D297353CC}">
              <c16:uniqueId val="{00000000-BC95-42AE-8094-3E712704FD2F}"/>
            </c:ext>
          </c:extLst>
        </c:ser>
        <c:ser>
          <c:idx val="2"/>
          <c:order val="2"/>
          <c:tx>
            <c:v>FCF</c:v>
          </c:tx>
          <c:spPr>
            <a:solidFill>
              <a:srgbClr val="00B050"/>
            </a:solidFill>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Model!$AU$105:$BQ$105</c:f>
              <c:numCache>
                <c:formatCode>General</c:formatCode>
                <c:ptCount val="23"/>
                <c:pt idx="0">
                  <c:v>-2364</c:v>
                </c:pt>
                <c:pt idx="1">
                  <c:v>13991</c:v>
                </c:pt>
                <c:pt idx="2">
                  <c:v>2156</c:v>
                </c:pt>
                <c:pt idx="3">
                  <c:v>17237</c:v>
                </c:pt>
                <c:pt idx="4">
                  <c:v>-6974</c:v>
                </c:pt>
                <c:pt idx="5">
                  <c:v>-273</c:v>
                </c:pt>
                <c:pt idx="6">
                  <c:v>-7438</c:v>
                </c:pt>
                <c:pt idx="7">
                  <c:v>5616</c:v>
                </c:pt>
                <c:pt idx="8">
                  <c:v>-16532</c:v>
                </c:pt>
                <c:pt idx="9">
                  <c:v>-5133</c:v>
                </c:pt>
                <c:pt idx="10">
                  <c:v>-3637</c:v>
                </c:pt>
                <c:pt idx="11">
                  <c:v>13733</c:v>
                </c:pt>
                <c:pt idx="12">
                  <c:v>-8282</c:v>
                </c:pt>
                <c:pt idx="13">
                  <c:v>6064</c:v>
                </c:pt>
                <c:pt idx="14">
                  <c:v>9919</c:v>
                </c:pt>
                <c:pt idx="15">
                  <c:v>29112</c:v>
                </c:pt>
                <c:pt idx="16">
                  <c:v>5054</c:v>
                </c:pt>
                <c:pt idx="17">
                  <c:v>8888</c:v>
                </c:pt>
                <c:pt idx="18">
                  <c:v>4693</c:v>
                </c:pt>
                <c:pt idx="19">
                  <c:v>19584</c:v>
                </c:pt>
                <c:pt idx="20">
                  <c:v>-7240</c:v>
                </c:pt>
                <c:pt idx="21">
                  <c:v>1147</c:v>
                </c:pt>
                <c:pt idx="22">
                  <c:v>430</c:v>
                </c:pt>
              </c:numCache>
            </c:numRef>
          </c:val>
          <c:extLst>
            <c:ext xmlns:c16="http://schemas.microsoft.com/office/drawing/2014/chart" uri="{C3380CC4-5D6E-409C-BE32-E72D297353CC}">
              <c16:uniqueId val="{00000001-BC95-42AE-8094-3E712704FD2F}"/>
            </c:ext>
          </c:extLst>
        </c:ser>
        <c:dLbls>
          <c:showLegendKey val="0"/>
          <c:showVal val="0"/>
          <c:showCatName val="0"/>
          <c:showSerName val="0"/>
          <c:showPercent val="0"/>
          <c:showBubbleSize val="0"/>
        </c:dLbls>
        <c:gapWidth val="57"/>
        <c:overlap val="-2"/>
        <c:axId val="1243124976"/>
        <c:axId val="1243123056"/>
      </c:barChart>
      <c:lineChart>
        <c:grouping val="standard"/>
        <c:varyColors val="0"/>
        <c:ser>
          <c:idx val="0"/>
          <c:order val="0"/>
          <c:tx>
            <c:v>Revenues</c:v>
          </c:tx>
          <c:spPr>
            <a:ln>
              <a:solidFill>
                <a:srgbClr val="00B0F0"/>
              </a:solidFill>
            </a:ln>
          </c:spPr>
          <c:marker>
            <c:symbol val="none"/>
          </c:marker>
          <c:cat>
            <c:strRef>
              <c:f>Model!$AU$1:$BP$1</c:f>
              <c:strCache>
                <c:ptCount val="21"/>
                <c:pt idx="0">
                  <c:v>Q1 2020</c:v>
                </c:pt>
                <c:pt idx="4">
                  <c:v>Q1 2021</c:v>
                </c:pt>
                <c:pt idx="8">
                  <c:v>Q1 2022</c:v>
                </c:pt>
                <c:pt idx="12">
                  <c:v>Q1 2023</c:v>
                </c:pt>
                <c:pt idx="16">
                  <c:v>Q1 2024</c:v>
                </c:pt>
                <c:pt idx="20">
                  <c:v>Q1 2025</c:v>
                </c:pt>
              </c:strCache>
            </c:strRef>
          </c:cat>
          <c:val>
            <c:numRef>
              <c:f>Model!$AU$44:$BQ$44</c:f>
              <c:numCache>
                <c:formatCode>General</c:formatCode>
                <c:ptCount val="23"/>
                <c:pt idx="0">
                  <c:v>75452</c:v>
                </c:pt>
                <c:pt idx="1">
                  <c:v>88912</c:v>
                </c:pt>
                <c:pt idx="2">
                  <c:v>96145</c:v>
                </c:pt>
                <c:pt idx="3">
                  <c:v>125555</c:v>
                </c:pt>
                <c:pt idx="4">
                  <c:v>108518</c:v>
                </c:pt>
                <c:pt idx="5">
                  <c:v>113080</c:v>
                </c:pt>
                <c:pt idx="6">
                  <c:v>110812</c:v>
                </c:pt>
                <c:pt idx="7">
                  <c:v>137412</c:v>
                </c:pt>
                <c:pt idx="8">
                  <c:v>116444</c:v>
                </c:pt>
                <c:pt idx="9">
                  <c:v>121234</c:v>
                </c:pt>
                <c:pt idx="10">
                  <c:v>127101</c:v>
                </c:pt>
                <c:pt idx="11">
                  <c:v>149204</c:v>
                </c:pt>
                <c:pt idx="12">
                  <c:v>127358</c:v>
                </c:pt>
                <c:pt idx="13">
                  <c:v>134383</c:v>
                </c:pt>
                <c:pt idx="14">
                  <c:v>143083</c:v>
                </c:pt>
                <c:pt idx="15">
                  <c:v>169961</c:v>
                </c:pt>
                <c:pt idx="16">
                  <c:v>143313</c:v>
                </c:pt>
                <c:pt idx="17">
                  <c:v>147977</c:v>
                </c:pt>
                <c:pt idx="18">
                  <c:v>158877</c:v>
                </c:pt>
                <c:pt idx="19">
                  <c:v>187792</c:v>
                </c:pt>
                <c:pt idx="20">
                  <c:v>155667</c:v>
                </c:pt>
                <c:pt idx="21">
                  <c:v>167702</c:v>
                </c:pt>
                <c:pt idx="22">
                  <c:v>180169</c:v>
                </c:pt>
              </c:numCache>
            </c:numRef>
          </c:val>
          <c:smooth val="0"/>
          <c:extLst>
            <c:ext xmlns:c16="http://schemas.microsoft.com/office/drawing/2014/chart" uri="{C3380CC4-5D6E-409C-BE32-E72D297353CC}">
              <c16:uniqueId val="{00000002-BC95-42AE-8094-3E712704FD2F}"/>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(AMZN) Annual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1"/>
          <c:order val="1"/>
          <c:tx>
            <c:v>Income</c:v>
          </c:tx>
          <c:spPr>
            <a:solidFill>
              <a:srgbClr val="FABE00"/>
            </a:solidFill>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Model!$BZ$60:$CO$60</c:f>
              <c:numCache>
                <c:formatCode>General</c:formatCode>
                <c:ptCount val="16"/>
                <c:pt idx="0">
                  <c:v>902</c:v>
                </c:pt>
                <c:pt idx="1">
                  <c:v>1152</c:v>
                </c:pt>
                <c:pt idx="2">
                  <c:v>631</c:v>
                </c:pt>
                <c:pt idx="3">
                  <c:v>-39</c:v>
                </c:pt>
                <c:pt idx="4">
                  <c:v>274</c:v>
                </c:pt>
                <c:pt idx="5">
                  <c:v>-241</c:v>
                </c:pt>
                <c:pt idx="6">
                  <c:v>596</c:v>
                </c:pt>
                <c:pt idx="7">
                  <c:v>2371</c:v>
                </c:pt>
                <c:pt idx="8">
                  <c:v>3033</c:v>
                </c:pt>
                <c:pt idx="9">
                  <c:v>10073</c:v>
                </c:pt>
                <c:pt idx="10">
                  <c:v>11588</c:v>
                </c:pt>
                <c:pt idx="11">
                  <c:v>21331</c:v>
                </c:pt>
                <c:pt idx="12">
                  <c:v>33364</c:v>
                </c:pt>
                <c:pt idx="13">
                  <c:v>-2722</c:v>
                </c:pt>
                <c:pt idx="14">
                  <c:v>30425</c:v>
                </c:pt>
                <c:pt idx="15">
                  <c:v>59248</c:v>
                </c:pt>
              </c:numCache>
            </c:numRef>
          </c:val>
          <c:extLst>
            <c:ext xmlns:c16="http://schemas.microsoft.com/office/drawing/2014/chart" uri="{C3380CC4-5D6E-409C-BE32-E72D297353CC}">
              <c16:uniqueId val="{00000000-EBDA-4858-B9E4-2D6B81701F3B}"/>
            </c:ext>
          </c:extLst>
        </c:ser>
        <c:ser>
          <c:idx val="2"/>
          <c:order val="2"/>
          <c:tx>
            <c:v>FCF</c:v>
          </c:tx>
          <c:spPr>
            <a:solidFill>
              <a:srgbClr val="00B050"/>
            </a:solidFill>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Model!$BZ$105:$CO$105</c:f>
              <c:numCache>
                <c:formatCode>General</c:formatCode>
                <c:ptCount val="16"/>
                <c:pt idx="0">
                  <c:v>2920</c:v>
                </c:pt>
                <c:pt idx="1">
                  <c:v>2516</c:v>
                </c:pt>
                <c:pt idx="2">
                  <c:v>2092</c:v>
                </c:pt>
                <c:pt idx="3">
                  <c:v>395</c:v>
                </c:pt>
                <c:pt idx="4">
                  <c:v>2031</c:v>
                </c:pt>
                <c:pt idx="5">
                  <c:v>1949</c:v>
                </c:pt>
                <c:pt idx="6">
                  <c:v>7450</c:v>
                </c:pt>
                <c:pt idx="7">
                  <c:v>10466</c:v>
                </c:pt>
                <c:pt idx="8">
                  <c:v>8307</c:v>
                </c:pt>
                <c:pt idx="9">
                  <c:v>19400</c:v>
                </c:pt>
                <c:pt idx="10">
                  <c:v>25825</c:v>
                </c:pt>
                <c:pt idx="11">
                  <c:v>31020</c:v>
                </c:pt>
                <c:pt idx="12">
                  <c:v>-9069</c:v>
                </c:pt>
                <c:pt idx="13">
                  <c:v>-11569</c:v>
                </c:pt>
                <c:pt idx="14">
                  <c:v>36813</c:v>
                </c:pt>
                <c:pt idx="15">
                  <c:v>38219</c:v>
                </c:pt>
              </c:numCache>
            </c:numRef>
          </c:val>
          <c:extLst>
            <c:ext xmlns:c16="http://schemas.microsoft.com/office/drawing/2014/chart" uri="{C3380CC4-5D6E-409C-BE32-E72D297353CC}">
              <c16:uniqueId val="{00000001-EBDA-4858-B9E4-2D6B81701F3B}"/>
            </c:ext>
          </c:extLst>
        </c:ser>
        <c:dLbls>
          <c:showLegendKey val="0"/>
          <c:showVal val="0"/>
          <c:showCatName val="0"/>
          <c:showSerName val="0"/>
          <c:showPercent val="0"/>
          <c:showBubbleSize val="0"/>
        </c:dLbls>
        <c:gapWidth val="57"/>
        <c:overlap val="-2"/>
        <c:axId val="1243124976"/>
        <c:axId val="1243123056"/>
      </c:barChart>
      <c:lineChart>
        <c:grouping val="standard"/>
        <c:varyColors val="0"/>
        <c:ser>
          <c:idx val="0"/>
          <c:order val="0"/>
          <c:tx>
            <c:v>Revenues</c:v>
          </c:tx>
          <c:spPr>
            <a:ln>
              <a:solidFill>
                <a:srgbClr val="00B0F0"/>
              </a:solidFill>
            </a:ln>
          </c:spPr>
          <c:marker>
            <c:symbol val="none"/>
          </c:marker>
          <c:cat>
            <c:numRef>
              <c:f>Model!$BZ$3:$CO$3</c:f>
              <c:numCache>
                <c:formatCode>General</c:formatCode>
                <c:ptCount val="16"/>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numCache>
            </c:numRef>
          </c:cat>
          <c:val>
            <c:numRef>
              <c:f>Model!$BZ$44:$CO$44</c:f>
              <c:numCache>
                <c:formatCode>General</c:formatCode>
                <c:ptCount val="16"/>
                <c:pt idx="0">
                  <c:v>24509</c:v>
                </c:pt>
                <c:pt idx="1">
                  <c:v>34204</c:v>
                </c:pt>
                <c:pt idx="2">
                  <c:v>48077</c:v>
                </c:pt>
                <c:pt idx="3">
                  <c:v>61093</c:v>
                </c:pt>
                <c:pt idx="4">
                  <c:v>74452</c:v>
                </c:pt>
                <c:pt idx="5">
                  <c:v>88988</c:v>
                </c:pt>
                <c:pt idx="6">
                  <c:v>107006</c:v>
                </c:pt>
                <c:pt idx="7">
                  <c:v>135987</c:v>
                </c:pt>
                <c:pt idx="8">
                  <c:v>177866</c:v>
                </c:pt>
                <c:pt idx="9">
                  <c:v>232887</c:v>
                </c:pt>
                <c:pt idx="10">
                  <c:v>280522</c:v>
                </c:pt>
                <c:pt idx="11">
                  <c:v>386064</c:v>
                </c:pt>
                <c:pt idx="12">
                  <c:v>469822</c:v>
                </c:pt>
                <c:pt idx="13">
                  <c:v>513983</c:v>
                </c:pt>
                <c:pt idx="14">
                  <c:v>574785</c:v>
                </c:pt>
                <c:pt idx="15">
                  <c:v>637959</c:v>
                </c:pt>
              </c:numCache>
            </c:numRef>
          </c:val>
          <c:smooth val="0"/>
          <c:extLst>
            <c:ext xmlns:c16="http://schemas.microsoft.com/office/drawing/2014/chart" uri="{C3380CC4-5D6E-409C-BE32-E72D297353CC}">
              <c16:uniqueId val="{00000002-EBDA-4858-B9E4-2D6B81701F3B}"/>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5</xdr:col>
      <xdr:colOff>9525</xdr:colOff>
      <xdr:row>2</xdr:row>
      <xdr:rowOff>9524</xdr:rowOff>
    </xdr:from>
    <xdr:to>
      <xdr:col>8</xdr:col>
      <xdr:colOff>0</xdr:colOff>
      <xdr:row>8</xdr:row>
      <xdr:rowOff>0</xdr:rowOff>
    </xdr:to>
    <xdr:pic>
      <xdr:nvPicPr>
        <xdr:cNvPr id="2" name="Picture 1">
          <a:extLst>
            <a:ext uri="{FF2B5EF4-FFF2-40B4-BE49-F238E27FC236}">
              <a16:creationId xmlns:a16="http://schemas.microsoft.com/office/drawing/2014/main" id="{00D2DDC3-1214-001B-C14D-4CC757E69F6A}"/>
            </a:ext>
          </a:extLst>
        </xdr:cNvPr>
        <xdr:cNvPicPr>
          <a:picLocks noChangeAspect="1"/>
        </xdr:cNvPicPr>
      </xdr:nvPicPr>
      <xdr:blipFill>
        <a:blip xmlns:r="http://schemas.openxmlformats.org/officeDocument/2006/relationships" r:embed="rId1"/>
        <a:stretch>
          <a:fillRect/>
        </a:stretch>
      </xdr:blipFill>
      <xdr:spPr>
        <a:xfrm>
          <a:off x="3409950" y="380999"/>
          <a:ext cx="1819275" cy="107632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69</xdr:col>
      <xdr:colOff>0</xdr:colOff>
      <xdr:row>0</xdr:row>
      <xdr:rowOff>0</xdr:rowOff>
    </xdr:from>
    <xdr:to>
      <xdr:col>69</xdr:col>
      <xdr:colOff>0</xdr:colOff>
      <xdr:row>131</xdr:row>
      <xdr:rowOff>152400</xdr:rowOff>
    </xdr:to>
    <xdr:cxnSp macro="">
      <xdr:nvCxnSpPr>
        <xdr:cNvPr id="2" name="Straight Connector 1">
          <a:extLst>
            <a:ext uri="{FF2B5EF4-FFF2-40B4-BE49-F238E27FC236}">
              <a16:creationId xmlns:a16="http://schemas.microsoft.com/office/drawing/2014/main" id="{1D82459E-58B3-42DB-9684-9D533E1F9712}"/>
            </a:ext>
          </a:extLst>
        </xdr:cNvPr>
        <xdr:cNvCxnSpPr/>
      </xdr:nvCxnSpPr>
      <xdr:spPr>
        <a:xfrm>
          <a:off x="42593559" y="0"/>
          <a:ext cx="0" cy="237519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93</xdr:col>
      <xdr:colOff>0</xdr:colOff>
      <xdr:row>0</xdr:row>
      <xdr:rowOff>0</xdr:rowOff>
    </xdr:from>
    <xdr:to>
      <xdr:col>93</xdr:col>
      <xdr:colOff>0</xdr:colOff>
      <xdr:row>130</xdr:row>
      <xdr:rowOff>76200</xdr:rowOff>
    </xdr:to>
    <xdr:cxnSp macro="">
      <xdr:nvCxnSpPr>
        <xdr:cNvPr id="3" name="Straight Connector 2">
          <a:extLst>
            <a:ext uri="{FF2B5EF4-FFF2-40B4-BE49-F238E27FC236}">
              <a16:creationId xmlns:a16="http://schemas.microsoft.com/office/drawing/2014/main" id="{1001E5F4-1B9E-487D-83F1-747CF5EB542B}"/>
            </a:ext>
          </a:extLst>
        </xdr:cNvPr>
        <xdr:cNvCxnSpPr/>
      </xdr:nvCxnSpPr>
      <xdr:spPr>
        <a:xfrm>
          <a:off x="64208025" y="0"/>
          <a:ext cx="0" cy="235172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0</xdr:colOff>
      <xdr:row>165</xdr:row>
      <xdr:rowOff>0</xdr:rowOff>
    </xdr:from>
    <xdr:to>
      <xdr:col>23</xdr:col>
      <xdr:colOff>0</xdr:colOff>
      <xdr:row>193</xdr:row>
      <xdr:rowOff>0</xdr:rowOff>
    </xdr:to>
    <xdr:graphicFrame macro="">
      <xdr:nvGraphicFramePr>
        <xdr:cNvPr id="4" name="Chart 3">
          <a:extLst>
            <a:ext uri="{FF2B5EF4-FFF2-40B4-BE49-F238E27FC236}">
              <a16:creationId xmlns:a16="http://schemas.microsoft.com/office/drawing/2014/main" id="{DD74BBAA-4B76-40FC-A8E5-A62056E8DD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11206</xdr:colOff>
      <xdr:row>2</xdr:row>
      <xdr:rowOff>11206</xdr:rowOff>
    </xdr:from>
    <xdr:to>
      <xdr:col>27</xdr:col>
      <xdr:colOff>603904</xdr:colOff>
      <xdr:row>28</xdr:row>
      <xdr:rowOff>0</xdr:rowOff>
    </xdr:to>
    <xdr:pic>
      <xdr:nvPicPr>
        <xdr:cNvPr id="7" name="Picture 6">
          <a:extLst>
            <a:ext uri="{FF2B5EF4-FFF2-40B4-BE49-F238E27FC236}">
              <a16:creationId xmlns:a16="http://schemas.microsoft.com/office/drawing/2014/main" id="{140D4C19-9D9F-0797-C321-E296C260B7EC}"/>
            </a:ext>
          </a:extLst>
        </xdr:cNvPr>
        <xdr:cNvPicPr>
          <a:picLocks noChangeAspect="1"/>
        </xdr:cNvPicPr>
      </xdr:nvPicPr>
      <xdr:blipFill>
        <a:blip xmlns:r="http://schemas.openxmlformats.org/officeDocument/2006/relationships" r:embed="rId2"/>
        <a:stretch>
          <a:fillRect/>
        </a:stretch>
      </xdr:blipFill>
      <xdr:spPr>
        <a:xfrm>
          <a:off x="6275294" y="381000"/>
          <a:ext cx="6038757" cy="4650441"/>
        </a:xfrm>
        <a:prstGeom prst="rect">
          <a:avLst/>
        </a:prstGeom>
      </xdr:spPr>
    </xdr:pic>
    <xdr:clientData/>
  </xdr:twoCellAnchor>
  <xdr:twoCellAnchor editAs="oneCell">
    <xdr:from>
      <xdr:col>8</xdr:col>
      <xdr:colOff>11206</xdr:colOff>
      <xdr:row>2</xdr:row>
      <xdr:rowOff>11206</xdr:rowOff>
    </xdr:from>
    <xdr:to>
      <xdr:col>18</xdr:col>
      <xdr:colOff>33618</xdr:colOff>
      <xdr:row>27</xdr:row>
      <xdr:rowOff>175846</xdr:rowOff>
    </xdr:to>
    <xdr:pic>
      <xdr:nvPicPr>
        <xdr:cNvPr id="8" name="Picture 7">
          <a:extLst>
            <a:ext uri="{FF2B5EF4-FFF2-40B4-BE49-F238E27FC236}">
              <a16:creationId xmlns:a16="http://schemas.microsoft.com/office/drawing/2014/main" id="{8DAAD76A-CEEF-55F1-314F-944637435006}"/>
            </a:ext>
          </a:extLst>
        </xdr:cNvPr>
        <xdr:cNvPicPr>
          <a:picLocks noChangeAspect="1"/>
        </xdr:cNvPicPr>
      </xdr:nvPicPr>
      <xdr:blipFill>
        <a:blip xmlns:r="http://schemas.openxmlformats.org/officeDocument/2006/relationships" r:embed="rId3"/>
        <a:stretch>
          <a:fillRect/>
        </a:stretch>
      </xdr:blipFill>
      <xdr:spPr>
        <a:xfrm>
          <a:off x="223687" y="384879"/>
          <a:ext cx="6103758" cy="4743967"/>
        </a:xfrm>
        <a:prstGeom prst="rect">
          <a:avLst/>
        </a:prstGeom>
      </xdr:spPr>
    </xdr:pic>
    <xdr:clientData/>
  </xdr:twoCellAnchor>
  <xdr:twoCellAnchor editAs="oneCell">
    <xdr:from>
      <xdr:col>8</xdr:col>
      <xdr:colOff>11206</xdr:colOff>
      <xdr:row>33</xdr:row>
      <xdr:rowOff>11206</xdr:rowOff>
    </xdr:from>
    <xdr:to>
      <xdr:col>17</xdr:col>
      <xdr:colOff>11204</xdr:colOff>
      <xdr:row>59</xdr:row>
      <xdr:rowOff>11208</xdr:rowOff>
    </xdr:to>
    <xdr:pic>
      <xdr:nvPicPr>
        <xdr:cNvPr id="10" name="Picture 9">
          <a:extLst>
            <a:ext uri="{FF2B5EF4-FFF2-40B4-BE49-F238E27FC236}">
              <a16:creationId xmlns:a16="http://schemas.microsoft.com/office/drawing/2014/main" id="{8B154AF1-5211-D6D1-7930-B000329DBA40}"/>
            </a:ext>
          </a:extLst>
        </xdr:cNvPr>
        <xdr:cNvPicPr>
          <a:picLocks noChangeAspect="1"/>
        </xdr:cNvPicPr>
      </xdr:nvPicPr>
      <xdr:blipFill>
        <a:blip xmlns:r="http://schemas.openxmlformats.org/officeDocument/2006/relationships" r:embed="rId4"/>
        <a:stretch>
          <a:fillRect/>
        </a:stretch>
      </xdr:blipFill>
      <xdr:spPr>
        <a:xfrm>
          <a:off x="224118" y="6488206"/>
          <a:ext cx="5446057" cy="4684060"/>
        </a:xfrm>
        <a:prstGeom prst="rect">
          <a:avLst/>
        </a:prstGeom>
      </xdr:spPr>
    </xdr:pic>
    <xdr:clientData/>
  </xdr:twoCellAnchor>
  <xdr:twoCellAnchor>
    <xdr:from>
      <xdr:col>8</xdr:col>
      <xdr:colOff>0</xdr:colOff>
      <xdr:row>64</xdr:row>
      <xdr:rowOff>0</xdr:rowOff>
    </xdr:from>
    <xdr:to>
      <xdr:col>23</xdr:col>
      <xdr:colOff>0</xdr:colOff>
      <xdr:row>95</xdr:row>
      <xdr:rowOff>1680</xdr:rowOff>
    </xdr:to>
    <xdr:graphicFrame macro="">
      <xdr:nvGraphicFramePr>
        <xdr:cNvPr id="6" name="Chart 5">
          <a:extLst>
            <a:ext uri="{FF2B5EF4-FFF2-40B4-BE49-F238E27FC236}">
              <a16:creationId xmlns:a16="http://schemas.microsoft.com/office/drawing/2014/main" id="{443FE3A6-719F-4FEC-8631-ED40CA7636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0</xdr:colOff>
      <xdr:row>100</xdr:row>
      <xdr:rowOff>0</xdr:rowOff>
    </xdr:from>
    <xdr:to>
      <xdr:col>23</xdr:col>
      <xdr:colOff>0</xdr:colOff>
      <xdr:row>128</xdr:row>
      <xdr:rowOff>0</xdr:rowOff>
    </xdr:to>
    <xdr:graphicFrame macro="">
      <xdr:nvGraphicFramePr>
        <xdr:cNvPr id="9" name="Chart 8">
          <a:extLst>
            <a:ext uri="{FF2B5EF4-FFF2-40B4-BE49-F238E27FC236}">
              <a16:creationId xmlns:a16="http://schemas.microsoft.com/office/drawing/2014/main" id="{43CD5821-A99A-427C-BA10-092F661042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0</xdr:colOff>
      <xdr:row>133</xdr:row>
      <xdr:rowOff>0</xdr:rowOff>
    </xdr:from>
    <xdr:to>
      <xdr:col>23</xdr:col>
      <xdr:colOff>0</xdr:colOff>
      <xdr:row>161</xdr:row>
      <xdr:rowOff>0</xdr:rowOff>
    </xdr:to>
    <xdr:graphicFrame macro="">
      <xdr:nvGraphicFramePr>
        <xdr:cNvPr id="11" name="Chart 10">
          <a:extLst>
            <a:ext uri="{FF2B5EF4-FFF2-40B4-BE49-F238E27FC236}">
              <a16:creationId xmlns:a16="http://schemas.microsoft.com/office/drawing/2014/main" id="{B47E66B3-E628-43E8-BAE4-BEE698B8FA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esktop\Equity%20Research\Models\Health%20Care\MedTech\BSX_Model.xlsx" TargetMode="External"/><Relationship Id="rId1" Type="http://schemas.openxmlformats.org/officeDocument/2006/relationships/externalLinkPath" Target="https://d.docs.live.net/Users/User/Desktop/Equity%20Research/Models/Health%20Care/MedTech/BSX_Mo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 Overview"/>
      <sheetName val="Model"/>
      <sheetName val="Notes | Quant Analysis"/>
      <sheetName val="M&amp;A Scope"/>
      <sheetName val="Markets | Product Lines"/>
      <sheetName val="Management"/>
      <sheetName val="Debt Schedule"/>
      <sheetName val="Clinical Trial Channel"/>
    </sheetNames>
    <sheetDataSet>
      <sheetData sheetId="0"/>
      <sheetData sheetId="1">
        <row r="3">
          <cell r="AW3" t="str">
            <v>Q1 2020</v>
          </cell>
          <cell r="AX3" t="str">
            <v>Q2 2020</v>
          </cell>
          <cell r="AY3" t="str">
            <v>Q3 2020</v>
          </cell>
          <cell r="AZ3" t="str">
            <v>Q4 2020</v>
          </cell>
          <cell r="BA3" t="str">
            <v>Q1 2021</v>
          </cell>
          <cell r="BB3" t="str">
            <v>Q2 2021</v>
          </cell>
          <cell r="BC3" t="str">
            <v>Q3 2021</v>
          </cell>
          <cell r="BD3" t="str">
            <v>Q4 2021</v>
          </cell>
          <cell r="BE3" t="str">
            <v>Q1 2022</v>
          </cell>
          <cell r="BF3" t="str">
            <v>Q2 2022</v>
          </cell>
          <cell r="BG3" t="str">
            <v>Q3 2022</v>
          </cell>
          <cell r="BH3" t="str">
            <v>Q4 2022</v>
          </cell>
          <cell r="BI3" t="str">
            <v>Q1 2023</v>
          </cell>
          <cell r="BJ3" t="str">
            <v>Q2 2023</v>
          </cell>
          <cell r="BK3" t="str">
            <v>Q3 2023</v>
          </cell>
          <cell r="BL3" t="str">
            <v>Q4 2023</v>
          </cell>
          <cell r="BM3" t="str">
            <v>Q1 2024</v>
          </cell>
          <cell r="BN3" t="str">
            <v>Q2 2024</v>
          </cell>
          <cell r="BO3" t="str">
            <v>Q3 2024</v>
          </cell>
          <cell r="BP3" t="str">
            <v>Q4 2024</v>
          </cell>
          <cell r="BQ3" t="str">
            <v>Q1 2025</v>
          </cell>
        </row>
      </sheetData>
      <sheetData sheetId="2"/>
      <sheetData sheetId="3"/>
      <sheetData sheetId="4"/>
      <sheetData sheetId="5"/>
      <sheetData sheetId="6"/>
      <sheetData sheetId="7"/>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D94885-6B6E-495F-ADB0-470F3B123F7B}" name="Table2" displayName="Table2" ref="B4:F119" totalsRowShown="0" headerRowDxfId="16">
  <autoFilter ref="B4:F119" xr:uid="{B7D94885-6B6E-495F-ADB0-470F3B123F7B}"/>
  <tableColumns count="5">
    <tableColumn id="1" xr3:uid="{71230911-5E75-4596-A6AC-60185A2DE2C7}" name="Company" dataDxfId="15"/>
    <tableColumn id="2" xr3:uid="{728FEBE9-B9F0-4329-A968-2EAF70519348}" name="Business" dataDxfId="14"/>
    <tableColumn id="3" xr3:uid="{66606830-50B7-4272-9732-E88E9188B170}" name="Price" dataDxfId="13"/>
    <tableColumn id="4" xr3:uid="{1B266D70-D6C5-4C48-BAE6-D76A723E4EB2}" name="Used as or Integrated With" dataDxfId="12"/>
    <tableColumn id="5" xr3:uid="{1468678B-4E56-4E70-B634-8A2D73F79FC5}" name="Date of Acquisition" dataDxfId="11"/>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D849EF8-165E-466D-AF00-9B88AC640402}" name="Table24" displayName="Table24" ref="H4:L31" totalsRowShown="0" headerRowDxfId="10">
  <autoFilter ref="H4:L31" xr:uid="{BD849EF8-165E-466D-AF00-9B88AC640402}"/>
  <tableColumns count="5">
    <tableColumn id="1" xr3:uid="{F27E8E48-21FB-4D36-8D33-2CD4281DFF20}" name="Company" dataDxfId="9"/>
    <tableColumn id="2" xr3:uid="{9734512C-CCC1-4C7B-9674-B6B200BF4988}" name="Business" dataDxfId="8"/>
    <tableColumn id="3" xr3:uid="{A77EF528-29C1-4F87-9519-67F12907093E}" name="Price" dataDxfId="7"/>
    <tableColumn id="4" xr3:uid="{70C469EB-953B-40AA-8044-EA1252A40D9E}" name="Used as or Integrated With" dataDxfId="6"/>
    <tableColumn id="5" xr3:uid="{E7832325-4381-4342-AD43-F86AABE27976}" name="Date of Acquisition" dataDxfId="5"/>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hyperlink" Target="https://www.macrotrends.net/stocks/charts/AMZN/amazon/income-statement?freq=A" TargetMode="External"/><Relationship Id="rId7" Type="http://schemas.openxmlformats.org/officeDocument/2006/relationships/drawing" Target="../drawings/drawing1.xml"/><Relationship Id="rId2" Type="http://schemas.openxmlformats.org/officeDocument/2006/relationships/hyperlink" Target="https://app.godelterminal.com/" TargetMode="External"/><Relationship Id="rId1" Type="http://schemas.openxmlformats.org/officeDocument/2006/relationships/hyperlink" Target="https://stockanalysis.com/stocks/amzn/company/" TargetMode="External"/><Relationship Id="rId6" Type="http://schemas.openxmlformats.org/officeDocument/2006/relationships/hyperlink" Target="https://ir.aboutamazon.com/overview/default.aspx" TargetMode="External"/><Relationship Id="rId5" Type="http://schemas.openxmlformats.org/officeDocument/2006/relationships/hyperlink" Target="https://www.aboutamazon.com/" TargetMode="External"/><Relationship Id="rId4" Type="http://schemas.openxmlformats.org/officeDocument/2006/relationships/hyperlink" Target="https://www.gurufocus.com/term/wacc/AMZ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R32"/>
  <sheetViews>
    <sheetView tabSelected="1" zoomScale="90" workbookViewId="0">
      <selection activeCell="D3" sqref="D3"/>
    </sheetView>
  </sheetViews>
  <sheetFormatPr defaultColWidth="9.140625" defaultRowHeight="14.25"/>
  <cols>
    <col min="1" max="1" width="3.42578125" style="1" customWidth="1"/>
    <col min="2" max="2" width="9.140625" style="1" customWidth="1"/>
    <col min="3" max="3" width="14" style="1" customWidth="1"/>
    <col min="4" max="4" width="9.140625" style="1" customWidth="1"/>
    <col min="5" max="16384" width="9.140625" style="1"/>
  </cols>
  <sheetData>
    <row r="2" spans="2:18" ht="15">
      <c r="B2" s="2" t="s">
        <v>1830</v>
      </c>
    </row>
    <row r="3" spans="2:18">
      <c r="B3" s="1" t="s">
        <v>0</v>
      </c>
      <c r="C3" s="79">
        <v>247.55</v>
      </c>
      <c r="D3" s="42" t="s">
        <v>1945</v>
      </c>
    </row>
    <row r="4" spans="2:18">
      <c r="B4" s="1" t="s">
        <v>1</v>
      </c>
      <c r="C4" s="80">
        <v>10690</v>
      </c>
      <c r="D4" s="1" t="s">
        <v>1944</v>
      </c>
    </row>
    <row r="5" spans="2:18">
      <c r="B5" s="1" t="s">
        <v>2</v>
      </c>
      <c r="C5" s="81">
        <f>C3*C4</f>
        <v>2646309.5</v>
      </c>
    </row>
    <row r="6" spans="2:18">
      <c r="B6" s="1" t="s">
        <v>3</v>
      </c>
      <c r="C6" s="82">
        <f>66922+27275</f>
        <v>94197</v>
      </c>
      <c r="D6" s="1" t="s">
        <v>1944</v>
      </c>
    </row>
    <row r="7" spans="2:18">
      <c r="B7" s="1" t="s">
        <v>4</v>
      </c>
      <c r="C7" s="82">
        <f>50742</f>
        <v>50742</v>
      </c>
      <c r="D7" s="1" t="s">
        <v>1944</v>
      </c>
    </row>
    <row r="8" spans="2:18">
      <c r="B8" s="1" t="s">
        <v>5</v>
      </c>
      <c r="C8" s="82">
        <f>C5-C6+C7</f>
        <v>2602854.5</v>
      </c>
    </row>
    <row r="10" spans="2:18" ht="15">
      <c r="B10" s="2" t="s">
        <v>1831</v>
      </c>
    </row>
    <row r="11" spans="2:18" ht="15">
      <c r="N11" s="1" t="s">
        <v>167</v>
      </c>
      <c r="Q11" s="2"/>
    </row>
    <row r="12" spans="2:18">
      <c r="B12" s="1" t="s">
        <v>1837</v>
      </c>
      <c r="F12" s="1" t="s">
        <v>1838</v>
      </c>
      <c r="N12" s="1" t="s">
        <v>7</v>
      </c>
      <c r="Q12" s="43" t="s">
        <v>1852</v>
      </c>
    </row>
    <row r="13" spans="2:18">
      <c r="B13" s="1" t="s">
        <v>1835</v>
      </c>
      <c r="F13" s="1" t="s">
        <v>1839</v>
      </c>
      <c r="N13" s="1" t="s">
        <v>1842</v>
      </c>
      <c r="Q13" s="43" t="s">
        <v>1850</v>
      </c>
    </row>
    <row r="14" spans="2:18">
      <c r="B14" s="1" t="s">
        <v>1840</v>
      </c>
      <c r="F14" s="1" t="s">
        <v>6</v>
      </c>
      <c r="O14" s="1" t="s">
        <v>1843</v>
      </c>
      <c r="R14" s="43" t="s">
        <v>1851</v>
      </c>
    </row>
    <row r="15" spans="2:18">
      <c r="B15" s="1" t="s">
        <v>1832</v>
      </c>
      <c r="F15" s="1" t="s">
        <v>164</v>
      </c>
      <c r="N15" s="1" t="s">
        <v>161</v>
      </c>
      <c r="Q15" s="43" t="s">
        <v>1848</v>
      </c>
    </row>
    <row r="16" spans="2:18">
      <c r="B16" s="1" t="s">
        <v>1943</v>
      </c>
      <c r="F16" s="1" t="s">
        <v>158</v>
      </c>
      <c r="G16" s="1" t="s">
        <v>1841</v>
      </c>
      <c r="I16" s="1" t="s">
        <v>159</v>
      </c>
      <c r="N16" s="1" t="s">
        <v>162</v>
      </c>
      <c r="Q16" s="43" t="s">
        <v>1847</v>
      </c>
    </row>
    <row r="17" spans="1:17">
      <c r="B17" s="1" t="s">
        <v>1833</v>
      </c>
      <c r="N17" s="1" t="s">
        <v>1844</v>
      </c>
      <c r="Q17" s="43" t="s">
        <v>1846</v>
      </c>
    </row>
    <row r="18" spans="1:17">
      <c r="B18" s="1" t="s">
        <v>1834</v>
      </c>
      <c r="N18" s="1" t="s">
        <v>1845</v>
      </c>
      <c r="Q18" s="43" t="s">
        <v>1849</v>
      </c>
    </row>
    <row r="19" spans="1:17">
      <c r="B19" s="1" t="s">
        <v>1836</v>
      </c>
      <c r="N19" s="1" t="s">
        <v>8</v>
      </c>
      <c r="Q19" s="43" t="s">
        <v>163</v>
      </c>
    </row>
    <row r="21" spans="1:17" ht="15">
      <c r="A21" s="2" t="s">
        <v>9</v>
      </c>
    </row>
    <row r="22" spans="1:17" ht="15">
      <c r="A22" s="2"/>
      <c r="B22" s="1" t="s">
        <v>1853</v>
      </c>
    </row>
    <row r="23" spans="1:17">
      <c r="C23" s="1" t="s">
        <v>1854</v>
      </c>
    </row>
    <row r="24" spans="1:17">
      <c r="C24" s="1" t="s">
        <v>1855</v>
      </c>
    </row>
    <row r="25" spans="1:17">
      <c r="C25" s="1" t="s">
        <v>1856</v>
      </c>
    </row>
    <row r="26" spans="1:17">
      <c r="B26" s="1" t="s">
        <v>1857</v>
      </c>
    </row>
    <row r="27" spans="1:17">
      <c r="C27" s="1" t="s">
        <v>1858</v>
      </c>
    </row>
    <row r="28" spans="1:17">
      <c r="B28" s="1" t="s">
        <v>1859</v>
      </c>
    </row>
    <row r="29" spans="1:17">
      <c r="B29" s="1" t="s">
        <v>1860</v>
      </c>
    </row>
    <row r="30" spans="1:17">
      <c r="B30" s="1" t="s">
        <v>1861</v>
      </c>
    </row>
    <row r="32" spans="1:17" ht="15">
      <c r="A32" s="2" t="s">
        <v>165</v>
      </c>
    </row>
  </sheetData>
  <hyperlinks>
    <hyperlink ref="Q16" r:id="rId1" xr:uid="{02ECFE4E-0865-458E-9F04-951EDF61DD89}"/>
    <hyperlink ref="Q19" r:id="rId2" xr:uid="{14375537-5C3D-4253-9650-337AB6789785}"/>
    <hyperlink ref="Q17" r:id="rId3" xr:uid="{4C9A4B10-C1C1-41D3-B76B-8F701EFEBAE5}"/>
    <hyperlink ref="Q18" r:id="rId4" xr:uid="{8307EAEF-764A-4919-AD63-E96081443646}"/>
    <hyperlink ref="Q13" r:id="rId5" xr:uid="{4F92E534-A70D-465F-9EB7-287A11F12502}"/>
    <hyperlink ref="R14" r:id="rId6" xr:uid="{96074E83-C906-481E-ABF3-343BCFD5219B}"/>
  </hyperlinks>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27957-A42B-4AB7-A411-12A70E029F5D}">
  <dimension ref="B1:EZ107"/>
  <sheetViews>
    <sheetView zoomScale="85" zoomScaleNormal="85" workbookViewId="0">
      <pane xSplit="2" ySplit="3" topLeftCell="CI39" activePane="bottomRight" state="frozen"/>
      <selection pane="topRight" activeCell="C1" sqref="C1"/>
      <selection pane="bottomLeft" activeCell="A4" sqref="A4"/>
      <selection pane="bottomRight" activeCell="CP60" sqref="CP60"/>
    </sheetView>
  </sheetViews>
  <sheetFormatPr defaultColWidth="9.140625" defaultRowHeight="14.25"/>
  <cols>
    <col min="1" max="1" width="3.28515625" style="1" customWidth="1"/>
    <col min="2" max="2" width="27.42578125" style="1" customWidth="1"/>
    <col min="3" max="69" width="9.140625" style="1"/>
    <col min="70" max="73" width="9.140625" style="35"/>
    <col min="74" max="90" width="9.140625" style="1"/>
    <col min="91" max="93" width="9.140625" style="1" customWidth="1"/>
    <col min="94" max="153" width="9.140625" style="65" customWidth="1"/>
    <col min="154" max="156" width="9.140625" style="65"/>
    <col min="157" max="16384" width="9.140625" style="1"/>
  </cols>
  <sheetData>
    <row r="1" spans="2:156" ht="15">
      <c r="B1" s="1" t="s">
        <v>115</v>
      </c>
      <c r="AU1" s="33" t="s">
        <v>88</v>
      </c>
      <c r="AY1" s="33" t="s">
        <v>92</v>
      </c>
      <c r="BC1" s="33" t="s">
        <v>96</v>
      </c>
      <c r="BG1" s="33" t="s">
        <v>100</v>
      </c>
      <c r="BK1" s="33" t="s">
        <v>104</v>
      </c>
      <c r="BO1" s="33" t="s">
        <v>108</v>
      </c>
    </row>
    <row r="2" spans="2:156">
      <c r="B2" s="1" t="s">
        <v>116</v>
      </c>
    </row>
    <row r="3" spans="2:156" ht="15">
      <c r="B3" s="2" t="s">
        <v>117</v>
      </c>
      <c r="C3" s="33" t="s">
        <v>44</v>
      </c>
      <c r="D3" s="33" t="s">
        <v>45</v>
      </c>
      <c r="E3" s="33" t="s">
        <v>46</v>
      </c>
      <c r="F3" s="33" t="s">
        <v>47</v>
      </c>
      <c r="G3" s="33" t="s">
        <v>48</v>
      </c>
      <c r="H3" s="33" t="s">
        <v>49</v>
      </c>
      <c r="I3" s="33" t="s">
        <v>50</v>
      </c>
      <c r="J3" s="33" t="s">
        <v>51</v>
      </c>
      <c r="K3" s="33" t="s">
        <v>52</v>
      </c>
      <c r="L3" s="33" t="s">
        <v>53</v>
      </c>
      <c r="M3" s="33" t="s">
        <v>54</v>
      </c>
      <c r="N3" s="33" t="s">
        <v>55</v>
      </c>
      <c r="O3" s="33" t="s">
        <v>56</v>
      </c>
      <c r="P3" s="33" t="s">
        <v>57</v>
      </c>
      <c r="Q3" s="33" t="s">
        <v>58</v>
      </c>
      <c r="R3" s="33" t="s">
        <v>59</v>
      </c>
      <c r="S3" s="33" t="s">
        <v>60</v>
      </c>
      <c r="T3" s="33" t="s">
        <v>61</v>
      </c>
      <c r="U3" s="33" t="s">
        <v>62</v>
      </c>
      <c r="V3" s="33" t="s">
        <v>63</v>
      </c>
      <c r="W3" s="33" t="s">
        <v>64</v>
      </c>
      <c r="X3" s="33" t="s">
        <v>65</v>
      </c>
      <c r="Y3" s="33" t="s">
        <v>66</v>
      </c>
      <c r="Z3" s="33" t="s">
        <v>67</v>
      </c>
      <c r="AA3" s="33" t="s">
        <v>68</v>
      </c>
      <c r="AB3" s="33" t="s">
        <v>69</v>
      </c>
      <c r="AC3" s="33" t="s">
        <v>70</v>
      </c>
      <c r="AD3" s="33" t="s">
        <v>71</v>
      </c>
      <c r="AE3" s="33" t="s">
        <v>72</v>
      </c>
      <c r="AF3" s="33" t="s">
        <v>73</v>
      </c>
      <c r="AG3" s="33" t="s">
        <v>74</v>
      </c>
      <c r="AH3" s="33" t="s">
        <v>75</v>
      </c>
      <c r="AI3" s="33" t="s">
        <v>76</v>
      </c>
      <c r="AJ3" s="33" t="s">
        <v>77</v>
      </c>
      <c r="AK3" s="33" t="s">
        <v>78</v>
      </c>
      <c r="AL3" s="33" t="s">
        <v>79</v>
      </c>
      <c r="AM3" s="33" t="s">
        <v>80</v>
      </c>
      <c r="AN3" s="33" t="s">
        <v>81</v>
      </c>
      <c r="AO3" s="33" t="s">
        <v>82</v>
      </c>
      <c r="AP3" s="33" t="s">
        <v>83</v>
      </c>
      <c r="AQ3" s="33" t="s">
        <v>84</v>
      </c>
      <c r="AR3" s="33" t="s">
        <v>85</v>
      </c>
      <c r="AS3" s="33" t="s">
        <v>86</v>
      </c>
      <c r="AT3" s="33" t="s">
        <v>87</v>
      </c>
      <c r="AU3" s="33" t="s">
        <v>88</v>
      </c>
      <c r="AV3" s="33" t="s">
        <v>89</v>
      </c>
      <c r="AW3" s="33" t="s">
        <v>90</v>
      </c>
      <c r="AX3" s="33" t="s">
        <v>91</v>
      </c>
      <c r="AY3" s="33" t="s">
        <v>92</v>
      </c>
      <c r="AZ3" s="33" t="s">
        <v>93</v>
      </c>
      <c r="BA3" s="33" t="s">
        <v>94</v>
      </c>
      <c r="BB3" s="33" t="s">
        <v>95</v>
      </c>
      <c r="BC3" s="33" t="s">
        <v>96</v>
      </c>
      <c r="BD3" s="33" t="s">
        <v>97</v>
      </c>
      <c r="BE3" s="33" t="s">
        <v>98</v>
      </c>
      <c r="BF3" s="33" t="s">
        <v>99</v>
      </c>
      <c r="BG3" s="33" t="s">
        <v>100</v>
      </c>
      <c r="BH3" s="33" t="s">
        <v>101</v>
      </c>
      <c r="BI3" s="33" t="s">
        <v>102</v>
      </c>
      <c r="BJ3" s="33" t="s">
        <v>103</v>
      </c>
      <c r="BK3" s="33" t="s">
        <v>104</v>
      </c>
      <c r="BL3" s="33" t="s">
        <v>105</v>
      </c>
      <c r="BM3" s="33" t="s">
        <v>106</v>
      </c>
      <c r="BN3" s="33" t="s">
        <v>107</v>
      </c>
      <c r="BO3" s="33" t="s">
        <v>108</v>
      </c>
      <c r="BP3" s="2" t="s">
        <v>109</v>
      </c>
      <c r="BQ3" s="2" t="s">
        <v>110</v>
      </c>
      <c r="BR3" s="34" t="s">
        <v>111</v>
      </c>
      <c r="BS3" s="34" t="s">
        <v>112</v>
      </c>
      <c r="BT3" s="34" t="s">
        <v>113</v>
      </c>
      <c r="BU3" s="34" t="s">
        <v>114</v>
      </c>
      <c r="BZ3" s="2">
        <f>2008+1</f>
        <v>2009</v>
      </c>
      <c r="CA3" s="2">
        <f t="shared" ref="CA3:EL3" si="0">BZ3+1</f>
        <v>2010</v>
      </c>
      <c r="CB3" s="2">
        <f t="shared" si="0"/>
        <v>2011</v>
      </c>
      <c r="CC3" s="2">
        <f t="shared" si="0"/>
        <v>2012</v>
      </c>
      <c r="CD3" s="2">
        <f t="shared" si="0"/>
        <v>2013</v>
      </c>
      <c r="CE3" s="2">
        <f t="shared" si="0"/>
        <v>2014</v>
      </c>
      <c r="CF3" s="2">
        <f t="shared" si="0"/>
        <v>2015</v>
      </c>
      <c r="CG3" s="2">
        <f t="shared" si="0"/>
        <v>2016</v>
      </c>
      <c r="CH3" s="2">
        <f t="shared" si="0"/>
        <v>2017</v>
      </c>
      <c r="CI3" s="2">
        <f t="shared" si="0"/>
        <v>2018</v>
      </c>
      <c r="CJ3" s="2">
        <f t="shared" si="0"/>
        <v>2019</v>
      </c>
      <c r="CK3" s="2">
        <f t="shared" si="0"/>
        <v>2020</v>
      </c>
      <c r="CL3" s="2">
        <f t="shared" si="0"/>
        <v>2021</v>
      </c>
      <c r="CM3" s="2">
        <f t="shared" si="0"/>
        <v>2022</v>
      </c>
      <c r="CN3" s="2">
        <f t="shared" si="0"/>
        <v>2023</v>
      </c>
      <c r="CO3" s="2">
        <f t="shared" si="0"/>
        <v>2024</v>
      </c>
      <c r="CP3" s="66">
        <f t="shared" si="0"/>
        <v>2025</v>
      </c>
      <c r="CQ3" s="66">
        <f t="shared" si="0"/>
        <v>2026</v>
      </c>
      <c r="CR3" s="66">
        <f t="shared" si="0"/>
        <v>2027</v>
      </c>
      <c r="CS3" s="66">
        <f t="shared" si="0"/>
        <v>2028</v>
      </c>
      <c r="CT3" s="66">
        <f t="shared" si="0"/>
        <v>2029</v>
      </c>
      <c r="CU3" s="66">
        <f t="shared" si="0"/>
        <v>2030</v>
      </c>
      <c r="CV3" s="66">
        <f t="shared" si="0"/>
        <v>2031</v>
      </c>
      <c r="CW3" s="66">
        <f t="shared" si="0"/>
        <v>2032</v>
      </c>
      <c r="CX3" s="66">
        <f t="shared" si="0"/>
        <v>2033</v>
      </c>
      <c r="CY3" s="66">
        <f t="shared" si="0"/>
        <v>2034</v>
      </c>
      <c r="CZ3" s="66">
        <f t="shared" si="0"/>
        <v>2035</v>
      </c>
      <c r="DA3" s="66">
        <f t="shared" si="0"/>
        <v>2036</v>
      </c>
      <c r="DB3" s="66">
        <f t="shared" si="0"/>
        <v>2037</v>
      </c>
      <c r="DC3" s="66">
        <f t="shared" si="0"/>
        <v>2038</v>
      </c>
      <c r="DD3" s="66">
        <f t="shared" si="0"/>
        <v>2039</v>
      </c>
      <c r="DE3" s="66">
        <f t="shared" si="0"/>
        <v>2040</v>
      </c>
      <c r="DF3" s="66">
        <f t="shared" si="0"/>
        <v>2041</v>
      </c>
      <c r="DG3" s="66">
        <f t="shared" si="0"/>
        <v>2042</v>
      </c>
      <c r="DH3" s="66">
        <f t="shared" si="0"/>
        <v>2043</v>
      </c>
      <c r="DI3" s="66">
        <f t="shared" si="0"/>
        <v>2044</v>
      </c>
      <c r="DJ3" s="66">
        <f t="shared" si="0"/>
        <v>2045</v>
      </c>
      <c r="DK3" s="66">
        <f t="shared" si="0"/>
        <v>2046</v>
      </c>
      <c r="DL3" s="66">
        <f t="shared" si="0"/>
        <v>2047</v>
      </c>
      <c r="DM3" s="66">
        <f t="shared" si="0"/>
        <v>2048</v>
      </c>
      <c r="DN3" s="66">
        <f t="shared" si="0"/>
        <v>2049</v>
      </c>
      <c r="DO3" s="66">
        <f t="shared" si="0"/>
        <v>2050</v>
      </c>
      <c r="DP3" s="66">
        <f t="shared" si="0"/>
        <v>2051</v>
      </c>
      <c r="DQ3" s="66">
        <f t="shared" si="0"/>
        <v>2052</v>
      </c>
      <c r="DR3" s="66">
        <f t="shared" si="0"/>
        <v>2053</v>
      </c>
      <c r="DS3" s="66">
        <f t="shared" si="0"/>
        <v>2054</v>
      </c>
      <c r="DT3" s="66">
        <f t="shared" si="0"/>
        <v>2055</v>
      </c>
      <c r="DU3" s="66">
        <f t="shared" si="0"/>
        <v>2056</v>
      </c>
      <c r="DV3" s="66">
        <f t="shared" si="0"/>
        <v>2057</v>
      </c>
      <c r="DW3" s="66">
        <f t="shared" si="0"/>
        <v>2058</v>
      </c>
      <c r="DX3" s="66">
        <f t="shared" si="0"/>
        <v>2059</v>
      </c>
      <c r="DY3" s="66">
        <f t="shared" si="0"/>
        <v>2060</v>
      </c>
      <c r="DZ3" s="66">
        <f t="shared" si="0"/>
        <v>2061</v>
      </c>
      <c r="EA3" s="66">
        <f t="shared" si="0"/>
        <v>2062</v>
      </c>
      <c r="EB3" s="66">
        <f t="shared" si="0"/>
        <v>2063</v>
      </c>
      <c r="EC3" s="66">
        <f t="shared" si="0"/>
        <v>2064</v>
      </c>
      <c r="ED3" s="66">
        <f t="shared" si="0"/>
        <v>2065</v>
      </c>
      <c r="EE3" s="66">
        <f t="shared" si="0"/>
        <v>2066</v>
      </c>
      <c r="EF3" s="66">
        <f t="shared" si="0"/>
        <v>2067</v>
      </c>
      <c r="EG3" s="66">
        <f t="shared" si="0"/>
        <v>2068</v>
      </c>
      <c r="EH3" s="66">
        <f t="shared" si="0"/>
        <v>2069</v>
      </c>
      <c r="EI3" s="66">
        <f t="shared" si="0"/>
        <v>2070</v>
      </c>
      <c r="EJ3" s="66">
        <f t="shared" si="0"/>
        <v>2071</v>
      </c>
      <c r="EK3" s="66">
        <f t="shared" si="0"/>
        <v>2072</v>
      </c>
      <c r="EL3" s="66">
        <f t="shared" si="0"/>
        <v>2073</v>
      </c>
      <c r="EM3" s="66">
        <f t="shared" ref="EM3:EW3" si="1">EL3+1</f>
        <v>2074</v>
      </c>
      <c r="EN3" s="66">
        <f t="shared" si="1"/>
        <v>2075</v>
      </c>
      <c r="EO3" s="66">
        <f t="shared" si="1"/>
        <v>2076</v>
      </c>
      <c r="EP3" s="66">
        <f t="shared" si="1"/>
        <v>2077</v>
      </c>
      <c r="EQ3" s="66">
        <f t="shared" si="1"/>
        <v>2078</v>
      </c>
      <c r="ER3" s="66">
        <f t="shared" si="1"/>
        <v>2079</v>
      </c>
      <c r="ES3" s="66">
        <f t="shared" si="1"/>
        <v>2080</v>
      </c>
      <c r="ET3" s="66">
        <f t="shared" si="1"/>
        <v>2081</v>
      </c>
      <c r="EU3" s="66">
        <f t="shared" si="1"/>
        <v>2082</v>
      </c>
      <c r="EV3" s="66">
        <f t="shared" si="1"/>
        <v>2083</v>
      </c>
      <c r="EW3" s="66">
        <f t="shared" si="1"/>
        <v>2084</v>
      </c>
      <c r="EX3" s="66"/>
      <c r="EY3" s="66"/>
      <c r="EZ3" s="66"/>
    </row>
    <row r="4" spans="2:156">
      <c r="B4" s="36" t="s">
        <v>1862</v>
      </c>
      <c r="BC4" s="1">
        <v>51129</v>
      </c>
      <c r="BD4" s="1">
        <v>50855</v>
      </c>
      <c r="BE4" s="1">
        <v>53489</v>
      </c>
      <c r="BF4" s="1">
        <f>220004-SUM(BC4:BE4)</f>
        <v>64531</v>
      </c>
      <c r="BG4" s="1">
        <v>51096</v>
      </c>
      <c r="BH4" s="1">
        <v>52966</v>
      </c>
      <c r="BI4" s="1">
        <v>57267</v>
      </c>
      <c r="BJ4" s="1">
        <f>231872-SUM(BG4:BI4)</f>
        <v>70543</v>
      </c>
      <c r="BK4" s="1">
        <v>54670</v>
      </c>
      <c r="BL4" s="1">
        <v>55392</v>
      </c>
      <c r="BM4" s="1">
        <v>61411</v>
      </c>
      <c r="BN4" s="1">
        <f>247029-SUM(BK4:BM4)</f>
        <v>75556</v>
      </c>
      <c r="BO4" s="1">
        <v>57407</v>
      </c>
      <c r="BP4" s="1">
        <v>61485</v>
      </c>
      <c r="BQ4" s="1">
        <v>67407</v>
      </c>
      <c r="CM4" s="1">
        <f t="shared" ref="CM4:CM10" si="2">SUM(BC4:BF4)</f>
        <v>220004</v>
      </c>
      <c r="CN4" s="1">
        <f t="shared" ref="CN4:CN10" si="3">SUM(BG4:BJ4)</f>
        <v>231872</v>
      </c>
      <c r="CO4" s="1">
        <f t="shared" ref="CO4:CO10" si="4">SUM(BK4:BN4)</f>
        <v>247029</v>
      </c>
      <c r="CP4" s="63">
        <f t="shared" ref="CP4:CP10" si="5">CO4*(1+CP13)</f>
        <v>270496.755</v>
      </c>
      <c r="CQ4" s="63">
        <f t="shared" ref="CQ4:CY4" si="6">CP4*(1+CQ13)</f>
        <v>294841.46295000002</v>
      </c>
      <c r="CR4" s="63">
        <f t="shared" si="6"/>
        <v>316954.57267124997</v>
      </c>
      <c r="CS4" s="63">
        <f t="shared" si="6"/>
        <v>335971.84703152499</v>
      </c>
      <c r="CT4" s="63">
        <f t="shared" si="6"/>
        <v>354450.29861825885</v>
      </c>
      <c r="CU4" s="63">
        <f t="shared" si="6"/>
        <v>373058.93929571746</v>
      </c>
      <c r="CV4" s="63">
        <f t="shared" si="6"/>
        <v>392084.94519979903</v>
      </c>
      <c r="CW4" s="63">
        <f t="shared" si="6"/>
        <v>411689.19245978899</v>
      </c>
      <c r="CX4" s="63">
        <f t="shared" si="6"/>
        <v>431861.96289031859</v>
      </c>
      <c r="CY4" s="63">
        <f t="shared" si="6"/>
        <v>452591.33710905391</v>
      </c>
    </row>
    <row r="5" spans="2:156">
      <c r="B5" s="36" t="s">
        <v>1863</v>
      </c>
      <c r="BC5" s="1">
        <v>4591</v>
      </c>
      <c r="BD5" s="1">
        <v>4721</v>
      </c>
      <c r="BE5" s="1">
        <v>4694</v>
      </c>
      <c r="BF5" s="1">
        <f>18963-SUM(BC5:BE5)</f>
        <v>4957</v>
      </c>
      <c r="BG5" s="1">
        <v>4895</v>
      </c>
      <c r="BH5" s="1">
        <v>5024</v>
      </c>
      <c r="BI5" s="1">
        <v>4959</v>
      </c>
      <c r="BJ5" s="1">
        <f>20030-SUM(BG5:BI5)</f>
        <v>5152</v>
      </c>
      <c r="BK5" s="1">
        <v>5202</v>
      </c>
      <c r="BL5" s="1">
        <v>5206</v>
      </c>
      <c r="BM5" s="1">
        <v>5228</v>
      </c>
      <c r="BN5" s="1">
        <f>21215-SUM(BK5:BM5)</f>
        <v>5579</v>
      </c>
      <c r="BO5" s="1">
        <v>5533</v>
      </c>
      <c r="BP5" s="1">
        <v>5595</v>
      </c>
      <c r="BQ5" s="1">
        <v>5578</v>
      </c>
      <c r="CM5" s="1">
        <f t="shared" si="2"/>
        <v>18963</v>
      </c>
      <c r="CN5" s="1">
        <f t="shared" si="3"/>
        <v>20030</v>
      </c>
      <c r="CO5" s="1">
        <f t="shared" si="4"/>
        <v>21215</v>
      </c>
      <c r="CP5" s="63">
        <f t="shared" si="5"/>
        <v>22636.404999999999</v>
      </c>
      <c r="CQ5" s="63">
        <f t="shared" ref="CQ5:CY5" si="7">CP5*(1+CQ14)</f>
        <v>24334.135374999998</v>
      </c>
      <c r="CR5" s="63">
        <f t="shared" si="7"/>
        <v>25915.854174374996</v>
      </c>
      <c r="CS5" s="63">
        <f t="shared" si="7"/>
        <v>27211.646883093748</v>
      </c>
      <c r="CT5" s="63">
        <f t="shared" si="7"/>
        <v>28517.80593348225</v>
      </c>
      <c r="CU5" s="63">
        <f t="shared" si="7"/>
        <v>29858.142812355913</v>
      </c>
      <c r="CV5" s="63">
        <f t="shared" si="7"/>
        <v>31231.617381724285</v>
      </c>
      <c r="CW5" s="63">
        <f t="shared" si="7"/>
        <v>32637.040163901875</v>
      </c>
      <c r="CX5" s="63">
        <f t="shared" si="7"/>
        <v>34073.069931113561</v>
      </c>
      <c r="CY5" s="63">
        <f t="shared" si="7"/>
        <v>35538.211938151442</v>
      </c>
    </row>
    <row r="6" spans="2:156">
      <c r="B6" s="36" t="s">
        <v>1864</v>
      </c>
      <c r="BC6" s="1">
        <v>25335</v>
      </c>
      <c r="BD6" s="1">
        <v>27376</v>
      </c>
      <c r="BE6" s="1">
        <v>28666</v>
      </c>
      <c r="BF6" s="1">
        <f>117716-SUM(BC6:BE6)</f>
        <v>36339</v>
      </c>
      <c r="BG6" s="1">
        <v>29820</v>
      </c>
      <c r="BH6" s="1">
        <v>32332</v>
      </c>
      <c r="BI6" s="1">
        <v>34342</v>
      </c>
      <c r="BJ6" s="1">
        <f>140053-SUM(BG6:BI6)</f>
        <v>43559</v>
      </c>
      <c r="BK6" s="1">
        <v>34596</v>
      </c>
      <c r="BL6" s="1">
        <v>36201</v>
      </c>
      <c r="BM6" s="1">
        <v>37864</v>
      </c>
      <c r="BN6" s="1">
        <f>156146-SUM(BK6:BM6)</f>
        <v>47485</v>
      </c>
      <c r="BO6" s="1">
        <v>36512</v>
      </c>
      <c r="BP6" s="1">
        <v>40348</v>
      </c>
      <c r="BQ6" s="1">
        <v>42486</v>
      </c>
      <c r="CM6" s="1">
        <f t="shared" si="2"/>
        <v>117716</v>
      </c>
      <c r="CN6" s="1">
        <f t="shared" si="3"/>
        <v>140053</v>
      </c>
      <c r="CO6" s="1">
        <f t="shared" si="4"/>
        <v>156146</v>
      </c>
      <c r="CP6" s="63">
        <f t="shared" si="5"/>
        <v>171136.016</v>
      </c>
      <c r="CQ6" s="63">
        <f t="shared" ref="CQ6:CY6" si="8">CP6*(1+CQ15)</f>
        <v>188249.61760000003</v>
      </c>
      <c r="CR6" s="63">
        <f t="shared" si="8"/>
        <v>203309.58700800003</v>
      </c>
      <c r="CS6" s="63">
        <f t="shared" si="8"/>
        <v>217541.25809856004</v>
      </c>
      <c r="CT6" s="63">
        <f t="shared" si="8"/>
        <v>230593.73358447364</v>
      </c>
      <c r="CU6" s="63">
        <f t="shared" si="8"/>
        <v>242123.42026369734</v>
      </c>
      <c r="CV6" s="63">
        <f t="shared" si="8"/>
        <v>253018.97417556369</v>
      </c>
      <c r="CW6" s="63">
        <f t="shared" si="8"/>
        <v>263139.73314258625</v>
      </c>
      <c r="CX6" s="63">
        <f t="shared" si="8"/>
        <v>272349.62380257674</v>
      </c>
      <c r="CY6" s="63">
        <f t="shared" si="8"/>
        <v>279158.36439764115</v>
      </c>
    </row>
    <row r="7" spans="2:156">
      <c r="B7" s="36" t="s">
        <v>1865</v>
      </c>
      <c r="BC7" s="1">
        <v>8410</v>
      </c>
      <c r="BD7" s="1">
        <v>8716</v>
      </c>
      <c r="BE7" s="1">
        <v>8903</v>
      </c>
      <c r="BF7" s="1">
        <f>37739-SUM(BC7:BE7)</f>
        <v>11710</v>
      </c>
      <c r="BG7" s="1">
        <v>9657</v>
      </c>
      <c r="BH7" s="1">
        <v>9894</v>
      </c>
      <c r="BI7" s="1">
        <v>12060</v>
      </c>
      <c r="BJ7" s="1">
        <f>46906-SUM(BG7:BI7)</f>
        <v>15295</v>
      </c>
      <c r="BK7" s="1">
        <v>11824</v>
      </c>
      <c r="BL7" s="1">
        <v>12771</v>
      </c>
      <c r="BM7" s="1">
        <v>14331</v>
      </c>
      <c r="BN7" s="1">
        <f>56214-SUM(BK7:BM7)</f>
        <v>17288</v>
      </c>
      <c r="BO7" s="1">
        <v>13921</v>
      </c>
      <c r="BP7" s="1">
        <v>15694</v>
      </c>
      <c r="BQ7" s="1">
        <v>17703</v>
      </c>
      <c r="CM7" s="1">
        <f t="shared" si="2"/>
        <v>37739</v>
      </c>
      <c r="CN7" s="1">
        <f t="shared" si="3"/>
        <v>46906</v>
      </c>
      <c r="CO7" s="1">
        <f t="shared" si="4"/>
        <v>56214</v>
      </c>
      <c r="CP7" s="63">
        <f t="shared" si="5"/>
        <v>68581.08</v>
      </c>
      <c r="CQ7" s="63">
        <f t="shared" ref="CQ7:CY7" si="9">CP7*(1+CQ16)</f>
        <v>85726.35</v>
      </c>
      <c r="CR7" s="63">
        <f t="shared" si="9"/>
        <v>101157.09300000001</v>
      </c>
      <c r="CS7" s="63">
        <f t="shared" si="9"/>
        <v>115319.08602000002</v>
      </c>
      <c r="CT7" s="63">
        <f t="shared" si="9"/>
        <v>129157.37634240004</v>
      </c>
      <c r="CU7" s="63">
        <f t="shared" si="9"/>
        <v>142073.11397664004</v>
      </c>
      <c r="CV7" s="63">
        <f t="shared" si="9"/>
        <v>154859.69423453766</v>
      </c>
      <c r="CW7" s="63">
        <f t="shared" si="9"/>
        <v>167248.46977330069</v>
      </c>
      <c r="CX7" s="63">
        <f t="shared" si="9"/>
        <v>178955.86265743175</v>
      </c>
      <c r="CY7" s="63">
        <f t="shared" si="9"/>
        <v>189693.21441687766</v>
      </c>
    </row>
    <row r="8" spans="2:156">
      <c r="B8" s="36" t="s">
        <v>1866</v>
      </c>
      <c r="BC8" s="1">
        <v>7877</v>
      </c>
      <c r="BD8" s="1">
        <v>8757</v>
      </c>
      <c r="BE8" s="1">
        <v>9548</v>
      </c>
      <c r="BF8" s="1">
        <f>35218-SUM(BC8:BE8)</f>
        <v>9036</v>
      </c>
      <c r="BG8" s="1">
        <v>9509</v>
      </c>
      <c r="BH8" s="1">
        <v>10683</v>
      </c>
      <c r="BI8" s="1">
        <v>10170</v>
      </c>
      <c r="BJ8" s="1">
        <f>40209-SUM(BG8:BI8)</f>
        <v>9847</v>
      </c>
      <c r="BK8" s="1">
        <v>10722</v>
      </c>
      <c r="BL8" s="1">
        <v>10866</v>
      </c>
      <c r="BM8" s="1">
        <v>11278</v>
      </c>
      <c r="BN8" s="1">
        <f>44374-SUM(BK8:BM8)</f>
        <v>11508</v>
      </c>
      <c r="BO8" s="1">
        <v>11715</v>
      </c>
      <c r="BP8" s="1">
        <v>12208</v>
      </c>
      <c r="BQ8" s="1">
        <v>12574</v>
      </c>
      <c r="CM8" s="1">
        <f t="shared" si="2"/>
        <v>35218</v>
      </c>
      <c r="CN8" s="1">
        <f t="shared" si="3"/>
        <v>40209</v>
      </c>
      <c r="CO8" s="1">
        <f t="shared" si="4"/>
        <v>44374</v>
      </c>
      <c r="CP8" s="63">
        <f t="shared" si="5"/>
        <v>49432.636000000006</v>
      </c>
      <c r="CQ8" s="63">
        <f t="shared" ref="CQ8:CY8" si="10">CP8*(1+CQ17)</f>
        <v>54079.303784000011</v>
      </c>
      <c r="CR8" s="63">
        <f t="shared" si="10"/>
        <v>58405.648086720015</v>
      </c>
      <c r="CS8" s="63">
        <f t="shared" si="10"/>
        <v>62202.015212356811</v>
      </c>
      <c r="CT8" s="63">
        <f t="shared" si="10"/>
        <v>65312.115972974658</v>
      </c>
      <c r="CU8" s="63">
        <f t="shared" si="10"/>
        <v>68251.161191758511</v>
      </c>
      <c r="CV8" s="63">
        <f t="shared" si="10"/>
        <v>71117.709961812376</v>
      </c>
      <c r="CW8" s="63">
        <f t="shared" si="10"/>
        <v>73962.418360284879</v>
      </c>
      <c r="CX8" s="63">
        <f t="shared" si="10"/>
        <v>76772.990257975704</v>
      </c>
      <c r="CY8" s="63">
        <f t="shared" si="10"/>
        <v>79536.817907262826</v>
      </c>
    </row>
    <row r="9" spans="2:156">
      <c r="B9" s="36" t="s">
        <v>1564</v>
      </c>
      <c r="BC9" s="1">
        <v>18441</v>
      </c>
      <c r="BD9" s="1">
        <v>19739</v>
      </c>
      <c r="BE9" s="1">
        <v>20538</v>
      </c>
      <c r="BF9" s="1">
        <f>80096-SUM(BC9:BE9)</f>
        <v>21378</v>
      </c>
      <c r="BG9" s="1">
        <v>21354</v>
      </c>
      <c r="BH9" s="1">
        <v>22140</v>
      </c>
      <c r="BI9" s="1">
        <v>23059</v>
      </c>
      <c r="BJ9" s="1">
        <f>90757-SUM(BG9:BI9)</f>
        <v>24204</v>
      </c>
      <c r="BK9" s="1">
        <v>25037</v>
      </c>
      <c r="BL9" s="1">
        <v>26281</v>
      </c>
      <c r="BM9" s="1">
        <v>27452</v>
      </c>
      <c r="BN9" s="1">
        <f>107556-SUM(BK9:BM9)</f>
        <v>28786</v>
      </c>
      <c r="BO9" s="1">
        <v>29267</v>
      </c>
      <c r="BP9" s="1">
        <v>30873</v>
      </c>
      <c r="BQ9" s="1">
        <v>33006</v>
      </c>
      <c r="CM9" s="1">
        <f t="shared" si="2"/>
        <v>80096</v>
      </c>
      <c r="CN9" s="1">
        <f t="shared" si="3"/>
        <v>90757</v>
      </c>
      <c r="CO9" s="1">
        <f t="shared" si="4"/>
        <v>107556</v>
      </c>
      <c r="CP9" s="63">
        <f t="shared" si="5"/>
        <v>126378.3</v>
      </c>
      <c r="CQ9" s="63">
        <f t="shared" ref="CQ9:CY9" si="11">CP9*(1+CQ18)</f>
        <v>150390.177</v>
      </c>
      <c r="CR9" s="63">
        <f t="shared" si="11"/>
        <v>181972.11416999999</v>
      </c>
      <c r="CS9" s="63">
        <f t="shared" si="11"/>
        <v>211087.65243719995</v>
      </c>
      <c r="CT9" s="63">
        <f t="shared" si="11"/>
        <v>238529.04725403592</v>
      </c>
      <c r="CU9" s="63">
        <f t="shared" si="11"/>
        <v>262381.95197943953</v>
      </c>
      <c r="CV9" s="63">
        <f t="shared" si="11"/>
        <v>283372.50813779474</v>
      </c>
      <c r="CW9" s="63">
        <f t="shared" si="11"/>
        <v>300374.85862606246</v>
      </c>
      <c r="CX9" s="63">
        <f t="shared" si="11"/>
        <v>315393.60155736562</v>
      </c>
      <c r="CY9" s="63">
        <f t="shared" si="11"/>
        <v>328009.34561966028</v>
      </c>
    </row>
    <row r="10" spans="2:156">
      <c r="B10" s="36" t="s">
        <v>1867</v>
      </c>
      <c r="BC10" s="1">
        <v>661</v>
      </c>
      <c r="BD10" s="1">
        <v>1070</v>
      </c>
      <c r="BE10" s="1">
        <v>1263</v>
      </c>
      <c r="BF10" s="1">
        <f>4247-SUM(BC10:BE10)</f>
        <v>1253</v>
      </c>
      <c r="BG10" s="1">
        <v>1027</v>
      </c>
      <c r="BH10" s="1">
        <v>1344</v>
      </c>
      <c r="BI10" s="1">
        <v>1226</v>
      </c>
      <c r="BJ10" s="1">
        <f>4958-SUM(BG10:BI10)</f>
        <v>1361</v>
      </c>
      <c r="BK10" s="1">
        <v>1262</v>
      </c>
      <c r="BL10" s="1">
        <v>1260</v>
      </c>
      <c r="BM10" s="1">
        <v>1313</v>
      </c>
      <c r="BN10" s="1">
        <f>5425-SUM(BK10:BM10)</f>
        <v>1590</v>
      </c>
      <c r="BO10" s="1">
        <v>1312</v>
      </c>
      <c r="BP10" s="1">
        <v>1499</v>
      </c>
      <c r="BQ10" s="1">
        <v>1415</v>
      </c>
      <c r="CM10" s="1">
        <f t="shared" si="2"/>
        <v>4247</v>
      </c>
      <c r="CN10" s="1">
        <f t="shared" si="3"/>
        <v>4958</v>
      </c>
      <c r="CO10" s="1">
        <f t="shared" si="4"/>
        <v>5425</v>
      </c>
      <c r="CP10" s="63">
        <f t="shared" si="5"/>
        <v>6021.7500000000009</v>
      </c>
      <c r="CQ10" s="63">
        <f t="shared" ref="CQ10:CY10" si="12">CP10*(1+CQ19)</f>
        <v>6503.4900000000016</v>
      </c>
      <c r="CR10" s="63">
        <f t="shared" si="12"/>
        <v>6958.7343000000019</v>
      </c>
      <c r="CS10" s="63">
        <f t="shared" si="12"/>
        <v>7376.2583580000028</v>
      </c>
      <c r="CT10" s="63">
        <f t="shared" si="12"/>
        <v>7745.0712759000035</v>
      </c>
      <c r="CU10" s="63">
        <f t="shared" si="12"/>
        <v>8054.8741269360034</v>
      </c>
      <c r="CV10" s="63">
        <f t="shared" si="12"/>
        <v>8296.5203507440838</v>
      </c>
      <c r="CW10" s="63">
        <f t="shared" si="12"/>
        <v>8462.4507577589648</v>
      </c>
      <c r="CX10" s="63">
        <f t="shared" si="12"/>
        <v>8631.699772914144</v>
      </c>
      <c r="CY10" s="63">
        <f t="shared" si="12"/>
        <v>8804.3337683724276</v>
      </c>
    </row>
    <row r="11" spans="2:156" s="2" customFormat="1" ht="15">
      <c r="B11" s="33" t="s">
        <v>118</v>
      </c>
      <c r="BC11" s="2">
        <f t="shared" ref="BC11:BN11" si="13">SUM(BC4:BC10)</f>
        <v>116444</v>
      </c>
      <c r="BD11" s="2">
        <f t="shared" si="13"/>
        <v>121234</v>
      </c>
      <c r="BE11" s="2">
        <f t="shared" si="13"/>
        <v>127101</v>
      </c>
      <c r="BF11" s="2">
        <f t="shared" si="13"/>
        <v>149204</v>
      </c>
      <c r="BG11" s="2">
        <f t="shared" si="13"/>
        <v>127358</v>
      </c>
      <c r="BH11" s="2">
        <f t="shared" si="13"/>
        <v>134383</v>
      </c>
      <c r="BI11" s="2">
        <f t="shared" si="13"/>
        <v>143083</v>
      </c>
      <c r="BJ11" s="2">
        <f t="shared" ref="BJ11" si="14">SUM(BJ4:BJ10)</f>
        <v>169961</v>
      </c>
      <c r="BK11" s="2">
        <f t="shared" ref="BK11" si="15">SUM(BK4:BK10)</f>
        <v>143313</v>
      </c>
      <c r="BL11" s="2">
        <f t="shared" ref="BL11" si="16">SUM(BL4:BL10)</f>
        <v>147977</v>
      </c>
      <c r="BM11" s="2">
        <f t="shared" ref="BM11" si="17">SUM(BM4:BM10)</f>
        <v>158877</v>
      </c>
      <c r="BN11" s="2">
        <f t="shared" si="13"/>
        <v>187792</v>
      </c>
      <c r="BO11" s="2">
        <f t="shared" ref="BO11" si="18">SUM(BO4:BO10)</f>
        <v>155667</v>
      </c>
      <c r="BP11" s="2">
        <f>SUM(BP4:BP10)</f>
        <v>167702</v>
      </c>
      <c r="BQ11" s="2">
        <f>SUM(BQ4:BQ10)</f>
        <v>180169</v>
      </c>
      <c r="BR11" s="34"/>
      <c r="BS11" s="34"/>
      <c r="BT11" s="34"/>
      <c r="BU11" s="34"/>
      <c r="CM11" s="2">
        <f t="shared" ref="CM11:CN11" si="19">SUM(CM4:CM10)</f>
        <v>513983</v>
      </c>
      <c r="CN11" s="2">
        <f t="shared" si="19"/>
        <v>574785</v>
      </c>
      <c r="CO11" s="2">
        <f>SUM(CO4:CO10)</f>
        <v>637959</v>
      </c>
      <c r="CP11" s="75">
        <f>SUM(CP4:CP10)</f>
        <v>714682.94200000016</v>
      </c>
      <c r="CQ11" s="75">
        <f t="shared" ref="CQ11:CY11" si="20">SUM(CQ4:CQ10)</f>
        <v>804124.53670900001</v>
      </c>
      <c r="CR11" s="75">
        <f t="shared" si="20"/>
        <v>894673.60341034504</v>
      </c>
      <c r="CS11" s="75">
        <f t="shared" si="20"/>
        <v>976709.76404073555</v>
      </c>
      <c r="CT11" s="75">
        <f t="shared" si="20"/>
        <v>1054305.4489815254</v>
      </c>
      <c r="CU11" s="75">
        <f t="shared" si="20"/>
        <v>1125801.6036465447</v>
      </c>
      <c r="CV11" s="75">
        <f t="shared" si="20"/>
        <v>1193981.9694419757</v>
      </c>
      <c r="CW11" s="75">
        <f t="shared" si="20"/>
        <v>1257514.1632836841</v>
      </c>
      <c r="CX11" s="75">
        <f t="shared" si="20"/>
        <v>1318038.8108696961</v>
      </c>
      <c r="CY11" s="75">
        <f t="shared" si="20"/>
        <v>1373331.6251570198</v>
      </c>
      <c r="CZ11" s="66"/>
      <c r="DA11" s="66"/>
      <c r="DB11" s="66"/>
      <c r="DC11" s="66"/>
      <c r="DD11" s="66"/>
      <c r="DE11" s="66"/>
      <c r="DF11" s="66"/>
      <c r="DG11" s="66"/>
      <c r="DH11" s="66"/>
      <c r="DI11" s="66"/>
      <c r="DJ11" s="66"/>
      <c r="DK11" s="66"/>
      <c r="DL11" s="66"/>
      <c r="DM11" s="66"/>
      <c r="DN11" s="66"/>
      <c r="DO11" s="66"/>
      <c r="DP11" s="66"/>
      <c r="DQ11" s="66"/>
      <c r="DR11" s="66"/>
      <c r="DS11" s="66"/>
      <c r="DT11" s="66"/>
      <c r="DU11" s="66"/>
      <c r="DV11" s="66"/>
      <c r="DW11" s="66"/>
      <c r="DX11" s="66"/>
      <c r="DY11" s="66"/>
      <c r="DZ11" s="66"/>
      <c r="EA11" s="66"/>
      <c r="EB11" s="66"/>
      <c r="EC11" s="66"/>
      <c r="ED11" s="66"/>
      <c r="EE11" s="66"/>
      <c r="EF11" s="66"/>
      <c r="EG11" s="66"/>
      <c r="EH11" s="66"/>
      <c r="EI11" s="66"/>
      <c r="EJ11" s="66"/>
      <c r="EK11" s="66"/>
      <c r="EL11" s="66"/>
      <c r="EM11" s="66"/>
      <c r="EN11" s="66"/>
      <c r="EO11" s="66"/>
      <c r="EP11" s="66"/>
      <c r="EQ11" s="66"/>
      <c r="ER11" s="66"/>
      <c r="ES11" s="66"/>
      <c r="ET11" s="66"/>
      <c r="EU11" s="66"/>
      <c r="EV11" s="66"/>
      <c r="EW11" s="66"/>
      <c r="EX11" s="66"/>
      <c r="EY11" s="66"/>
      <c r="EZ11" s="66"/>
    </row>
    <row r="12" spans="2:156">
      <c r="B12" s="36"/>
    </row>
    <row r="13" spans="2:156">
      <c r="B13" s="36" t="s">
        <v>1870</v>
      </c>
      <c r="BG13" s="59">
        <f t="shared" ref="BG13:BO20" si="21">BG4/BC4-1</f>
        <v>-6.4542627471686487E-4</v>
      </c>
      <c r="BH13" s="59">
        <f t="shared" si="21"/>
        <v>4.1510175990561393E-2</v>
      </c>
      <c r="BI13" s="59">
        <f t="shared" si="21"/>
        <v>7.0631344762474457E-2</v>
      </c>
      <c r="BJ13" s="59">
        <f t="shared" si="21"/>
        <v>9.3164525576854507E-2</v>
      </c>
      <c r="BK13" s="59">
        <f t="shared" si="21"/>
        <v>6.9946766870205179E-2</v>
      </c>
      <c r="BL13" s="59">
        <f t="shared" si="21"/>
        <v>4.5802967941698469E-2</v>
      </c>
      <c r="BM13" s="59">
        <f t="shared" si="21"/>
        <v>7.2362791834738927E-2</v>
      </c>
      <c r="BN13" s="59">
        <f t="shared" si="21"/>
        <v>7.1063039564520869E-2</v>
      </c>
      <c r="BO13" s="59">
        <f t="shared" si="21"/>
        <v>5.0064020486555671E-2</v>
      </c>
      <c r="BP13" s="59">
        <f>BP4/BL4-1</f>
        <v>0.10999783362218363</v>
      </c>
      <c r="BQ13" s="59">
        <f>BQ4/BM4-1</f>
        <v>9.7637231114946932E-2</v>
      </c>
      <c r="CM13" s="59"/>
      <c r="CN13" s="59">
        <f t="shared" ref="CN13" si="22">CN4/CM4-1</f>
        <v>5.3944473736841081E-2</v>
      </c>
      <c r="CO13" s="59">
        <f>CO4/CN4-1</f>
        <v>6.5367961634005045E-2</v>
      </c>
      <c r="CP13" s="77">
        <v>9.5000000000000001E-2</v>
      </c>
      <c r="CQ13" s="77">
        <v>0.09</v>
      </c>
      <c r="CR13" s="77">
        <v>7.4999999999999997E-2</v>
      </c>
      <c r="CS13" s="77">
        <v>0.06</v>
      </c>
      <c r="CT13" s="77">
        <v>5.5E-2</v>
      </c>
      <c r="CU13" s="77">
        <v>5.2499999999999998E-2</v>
      </c>
      <c r="CV13" s="77">
        <v>5.0999999999999997E-2</v>
      </c>
      <c r="CW13" s="77">
        <v>0.05</v>
      </c>
      <c r="CX13" s="77">
        <v>4.9000000000000002E-2</v>
      </c>
      <c r="CY13" s="77">
        <v>4.8000000000000001E-2</v>
      </c>
    </row>
    <row r="14" spans="2:156">
      <c r="B14" s="36" t="s">
        <v>1871</v>
      </c>
      <c r="BG14" s="59">
        <f t="shared" si="21"/>
        <v>6.6216510564147235E-2</v>
      </c>
      <c r="BH14" s="59">
        <f t="shared" si="21"/>
        <v>6.4181317517475023E-2</v>
      </c>
      <c r="BI14" s="59">
        <f t="shared" si="21"/>
        <v>5.6455048998721669E-2</v>
      </c>
      <c r="BJ14" s="59">
        <f t="shared" si="21"/>
        <v>3.9338309461367738E-2</v>
      </c>
      <c r="BK14" s="59">
        <f t="shared" si="21"/>
        <v>6.2717058222676147E-2</v>
      </c>
      <c r="BL14" s="59">
        <f t="shared" si="21"/>
        <v>3.6226114649681618E-2</v>
      </c>
      <c r="BM14" s="59">
        <f t="shared" si="21"/>
        <v>5.4244807420851027E-2</v>
      </c>
      <c r="BN14" s="59">
        <f t="shared" si="21"/>
        <v>8.2880434782608647E-2</v>
      </c>
      <c r="BO14" s="59">
        <f t="shared" si="21"/>
        <v>6.3629373317954707E-2</v>
      </c>
      <c r="BP14" s="59">
        <f t="shared" ref="BP14:BQ20" si="23">BP5/BL5-1</f>
        <v>7.4721475220898892E-2</v>
      </c>
      <c r="BQ14" s="59">
        <f t="shared" si="23"/>
        <v>6.6947207345064985E-2</v>
      </c>
      <c r="CM14" s="59"/>
      <c r="CN14" s="59">
        <f t="shared" ref="CN14:CO20" si="24">CN5/CM5-1</f>
        <v>5.6267468227601203E-2</v>
      </c>
      <c r="CO14" s="59">
        <f t="shared" si="24"/>
        <v>5.9161258112830684E-2</v>
      </c>
      <c r="CP14" s="77">
        <v>6.7000000000000004E-2</v>
      </c>
      <c r="CQ14" s="77">
        <v>7.4999999999999997E-2</v>
      </c>
      <c r="CR14" s="77">
        <v>6.5000000000000002E-2</v>
      </c>
      <c r="CS14" s="77">
        <v>0.05</v>
      </c>
      <c r="CT14" s="77">
        <v>4.8000000000000001E-2</v>
      </c>
      <c r="CU14" s="77">
        <v>4.7E-2</v>
      </c>
      <c r="CV14" s="77">
        <v>4.5999999999999999E-2</v>
      </c>
      <c r="CW14" s="77">
        <v>4.4999999999999998E-2</v>
      </c>
      <c r="CX14" s="77">
        <v>4.3999999999999997E-2</v>
      </c>
      <c r="CY14" s="77">
        <v>4.2999999999999997E-2</v>
      </c>
    </row>
    <row r="15" spans="2:156">
      <c r="B15" s="36" t="s">
        <v>1872</v>
      </c>
      <c r="BG15" s="59">
        <f t="shared" si="21"/>
        <v>0.177027827116637</v>
      </c>
      <c r="BH15" s="59">
        <f t="shared" si="21"/>
        <v>0.18103448275862077</v>
      </c>
      <c r="BI15" s="59">
        <f t="shared" si="21"/>
        <v>0.19800460475825021</v>
      </c>
      <c r="BJ15" s="59">
        <f t="shared" si="21"/>
        <v>0.19868460882247718</v>
      </c>
      <c r="BK15" s="59">
        <f t="shared" si="21"/>
        <v>0.16016096579476868</v>
      </c>
      <c r="BL15" s="59">
        <f t="shared" si="21"/>
        <v>0.11966472844240994</v>
      </c>
      <c r="BM15" s="59">
        <f t="shared" si="21"/>
        <v>0.10255663618892319</v>
      </c>
      <c r="BN15" s="59">
        <f t="shared" si="21"/>
        <v>9.0130627424872101E-2</v>
      </c>
      <c r="BO15" s="59">
        <f t="shared" si="21"/>
        <v>5.538212510116769E-2</v>
      </c>
      <c r="BP15" s="59">
        <f t="shared" si="23"/>
        <v>0.1145548465512003</v>
      </c>
      <c r="BQ15" s="59">
        <f t="shared" si="23"/>
        <v>0.12206845552503687</v>
      </c>
      <c r="CM15" s="59"/>
      <c r="CN15" s="59">
        <f t="shared" si="24"/>
        <v>0.18975330456352579</v>
      </c>
      <c r="CO15" s="59">
        <f t="shared" si="24"/>
        <v>0.11490649968226307</v>
      </c>
      <c r="CP15" s="77">
        <v>9.6000000000000002E-2</v>
      </c>
      <c r="CQ15" s="77">
        <v>0.1</v>
      </c>
      <c r="CR15" s="77">
        <v>0.08</v>
      </c>
      <c r="CS15" s="77">
        <v>7.0000000000000007E-2</v>
      </c>
      <c r="CT15" s="77">
        <v>0.06</v>
      </c>
      <c r="CU15" s="77">
        <v>0.05</v>
      </c>
      <c r="CV15" s="77">
        <v>4.4999999999999998E-2</v>
      </c>
      <c r="CW15" s="77">
        <v>0.04</v>
      </c>
      <c r="CX15" s="77">
        <v>3.5000000000000003E-2</v>
      </c>
      <c r="CY15" s="77">
        <v>2.5000000000000001E-2</v>
      </c>
    </row>
    <row r="16" spans="2:156">
      <c r="B16" s="36" t="s">
        <v>1873</v>
      </c>
      <c r="BG16" s="59">
        <f t="shared" si="21"/>
        <v>0.14827586206896548</v>
      </c>
      <c r="BH16" s="59">
        <f t="shared" si="21"/>
        <v>0.13515374024782001</v>
      </c>
      <c r="BI16" s="59">
        <f t="shared" si="21"/>
        <v>0.35459957317758062</v>
      </c>
      <c r="BJ16" s="59">
        <f t="shared" si="21"/>
        <v>0.30614859094790781</v>
      </c>
      <c r="BK16" s="59">
        <f t="shared" si="21"/>
        <v>0.22439681060370709</v>
      </c>
      <c r="BL16" s="59">
        <f t="shared" si="21"/>
        <v>0.29078229229836272</v>
      </c>
      <c r="BM16" s="59">
        <f t="shared" si="21"/>
        <v>0.18830845771144289</v>
      </c>
      <c r="BN16" s="59">
        <f t="shared" si="21"/>
        <v>0.13030402092186999</v>
      </c>
      <c r="BO16" s="59">
        <f t="shared" si="21"/>
        <v>0.17735115020297698</v>
      </c>
      <c r="BP16" s="59">
        <f t="shared" si="23"/>
        <v>0.22887792655234507</v>
      </c>
      <c r="BQ16" s="59">
        <f t="shared" si="23"/>
        <v>0.23529411764705888</v>
      </c>
      <c r="CM16" s="59"/>
      <c r="CN16" s="59">
        <f t="shared" si="24"/>
        <v>0.24290521741434601</v>
      </c>
      <c r="CO16" s="59">
        <f t="shared" si="24"/>
        <v>0.19843943205560066</v>
      </c>
      <c r="CP16" s="77">
        <v>0.22</v>
      </c>
      <c r="CQ16" s="77">
        <v>0.25</v>
      </c>
      <c r="CR16" s="77">
        <v>0.18</v>
      </c>
      <c r="CS16" s="77">
        <v>0.14000000000000001</v>
      </c>
      <c r="CT16" s="77">
        <v>0.12</v>
      </c>
      <c r="CU16" s="77">
        <v>0.1</v>
      </c>
      <c r="CV16" s="77">
        <v>0.09</v>
      </c>
      <c r="CW16" s="77">
        <v>0.08</v>
      </c>
      <c r="CX16" s="77">
        <v>7.0000000000000007E-2</v>
      </c>
      <c r="CY16" s="77">
        <v>0.06</v>
      </c>
    </row>
    <row r="17" spans="2:156">
      <c r="B17" s="36" t="s">
        <v>1874</v>
      </c>
      <c r="BG17" s="59">
        <f t="shared" si="21"/>
        <v>0.20718547670432907</v>
      </c>
      <c r="BH17" s="59">
        <f t="shared" si="21"/>
        <v>0.21993833504624871</v>
      </c>
      <c r="BI17" s="59">
        <f t="shared" si="21"/>
        <v>6.5144532886468376E-2</v>
      </c>
      <c r="BJ17" s="59">
        <f t="shared" si="21"/>
        <v>8.9752102700309866E-2</v>
      </c>
      <c r="BK17" s="59">
        <f t="shared" si="21"/>
        <v>0.12756336102639598</v>
      </c>
      <c r="BL17" s="59">
        <f t="shared" si="21"/>
        <v>1.7130019657399576E-2</v>
      </c>
      <c r="BM17" s="59">
        <f t="shared" si="21"/>
        <v>0.10894788593903648</v>
      </c>
      <c r="BN17" s="59">
        <f t="shared" si="21"/>
        <v>0.1686808164923328</v>
      </c>
      <c r="BO17" s="59">
        <f t="shared" si="21"/>
        <v>9.2613318410744272E-2</v>
      </c>
      <c r="BP17" s="59">
        <f t="shared" si="23"/>
        <v>0.12350450947910918</v>
      </c>
      <c r="BQ17" s="59">
        <f t="shared" si="23"/>
        <v>0.11491399184252526</v>
      </c>
      <c r="CM17" s="59"/>
      <c r="CN17" s="59">
        <f t="shared" si="24"/>
        <v>0.14171730365154178</v>
      </c>
      <c r="CO17" s="59">
        <f t="shared" si="24"/>
        <v>0.10358377477679137</v>
      </c>
      <c r="CP17" s="77">
        <v>0.114</v>
      </c>
      <c r="CQ17" s="77">
        <v>9.4E-2</v>
      </c>
      <c r="CR17" s="77">
        <v>0.08</v>
      </c>
      <c r="CS17" s="77">
        <v>6.5000000000000002E-2</v>
      </c>
      <c r="CT17" s="77">
        <v>0.05</v>
      </c>
      <c r="CU17" s="77">
        <v>4.4999999999999998E-2</v>
      </c>
      <c r="CV17" s="77">
        <v>4.2000000000000003E-2</v>
      </c>
      <c r="CW17" s="77">
        <v>0.04</v>
      </c>
      <c r="CX17" s="77">
        <v>3.7999999999999999E-2</v>
      </c>
      <c r="CY17" s="77">
        <v>3.5999999999999997E-2</v>
      </c>
    </row>
    <row r="18" spans="2:156">
      <c r="B18" s="36" t="s">
        <v>1875</v>
      </c>
      <c r="BG18" s="59">
        <f t="shared" si="21"/>
        <v>0.157963234097934</v>
      </c>
      <c r="BH18" s="59">
        <f t="shared" si="21"/>
        <v>0.12163736764780375</v>
      </c>
      <c r="BI18" s="59">
        <f t="shared" si="21"/>
        <v>0.1227480767358069</v>
      </c>
      <c r="BJ18" s="59">
        <f t="shared" si="21"/>
        <v>0.13219197305641317</v>
      </c>
      <c r="BK18" s="59">
        <f t="shared" si="21"/>
        <v>0.17247354125690739</v>
      </c>
      <c r="BL18" s="59">
        <f t="shared" si="21"/>
        <v>0.18703703703703711</v>
      </c>
      <c r="BM18" s="59">
        <f t="shared" si="21"/>
        <v>0.1905112971074201</v>
      </c>
      <c r="BN18" s="59">
        <f t="shared" si="21"/>
        <v>0.189307552470666</v>
      </c>
      <c r="BO18" s="59">
        <f t="shared" si="21"/>
        <v>0.1689499540679793</v>
      </c>
      <c r="BP18" s="59">
        <f t="shared" si="23"/>
        <v>0.17472698907956308</v>
      </c>
      <c r="BQ18" s="59">
        <f t="shared" si="23"/>
        <v>0.20231677109135937</v>
      </c>
      <c r="CM18" s="59"/>
      <c r="CN18" s="59">
        <f t="shared" si="24"/>
        <v>0.13310277666799841</v>
      </c>
      <c r="CO18" s="59">
        <f t="shared" si="24"/>
        <v>0.18509867007503544</v>
      </c>
      <c r="CP18" s="77">
        <v>0.17499999999999999</v>
      </c>
      <c r="CQ18" s="77">
        <v>0.19</v>
      </c>
      <c r="CR18" s="77">
        <v>0.21</v>
      </c>
      <c r="CS18" s="77">
        <v>0.16</v>
      </c>
      <c r="CT18" s="77">
        <v>0.13</v>
      </c>
      <c r="CU18" s="77">
        <v>0.1</v>
      </c>
      <c r="CV18" s="77">
        <v>0.08</v>
      </c>
      <c r="CW18" s="77">
        <v>0.06</v>
      </c>
      <c r="CX18" s="77">
        <v>0.05</v>
      </c>
      <c r="CY18" s="77">
        <v>0.04</v>
      </c>
    </row>
    <row r="19" spans="2:156">
      <c r="B19" s="36" t="s">
        <v>1869</v>
      </c>
      <c r="BG19" s="59">
        <f t="shared" si="21"/>
        <v>0.55370650529500764</v>
      </c>
      <c r="BH19" s="59">
        <f t="shared" si="21"/>
        <v>0.25607476635514015</v>
      </c>
      <c r="BI19" s="59">
        <f t="shared" si="21"/>
        <v>-2.9295328582739533E-2</v>
      </c>
      <c r="BJ19" s="59">
        <f t="shared" si="21"/>
        <v>8.6193136472466181E-2</v>
      </c>
      <c r="BK19" s="59">
        <f t="shared" si="21"/>
        <v>0.22882181110029221</v>
      </c>
      <c r="BL19" s="59">
        <f t="shared" si="21"/>
        <v>-6.25E-2</v>
      </c>
      <c r="BM19" s="59">
        <f t="shared" si="21"/>
        <v>7.0962479608482898E-2</v>
      </c>
      <c r="BN19" s="59">
        <f t="shared" si="21"/>
        <v>0.16825863335782509</v>
      </c>
      <c r="BO19" s="59">
        <f t="shared" si="21"/>
        <v>3.961965134706813E-2</v>
      </c>
      <c r="BP19" s="59">
        <f t="shared" si="23"/>
        <v>0.18968253968253967</v>
      </c>
      <c r="BQ19" s="59">
        <f t="shared" si="23"/>
        <v>7.76846915460776E-2</v>
      </c>
      <c r="CM19" s="59"/>
      <c r="CN19" s="59">
        <f t="shared" si="24"/>
        <v>0.16741229102896171</v>
      </c>
      <c r="CO19" s="59">
        <f t="shared" si="24"/>
        <v>9.4191206131504668E-2</v>
      </c>
      <c r="CP19" s="77">
        <v>0.11</v>
      </c>
      <c r="CQ19" s="77">
        <v>0.08</v>
      </c>
      <c r="CR19" s="77">
        <v>7.0000000000000007E-2</v>
      </c>
      <c r="CS19" s="77">
        <v>0.06</v>
      </c>
      <c r="CT19" s="77">
        <v>0.05</v>
      </c>
      <c r="CU19" s="77">
        <v>0.04</v>
      </c>
      <c r="CV19" s="77">
        <v>0.03</v>
      </c>
      <c r="CW19" s="77">
        <v>0.02</v>
      </c>
      <c r="CX19" s="77">
        <v>0.02</v>
      </c>
      <c r="CY19" s="77">
        <v>0.02</v>
      </c>
    </row>
    <row r="20" spans="2:156" s="2" customFormat="1" ht="15">
      <c r="B20" s="33" t="s">
        <v>1868</v>
      </c>
      <c r="G20" s="60">
        <f t="shared" ref="G20:BE20" si="25">G44/C44-1</f>
        <v>0.45858048680711794</v>
      </c>
      <c r="H20" s="60">
        <f t="shared" si="25"/>
        <v>0.41173941087938082</v>
      </c>
      <c r="I20" s="60">
        <f t="shared" si="25"/>
        <v>0.38741053404294368</v>
      </c>
      <c r="J20" s="60">
        <f t="shared" si="25"/>
        <v>0.35997899159663871</v>
      </c>
      <c r="K20" s="60">
        <f t="shared" si="25"/>
        <v>0.38227457579582103</v>
      </c>
      <c r="L20" s="60">
        <f t="shared" si="25"/>
        <v>0.50974718245507167</v>
      </c>
      <c r="M20" s="60">
        <f t="shared" si="25"/>
        <v>0.43862433862433869</v>
      </c>
      <c r="N20" s="60">
        <f t="shared" si="25"/>
        <v>0.3463350583146676</v>
      </c>
      <c r="O20" s="60">
        <f t="shared" si="25"/>
        <v>0.33762808156639945</v>
      </c>
      <c r="P20" s="60">
        <f t="shared" si="25"/>
        <v>0.2946635730858469</v>
      </c>
      <c r="Q20" s="60">
        <f t="shared" si="25"/>
        <v>0.26940051489518213</v>
      </c>
      <c r="R20" s="60">
        <f t="shared" si="25"/>
        <v>0.2201250645401871</v>
      </c>
      <c r="S20" s="60">
        <f t="shared" si="25"/>
        <v>0.21880925293894582</v>
      </c>
      <c r="T20" s="60">
        <f t="shared" si="25"/>
        <v>0.22362474676640165</v>
      </c>
      <c r="U20" s="60">
        <f t="shared" si="25"/>
        <v>0.23801245835144136</v>
      </c>
      <c r="V20" s="60">
        <f t="shared" si="25"/>
        <v>0.20302802332142189</v>
      </c>
      <c r="W20" s="60">
        <f t="shared" si="25"/>
        <v>0.22843808338518978</v>
      </c>
      <c r="X20" s="60">
        <f t="shared" si="25"/>
        <v>0.23153336729495666</v>
      </c>
      <c r="Y20" s="60">
        <f t="shared" si="25"/>
        <v>0.20401357360168504</v>
      </c>
      <c r="Z20" s="60">
        <f t="shared" si="25"/>
        <v>0.14625185648401473</v>
      </c>
      <c r="AA20" s="60">
        <f t="shared" si="25"/>
        <v>0.15075224152778488</v>
      </c>
      <c r="AB20" s="60">
        <f t="shared" si="25"/>
        <v>0.19881075491209921</v>
      </c>
      <c r="AC20" s="60">
        <f t="shared" si="25"/>
        <v>0.23222702755235924</v>
      </c>
      <c r="AD20" s="60">
        <f t="shared" si="25"/>
        <v>0.21883524277141309</v>
      </c>
      <c r="AE20" s="60">
        <f t="shared" si="25"/>
        <v>0.28221155962495037</v>
      </c>
      <c r="AF20" s="60">
        <f t="shared" si="25"/>
        <v>0.31136510675005402</v>
      </c>
      <c r="AG20" s="60">
        <f t="shared" si="25"/>
        <v>0.29008596892499416</v>
      </c>
      <c r="AH20" s="60">
        <f t="shared" si="25"/>
        <v>0.22366138868684615</v>
      </c>
      <c r="AI20" s="60">
        <f t="shared" si="25"/>
        <v>0.22610546553144739</v>
      </c>
      <c r="AJ20" s="60">
        <f t="shared" si="25"/>
        <v>0.24835547954216541</v>
      </c>
      <c r="AK20" s="60">
        <f t="shared" si="25"/>
        <v>0.33716451672067005</v>
      </c>
      <c r="AL20" s="60">
        <f t="shared" si="25"/>
        <v>0.38206716810315267</v>
      </c>
      <c r="AM20" s="60">
        <f t="shared" si="25"/>
        <v>0.42918743349946809</v>
      </c>
      <c r="AN20" s="60">
        <f t="shared" si="25"/>
        <v>0.39338690554604128</v>
      </c>
      <c r="AO20" s="60">
        <f t="shared" si="25"/>
        <v>0.29334308705193846</v>
      </c>
      <c r="AP20" s="60">
        <f t="shared" si="25"/>
        <v>0.19734339073329688</v>
      </c>
      <c r="AQ20" s="60">
        <f t="shared" si="25"/>
        <v>0.16962501469378166</v>
      </c>
      <c r="AR20" s="60">
        <f t="shared" si="25"/>
        <v>0.1988806111258179</v>
      </c>
      <c r="AS20" s="60">
        <f t="shared" si="25"/>
        <v>0.23693792420814486</v>
      </c>
      <c r="AT20" s="60">
        <f t="shared" si="25"/>
        <v>0.20797701117665746</v>
      </c>
      <c r="AU20" s="60">
        <f t="shared" si="25"/>
        <v>0.26385259631490787</v>
      </c>
      <c r="AV20" s="60">
        <f t="shared" si="25"/>
        <v>0.40230900258658764</v>
      </c>
      <c r="AW20" s="60">
        <f t="shared" si="25"/>
        <v>0.37387290836084075</v>
      </c>
      <c r="AX20" s="60">
        <f t="shared" si="25"/>
        <v>0.43594816839553041</v>
      </c>
      <c r="AY20" s="60">
        <f t="shared" si="25"/>
        <v>0.43823888034777081</v>
      </c>
      <c r="AZ20" s="60">
        <f t="shared" si="25"/>
        <v>0.27181932697498645</v>
      </c>
      <c r="BA20" s="60">
        <f t="shared" si="25"/>
        <v>0.15255083467679031</v>
      </c>
      <c r="BB20" s="60">
        <f t="shared" si="25"/>
        <v>9.4436701047349692E-2</v>
      </c>
      <c r="BC20" s="60">
        <f t="shared" si="25"/>
        <v>7.3038574245747334E-2</v>
      </c>
      <c r="BD20" s="60">
        <f t="shared" si="25"/>
        <v>7.2108241952600016E-2</v>
      </c>
      <c r="BE20" s="60">
        <f t="shared" si="25"/>
        <v>0.14699671515720314</v>
      </c>
      <c r="BF20" s="60">
        <f>BF44/BB44-1</f>
        <v>8.5814921549791867E-2</v>
      </c>
      <c r="BG20" s="60">
        <f t="shared" si="21"/>
        <v>9.3727456975026602E-2</v>
      </c>
      <c r="BH20" s="60">
        <f t="shared" si="21"/>
        <v>0.10845967302901816</v>
      </c>
      <c r="BI20" s="60">
        <f t="shared" si="21"/>
        <v>0.125742519728405</v>
      </c>
      <c r="BJ20" s="60">
        <f t="shared" si="21"/>
        <v>0.13911825420230017</v>
      </c>
      <c r="BK20" s="60">
        <f t="shared" si="21"/>
        <v>0.12527677884388888</v>
      </c>
      <c r="BL20" s="60">
        <f t="shared" si="21"/>
        <v>0.10115862869559389</v>
      </c>
      <c r="BM20" s="60">
        <f t="shared" si="21"/>
        <v>0.11038348371225104</v>
      </c>
      <c r="BN20" s="60">
        <f t="shared" si="21"/>
        <v>0.10491230341078239</v>
      </c>
      <c r="BO20" s="60">
        <f t="shared" si="21"/>
        <v>8.6202926461660834E-2</v>
      </c>
      <c r="BP20" s="60">
        <f t="shared" si="23"/>
        <v>0.13329774221669588</v>
      </c>
      <c r="BQ20" s="60">
        <f t="shared" si="23"/>
        <v>0.13401562214795093</v>
      </c>
      <c r="BR20" s="34"/>
      <c r="BS20" s="34"/>
      <c r="BT20" s="34"/>
      <c r="BU20" s="34"/>
      <c r="CA20" s="60">
        <f t="shared" ref="CA20:CL20" si="26">CA44/BZ44-1</f>
        <v>0.39556897466236896</v>
      </c>
      <c r="CB20" s="60">
        <f t="shared" si="26"/>
        <v>0.40559583674424049</v>
      </c>
      <c r="CC20" s="60">
        <f t="shared" si="26"/>
        <v>0.27073236682821311</v>
      </c>
      <c r="CD20" s="60">
        <f t="shared" si="26"/>
        <v>0.21866662301736706</v>
      </c>
      <c r="CE20" s="60">
        <f t="shared" si="26"/>
        <v>0.1952398861011122</v>
      </c>
      <c r="CF20" s="60">
        <f t="shared" si="26"/>
        <v>0.20247673843664304</v>
      </c>
      <c r="CG20" s="60">
        <f t="shared" si="26"/>
        <v>0.27083528026465808</v>
      </c>
      <c r="CH20" s="60">
        <f t="shared" si="26"/>
        <v>0.30796326119408479</v>
      </c>
      <c r="CI20" s="60">
        <f t="shared" si="26"/>
        <v>0.3093396152159491</v>
      </c>
      <c r="CJ20" s="60">
        <f t="shared" si="26"/>
        <v>0.20454125820676983</v>
      </c>
      <c r="CK20" s="60">
        <f t="shared" si="26"/>
        <v>0.37623430604373276</v>
      </c>
      <c r="CL20" s="60">
        <f t="shared" si="26"/>
        <v>0.21695366571345676</v>
      </c>
      <c r="CM20" s="60">
        <f>CM44/CL44-1</f>
        <v>9.399517263985091E-2</v>
      </c>
      <c r="CN20" s="60">
        <f t="shared" si="24"/>
        <v>0.1182957412988368</v>
      </c>
      <c r="CO20" s="60">
        <f t="shared" si="24"/>
        <v>0.1099089224666614</v>
      </c>
      <c r="CP20" s="78">
        <f>CP11/CO11-1</f>
        <v>0.12026469099111403</v>
      </c>
      <c r="CQ20" s="78">
        <f t="shared" ref="CQ20:CY20" si="27">CQ11/CP11-1</f>
        <v>0.12514863508383534</v>
      </c>
      <c r="CR20" s="78">
        <f t="shared" si="27"/>
        <v>0.11260577506057778</v>
      </c>
      <c r="CS20" s="78">
        <f t="shared" si="27"/>
        <v>9.1693954440683623E-2</v>
      </c>
      <c r="CT20" s="78">
        <f t="shared" si="27"/>
        <v>7.9446001051294513E-2</v>
      </c>
      <c r="CU20" s="78">
        <f t="shared" si="27"/>
        <v>6.7813511477234245E-2</v>
      </c>
      <c r="CV20" s="78">
        <f t="shared" si="27"/>
        <v>6.0561617228639841E-2</v>
      </c>
      <c r="CW20" s="78">
        <f t="shared" si="27"/>
        <v>5.3210346108828688E-2</v>
      </c>
      <c r="CX20" s="78">
        <f t="shared" si="27"/>
        <v>4.8130390379037102E-2</v>
      </c>
      <c r="CY20" s="78">
        <f t="shared" si="27"/>
        <v>4.1950824081454119E-2</v>
      </c>
      <c r="CZ20" s="66"/>
      <c r="DA20" s="66"/>
      <c r="DB20" s="66"/>
      <c r="DC20" s="66"/>
      <c r="DD20" s="66"/>
      <c r="DE20" s="66"/>
      <c r="DF20" s="66"/>
      <c r="DG20" s="66"/>
      <c r="DH20" s="66"/>
      <c r="DI20" s="66"/>
      <c r="DJ20" s="66"/>
      <c r="DK20" s="66"/>
      <c r="DL20" s="66"/>
      <c r="DM20" s="66"/>
      <c r="DN20" s="66"/>
      <c r="DO20" s="66"/>
      <c r="DP20" s="66"/>
      <c r="DQ20" s="66"/>
      <c r="DR20" s="66"/>
      <c r="DS20" s="66"/>
      <c r="DT20" s="66"/>
      <c r="DU20" s="66"/>
      <c r="DV20" s="66"/>
      <c r="DW20" s="66"/>
      <c r="DX20" s="66"/>
      <c r="DY20" s="66"/>
      <c r="DZ20" s="66"/>
      <c r="EA20" s="66"/>
      <c r="EB20" s="66"/>
      <c r="EC20" s="66"/>
      <c r="ED20" s="66"/>
      <c r="EE20" s="66"/>
      <c r="EF20" s="66"/>
      <c r="EG20" s="66"/>
      <c r="EH20" s="66"/>
      <c r="EI20" s="66"/>
      <c r="EJ20" s="66"/>
      <c r="EK20" s="66"/>
      <c r="EL20" s="66"/>
      <c r="EM20" s="66"/>
      <c r="EN20" s="66"/>
      <c r="EO20" s="66"/>
      <c r="EP20" s="66"/>
      <c r="EQ20" s="66"/>
      <c r="ER20" s="66"/>
      <c r="ES20" s="66"/>
      <c r="ET20" s="66"/>
      <c r="EU20" s="66"/>
      <c r="EV20" s="66"/>
      <c r="EW20" s="66"/>
      <c r="EX20" s="66"/>
      <c r="EY20" s="66"/>
      <c r="EZ20" s="66"/>
    </row>
    <row r="22" spans="2:156">
      <c r="B22" s="36" t="s">
        <v>1876</v>
      </c>
      <c r="BC22" s="59">
        <f t="shared" ref="BC22:BF22" si="28">BC4/BC11</f>
        <v>0.43908659956717394</v>
      </c>
      <c r="BD22" s="59">
        <f t="shared" si="28"/>
        <v>0.41947803421482421</v>
      </c>
      <c r="BE22" s="59">
        <f t="shared" si="28"/>
        <v>0.42083854572347973</v>
      </c>
      <c r="BF22" s="59">
        <f t="shared" si="28"/>
        <v>0.4325018096029597</v>
      </c>
      <c r="BG22" s="59">
        <f t="shared" ref="BG22:BO22" si="29">BG4/BG11</f>
        <v>0.40119976758428993</v>
      </c>
      <c r="BH22" s="59">
        <f t="shared" si="29"/>
        <v>0.39414211619029194</v>
      </c>
      <c r="BI22" s="59">
        <f t="shared" si="29"/>
        <v>0.4002362265258626</v>
      </c>
      <c r="BJ22" s="59">
        <f t="shared" si="29"/>
        <v>0.4150540418095916</v>
      </c>
      <c r="BK22" s="59">
        <f t="shared" si="29"/>
        <v>0.38147272054872899</v>
      </c>
      <c r="BL22" s="59">
        <f t="shared" si="29"/>
        <v>0.37432844293369916</v>
      </c>
      <c r="BM22" s="59">
        <f t="shared" si="29"/>
        <v>0.38653171950628473</v>
      </c>
      <c r="BN22" s="59">
        <f t="shared" si="29"/>
        <v>0.40233875777455907</v>
      </c>
      <c r="BO22" s="59">
        <f t="shared" si="29"/>
        <v>0.3687807949019381</v>
      </c>
      <c r="BP22" s="59">
        <f>BP4/BP11</f>
        <v>0.36663247904020224</v>
      </c>
      <c r="BQ22" s="59">
        <f>BQ4/BQ11</f>
        <v>0.37413206489462669</v>
      </c>
      <c r="CM22" s="59">
        <f t="shared" ref="CM22:CN22" si="30">CM4/CM11</f>
        <v>0.42803750318590306</v>
      </c>
      <c r="CN22" s="59">
        <f t="shared" si="30"/>
        <v>0.40340649112276766</v>
      </c>
      <c r="CO22" s="59">
        <f>CO4/CO11</f>
        <v>0.38721767386305389</v>
      </c>
    </row>
    <row r="23" spans="2:156">
      <c r="B23" s="36" t="s">
        <v>1877</v>
      </c>
      <c r="BC23" s="59">
        <f t="shared" ref="BC23:BF23" si="31">BC5/BC11</f>
        <v>3.9426677201058018E-2</v>
      </c>
      <c r="BD23" s="59">
        <f t="shared" si="31"/>
        <v>3.8941221109589717E-2</v>
      </c>
      <c r="BE23" s="59">
        <f t="shared" si="31"/>
        <v>3.6931259392136963E-2</v>
      </c>
      <c r="BF23" s="59">
        <f t="shared" si="31"/>
        <v>3.3222969893568537E-2</v>
      </c>
      <c r="BG23" s="59">
        <f t="shared" ref="BG23:BO23" si="32">BG5/BG11</f>
        <v>3.8434962860597686E-2</v>
      </c>
      <c r="BH23" s="59">
        <f t="shared" si="32"/>
        <v>3.7385681224559653E-2</v>
      </c>
      <c r="BI23" s="59">
        <f t="shared" si="32"/>
        <v>3.4658205377298489E-2</v>
      </c>
      <c r="BJ23" s="59">
        <f t="shared" si="32"/>
        <v>3.0312836474249975E-2</v>
      </c>
      <c r="BK23" s="59">
        <f t="shared" si="32"/>
        <v>3.6298172531452136E-2</v>
      </c>
      <c r="BL23" s="59">
        <f t="shared" si="32"/>
        <v>3.5181143015468617E-2</v>
      </c>
      <c r="BM23" s="59">
        <f t="shared" si="32"/>
        <v>3.2905958697608845E-2</v>
      </c>
      <c r="BN23" s="59">
        <f t="shared" si="32"/>
        <v>2.9708400783845956E-2</v>
      </c>
      <c r="BO23" s="59">
        <f t="shared" si="32"/>
        <v>3.5543821105308127E-2</v>
      </c>
      <c r="BP23" s="59">
        <f>BP5/BP11</f>
        <v>3.3362750593314332E-2</v>
      </c>
      <c r="BQ23" s="59">
        <f>BQ5/BQ11</f>
        <v>3.095982105689658E-2</v>
      </c>
      <c r="CM23" s="59">
        <f t="shared" ref="CM23:CN23" si="33">CM5/CM11</f>
        <v>3.68942163456768E-2</v>
      </c>
      <c r="CN23" s="59">
        <f t="shared" si="33"/>
        <v>3.4847812660386057E-2</v>
      </c>
      <c r="CO23" s="59">
        <f>CO5/CO11</f>
        <v>3.3254488141087439E-2</v>
      </c>
    </row>
    <row r="24" spans="2:156">
      <c r="B24" s="36" t="s">
        <v>1878</v>
      </c>
      <c r="BC24" s="59">
        <f t="shared" ref="BC24:BF24" si="34">BC6/BC11</f>
        <v>0.21757239531448594</v>
      </c>
      <c r="BD24" s="59">
        <f t="shared" si="34"/>
        <v>0.22581124107098668</v>
      </c>
      <c r="BE24" s="59">
        <f t="shared" si="34"/>
        <v>0.22553717122603284</v>
      </c>
      <c r="BF24" s="59">
        <f t="shared" si="34"/>
        <v>0.24355245167689873</v>
      </c>
      <c r="BG24" s="59">
        <f t="shared" ref="BG24:BO24" si="35">BG6/BG11</f>
        <v>0.2341431241068484</v>
      </c>
      <c r="BH24" s="59">
        <f t="shared" si="35"/>
        <v>0.24059590870869083</v>
      </c>
      <c r="BI24" s="59">
        <f t="shared" si="35"/>
        <v>0.24001453701697617</v>
      </c>
      <c r="BJ24" s="59">
        <f t="shared" si="35"/>
        <v>0.25628820729461466</v>
      </c>
      <c r="BK24" s="59">
        <f t="shared" si="35"/>
        <v>0.24140168721609345</v>
      </c>
      <c r="BL24" s="59">
        <f t="shared" si="35"/>
        <v>0.24463936963176711</v>
      </c>
      <c r="BM24" s="59">
        <f t="shared" si="35"/>
        <v>0.23832272764465592</v>
      </c>
      <c r="BN24" s="59">
        <f t="shared" si="35"/>
        <v>0.25285954673255517</v>
      </c>
      <c r="BO24" s="59">
        <f t="shared" si="35"/>
        <v>0.23455196027417499</v>
      </c>
      <c r="BP24" s="59">
        <f>BP6/BP11</f>
        <v>0.24059343359053559</v>
      </c>
      <c r="BQ24" s="59">
        <f>BQ6/BQ11</f>
        <v>0.2358119321303887</v>
      </c>
      <c r="CM24" s="59">
        <f t="shared" ref="CM24:CN24" si="36">CM6/CM11</f>
        <v>0.22902703007687025</v>
      </c>
      <c r="CN24" s="59">
        <f t="shared" si="36"/>
        <v>0.24366154301173482</v>
      </c>
      <c r="CO24" s="59">
        <f>CO6/CO11</f>
        <v>0.24475867571427004</v>
      </c>
    </row>
    <row r="25" spans="2:156">
      <c r="B25" s="36" t="s">
        <v>1879</v>
      </c>
      <c r="BC25" s="59">
        <f t="shared" ref="BC25:BF25" si="37">BC7/BC11</f>
        <v>7.2223558105183605E-2</v>
      </c>
      <c r="BD25" s="59">
        <f t="shared" si="37"/>
        <v>7.1894023128825243E-2</v>
      </c>
      <c r="BE25" s="59">
        <f t="shared" si="37"/>
        <v>7.0046655809159641E-2</v>
      </c>
      <c r="BF25" s="59">
        <f t="shared" si="37"/>
        <v>7.848315058577518E-2</v>
      </c>
      <c r="BG25" s="59">
        <f t="shared" ref="BG25:BO25" si="38">BG7/BG11</f>
        <v>7.5825625402408961E-2</v>
      </c>
      <c r="BH25" s="59">
        <f t="shared" si="38"/>
        <v>7.3625384163175406E-2</v>
      </c>
      <c r="BI25" s="59">
        <f t="shared" si="38"/>
        <v>8.4286742659854766E-2</v>
      </c>
      <c r="BJ25" s="59">
        <f t="shared" si="38"/>
        <v>8.9991233282929614E-2</v>
      </c>
      <c r="BK25" s="59">
        <f t="shared" si="38"/>
        <v>8.2504727414819318E-2</v>
      </c>
      <c r="BL25" s="59">
        <f t="shared" si="38"/>
        <v>8.6303952641288845E-2</v>
      </c>
      <c r="BM25" s="59">
        <f t="shared" si="38"/>
        <v>9.0201854264619796E-2</v>
      </c>
      <c r="BN25" s="59">
        <f t="shared" si="38"/>
        <v>9.2059299650677343E-2</v>
      </c>
      <c r="BO25" s="59">
        <f t="shared" si="38"/>
        <v>8.9428074029820059E-2</v>
      </c>
      <c r="BP25" s="59">
        <f>BP7/BP11</f>
        <v>9.358266448819931E-2</v>
      </c>
      <c r="BQ25" s="59">
        <f>BQ7/BQ11</f>
        <v>9.825774689319472E-2</v>
      </c>
      <c r="CM25" s="59">
        <f t="shared" ref="CM25:CN25" si="39">CM7/CM11</f>
        <v>7.3424607428650368E-2</v>
      </c>
      <c r="CN25" s="59">
        <f t="shared" si="39"/>
        <v>8.1606165783727827E-2</v>
      </c>
      <c r="CO25" s="59">
        <f>CO7/CO11</f>
        <v>8.811538045548381E-2</v>
      </c>
    </row>
    <row r="26" spans="2:156">
      <c r="B26" s="36" t="s">
        <v>1880</v>
      </c>
      <c r="BC26" s="59">
        <f t="shared" ref="BC26:BF26" si="40">BC8/BC11</f>
        <v>6.7646250558208235E-2</v>
      </c>
      <c r="BD26" s="59">
        <f t="shared" si="40"/>
        <v>7.2232212085718533E-2</v>
      </c>
      <c r="BE26" s="59">
        <f t="shared" si="40"/>
        <v>7.5121360178126054E-2</v>
      </c>
      <c r="BF26" s="59">
        <f t="shared" si="40"/>
        <v>6.0561379051499963E-2</v>
      </c>
      <c r="BG26" s="59">
        <f t="shared" ref="BG26:BO26" si="41">BG8/BG11</f>
        <v>7.4663546852180462E-2</v>
      </c>
      <c r="BH26" s="59">
        <f t="shared" si="41"/>
        <v>7.9496662524277631E-2</v>
      </c>
      <c r="BI26" s="59">
        <f t="shared" si="41"/>
        <v>7.1077626272862598E-2</v>
      </c>
      <c r="BJ26" s="59">
        <f t="shared" si="41"/>
        <v>5.7936820800065895E-2</v>
      </c>
      <c r="BK26" s="59">
        <f t="shared" si="41"/>
        <v>7.4815264491009184E-2</v>
      </c>
      <c r="BL26" s="59">
        <f t="shared" si="41"/>
        <v>7.3430330389182105E-2</v>
      </c>
      <c r="BM26" s="59">
        <f t="shared" si="41"/>
        <v>7.0985731100159238E-2</v>
      </c>
      <c r="BN26" s="59">
        <f t="shared" si="41"/>
        <v>6.1280565732299563E-2</v>
      </c>
      <c r="BO26" s="59">
        <f t="shared" si="41"/>
        <v>7.5256798165314415E-2</v>
      </c>
      <c r="BP26" s="59">
        <f>BP8/BP11</f>
        <v>7.2795792536761633E-2</v>
      </c>
      <c r="BQ26" s="59">
        <f>BQ8/BQ11</f>
        <v>6.9790030471390749E-2</v>
      </c>
      <c r="CM26" s="59">
        <f t="shared" ref="CM26:CN26" si="42">CM8/CM11</f>
        <v>6.8519775945897046E-2</v>
      </c>
      <c r="CN26" s="59">
        <f t="shared" si="42"/>
        <v>6.9954852684047081E-2</v>
      </c>
      <c r="CO26" s="59">
        <f>CO8/CO11</f>
        <v>6.9556194050087852E-2</v>
      </c>
    </row>
    <row r="27" spans="2:156">
      <c r="B27" s="36" t="s">
        <v>1881</v>
      </c>
      <c r="BC27" s="59">
        <f t="shared" ref="BC27:BF27" si="43">BC9/BC11</f>
        <v>0.15836797087011784</v>
      </c>
      <c r="BD27" s="59">
        <f t="shared" si="43"/>
        <v>0.16281736146625533</v>
      </c>
      <c r="BE27" s="59">
        <f t="shared" si="43"/>
        <v>0.16158802841834446</v>
      </c>
      <c r="BF27" s="59">
        <f t="shared" si="43"/>
        <v>0.14328034100962442</v>
      </c>
      <c r="BG27" s="59">
        <f t="shared" ref="BG27:BO27" si="44">BG9/BG11</f>
        <v>0.16766909028094035</v>
      </c>
      <c r="BH27" s="59">
        <f t="shared" si="44"/>
        <v>0.16475298214803955</v>
      </c>
      <c r="BI27" s="59">
        <f t="shared" si="44"/>
        <v>0.16115820887177373</v>
      </c>
      <c r="BJ27" s="59">
        <f t="shared" si="44"/>
        <v>0.14240914092056414</v>
      </c>
      <c r="BK27" s="59">
        <f t="shared" si="44"/>
        <v>0.17470152742598369</v>
      </c>
      <c r="BL27" s="59">
        <f t="shared" si="44"/>
        <v>0.1776019246234212</v>
      </c>
      <c r="BM27" s="59">
        <f t="shared" si="44"/>
        <v>0.17278775404872951</v>
      </c>
      <c r="BN27" s="59">
        <f t="shared" si="44"/>
        <v>0.15328661497827384</v>
      </c>
      <c r="BO27" s="59">
        <f t="shared" si="44"/>
        <v>0.18801030404645813</v>
      </c>
      <c r="BP27" s="59">
        <f>BP9/BP11</f>
        <v>0.18409440555270659</v>
      </c>
      <c r="BQ27" s="59">
        <f>BQ9/BQ11</f>
        <v>0.18319466722910158</v>
      </c>
      <c r="CM27" s="59">
        <f t="shared" ref="CM27:CN27" si="45">CM9/CM11</f>
        <v>0.15583394781539467</v>
      </c>
      <c r="CN27" s="59">
        <f t="shared" si="45"/>
        <v>0.15789730072983812</v>
      </c>
      <c r="CO27" s="59">
        <f>CO9/CO11</f>
        <v>0.16859390650496348</v>
      </c>
    </row>
    <row r="28" spans="2:156">
      <c r="B28" s="36" t="s">
        <v>1882</v>
      </c>
      <c r="BC28" s="59">
        <f t="shared" ref="BC28:BF28" si="46">BC10/BC11</f>
        <v>5.6765483837724574E-3</v>
      </c>
      <c r="BD28" s="59">
        <f t="shared" si="46"/>
        <v>8.8259069238002547E-3</v>
      </c>
      <c r="BE28" s="59">
        <f t="shared" si="46"/>
        <v>9.9369792527202773E-3</v>
      </c>
      <c r="BF28" s="59">
        <f t="shared" si="46"/>
        <v>8.3978981796734679E-3</v>
      </c>
      <c r="BG28" s="59">
        <f t="shared" ref="BG28:BO28" si="47">BG10/BG11</f>
        <v>8.063882912734183E-3</v>
      </c>
      <c r="BH28" s="59">
        <f t="shared" si="47"/>
        <v>1.0001265040965003E-2</v>
      </c>
      <c r="BI28" s="59">
        <f t="shared" si="47"/>
        <v>8.5684532753716371E-3</v>
      </c>
      <c r="BJ28" s="59">
        <f t="shared" si="47"/>
        <v>8.0077194179841264E-3</v>
      </c>
      <c r="BK28" s="59">
        <f t="shared" si="47"/>
        <v>8.8059003719132244E-3</v>
      </c>
      <c r="BL28" s="59">
        <f t="shared" si="47"/>
        <v>8.5148367651729662E-3</v>
      </c>
      <c r="BM28" s="59">
        <f t="shared" si="47"/>
        <v>8.2642547379419302E-3</v>
      </c>
      <c r="BN28" s="59">
        <f t="shared" si="47"/>
        <v>8.4668143477890437E-3</v>
      </c>
      <c r="BO28" s="59">
        <f t="shared" si="47"/>
        <v>8.428247476986131E-3</v>
      </c>
      <c r="BP28" s="59">
        <f>BP10/BP11</f>
        <v>8.9384741982802829E-3</v>
      </c>
      <c r="BQ28" s="59">
        <f>BQ10/BQ11</f>
        <v>7.8537373244009796E-3</v>
      </c>
      <c r="CM28" s="59">
        <f t="shared" ref="CM28:CN28" si="48">CM10/CM11</f>
        <v>8.2629192016078351E-3</v>
      </c>
      <c r="CN28" s="59">
        <f t="shared" si="48"/>
        <v>8.6258340074984556E-3</v>
      </c>
      <c r="CO28" s="59">
        <f>CO10/CO11</f>
        <v>8.5036812710534686E-3</v>
      </c>
    </row>
    <row r="30" spans="2:156">
      <c r="B30" s="61" t="s">
        <v>1883</v>
      </c>
      <c r="BC30" s="1">
        <v>69244</v>
      </c>
      <c r="BD30" s="1">
        <v>74430</v>
      </c>
      <c r="BE30" s="1">
        <v>78843</v>
      </c>
      <c r="BF30" s="1">
        <f>315880-SUM(BC30:BE30)</f>
        <v>93363</v>
      </c>
      <c r="BG30" s="1">
        <v>76881</v>
      </c>
      <c r="BH30" s="1">
        <v>82546</v>
      </c>
      <c r="BI30" s="1">
        <v>87887</v>
      </c>
      <c r="BJ30" s="1">
        <f>352828-SUM(BG30:BI30)</f>
        <v>105514</v>
      </c>
      <c r="BK30" s="1">
        <v>86341</v>
      </c>
      <c r="BL30" s="1">
        <v>90033</v>
      </c>
      <c r="BM30" s="1">
        <v>95537</v>
      </c>
      <c r="BN30" s="1">
        <f>387497-SUM(BK30:BM30)</f>
        <v>115586</v>
      </c>
      <c r="BO30" s="1">
        <v>92887</v>
      </c>
      <c r="BP30" s="1">
        <v>100068</v>
      </c>
      <c r="BQ30" s="1">
        <v>106267</v>
      </c>
      <c r="CM30" s="1">
        <f>SUM(BC30:BF30)</f>
        <v>315880</v>
      </c>
      <c r="CN30" s="1">
        <f>SUM(BG30:BJ30)</f>
        <v>352828</v>
      </c>
      <c r="CO30" s="1">
        <f>SUM(BK30:BN30)</f>
        <v>387497</v>
      </c>
    </row>
    <row r="31" spans="2:156">
      <c r="B31" s="61" t="s">
        <v>1884</v>
      </c>
      <c r="BC31" s="1">
        <v>28759</v>
      </c>
      <c r="BD31" s="1">
        <v>27065</v>
      </c>
      <c r="BE31" s="1">
        <v>27720</v>
      </c>
      <c r="BF31" s="1">
        <f>118007-SUM(BC31:BE31)</f>
        <v>34463</v>
      </c>
      <c r="BG31" s="1">
        <v>29123</v>
      </c>
      <c r="BH31" s="1">
        <v>29697</v>
      </c>
      <c r="BI31" s="1">
        <v>32137</v>
      </c>
      <c r="BJ31" s="1">
        <f>131200-SUM(BG31:BI31)</f>
        <v>40243</v>
      </c>
      <c r="BK31" s="1">
        <v>31935</v>
      </c>
      <c r="BL31" s="1">
        <v>31663</v>
      </c>
      <c r="BM31" s="1">
        <v>35888</v>
      </c>
      <c r="BN31" s="1">
        <f>142906-SUM(BK31:BM31)</f>
        <v>43420</v>
      </c>
      <c r="BO31" s="1">
        <v>33513</v>
      </c>
      <c r="BP31" s="1">
        <v>36761</v>
      </c>
      <c r="BQ31" s="1">
        <v>40896</v>
      </c>
      <c r="CM31" s="1">
        <f>SUM(BC31:BF31)</f>
        <v>118007</v>
      </c>
      <c r="CN31" s="1">
        <f>SUM(BG31:BJ31)</f>
        <v>131200</v>
      </c>
      <c r="CO31" s="1">
        <f>SUM(BK31:BN31)</f>
        <v>142906</v>
      </c>
    </row>
    <row r="32" spans="2:156">
      <c r="B32" s="61" t="s">
        <v>1885</v>
      </c>
      <c r="BC32" s="1">
        <v>18441</v>
      </c>
      <c r="BD32" s="1">
        <v>19739</v>
      </c>
      <c r="BE32" s="1">
        <v>20538</v>
      </c>
      <c r="BF32" s="1">
        <f>80096-SUM(BC32:BE32)</f>
        <v>21378</v>
      </c>
      <c r="BG32" s="1">
        <v>21354</v>
      </c>
      <c r="BH32" s="1">
        <v>22140</v>
      </c>
      <c r="BI32" s="1">
        <v>23059</v>
      </c>
      <c r="BJ32" s="1">
        <f>90757-SUM(BG32:BI32)</f>
        <v>24204</v>
      </c>
      <c r="BK32" s="1">
        <v>25037</v>
      </c>
      <c r="BL32" s="1">
        <v>26281</v>
      </c>
      <c r="BM32" s="1">
        <v>27452</v>
      </c>
      <c r="BN32" s="1">
        <f>107556-SUM(BK32:BM32)</f>
        <v>28786</v>
      </c>
      <c r="BO32" s="1">
        <v>29267</v>
      </c>
      <c r="BP32" s="1">
        <v>30873</v>
      </c>
      <c r="BQ32" s="1">
        <v>33006</v>
      </c>
      <c r="CM32" s="1">
        <f>SUM(BC32:BF32)</f>
        <v>80096</v>
      </c>
      <c r="CN32" s="1">
        <f>SUM(BG32:BJ32)</f>
        <v>90757</v>
      </c>
      <c r="CO32" s="1">
        <f>SUM(BK32:BN32)</f>
        <v>107556</v>
      </c>
    </row>
    <row r="33" spans="2:156" s="2" customFormat="1" ht="15">
      <c r="B33" s="2" t="s">
        <v>1886</v>
      </c>
      <c r="BC33" s="2">
        <f t="shared" ref="BC33:BO33" si="49">SUM(BC30:BC32)</f>
        <v>116444</v>
      </c>
      <c r="BD33" s="2">
        <f t="shared" si="49"/>
        <v>121234</v>
      </c>
      <c r="BE33" s="2">
        <f t="shared" si="49"/>
        <v>127101</v>
      </c>
      <c r="BF33" s="2">
        <f t="shared" si="49"/>
        <v>149204</v>
      </c>
      <c r="BG33" s="2">
        <f t="shared" si="49"/>
        <v>127358</v>
      </c>
      <c r="BH33" s="2">
        <f t="shared" si="49"/>
        <v>134383</v>
      </c>
      <c r="BI33" s="2">
        <f t="shared" si="49"/>
        <v>143083</v>
      </c>
      <c r="BJ33" s="2">
        <f t="shared" si="49"/>
        <v>169961</v>
      </c>
      <c r="BK33" s="2">
        <f t="shared" si="49"/>
        <v>143313</v>
      </c>
      <c r="BL33" s="2">
        <f t="shared" si="49"/>
        <v>147977</v>
      </c>
      <c r="BM33" s="2">
        <f t="shared" si="49"/>
        <v>158877</v>
      </c>
      <c r="BN33" s="2">
        <f t="shared" si="49"/>
        <v>187792</v>
      </c>
      <c r="BO33" s="2">
        <f t="shared" si="49"/>
        <v>155667</v>
      </c>
      <c r="BP33" s="2">
        <f>SUM(BP30:BP32)</f>
        <v>167702</v>
      </c>
      <c r="BQ33" s="2">
        <f>SUM(BQ30:BQ32)</f>
        <v>180169</v>
      </c>
      <c r="BR33" s="34"/>
      <c r="BS33" s="34"/>
      <c r="BT33" s="34"/>
      <c r="BU33" s="34"/>
      <c r="CM33" s="2">
        <f>SUM(BC33:BF33)</f>
        <v>513983</v>
      </c>
      <c r="CN33" s="2">
        <f>SUM(BG33:BJ33)</f>
        <v>574785</v>
      </c>
      <c r="CO33" s="2">
        <f>SUM(BK33:BN33)</f>
        <v>637959</v>
      </c>
      <c r="CP33" s="66"/>
      <c r="CQ33" s="66"/>
      <c r="CR33" s="66"/>
      <c r="CS33" s="66"/>
      <c r="CT33" s="66"/>
      <c r="CU33" s="66"/>
      <c r="CV33" s="66"/>
      <c r="CW33" s="66"/>
      <c r="CX33" s="66"/>
      <c r="CY33" s="66"/>
      <c r="CZ33" s="66"/>
      <c r="DA33" s="66"/>
      <c r="DB33" s="66"/>
      <c r="DC33" s="66"/>
      <c r="DD33" s="66"/>
      <c r="DE33" s="66"/>
      <c r="DF33" s="66"/>
      <c r="DG33" s="66"/>
      <c r="DH33" s="66"/>
      <c r="DI33" s="66"/>
      <c r="DJ33" s="66"/>
      <c r="DK33" s="66"/>
      <c r="DL33" s="66"/>
      <c r="DM33" s="66"/>
      <c r="DN33" s="66"/>
      <c r="DO33" s="66"/>
      <c r="DP33" s="66"/>
      <c r="DQ33" s="66"/>
      <c r="DR33" s="66"/>
      <c r="DS33" s="66"/>
      <c r="DT33" s="66"/>
      <c r="DU33" s="66"/>
      <c r="DV33" s="66"/>
      <c r="DW33" s="66"/>
      <c r="DX33" s="66"/>
      <c r="DY33" s="66"/>
      <c r="DZ33" s="66"/>
      <c r="EA33" s="66"/>
      <c r="EB33" s="66"/>
      <c r="EC33" s="66"/>
      <c r="ED33" s="66"/>
      <c r="EE33" s="66"/>
      <c r="EF33" s="66"/>
      <c r="EG33" s="66"/>
      <c r="EH33" s="66"/>
      <c r="EI33" s="66"/>
      <c r="EJ33" s="66"/>
      <c r="EK33" s="66"/>
      <c r="EL33" s="66"/>
      <c r="EM33" s="66"/>
      <c r="EN33" s="66"/>
      <c r="EO33" s="66"/>
      <c r="EP33" s="66"/>
      <c r="EQ33" s="66"/>
      <c r="ER33" s="66"/>
      <c r="ES33" s="66"/>
      <c r="ET33" s="66"/>
      <c r="EU33" s="66"/>
      <c r="EV33" s="66"/>
      <c r="EW33" s="66"/>
      <c r="EX33" s="66"/>
      <c r="EY33" s="66"/>
      <c r="EZ33" s="66"/>
    </row>
    <row r="35" spans="2:156">
      <c r="B35" s="61" t="s">
        <v>1887</v>
      </c>
      <c r="BG35" s="59">
        <f t="shared" ref="BG35:BO38" si="50">BG30/BC30-1</f>
        <v>0.11029114435907794</v>
      </c>
      <c r="BH35" s="59">
        <f t="shared" si="50"/>
        <v>0.10904205293564417</v>
      </c>
      <c r="BI35" s="59">
        <f t="shared" si="50"/>
        <v>0.11470897860304663</v>
      </c>
      <c r="BJ35" s="59">
        <f t="shared" si="50"/>
        <v>0.13014791726915376</v>
      </c>
      <c r="BK35" s="59">
        <f t="shared" si="50"/>
        <v>0.12304730687686161</v>
      </c>
      <c r="BL35" s="59">
        <f t="shared" si="50"/>
        <v>9.0700942504785109E-2</v>
      </c>
      <c r="BM35" s="59">
        <f t="shared" si="50"/>
        <v>8.7043590064514564E-2</v>
      </c>
      <c r="BN35" s="59">
        <f t="shared" si="50"/>
        <v>9.5456527095930443E-2</v>
      </c>
      <c r="BO35" s="59">
        <f t="shared" si="50"/>
        <v>7.5815661157503378E-2</v>
      </c>
      <c r="BP35" s="59">
        <f>BP30/BL30-1</f>
        <v>0.11145913165172772</v>
      </c>
      <c r="BQ35" s="59">
        <f>BQ30/BM30-1</f>
        <v>0.11231250719616481</v>
      </c>
      <c r="CN35" s="59">
        <f t="shared" ref="CN35:CN38" si="51">CN30/CM30-1</f>
        <v>0.11696846903887548</v>
      </c>
      <c r="CO35" s="59">
        <f>CO30/CN30-1</f>
        <v>9.8260342149715907E-2</v>
      </c>
    </row>
    <row r="36" spans="2:156">
      <c r="B36" s="61" t="s">
        <v>1888</v>
      </c>
      <c r="BG36" s="59">
        <f t="shared" si="50"/>
        <v>1.2656907402899931E-2</v>
      </c>
      <c r="BH36" s="59">
        <f t="shared" si="50"/>
        <v>9.7247367448734634E-2</v>
      </c>
      <c r="BI36" s="59">
        <f t="shared" si="50"/>
        <v>0.15934343434343434</v>
      </c>
      <c r="BJ36" s="59">
        <f t="shared" si="50"/>
        <v>0.16771610132605974</v>
      </c>
      <c r="BK36" s="59">
        <f t="shared" si="50"/>
        <v>9.6555986677196781E-2</v>
      </c>
      <c r="BL36" s="59">
        <f t="shared" si="50"/>
        <v>6.6201973263292579E-2</v>
      </c>
      <c r="BM36" s="59">
        <f t="shared" si="50"/>
        <v>0.11671904658182153</v>
      </c>
      <c r="BN36" s="59">
        <f t="shared" si="50"/>
        <v>7.8945406654573391E-2</v>
      </c>
      <c r="BO36" s="59">
        <f t="shared" si="50"/>
        <v>4.9412869891968025E-2</v>
      </c>
      <c r="BP36" s="59">
        <f t="shared" ref="BP36:BQ38" si="52">BP31/BL31-1</f>
        <v>0.16100811672930559</v>
      </c>
      <c r="BQ36" s="59">
        <f t="shared" si="52"/>
        <v>0.13954525189478373</v>
      </c>
      <c r="CN36" s="59">
        <f t="shared" si="51"/>
        <v>0.11179845263416577</v>
      </c>
      <c r="CO36" s="59">
        <f t="shared" ref="CO36:CO38" si="53">CO31/CN31-1</f>
        <v>8.9222560975609655E-2</v>
      </c>
    </row>
    <row r="37" spans="2:156">
      <c r="B37" s="61" t="s">
        <v>1889</v>
      </c>
      <c r="BG37" s="59">
        <f t="shared" si="50"/>
        <v>0.157963234097934</v>
      </c>
      <c r="BH37" s="59">
        <f t="shared" si="50"/>
        <v>0.12163736764780375</v>
      </c>
      <c r="BI37" s="59">
        <f t="shared" si="50"/>
        <v>0.1227480767358069</v>
      </c>
      <c r="BJ37" s="59">
        <f t="shared" si="50"/>
        <v>0.13219197305641317</v>
      </c>
      <c r="BK37" s="59">
        <f t="shared" si="50"/>
        <v>0.17247354125690739</v>
      </c>
      <c r="BL37" s="59">
        <f t="shared" si="50"/>
        <v>0.18703703703703711</v>
      </c>
      <c r="BM37" s="59">
        <f t="shared" si="50"/>
        <v>0.1905112971074201</v>
      </c>
      <c r="BN37" s="59">
        <f t="shared" si="50"/>
        <v>0.189307552470666</v>
      </c>
      <c r="BO37" s="59">
        <f t="shared" si="50"/>
        <v>0.1689499540679793</v>
      </c>
      <c r="BP37" s="59">
        <f t="shared" si="52"/>
        <v>0.17472698907956308</v>
      </c>
      <c r="BQ37" s="59">
        <f t="shared" si="52"/>
        <v>0.20231677109135937</v>
      </c>
      <c r="CN37" s="59">
        <f t="shared" si="51"/>
        <v>0.13310277666799841</v>
      </c>
      <c r="CO37" s="59">
        <f t="shared" si="53"/>
        <v>0.18509867007503544</v>
      </c>
    </row>
    <row r="38" spans="2:156" s="2" customFormat="1" ht="15">
      <c r="B38" s="2" t="s">
        <v>1890</v>
      </c>
      <c r="BG38" s="60">
        <f t="shared" si="50"/>
        <v>9.3727456975026602E-2</v>
      </c>
      <c r="BH38" s="60">
        <f t="shared" si="50"/>
        <v>0.10845967302901816</v>
      </c>
      <c r="BI38" s="60">
        <f t="shared" si="50"/>
        <v>0.125742519728405</v>
      </c>
      <c r="BJ38" s="60">
        <f t="shared" si="50"/>
        <v>0.13911825420230017</v>
      </c>
      <c r="BK38" s="60">
        <f t="shared" si="50"/>
        <v>0.12527677884388888</v>
      </c>
      <c r="BL38" s="60">
        <f t="shared" si="50"/>
        <v>0.10115862869559389</v>
      </c>
      <c r="BM38" s="60">
        <f t="shared" si="50"/>
        <v>0.11038348371225104</v>
      </c>
      <c r="BN38" s="60">
        <f t="shared" si="50"/>
        <v>0.10491230341078239</v>
      </c>
      <c r="BO38" s="60">
        <f t="shared" si="50"/>
        <v>8.6202926461660834E-2</v>
      </c>
      <c r="BP38" s="60">
        <f t="shared" si="52"/>
        <v>0.13329774221669588</v>
      </c>
      <c r="BQ38" s="60">
        <f t="shared" si="52"/>
        <v>0.13401562214795093</v>
      </c>
      <c r="BR38" s="34"/>
      <c r="BS38" s="34"/>
      <c r="BT38" s="34"/>
      <c r="BU38" s="34"/>
      <c r="CN38" s="60">
        <f t="shared" si="51"/>
        <v>0.1182957412988368</v>
      </c>
      <c r="CO38" s="60">
        <f t="shared" si="53"/>
        <v>0.1099089224666614</v>
      </c>
      <c r="CP38" s="66"/>
      <c r="CQ38" s="66"/>
      <c r="CR38" s="66"/>
      <c r="CS38" s="66"/>
      <c r="CT38" s="66"/>
      <c r="CU38" s="66"/>
      <c r="CV38" s="66"/>
      <c r="CW38" s="66"/>
      <c r="CX38" s="66"/>
      <c r="CY38" s="66"/>
      <c r="CZ38" s="66"/>
      <c r="DA38" s="66"/>
      <c r="DB38" s="66"/>
      <c r="DC38" s="66"/>
      <c r="DD38" s="66"/>
      <c r="DE38" s="66"/>
      <c r="DF38" s="66"/>
      <c r="DG38" s="66"/>
      <c r="DH38" s="66"/>
      <c r="DI38" s="66"/>
      <c r="DJ38" s="66"/>
      <c r="DK38" s="66"/>
      <c r="DL38" s="66"/>
      <c r="DM38" s="66"/>
      <c r="DN38" s="66"/>
      <c r="DO38" s="66"/>
      <c r="DP38" s="66"/>
      <c r="DQ38" s="66"/>
      <c r="DR38" s="66"/>
      <c r="DS38" s="66"/>
      <c r="DT38" s="66"/>
      <c r="DU38" s="66"/>
      <c r="DV38" s="66"/>
      <c r="DW38" s="66"/>
      <c r="DX38" s="66"/>
      <c r="DY38" s="66"/>
      <c r="DZ38" s="66"/>
      <c r="EA38" s="66"/>
      <c r="EB38" s="66"/>
      <c r="EC38" s="66"/>
      <c r="ED38" s="66"/>
      <c r="EE38" s="66"/>
      <c r="EF38" s="66"/>
      <c r="EG38" s="66"/>
      <c r="EH38" s="66"/>
      <c r="EI38" s="66"/>
      <c r="EJ38" s="66"/>
      <c r="EK38" s="66"/>
      <c r="EL38" s="66"/>
      <c r="EM38" s="66"/>
      <c r="EN38" s="66"/>
      <c r="EO38" s="66"/>
      <c r="EP38" s="66"/>
      <c r="EQ38" s="66"/>
      <c r="ER38" s="66"/>
      <c r="ES38" s="66"/>
      <c r="ET38" s="66"/>
      <c r="EU38" s="66"/>
      <c r="EV38" s="66"/>
      <c r="EW38" s="66"/>
      <c r="EX38" s="66"/>
      <c r="EY38" s="66"/>
      <c r="EZ38" s="66"/>
    </row>
    <row r="40" spans="2:156">
      <c r="B40" s="61" t="s">
        <v>1891</v>
      </c>
      <c r="BC40" s="59">
        <f t="shared" ref="BC40:BO40" si="54">BC30/BC33</f>
        <v>0.59465494143107411</v>
      </c>
      <c r="BD40" s="59">
        <f t="shared" si="54"/>
        <v>0.61393668442846061</v>
      </c>
      <c r="BE40" s="59">
        <f t="shared" si="54"/>
        <v>0.62031770009677345</v>
      </c>
      <c r="BF40" s="59">
        <f t="shared" si="54"/>
        <v>0.62574059676684268</v>
      </c>
      <c r="BG40" s="59">
        <f t="shared" si="54"/>
        <v>0.60366054743321973</v>
      </c>
      <c r="BH40" s="59">
        <f t="shared" si="54"/>
        <v>0.61425924410081634</v>
      </c>
      <c r="BI40" s="59">
        <f t="shared" si="54"/>
        <v>0.61423788989607431</v>
      </c>
      <c r="BJ40" s="59">
        <f t="shared" si="54"/>
        <v>0.62081301004348055</v>
      </c>
      <c r="BK40" s="59">
        <f t="shared" si="54"/>
        <v>0.60246453566668756</v>
      </c>
      <c r="BL40" s="59">
        <f t="shared" si="54"/>
        <v>0.60842563371334735</v>
      </c>
      <c r="BM40" s="59">
        <f t="shared" si="54"/>
        <v>0.60132681256569542</v>
      </c>
      <c r="BN40" s="59">
        <f t="shared" si="54"/>
        <v>0.6155001278009713</v>
      </c>
      <c r="BO40" s="59">
        <f t="shared" si="54"/>
        <v>0.59670321905092283</v>
      </c>
      <c r="BP40" s="59">
        <f>BP30/BP33</f>
        <v>0.59670129157672536</v>
      </c>
      <c r="BQ40" s="59">
        <f>BQ30/BQ33</f>
        <v>0.58981844823471297</v>
      </c>
      <c r="CM40" s="59">
        <f t="shared" ref="CM40:CO40" si="55">CM30/CM33</f>
        <v>0.61457285552245888</v>
      </c>
      <c r="CN40" s="59">
        <f t="shared" si="55"/>
        <v>0.61384343711126765</v>
      </c>
      <c r="CO40" s="59">
        <f t="shared" si="55"/>
        <v>0.6074011025786924</v>
      </c>
    </row>
    <row r="41" spans="2:156">
      <c r="B41" s="61" t="s">
        <v>1892</v>
      </c>
      <c r="BC41" s="59">
        <f t="shared" ref="BC41:BO41" si="56">BC31/BC33</f>
        <v>0.24697708769880802</v>
      </c>
      <c r="BD41" s="59">
        <f t="shared" si="56"/>
        <v>0.223245954105284</v>
      </c>
      <c r="BE41" s="59">
        <f t="shared" si="56"/>
        <v>0.21809427148488211</v>
      </c>
      <c r="BF41" s="59">
        <f t="shared" si="56"/>
        <v>0.23097906222353287</v>
      </c>
      <c r="BG41" s="59">
        <f t="shared" si="56"/>
        <v>0.22867036228583992</v>
      </c>
      <c r="BH41" s="59">
        <f t="shared" si="56"/>
        <v>0.22098777375114412</v>
      </c>
      <c r="BI41" s="59">
        <f t="shared" si="56"/>
        <v>0.22460390123215196</v>
      </c>
      <c r="BJ41" s="59">
        <f t="shared" si="56"/>
        <v>0.23677784903595531</v>
      </c>
      <c r="BK41" s="59">
        <f t="shared" si="56"/>
        <v>0.22283393690732872</v>
      </c>
      <c r="BL41" s="59">
        <f t="shared" si="56"/>
        <v>0.21397244166323146</v>
      </c>
      <c r="BM41" s="59">
        <f t="shared" si="56"/>
        <v>0.22588543338557501</v>
      </c>
      <c r="BN41" s="59">
        <f t="shared" si="56"/>
        <v>0.23121325722075486</v>
      </c>
      <c r="BO41" s="59">
        <f t="shared" si="56"/>
        <v>0.21528647690261904</v>
      </c>
      <c r="BP41" s="59">
        <f>BP31/BP33</f>
        <v>0.21920430287056802</v>
      </c>
      <c r="BQ41" s="59">
        <f>BQ31/BQ33</f>
        <v>0.22698688453618546</v>
      </c>
      <c r="CM41" s="59">
        <f t="shared" ref="CM41:CO41" si="57">CM31/CM33</f>
        <v>0.22959319666214642</v>
      </c>
      <c r="CN41" s="59">
        <f t="shared" si="57"/>
        <v>0.22825926215889419</v>
      </c>
      <c r="CO41" s="59">
        <f t="shared" si="57"/>
        <v>0.22400499091634415</v>
      </c>
    </row>
    <row r="42" spans="2:156">
      <c r="B42" s="61" t="s">
        <v>1893</v>
      </c>
      <c r="BC42" s="59">
        <f t="shared" ref="BC42:BO42" si="58">BC32/BC33</f>
        <v>0.15836797087011784</v>
      </c>
      <c r="BD42" s="59">
        <f t="shared" si="58"/>
        <v>0.16281736146625533</v>
      </c>
      <c r="BE42" s="59">
        <f t="shared" si="58"/>
        <v>0.16158802841834446</v>
      </c>
      <c r="BF42" s="59">
        <f t="shared" si="58"/>
        <v>0.14328034100962442</v>
      </c>
      <c r="BG42" s="59">
        <f t="shared" si="58"/>
        <v>0.16766909028094035</v>
      </c>
      <c r="BH42" s="59">
        <f t="shared" si="58"/>
        <v>0.16475298214803955</v>
      </c>
      <c r="BI42" s="59">
        <f t="shared" si="58"/>
        <v>0.16115820887177373</v>
      </c>
      <c r="BJ42" s="59">
        <f t="shared" si="58"/>
        <v>0.14240914092056414</v>
      </c>
      <c r="BK42" s="59">
        <f t="shared" si="58"/>
        <v>0.17470152742598369</v>
      </c>
      <c r="BL42" s="59">
        <f t="shared" si="58"/>
        <v>0.1776019246234212</v>
      </c>
      <c r="BM42" s="59">
        <f t="shared" si="58"/>
        <v>0.17278775404872951</v>
      </c>
      <c r="BN42" s="59">
        <f t="shared" si="58"/>
        <v>0.15328661497827384</v>
      </c>
      <c r="BO42" s="59">
        <f t="shared" si="58"/>
        <v>0.18801030404645813</v>
      </c>
      <c r="BP42" s="59">
        <f>BP32/BP33</f>
        <v>0.18409440555270659</v>
      </c>
      <c r="BQ42" s="59">
        <f>BQ32/BQ33</f>
        <v>0.18319466722910158</v>
      </c>
      <c r="CM42" s="59">
        <f t="shared" ref="CM42:CO42" si="59">CM32/CM33</f>
        <v>0.15583394781539467</v>
      </c>
      <c r="CN42" s="59">
        <f t="shared" si="59"/>
        <v>0.15789730072983812</v>
      </c>
      <c r="CO42" s="59">
        <f t="shared" si="59"/>
        <v>0.16859390650496348</v>
      </c>
    </row>
    <row r="44" spans="2:156" s="2" customFormat="1" ht="15">
      <c r="B44" s="2" t="s">
        <v>117</v>
      </c>
      <c r="C44" s="2">
        <v>4889</v>
      </c>
      <c r="D44" s="2">
        <v>4651</v>
      </c>
      <c r="E44" s="2">
        <v>5449</v>
      </c>
      <c r="F44" s="2">
        <v>9520</v>
      </c>
      <c r="G44" s="2">
        <v>7131</v>
      </c>
      <c r="H44" s="2">
        <v>6566</v>
      </c>
      <c r="I44" s="2">
        <v>7560</v>
      </c>
      <c r="J44" s="2">
        <v>12947</v>
      </c>
      <c r="K44" s="2">
        <v>9857</v>
      </c>
      <c r="L44" s="2">
        <v>9913</v>
      </c>
      <c r="M44" s="2">
        <v>10876</v>
      </c>
      <c r="N44" s="2">
        <v>17431</v>
      </c>
      <c r="O44" s="2">
        <v>13185</v>
      </c>
      <c r="P44" s="2">
        <v>12834</v>
      </c>
      <c r="Q44" s="2">
        <v>13806</v>
      </c>
      <c r="R44" s="2">
        <v>21268</v>
      </c>
      <c r="S44" s="2">
        <v>16070</v>
      </c>
      <c r="T44" s="2">
        <v>15704</v>
      </c>
      <c r="U44" s="2">
        <v>17092</v>
      </c>
      <c r="V44" s="2">
        <v>25586</v>
      </c>
      <c r="W44" s="2">
        <v>19741</v>
      </c>
      <c r="X44" s="2">
        <v>19340</v>
      </c>
      <c r="Y44" s="2">
        <v>20579</v>
      </c>
      <c r="Z44" s="2">
        <v>29328</v>
      </c>
      <c r="AA44" s="2">
        <v>22717</v>
      </c>
      <c r="AB44" s="2">
        <v>23185</v>
      </c>
      <c r="AC44" s="2">
        <v>25358</v>
      </c>
      <c r="AD44" s="2">
        <v>35746</v>
      </c>
      <c r="AE44" s="2">
        <v>29128</v>
      </c>
      <c r="AF44" s="2">
        <v>30404</v>
      </c>
      <c r="AG44" s="2">
        <v>32714</v>
      </c>
      <c r="AH44" s="2">
        <v>43741</v>
      </c>
      <c r="AI44" s="2">
        <v>35714</v>
      </c>
      <c r="AJ44" s="2">
        <v>37955</v>
      </c>
      <c r="AK44" s="2">
        <v>43744</v>
      </c>
      <c r="AL44" s="2">
        <v>60453</v>
      </c>
      <c r="AM44" s="2">
        <v>51042</v>
      </c>
      <c r="AN44" s="2">
        <v>52886</v>
      </c>
      <c r="AO44" s="2">
        <v>56576</v>
      </c>
      <c r="AP44" s="2">
        <v>72383</v>
      </c>
      <c r="AQ44" s="2">
        <v>59700</v>
      </c>
      <c r="AR44" s="2">
        <v>63404</v>
      </c>
      <c r="AS44" s="2">
        <v>69981</v>
      </c>
      <c r="AT44" s="2">
        <v>87437</v>
      </c>
      <c r="AU44" s="2">
        <v>75452</v>
      </c>
      <c r="AV44" s="2">
        <v>88912</v>
      </c>
      <c r="AW44" s="2">
        <v>96145</v>
      </c>
      <c r="AX44" s="2">
        <f>386064-SUM(AU44:AW44)</f>
        <v>125555</v>
      </c>
      <c r="AY44" s="2">
        <v>108518</v>
      </c>
      <c r="AZ44" s="2">
        <v>113080</v>
      </c>
      <c r="BA44" s="2">
        <v>110812</v>
      </c>
      <c r="BB44" s="2">
        <f>469822-SUM(AY44:BA44)</f>
        <v>137412</v>
      </c>
      <c r="BC44" s="2">
        <f t="shared" ref="BC44:BO44" si="60">BC11</f>
        <v>116444</v>
      </c>
      <c r="BD44" s="2">
        <f t="shared" si="60"/>
        <v>121234</v>
      </c>
      <c r="BE44" s="2">
        <f t="shared" si="60"/>
        <v>127101</v>
      </c>
      <c r="BF44" s="2">
        <f t="shared" si="60"/>
        <v>149204</v>
      </c>
      <c r="BG44" s="2">
        <f t="shared" si="60"/>
        <v>127358</v>
      </c>
      <c r="BH44" s="2">
        <f t="shared" si="60"/>
        <v>134383</v>
      </c>
      <c r="BI44" s="2">
        <f t="shared" si="60"/>
        <v>143083</v>
      </c>
      <c r="BJ44" s="2">
        <f t="shared" si="60"/>
        <v>169961</v>
      </c>
      <c r="BK44" s="2">
        <f t="shared" si="60"/>
        <v>143313</v>
      </c>
      <c r="BL44" s="2">
        <f t="shared" si="60"/>
        <v>147977</v>
      </c>
      <c r="BM44" s="2">
        <f t="shared" si="60"/>
        <v>158877</v>
      </c>
      <c r="BN44" s="2">
        <f t="shared" si="60"/>
        <v>187792</v>
      </c>
      <c r="BO44" s="2">
        <f t="shared" si="60"/>
        <v>155667</v>
      </c>
      <c r="BP44" s="2">
        <f>BP11</f>
        <v>167702</v>
      </c>
      <c r="BQ44" s="2">
        <f>BQ11</f>
        <v>180169</v>
      </c>
      <c r="BR44" s="34"/>
      <c r="BS44" s="34"/>
      <c r="BT44" s="34"/>
      <c r="BU44" s="34"/>
      <c r="BZ44" s="2">
        <f>SUM(C44:F44)</f>
        <v>24509</v>
      </c>
      <c r="CA44" s="2">
        <f>SUM(G44:J44)</f>
        <v>34204</v>
      </c>
      <c r="CB44" s="2">
        <f>SUM(K44:N44)</f>
        <v>48077</v>
      </c>
      <c r="CC44" s="2">
        <f>SUM(O44:R44)</f>
        <v>61093</v>
      </c>
      <c r="CD44" s="2">
        <f>SUM(S44:V44)</f>
        <v>74452</v>
      </c>
      <c r="CE44" s="2">
        <f>SUM(W44:Z44)</f>
        <v>88988</v>
      </c>
      <c r="CF44" s="2">
        <f>SUM(AA44:AD44)</f>
        <v>107006</v>
      </c>
      <c r="CG44" s="2">
        <f>SUM(AE44:AH44)</f>
        <v>135987</v>
      </c>
      <c r="CH44" s="2">
        <f>SUM(AI44:AL44)</f>
        <v>177866</v>
      </c>
      <c r="CI44" s="2">
        <f>SUM(AM44:AP44)</f>
        <v>232887</v>
      </c>
      <c r="CJ44" s="2">
        <f>SUM(AQ44:AT44)</f>
        <v>280522</v>
      </c>
      <c r="CK44" s="2">
        <f t="shared" ref="CK44:CK60" si="61">SUM(AU44:AX44)</f>
        <v>386064</v>
      </c>
      <c r="CL44" s="2">
        <f t="shared" ref="CL44:CL60" si="62">SUM(AY44:BB44)</f>
        <v>469822</v>
      </c>
      <c r="CM44" s="2">
        <f t="shared" ref="CM44:CM60" si="63">SUM(BC44:BF44)</f>
        <v>513983</v>
      </c>
      <c r="CN44" s="2">
        <f t="shared" ref="CN44:CN60" si="64">SUM(BG44:BJ44)</f>
        <v>574785</v>
      </c>
      <c r="CO44" s="2">
        <f t="shared" ref="CO44:CO60" si="65">SUM(BK44:BN44)</f>
        <v>637959</v>
      </c>
      <c r="CP44" s="76">
        <f>CP11</f>
        <v>714682.94200000016</v>
      </c>
      <c r="CQ44" s="76">
        <f t="shared" ref="CQ44:CY44" si="66">CQ11</f>
        <v>804124.53670900001</v>
      </c>
      <c r="CR44" s="76">
        <f t="shared" si="66"/>
        <v>894673.60341034504</v>
      </c>
      <c r="CS44" s="76">
        <f t="shared" si="66"/>
        <v>976709.76404073555</v>
      </c>
      <c r="CT44" s="76">
        <f t="shared" si="66"/>
        <v>1054305.4489815254</v>
      </c>
      <c r="CU44" s="76">
        <f t="shared" si="66"/>
        <v>1125801.6036465447</v>
      </c>
      <c r="CV44" s="76">
        <f t="shared" si="66"/>
        <v>1193981.9694419757</v>
      </c>
      <c r="CW44" s="76">
        <f t="shared" si="66"/>
        <v>1257514.1632836841</v>
      </c>
      <c r="CX44" s="76">
        <f t="shared" si="66"/>
        <v>1318038.8108696961</v>
      </c>
      <c r="CY44" s="76">
        <f t="shared" si="66"/>
        <v>1373331.6251570198</v>
      </c>
      <c r="CZ44" s="66"/>
      <c r="DA44" s="66"/>
      <c r="DB44" s="66"/>
      <c r="DC44" s="66"/>
      <c r="DD44" s="66"/>
      <c r="DE44" s="66"/>
      <c r="DF44" s="66"/>
      <c r="DG44" s="66"/>
      <c r="DH44" s="66"/>
      <c r="DI44" s="66"/>
      <c r="DJ44" s="66"/>
      <c r="DK44" s="66"/>
      <c r="DL44" s="66"/>
      <c r="DM44" s="66"/>
      <c r="DN44" s="66"/>
      <c r="DO44" s="66"/>
      <c r="DP44" s="66"/>
      <c r="DQ44" s="66"/>
      <c r="DR44" s="66"/>
      <c r="DS44" s="66"/>
      <c r="DT44" s="66"/>
      <c r="DU44" s="66"/>
      <c r="DV44" s="66"/>
      <c r="DW44" s="66"/>
      <c r="DX44" s="66"/>
      <c r="DY44" s="66"/>
      <c r="DZ44" s="66"/>
      <c r="EA44" s="66"/>
      <c r="EB44" s="66"/>
      <c r="EC44" s="66"/>
      <c r="ED44" s="66"/>
      <c r="EE44" s="66"/>
      <c r="EF44" s="66"/>
      <c r="EG44" s="66"/>
      <c r="EH44" s="66"/>
      <c r="EI44" s="66"/>
      <c r="EJ44" s="66"/>
      <c r="EK44" s="66"/>
      <c r="EL44" s="66"/>
      <c r="EM44" s="66"/>
      <c r="EN44" s="66"/>
      <c r="EO44" s="66"/>
      <c r="EP44" s="66"/>
      <c r="EQ44" s="66"/>
      <c r="ER44" s="66"/>
      <c r="ES44" s="66"/>
      <c r="ET44" s="66"/>
      <c r="EU44" s="66"/>
      <c r="EV44" s="66"/>
      <c r="EW44" s="66"/>
      <c r="EX44" s="66"/>
      <c r="EY44" s="66"/>
      <c r="EZ44" s="66"/>
    </row>
    <row r="45" spans="2:156">
      <c r="B45" s="1" t="s">
        <v>1924</v>
      </c>
      <c r="AU45" s="1">
        <v>44257</v>
      </c>
      <c r="AV45" s="1">
        <v>52660</v>
      </c>
      <c r="AW45" s="1">
        <v>57106</v>
      </c>
      <c r="AX45" s="1">
        <f>233307-SUM(AU45:AW45)</f>
        <v>79284</v>
      </c>
      <c r="AY45" s="1">
        <v>62403</v>
      </c>
      <c r="AZ45" s="1">
        <v>64176</v>
      </c>
      <c r="BA45" s="1">
        <v>62930</v>
      </c>
      <c r="BB45" s="1">
        <f>272344-SUM(AY45:BA45)</f>
        <v>82835</v>
      </c>
      <c r="BC45" s="1">
        <v>66499</v>
      </c>
      <c r="BD45" s="1">
        <v>66424</v>
      </c>
      <c r="BE45" s="1">
        <v>70268</v>
      </c>
      <c r="BF45" s="1">
        <f>288831-SUM(BC45:BE45)</f>
        <v>85640</v>
      </c>
      <c r="BG45" s="1">
        <v>67791</v>
      </c>
      <c r="BH45" s="1">
        <v>69373</v>
      </c>
      <c r="BI45" s="1">
        <v>75022</v>
      </c>
      <c r="BJ45" s="1">
        <f>304739-SUM(BG45:BI45)</f>
        <v>92553</v>
      </c>
      <c r="BK45" s="1">
        <v>72633</v>
      </c>
      <c r="BL45" s="1">
        <v>73785</v>
      </c>
      <c r="BM45" s="1">
        <v>80977</v>
      </c>
      <c r="BN45" s="1">
        <f>326288-SUM(BK45:BM45)</f>
        <v>98893</v>
      </c>
      <c r="BO45" s="1">
        <v>76976</v>
      </c>
      <c r="BP45" s="1">
        <v>80809</v>
      </c>
      <c r="BQ45" s="1">
        <v>88670</v>
      </c>
      <c r="CK45" s="1">
        <f t="shared" si="61"/>
        <v>233307</v>
      </c>
      <c r="CL45" s="1">
        <f t="shared" si="62"/>
        <v>272344</v>
      </c>
      <c r="CM45" s="1">
        <f t="shared" si="63"/>
        <v>288831</v>
      </c>
      <c r="CN45" s="1">
        <f t="shared" si="64"/>
        <v>304739</v>
      </c>
      <c r="CO45" s="1">
        <f t="shared" si="65"/>
        <v>326288</v>
      </c>
      <c r="CP45" s="72">
        <f>CP44*(1-CP64)</f>
        <v>353768.0562900001</v>
      </c>
      <c r="CQ45" s="72">
        <f t="shared" ref="CQ45:CY45" si="67">CQ44*(1-CQ64)</f>
        <v>396031.33432918251</v>
      </c>
      <c r="CR45" s="72">
        <f t="shared" si="67"/>
        <v>438390.06567106908</v>
      </c>
      <c r="CS45" s="72">
        <f t="shared" si="67"/>
        <v>476146.00996985863</v>
      </c>
      <c r="CT45" s="72">
        <f t="shared" si="67"/>
        <v>511338.1427560398</v>
      </c>
      <c r="CU45" s="72">
        <f t="shared" si="67"/>
        <v>540384.76975034142</v>
      </c>
      <c r="CV45" s="72">
        <f t="shared" si="67"/>
        <v>569529.39942382241</v>
      </c>
      <c r="CW45" s="72">
        <f t="shared" si="67"/>
        <v>597319.22755974985</v>
      </c>
      <c r="CX45" s="72">
        <f t="shared" si="67"/>
        <v>622773.33813593141</v>
      </c>
      <c r="CY45" s="72">
        <f t="shared" si="67"/>
        <v>645465.8638237993</v>
      </c>
    </row>
    <row r="46" spans="2:156">
      <c r="B46" s="1" t="s">
        <v>119</v>
      </c>
      <c r="AU46" s="1">
        <f t="shared" ref="AU46:BN46" si="68">AU44-SUM(AU45)</f>
        <v>31195</v>
      </c>
      <c r="AV46" s="1">
        <f t="shared" si="68"/>
        <v>36252</v>
      </c>
      <c r="AW46" s="1">
        <f t="shared" si="68"/>
        <v>39039</v>
      </c>
      <c r="AX46" s="1">
        <f t="shared" si="68"/>
        <v>46271</v>
      </c>
      <c r="AY46" s="1">
        <f t="shared" si="68"/>
        <v>46115</v>
      </c>
      <c r="AZ46" s="1">
        <f t="shared" si="68"/>
        <v>48904</v>
      </c>
      <c r="BA46" s="1">
        <f t="shared" si="68"/>
        <v>47882</v>
      </c>
      <c r="BB46" s="1">
        <f t="shared" si="68"/>
        <v>54577</v>
      </c>
      <c r="BC46" s="1">
        <f t="shared" si="68"/>
        <v>49945</v>
      </c>
      <c r="BD46" s="1">
        <f t="shared" si="68"/>
        <v>54810</v>
      </c>
      <c r="BE46" s="1">
        <f t="shared" si="68"/>
        <v>56833</v>
      </c>
      <c r="BF46" s="1">
        <f t="shared" si="68"/>
        <v>63564</v>
      </c>
      <c r="BG46" s="1">
        <f t="shared" si="68"/>
        <v>59567</v>
      </c>
      <c r="BH46" s="1">
        <f t="shared" si="68"/>
        <v>65010</v>
      </c>
      <c r="BI46" s="1">
        <f t="shared" si="68"/>
        <v>68061</v>
      </c>
      <c r="BJ46" s="1">
        <f t="shared" si="68"/>
        <v>77408</v>
      </c>
      <c r="BK46" s="1">
        <f t="shared" si="68"/>
        <v>70680</v>
      </c>
      <c r="BL46" s="1">
        <f t="shared" si="68"/>
        <v>74192</v>
      </c>
      <c r="BM46" s="1">
        <f t="shared" si="68"/>
        <v>77900</v>
      </c>
      <c r="BN46" s="1">
        <f t="shared" si="68"/>
        <v>88899</v>
      </c>
      <c r="BO46" s="1">
        <f t="shared" ref="BO46" si="69">BO44-SUM(BO45)</f>
        <v>78691</v>
      </c>
      <c r="BP46" s="1">
        <f>BP44-SUM(BP45)</f>
        <v>86893</v>
      </c>
      <c r="BQ46" s="1">
        <f>BQ44-SUM(BQ45)</f>
        <v>91499</v>
      </c>
      <c r="CK46" s="1">
        <f t="shared" si="61"/>
        <v>152757</v>
      </c>
      <c r="CL46" s="1">
        <f t="shared" si="62"/>
        <v>197478</v>
      </c>
      <c r="CM46" s="1">
        <f t="shared" si="63"/>
        <v>225152</v>
      </c>
      <c r="CN46" s="1">
        <f t="shared" si="64"/>
        <v>270046</v>
      </c>
      <c r="CO46" s="1">
        <f t="shared" si="65"/>
        <v>311671</v>
      </c>
      <c r="CP46" s="72">
        <f>CP44-CP45</f>
        <v>360914.88571000006</v>
      </c>
      <c r="CQ46" s="72">
        <f t="shared" ref="CQ46:CY46" si="70">CQ44-CQ45</f>
        <v>408093.20237981749</v>
      </c>
      <c r="CR46" s="72">
        <f t="shared" si="70"/>
        <v>456283.53773927595</v>
      </c>
      <c r="CS46" s="72">
        <f t="shared" si="70"/>
        <v>500563.75407087692</v>
      </c>
      <c r="CT46" s="72">
        <f t="shared" si="70"/>
        <v>542967.30622548563</v>
      </c>
      <c r="CU46" s="72">
        <f t="shared" si="70"/>
        <v>585416.83389620332</v>
      </c>
      <c r="CV46" s="72">
        <f t="shared" si="70"/>
        <v>624452.57001815329</v>
      </c>
      <c r="CW46" s="72">
        <f t="shared" si="70"/>
        <v>660194.93572393421</v>
      </c>
      <c r="CX46" s="72">
        <f t="shared" si="70"/>
        <v>695265.47273376468</v>
      </c>
      <c r="CY46" s="72">
        <f t="shared" si="70"/>
        <v>727865.76133322052</v>
      </c>
    </row>
    <row r="47" spans="2:156">
      <c r="B47" s="1" t="s">
        <v>1894</v>
      </c>
      <c r="AU47" s="1">
        <v>11531</v>
      </c>
      <c r="AV47" s="1">
        <v>13806</v>
      </c>
      <c r="AW47" s="1">
        <v>14705</v>
      </c>
      <c r="AX47" s="1">
        <f>58517-SUM(AU47:AW47)</f>
        <v>18475</v>
      </c>
      <c r="AY47" s="1">
        <v>16530</v>
      </c>
      <c r="AZ47" s="1">
        <v>17638</v>
      </c>
      <c r="BA47" s="1">
        <v>18498</v>
      </c>
      <c r="BB47" s="1">
        <f>75111-SUM(AY47:BA47)</f>
        <v>22445</v>
      </c>
      <c r="BC47" s="1">
        <v>20271</v>
      </c>
      <c r="BD47" s="1">
        <v>20342</v>
      </c>
      <c r="BE47" s="1">
        <v>20583</v>
      </c>
      <c r="BF47" s="1">
        <f>84299-SUM(BC47:BE47)</f>
        <v>23103</v>
      </c>
      <c r="BG47" s="1">
        <v>20905</v>
      </c>
      <c r="BH47" s="1">
        <v>21305</v>
      </c>
      <c r="BI47" s="1">
        <v>22314</v>
      </c>
      <c r="BJ47" s="1">
        <f>90619-SUM(BG47:BI47)</f>
        <v>26095</v>
      </c>
      <c r="BK47" s="1">
        <v>22317</v>
      </c>
      <c r="BL47" s="1">
        <v>23566</v>
      </c>
      <c r="BM47" s="1">
        <v>24660</v>
      </c>
      <c r="BN47" s="1">
        <f>98505-SUM(BK47:BM47)</f>
        <v>27962</v>
      </c>
      <c r="BO47" s="1">
        <v>24593</v>
      </c>
      <c r="BP47" s="1">
        <v>25976</v>
      </c>
      <c r="BQ47" s="1">
        <v>27679</v>
      </c>
      <c r="CK47" s="1">
        <f t="shared" si="61"/>
        <v>58517</v>
      </c>
      <c r="CL47" s="1">
        <f t="shared" si="62"/>
        <v>75111</v>
      </c>
      <c r="CM47" s="1">
        <f t="shared" si="63"/>
        <v>84299</v>
      </c>
      <c r="CN47" s="1">
        <f t="shared" si="64"/>
        <v>90619</v>
      </c>
      <c r="CO47" s="1">
        <f t="shared" si="65"/>
        <v>98505</v>
      </c>
      <c r="CP47" s="65">
        <f>CP44*CP65</f>
        <v>110775.85601000002</v>
      </c>
      <c r="CQ47" s="65">
        <f t="shared" ref="CQ47:CY47" si="71">CQ44*CQ65</f>
        <v>123031.054116477</v>
      </c>
      <c r="CR47" s="65">
        <f t="shared" si="71"/>
        <v>135990.38771837245</v>
      </c>
      <c r="CS47" s="65">
        <f t="shared" si="71"/>
        <v>147483.17437015107</v>
      </c>
      <c r="CT47" s="65">
        <f t="shared" si="71"/>
        <v>158145.81734722879</v>
      </c>
      <c r="CU47" s="65">
        <f t="shared" si="71"/>
        <v>167744.43894333515</v>
      </c>
      <c r="CV47" s="65">
        <f t="shared" si="71"/>
        <v>176709.3314774124</v>
      </c>
      <c r="CW47" s="65">
        <f t="shared" si="71"/>
        <v>184854.58200270156</v>
      </c>
      <c r="CX47" s="65">
        <f t="shared" si="71"/>
        <v>192433.66638697562</v>
      </c>
      <c r="CY47" s="65">
        <f t="shared" si="71"/>
        <v>199133.08564776785</v>
      </c>
    </row>
    <row r="48" spans="2:156">
      <c r="B48" s="1" t="s">
        <v>1938</v>
      </c>
      <c r="AU48" s="1">
        <v>9325</v>
      </c>
      <c r="AV48" s="1">
        <v>10388</v>
      </c>
      <c r="AW48" s="1">
        <v>10976</v>
      </c>
      <c r="AX48" s="1">
        <f>42740-SUM(AU48:AW48)</f>
        <v>12051</v>
      </c>
      <c r="AY48" s="1">
        <v>12488</v>
      </c>
      <c r="AZ48" s="1">
        <v>13871</v>
      </c>
      <c r="BA48" s="1">
        <v>14380</v>
      </c>
      <c r="BB48" s="1">
        <f>56052-SUM(AY48:BA48)</f>
        <v>15313</v>
      </c>
      <c r="BC48" s="1">
        <v>14842</v>
      </c>
      <c r="BD48" s="1">
        <v>18072</v>
      </c>
      <c r="BE48" s="1">
        <v>19485</v>
      </c>
      <c r="BF48" s="1">
        <f>73213-SUM(BC48:BE48)</f>
        <v>20814</v>
      </c>
      <c r="BG48" s="1">
        <v>20450</v>
      </c>
      <c r="BH48" s="1">
        <v>21931</v>
      </c>
      <c r="BI48" s="1">
        <v>21203</v>
      </c>
      <c r="BJ48" s="1">
        <f>85622-SUM(BG48:BI48)</f>
        <v>22038</v>
      </c>
      <c r="BK48" s="1">
        <v>20424</v>
      </c>
      <c r="BL48" s="1">
        <v>22304</v>
      </c>
      <c r="BM48" s="1">
        <v>22245</v>
      </c>
      <c r="BN48" s="1">
        <f>88544-SUM(BK48:BM48)</f>
        <v>23571</v>
      </c>
      <c r="BO48" s="1">
        <v>22994</v>
      </c>
      <c r="BP48" s="1">
        <v>27166</v>
      </c>
      <c r="BQ48" s="1">
        <v>28962</v>
      </c>
      <c r="CK48" s="1">
        <f t="shared" si="61"/>
        <v>42740</v>
      </c>
      <c r="CL48" s="1">
        <f t="shared" si="62"/>
        <v>56052</v>
      </c>
      <c r="CM48" s="1">
        <f t="shared" si="63"/>
        <v>73213</v>
      </c>
      <c r="CN48" s="1">
        <f t="shared" si="64"/>
        <v>85622</v>
      </c>
      <c r="CO48" s="1">
        <f t="shared" si="65"/>
        <v>88544</v>
      </c>
      <c r="CP48" s="65">
        <f>CP44*CP66</f>
        <v>112205.22189400003</v>
      </c>
      <c r="CQ48" s="65">
        <f t="shared" ref="CQ48:CY48" si="72">CQ44*CQ66</f>
        <v>130268.17494685801</v>
      </c>
      <c r="CR48" s="65">
        <f t="shared" si="72"/>
        <v>138674.40852860347</v>
      </c>
      <c r="CS48" s="65">
        <f t="shared" si="72"/>
        <v>146506.46460611033</v>
      </c>
      <c r="CT48" s="65">
        <f t="shared" si="72"/>
        <v>147602.76285741356</v>
      </c>
      <c r="CU48" s="65">
        <f t="shared" si="72"/>
        <v>146354.20847405083</v>
      </c>
      <c r="CV48" s="65">
        <f t="shared" si="72"/>
        <v>149247.74618024696</v>
      </c>
      <c r="CW48" s="65">
        <f t="shared" si="72"/>
        <v>154045.48500225128</v>
      </c>
      <c r="CX48" s="65">
        <f t="shared" si="72"/>
        <v>158164.65730436353</v>
      </c>
      <c r="CY48" s="65">
        <f t="shared" si="72"/>
        <v>164799.79501884239</v>
      </c>
    </row>
    <row r="49" spans="2:156">
      <c r="B49" s="61" t="s">
        <v>1895</v>
      </c>
      <c r="AU49" s="1">
        <v>4828</v>
      </c>
      <c r="AV49" s="1">
        <v>4345</v>
      </c>
      <c r="AW49" s="1">
        <v>5434</v>
      </c>
      <c r="AX49" s="1">
        <f>22008-SUM(AU49:AW49)</f>
        <v>7401</v>
      </c>
      <c r="AY49" s="1">
        <v>6207</v>
      </c>
      <c r="AZ49" s="1">
        <v>7524</v>
      </c>
      <c r="BA49" s="1">
        <v>8010</v>
      </c>
      <c r="BB49" s="1">
        <f>32551-SUM(AY49:BA49)</f>
        <v>10810</v>
      </c>
      <c r="BC49" s="1">
        <v>8320</v>
      </c>
      <c r="BD49" s="1">
        <v>10086</v>
      </c>
      <c r="BE49" s="1">
        <v>11014</v>
      </c>
      <c r="BF49" s="1">
        <f>42238-SUM(BC49:BE49)</f>
        <v>12818</v>
      </c>
      <c r="BG49" s="1">
        <v>10172</v>
      </c>
      <c r="BH49" s="1">
        <v>10745</v>
      </c>
      <c r="BI49" s="1">
        <v>10551</v>
      </c>
      <c r="BJ49" s="1">
        <f>44370-SUM(BG49:BI49)</f>
        <v>12902</v>
      </c>
      <c r="BK49" s="1">
        <v>9662</v>
      </c>
      <c r="BL49" s="1">
        <v>10512</v>
      </c>
      <c r="BM49" s="1">
        <v>10609</v>
      </c>
      <c r="BN49" s="1">
        <f>43907-SUM(BK49:BM49)</f>
        <v>13124</v>
      </c>
      <c r="BO49" s="1">
        <v>9763</v>
      </c>
      <c r="BP49" s="1">
        <v>11416</v>
      </c>
      <c r="BQ49" s="1">
        <v>11686</v>
      </c>
      <c r="CK49" s="1">
        <f t="shared" si="61"/>
        <v>22008</v>
      </c>
      <c r="CL49" s="1">
        <f t="shared" si="62"/>
        <v>32551</v>
      </c>
      <c r="CM49" s="1">
        <f t="shared" si="63"/>
        <v>42238</v>
      </c>
      <c r="CN49" s="1">
        <f t="shared" si="64"/>
        <v>44370</v>
      </c>
      <c r="CO49" s="1">
        <f t="shared" si="65"/>
        <v>43907</v>
      </c>
      <c r="CP49" s="72">
        <f>CP44*CP67</f>
        <v>47883.757114000015</v>
      </c>
      <c r="CQ49" s="72">
        <f t="shared" ref="CQ49:CY49" si="73">CQ44*CQ67</f>
        <v>52268.094886085004</v>
      </c>
      <c r="CR49" s="72">
        <f t="shared" si="73"/>
        <v>57259.110618262086</v>
      </c>
      <c r="CS49" s="72">
        <f t="shared" si="73"/>
        <v>60556.005370525607</v>
      </c>
      <c r="CT49" s="72">
        <f t="shared" si="73"/>
        <v>63258.326938891521</v>
      </c>
      <c r="CU49" s="72">
        <f t="shared" si="73"/>
        <v>66422.294615146136</v>
      </c>
      <c r="CV49" s="72">
        <f t="shared" si="73"/>
        <v>69250.954227634589</v>
      </c>
      <c r="CW49" s="72">
        <f t="shared" si="73"/>
        <v>71678.307307169991</v>
      </c>
      <c r="CX49" s="72">
        <f t="shared" si="73"/>
        <v>73810.173408702976</v>
      </c>
      <c r="CY49" s="72">
        <f t="shared" si="73"/>
        <v>75533.239383636086</v>
      </c>
    </row>
    <row r="50" spans="2:156">
      <c r="B50" s="61" t="s">
        <v>1896</v>
      </c>
      <c r="AU50" s="1">
        <v>1452</v>
      </c>
      <c r="AV50" s="1">
        <v>1580</v>
      </c>
      <c r="AW50" s="1">
        <v>1668</v>
      </c>
      <c r="AX50" s="1">
        <f>6668-SUM(AU50:AW50)</f>
        <v>1968</v>
      </c>
      <c r="AY50" s="1">
        <v>1987</v>
      </c>
      <c r="AZ50" s="1">
        <v>2158</v>
      </c>
      <c r="BA50" s="1">
        <v>2153</v>
      </c>
      <c r="BB50" s="1">
        <f>8823-SUM(AY50:BA50)</f>
        <v>2525</v>
      </c>
      <c r="BC50" s="1">
        <v>2594</v>
      </c>
      <c r="BD50" s="1">
        <v>2903</v>
      </c>
      <c r="BE50" s="1">
        <v>3061</v>
      </c>
      <c r="BF50" s="1">
        <f>11891-SUM(BC50:BE50)</f>
        <v>3333</v>
      </c>
      <c r="BG50" s="1">
        <v>3043</v>
      </c>
      <c r="BH50" s="1">
        <v>3202</v>
      </c>
      <c r="BI50" s="1">
        <v>2561</v>
      </c>
      <c r="BJ50" s="1">
        <f>11816-SUM(BG50:BI50)</f>
        <v>3010</v>
      </c>
      <c r="BK50" s="1">
        <v>2742</v>
      </c>
      <c r="BL50" s="1">
        <v>3041</v>
      </c>
      <c r="BM50" s="1">
        <v>2713</v>
      </c>
      <c r="BN50" s="1">
        <f>11359-SUM(BK50:BM50)</f>
        <v>2863</v>
      </c>
      <c r="BO50" s="1">
        <v>2628</v>
      </c>
      <c r="BP50" s="1">
        <v>2965</v>
      </c>
      <c r="BQ50" s="1">
        <v>2875</v>
      </c>
      <c r="CK50" s="1">
        <f t="shared" si="61"/>
        <v>6668</v>
      </c>
      <c r="CL50" s="1">
        <f t="shared" si="62"/>
        <v>8823</v>
      </c>
      <c r="CM50" s="1">
        <f t="shared" si="63"/>
        <v>11891</v>
      </c>
      <c r="CN50" s="1">
        <f t="shared" si="64"/>
        <v>11816</v>
      </c>
      <c r="CO50" s="1">
        <f t="shared" si="65"/>
        <v>11359</v>
      </c>
      <c r="CP50" s="72">
        <f>CP44*CP68</f>
        <v>12149.610014000004</v>
      </c>
      <c r="CQ50" s="72">
        <f t="shared" ref="CQ50:CY50" si="74">CQ44*CQ68</f>
        <v>13268.054855698501</v>
      </c>
      <c r="CR50" s="72">
        <f t="shared" si="74"/>
        <v>14314.777654565522</v>
      </c>
      <c r="CS50" s="72">
        <f t="shared" si="74"/>
        <v>15139.001342631402</v>
      </c>
      <c r="CT50" s="72">
        <f t="shared" si="74"/>
        <v>15814.58173472288</v>
      </c>
      <c r="CU50" s="72">
        <f t="shared" si="74"/>
        <v>16887.024054698169</v>
      </c>
      <c r="CV50" s="72">
        <f t="shared" si="74"/>
        <v>17909.729541629637</v>
      </c>
      <c r="CW50" s="72">
        <f t="shared" si="74"/>
        <v>18862.712449255261</v>
      </c>
      <c r="CX50" s="72">
        <f t="shared" si="74"/>
        <v>19770.582163045441</v>
      </c>
      <c r="CY50" s="72">
        <f t="shared" si="74"/>
        <v>20599.974377355298</v>
      </c>
    </row>
    <row r="51" spans="2:156">
      <c r="B51" s="1" t="s">
        <v>1897</v>
      </c>
      <c r="AU51" s="1">
        <f t="shared" ref="AU51:BO51" si="75">SUM(AU49:AU50)</f>
        <v>6280</v>
      </c>
      <c r="AV51" s="1">
        <f t="shared" si="75"/>
        <v>5925</v>
      </c>
      <c r="AW51" s="1">
        <f t="shared" si="75"/>
        <v>7102</v>
      </c>
      <c r="AX51" s="1">
        <f t="shared" si="75"/>
        <v>9369</v>
      </c>
      <c r="AY51" s="1">
        <f t="shared" si="75"/>
        <v>8194</v>
      </c>
      <c r="AZ51" s="1">
        <f t="shared" si="75"/>
        <v>9682</v>
      </c>
      <c r="BA51" s="1">
        <f t="shared" si="75"/>
        <v>10163</v>
      </c>
      <c r="BB51" s="1">
        <f t="shared" si="75"/>
        <v>13335</v>
      </c>
      <c r="BC51" s="1">
        <f t="shared" si="75"/>
        <v>10914</v>
      </c>
      <c r="BD51" s="1">
        <f t="shared" si="75"/>
        <v>12989</v>
      </c>
      <c r="BE51" s="1">
        <f t="shared" si="75"/>
        <v>14075</v>
      </c>
      <c r="BF51" s="1">
        <f t="shared" si="75"/>
        <v>16151</v>
      </c>
      <c r="BG51" s="1">
        <f t="shared" si="75"/>
        <v>13215</v>
      </c>
      <c r="BH51" s="1">
        <f t="shared" si="75"/>
        <v>13947</v>
      </c>
      <c r="BI51" s="1">
        <f t="shared" si="75"/>
        <v>13112</v>
      </c>
      <c r="BJ51" s="1">
        <f t="shared" si="75"/>
        <v>15912</v>
      </c>
      <c r="BK51" s="1">
        <f t="shared" si="75"/>
        <v>12404</v>
      </c>
      <c r="BL51" s="1">
        <f t="shared" si="75"/>
        <v>13553</v>
      </c>
      <c r="BM51" s="1">
        <f t="shared" si="75"/>
        <v>13322</v>
      </c>
      <c r="BN51" s="1">
        <f t="shared" si="75"/>
        <v>15987</v>
      </c>
      <c r="BO51" s="1">
        <f t="shared" si="75"/>
        <v>12391</v>
      </c>
      <c r="BP51" s="1">
        <f>SUM(BP49:BP50)</f>
        <v>14381</v>
      </c>
      <c r="BQ51" s="1">
        <f>SUM(BQ49:BQ50)</f>
        <v>14561</v>
      </c>
      <c r="CK51" s="1">
        <f t="shared" si="61"/>
        <v>28676</v>
      </c>
      <c r="CL51" s="1">
        <f t="shared" si="62"/>
        <v>41374</v>
      </c>
      <c r="CM51" s="1">
        <f t="shared" si="63"/>
        <v>54129</v>
      </c>
      <c r="CN51" s="1">
        <f t="shared" si="64"/>
        <v>56186</v>
      </c>
      <c r="CO51" s="1">
        <f t="shared" si="65"/>
        <v>55266</v>
      </c>
      <c r="CP51" s="72">
        <f>SUM(CP49:CP50)</f>
        <v>60033.36712800002</v>
      </c>
      <c r="CQ51" s="72">
        <f t="shared" ref="CQ51:CY51" si="76">SUM(CQ49:CQ50)</f>
        <v>65536.149741783505</v>
      </c>
      <c r="CR51" s="72">
        <f t="shared" si="76"/>
        <v>71573.888272827608</v>
      </c>
      <c r="CS51" s="72">
        <f t="shared" si="76"/>
        <v>75695.00671315701</v>
      </c>
      <c r="CT51" s="72">
        <f t="shared" si="76"/>
        <v>79072.908673614409</v>
      </c>
      <c r="CU51" s="72">
        <f t="shared" si="76"/>
        <v>83309.318669844302</v>
      </c>
      <c r="CV51" s="72">
        <f t="shared" si="76"/>
        <v>87160.683769264229</v>
      </c>
      <c r="CW51" s="72">
        <f t="shared" si="76"/>
        <v>90541.019756425259</v>
      </c>
      <c r="CX51" s="72">
        <f t="shared" si="76"/>
        <v>93580.755571748421</v>
      </c>
      <c r="CY51" s="72">
        <f t="shared" si="76"/>
        <v>96133.213760991377</v>
      </c>
    </row>
    <row r="52" spans="2:156">
      <c r="B52" s="1" t="s">
        <v>1898</v>
      </c>
      <c r="AU52" s="1">
        <v>70</v>
      </c>
      <c r="AV52" s="1">
        <v>290</v>
      </c>
      <c r="AW52" s="1">
        <v>62</v>
      </c>
      <c r="AX52" s="1">
        <f>-75-SUM(AU52:AW52)</f>
        <v>-497</v>
      </c>
      <c r="AY52" s="1">
        <v>38</v>
      </c>
      <c r="AZ52" s="1">
        <v>11</v>
      </c>
      <c r="BA52" s="1">
        <v>-11</v>
      </c>
      <c r="BB52" s="1">
        <f>62-SUM(AY52:BA52)</f>
        <v>24</v>
      </c>
      <c r="BC52" s="1">
        <v>249</v>
      </c>
      <c r="BD52" s="1">
        <v>90</v>
      </c>
      <c r="BE52" s="1">
        <v>165</v>
      </c>
      <c r="BF52" s="1">
        <f>1263-SUM(BC52:BE52)</f>
        <v>759</v>
      </c>
      <c r="BG52" s="1">
        <v>223</v>
      </c>
      <c r="BH52" s="1">
        <v>146</v>
      </c>
      <c r="BI52" s="1">
        <v>244</v>
      </c>
      <c r="BJ52" s="1">
        <f>767-SUM(BG52:BI52)</f>
        <v>154</v>
      </c>
      <c r="BK52" s="1">
        <v>228</v>
      </c>
      <c r="BL52" s="1">
        <v>97</v>
      </c>
      <c r="BM52" s="1">
        <v>262</v>
      </c>
      <c r="BN52" s="1">
        <f>763-SUM(BK52:BM52)</f>
        <v>176</v>
      </c>
      <c r="BO52" s="1">
        <v>308</v>
      </c>
      <c r="BP52" s="1">
        <v>199</v>
      </c>
      <c r="BQ52" s="1">
        <v>2875</v>
      </c>
      <c r="CK52" s="1">
        <f t="shared" si="61"/>
        <v>-75</v>
      </c>
      <c r="CL52" s="1">
        <f t="shared" si="62"/>
        <v>62</v>
      </c>
      <c r="CM52" s="1">
        <f t="shared" si="63"/>
        <v>1263</v>
      </c>
      <c r="CN52" s="1">
        <f t="shared" si="64"/>
        <v>767</v>
      </c>
      <c r="CO52" s="1">
        <f t="shared" si="65"/>
        <v>763</v>
      </c>
      <c r="CP52" s="65">
        <v>0</v>
      </c>
      <c r="CQ52" s="65">
        <v>0</v>
      </c>
      <c r="CR52" s="65">
        <v>0</v>
      </c>
      <c r="CS52" s="65">
        <v>0</v>
      </c>
      <c r="CT52" s="65">
        <v>0</v>
      </c>
      <c r="CU52" s="65">
        <v>0</v>
      </c>
      <c r="CV52" s="65">
        <v>0</v>
      </c>
      <c r="CW52" s="65">
        <v>0</v>
      </c>
      <c r="CX52" s="65">
        <v>0</v>
      </c>
      <c r="CY52" s="65">
        <v>0</v>
      </c>
    </row>
    <row r="53" spans="2:156">
      <c r="B53" s="1" t="s">
        <v>1899</v>
      </c>
      <c r="C53" s="1">
        <v>244</v>
      </c>
      <c r="D53" s="1">
        <v>159</v>
      </c>
      <c r="E53" s="1">
        <v>251</v>
      </c>
      <c r="F53" s="1">
        <v>475</v>
      </c>
      <c r="G53" s="1">
        <v>394</v>
      </c>
      <c r="H53" s="1">
        <v>270</v>
      </c>
      <c r="I53" s="1">
        <v>268</v>
      </c>
      <c r="J53" s="1">
        <v>474</v>
      </c>
      <c r="K53" s="1">
        <v>322</v>
      </c>
      <c r="L53" s="1">
        <v>201</v>
      </c>
      <c r="M53" s="1">
        <v>79</v>
      </c>
      <c r="N53" s="1">
        <v>260</v>
      </c>
      <c r="O53" s="1">
        <v>192</v>
      </c>
      <c r="P53" s="1">
        <v>107</v>
      </c>
      <c r="Q53" s="1">
        <v>-28</v>
      </c>
      <c r="R53" s="1">
        <v>405</v>
      </c>
      <c r="S53" s="1">
        <v>181</v>
      </c>
      <c r="T53" s="1">
        <v>79</v>
      </c>
      <c r="U53" s="1">
        <v>-25</v>
      </c>
      <c r="V53" s="1">
        <v>510</v>
      </c>
      <c r="W53" s="1">
        <v>146</v>
      </c>
      <c r="X53" s="1">
        <v>-15</v>
      </c>
      <c r="Y53" s="1">
        <v>-544</v>
      </c>
      <c r="Z53" s="1">
        <v>591</v>
      </c>
      <c r="AA53" s="1">
        <v>255</v>
      </c>
      <c r="AB53" s="1">
        <v>464</v>
      </c>
      <c r="AC53" s="1">
        <v>406</v>
      </c>
      <c r="AD53" s="1">
        <v>1108</v>
      </c>
      <c r="AE53" s="1">
        <v>1071</v>
      </c>
      <c r="AF53" s="1">
        <v>1285</v>
      </c>
      <c r="AG53" s="1">
        <v>575</v>
      </c>
      <c r="AH53" s="1">
        <v>1255</v>
      </c>
      <c r="AI53" s="1">
        <v>1005</v>
      </c>
      <c r="AJ53" s="1">
        <v>628</v>
      </c>
      <c r="AK53" s="1">
        <v>347</v>
      </c>
      <c r="AL53" s="1">
        <v>2126</v>
      </c>
      <c r="AM53" s="1">
        <v>1927</v>
      </c>
      <c r="AN53" s="1">
        <v>2983</v>
      </c>
      <c r="AO53" s="1">
        <v>3724</v>
      </c>
      <c r="AP53" s="1">
        <v>3787</v>
      </c>
      <c r="AQ53" s="1">
        <v>4420</v>
      </c>
      <c r="AR53" s="1">
        <v>3084</v>
      </c>
      <c r="AS53" s="1">
        <v>3157</v>
      </c>
      <c r="AT53" s="1">
        <v>3880</v>
      </c>
      <c r="AU53" s="1">
        <f t="shared" ref="AU53:BN53" si="77">AU46-AU47-AU48-AU51-AU52</f>
        <v>3989</v>
      </c>
      <c r="AV53" s="1">
        <f t="shared" si="77"/>
        <v>5843</v>
      </c>
      <c r="AW53" s="1">
        <f t="shared" si="77"/>
        <v>6194</v>
      </c>
      <c r="AX53" s="1">
        <f t="shared" si="77"/>
        <v>6873</v>
      </c>
      <c r="AY53" s="1">
        <f t="shared" si="77"/>
        <v>8865</v>
      </c>
      <c r="AZ53" s="1">
        <f t="shared" si="77"/>
        <v>7702</v>
      </c>
      <c r="BA53" s="1">
        <f t="shared" si="77"/>
        <v>4852</v>
      </c>
      <c r="BB53" s="1">
        <f t="shared" si="77"/>
        <v>3460</v>
      </c>
      <c r="BC53" s="1">
        <f t="shared" si="77"/>
        <v>3669</v>
      </c>
      <c r="BD53" s="1">
        <f t="shared" si="77"/>
        <v>3317</v>
      </c>
      <c r="BE53" s="1">
        <f t="shared" si="77"/>
        <v>2525</v>
      </c>
      <c r="BF53" s="1">
        <f t="shared" si="77"/>
        <v>2737</v>
      </c>
      <c r="BG53" s="1">
        <f t="shared" si="77"/>
        <v>4774</v>
      </c>
      <c r="BH53" s="1">
        <f t="shared" si="77"/>
        <v>7681</v>
      </c>
      <c r="BI53" s="1">
        <f t="shared" si="77"/>
        <v>11188</v>
      </c>
      <c r="BJ53" s="1">
        <f t="shared" si="77"/>
        <v>13209</v>
      </c>
      <c r="BK53" s="1">
        <f t="shared" si="77"/>
        <v>15307</v>
      </c>
      <c r="BL53" s="1">
        <f t="shared" si="77"/>
        <v>14672</v>
      </c>
      <c r="BM53" s="1">
        <f t="shared" si="77"/>
        <v>17411</v>
      </c>
      <c r="BN53" s="1">
        <f t="shared" si="77"/>
        <v>21203</v>
      </c>
      <c r="BO53" s="1">
        <f t="shared" ref="BO53" si="78">BO46-BO47-BO48-BO51-BO52</f>
        <v>18405</v>
      </c>
      <c r="BP53" s="1">
        <f>BP46-BP47-BP48-BP51-BP52</f>
        <v>19171</v>
      </c>
      <c r="BQ53" s="1">
        <f>BQ46-BQ47-BQ48-BQ51-BQ52</f>
        <v>17422</v>
      </c>
      <c r="BZ53" s="1">
        <f>SUM(C53:F53)</f>
        <v>1129</v>
      </c>
      <c r="CA53" s="1">
        <f>SUM(G53:J53)</f>
        <v>1406</v>
      </c>
      <c r="CB53" s="1">
        <f>SUM(K53:N53)</f>
        <v>862</v>
      </c>
      <c r="CC53" s="1">
        <f>SUM(O53:R53)</f>
        <v>676</v>
      </c>
      <c r="CD53" s="1">
        <f>SUM(S53:V53)</f>
        <v>745</v>
      </c>
      <c r="CE53" s="1">
        <f>SUM(W53:Z53)</f>
        <v>178</v>
      </c>
      <c r="CF53" s="1">
        <f>SUM(AA53:AD53)</f>
        <v>2233</v>
      </c>
      <c r="CG53" s="1">
        <f>SUM(AE53:AH53)</f>
        <v>4186</v>
      </c>
      <c r="CH53" s="1">
        <f>SUM(AI53:AL53)</f>
        <v>4106</v>
      </c>
      <c r="CI53" s="1">
        <f>SUM(AM53:AP53)</f>
        <v>12421</v>
      </c>
      <c r="CJ53" s="1">
        <f>SUM(AQ53:AT53)</f>
        <v>14541</v>
      </c>
      <c r="CK53" s="1">
        <f t="shared" si="61"/>
        <v>22899</v>
      </c>
      <c r="CL53" s="1">
        <f t="shared" si="62"/>
        <v>24879</v>
      </c>
      <c r="CM53" s="1">
        <f t="shared" si="63"/>
        <v>12248</v>
      </c>
      <c r="CN53" s="1">
        <f t="shared" si="64"/>
        <v>36852</v>
      </c>
      <c r="CO53" s="1">
        <f t="shared" si="65"/>
        <v>68593</v>
      </c>
      <c r="CP53" s="72">
        <f>CP46-CP47-CP48-CP51</f>
        <v>77900.440677999984</v>
      </c>
      <c r="CQ53" s="72">
        <f t="shared" ref="CQ53:CY53" si="79">CQ46-CQ47-CQ48-CQ51</f>
        <v>89257.823574698938</v>
      </c>
      <c r="CR53" s="72">
        <f t="shared" si="79"/>
        <v>110044.85321947242</v>
      </c>
      <c r="CS53" s="72">
        <f t="shared" si="79"/>
        <v>130879.10838145851</v>
      </c>
      <c r="CT53" s="72">
        <f t="shared" si="79"/>
        <v>158145.81734722891</v>
      </c>
      <c r="CU53" s="72">
        <f t="shared" si="79"/>
        <v>188008.86780897307</v>
      </c>
      <c r="CV53" s="72">
        <f t="shared" si="79"/>
        <v>211334.80859122975</v>
      </c>
      <c r="CW53" s="72">
        <f t="shared" si="79"/>
        <v>230753.84896255608</v>
      </c>
      <c r="CX53" s="72">
        <f t="shared" si="79"/>
        <v>251086.39347067714</v>
      </c>
      <c r="CY53" s="72">
        <f t="shared" si="79"/>
        <v>267799.66690561885</v>
      </c>
    </row>
    <row r="54" spans="2:156">
      <c r="B54" s="1" t="s">
        <v>1900</v>
      </c>
      <c r="AU54" s="1">
        <v>202</v>
      </c>
      <c r="AV54" s="1">
        <v>135</v>
      </c>
      <c r="AW54" s="1">
        <v>118</v>
      </c>
      <c r="AX54" s="1">
        <f>555-SUM(AU54:AW54)</f>
        <v>100</v>
      </c>
      <c r="AY54" s="1">
        <v>105</v>
      </c>
      <c r="AZ54" s="1">
        <v>106</v>
      </c>
      <c r="BA54" s="1">
        <v>119</v>
      </c>
      <c r="BB54" s="1">
        <f>448-SUM(AY54:BA54)</f>
        <v>118</v>
      </c>
      <c r="BC54" s="1">
        <v>108</v>
      </c>
      <c r="BD54" s="1">
        <v>159</v>
      </c>
      <c r="BE54" s="1">
        <v>277</v>
      </c>
      <c r="BF54" s="1">
        <f>989-SUM(BC54:BE54)</f>
        <v>445</v>
      </c>
      <c r="BG54" s="1">
        <v>611</v>
      </c>
      <c r="BH54" s="1">
        <v>661</v>
      </c>
      <c r="BI54" s="1">
        <v>776</v>
      </c>
      <c r="BJ54" s="1">
        <f>2949-SUM(BG54:BI54)</f>
        <v>901</v>
      </c>
      <c r="BK54" s="1">
        <v>993</v>
      </c>
      <c r="BL54" s="1">
        <v>1180</v>
      </c>
      <c r="BM54" s="1">
        <v>1256</v>
      </c>
      <c r="BN54" s="1">
        <f>4677-SUM(BK54:BM54)</f>
        <v>1248</v>
      </c>
      <c r="BO54" s="1">
        <v>1066</v>
      </c>
      <c r="BP54" s="1">
        <v>1085</v>
      </c>
      <c r="BQ54" s="1">
        <v>1100</v>
      </c>
      <c r="CK54" s="1">
        <f t="shared" si="61"/>
        <v>555</v>
      </c>
      <c r="CL54" s="1">
        <f t="shared" si="62"/>
        <v>448</v>
      </c>
      <c r="CM54" s="1">
        <f t="shared" si="63"/>
        <v>989</v>
      </c>
      <c r="CN54" s="1">
        <f t="shared" si="64"/>
        <v>2949</v>
      </c>
      <c r="CO54" s="1">
        <f t="shared" si="65"/>
        <v>4677</v>
      </c>
      <c r="CP54" s="72">
        <f>CO74*$CY$76</f>
        <v>14771.0625</v>
      </c>
      <c r="CQ54" s="72">
        <f t="shared" ref="CQ54:CY54" si="80">CP74*$CY$76</f>
        <v>29193.06518207625</v>
      </c>
      <c r="CR54" s="72">
        <f t="shared" si="80"/>
        <v>47626.984744849389</v>
      </c>
      <c r="CS54" s="72">
        <f t="shared" si="80"/>
        <v>72164.664528046967</v>
      </c>
      <c r="CT54" s="72">
        <f t="shared" si="80"/>
        <v>103763.35168708875</v>
      </c>
      <c r="CU54" s="72">
        <f t="shared" si="80"/>
        <v>144522.96611805444</v>
      </c>
      <c r="CV54" s="72">
        <f t="shared" si="80"/>
        <v>196273.2327729481</v>
      </c>
      <c r="CW54" s="72">
        <f t="shared" si="80"/>
        <v>259707.23421024828</v>
      </c>
      <c r="CX54" s="72">
        <f t="shared" si="80"/>
        <v>336035.24027901597</v>
      </c>
      <c r="CY54" s="72">
        <f t="shared" si="80"/>
        <v>427406.04453131196</v>
      </c>
    </row>
    <row r="55" spans="2:156">
      <c r="B55" s="1" t="s">
        <v>1901</v>
      </c>
      <c r="AU55" s="1">
        <v>-402</v>
      </c>
      <c r="AV55" s="1">
        <v>-403</v>
      </c>
      <c r="AW55" s="1">
        <v>-428</v>
      </c>
      <c r="AX55" s="1">
        <f>-1647-SUM(AU55:AW55)</f>
        <v>-414</v>
      </c>
      <c r="AY55" s="1">
        <v>-399</v>
      </c>
      <c r="AZ55" s="1">
        <v>-435</v>
      </c>
      <c r="BA55" s="1">
        <v>-493</v>
      </c>
      <c r="BB55" s="1">
        <f>-1809-SUM(AY55:BA55)</f>
        <v>-482</v>
      </c>
      <c r="BC55" s="1">
        <v>-472</v>
      </c>
      <c r="BD55" s="1">
        <v>-584</v>
      </c>
      <c r="BE55" s="1">
        <v>-617</v>
      </c>
      <c r="BF55" s="1">
        <f>-2367-SUM(BC55:BE55)</f>
        <v>-694</v>
      </c>
      <c r="BG55" s="1">
        <v>-823</v>
      </c>
      <c r="BH55" s="1">
        <v>-840</v>
      </c>
      <c r="BI55" s="1">
        <v>-806</v>
      </c>
      <c r="BJ55" s="1">
        <f>-3182-SUM(BG55:BI55)</f>
        <v>-713</v>
      </c>
      <c r="BK55" s="1">
        <v>-644</v>
      </c>
      <c r="BL55" s="1">
        <v>-589</v>
      </c>
      <c r="BM55" s="1">
        <v>-603</v>
      </c>
      <c r="BN55" s="1">
        <f>-2406-SUM(BK55:BM55)</f>
        <v>-570</v>
      </c>
      <c r="BO55" s="1">
        <v>-541</v>
      </c>
      <c r="BP55" s="1">
        <v>-516</v>
      </c>
      <c r="BQ55" s="1">
        <v>-538</v>
      </c>
      <c r="CK55" s="1">
        <f t="shared" si="61"/>
        <v>-1647</v>
      </c>
      <c r="CL55" s="1">
        <f t="shared" si="62"/>
        <v>-1809</v>
      </c>
      <c r="CM55" s="1">
        <f t="shared" si="63"/>
        <v>-2367</v>
      </c>
      <c r="CN55" s="1">
        <f t="shared" si="64"/>
        <v>-3182</v>
      </c>
      <c r="CO55" s="1">
        <f t="shared" si="65"/>
        <v>-2406</v>
      </c>
      <c r="CP55" s="65">
        <v>0</v>
      </c>
      <c r="CQ55" s="65">
        <v>0</v>
      </c>
      <c r="CR55" s="65">
        <v>0</v>
      </c>
      <c r="CS55" s="65">
        <v>0</v>
      </c>
      <c r="CT55" s="65">
        <v>0</v>
      </c>
      <c r="CU55" s="65">
        <v>0</v>
      </c>
      <c r="CV55" s="65">
        <v>0</v>
      </c>
      <c r="CW55" s="65">
        <v>0</v>
      </c>
      <c r="CX55" s="65">
        <v>0</v>
      </c>
      <c r="CY55" s="65">
        <v>0</v>
      </c>
    </row>
    <row r="56" spans="2:156">
      <c r="B56" s="1" t="s">
        <v>1902</v>
      </c>
      <c r="AU56" s="1">
        <v>-406</v>
      </c>
      <c r="AV56" s="1">
        <v>646</v>
      </c>
      <c r="AW56" s="1">
        <v>925</v>
      </c>
      <c r="AX56" s="1">
        <f>2371-SUM(AU56:AW56)</f>
        <v>1206</v>
      </c>
      <c r="AY56" s="1">
        <v>1697</v>
      </c>
      <c r="AZ56" s="1">
        <v>1261</v>
      </c>
      <c r="BA56" s="1">
        <v>-163</v>
      </c>
      <c r="BB56" s="1">
        <f>14633-SUM(AY56:BA56)</f>
        <v>11838</v>
      </c>
      <c r="BC56" s="1">
        <v>-8570</v>
      </c>
      <c r="BD56" s="1">
        <v>-5545</v>
      </c>
      <c r="BE56" s="1">
        <v>759</v>
      </c>
      <c r="BF56" s="1">
        <f>-16806-SUM(BC56:BE56)</f>
        <v>-3450</v>
      </c>
      <c r="BG56" s="1">
        <v>-443</v>
      </c>
      <c r="BH56" s="1">
        <v>61</v>
      </c>
      <c r="BI56" s="1">
        <v>1031</v>
      </c>
      <c r="BJ56" s="1">
        <f>938-SUM(BG56:BI56)</f>
        <v>289</v>
      </c>
      <c r="BK56" s="1">
        <v>-2673</v>
      </c>
      <c r="BL56" s="1">
        <v>-18</v>
      </c>
      <c r="BM56" s="1">
        <v>-27</v>
      </c>
      <c r="BN56" s="1">
        <f>-2250-SUM(BK56:BM56)</f>
        <v>468</v>
      </c>
      <c r="BO56" s="1">
        <v>2749</v>
      </c>
      <c r="BP56" s="1">
        <v>1117</v>
      </c>
      <c r="BQ56" s="1">
        <v>10186</v>
      </c>
      <c r="CK56" s="1">
        <f t="shared" si="61"/>
        <v>2371</v>
      </c>
      <c r="CL56" s="1">
        <f t="shared" si="62"/>
        <v>14633</v>
      </c>
      <c r="CM56" s="1">
        <f t="shared" si="63"/>
        <v>-16806</v>
      </c>
      <c r="CN56" s="1">
        <f t="shared" si="64"/>
        <v>938</v>
      </c>
      <c r="CO56" s="1">
        <f t="shared" si="65"/>
        <v>-2250</v>
      </c>
      <c r="CP56" s="65">
        <v>0</v>
      </c>
      <c r="CQ56" s="65">
        <v>0</v>
      </c>
      <c r="CR56" s="65">
        <v>0</v>
      </c>
      <c r="CS56" s="65">
        <v>0</v>
      </c>
      <c r="CT56" s="65">
        <v>0</v>
      </c>
      <c r="CU56" s="65">
        <v>0</v>
      </c>
      <c r="CV56" s="65">
        <v>0</v>
      </c>
      <c r="CW56" s="65">
        <v>0</v>
      </c>
      <c r="CX56" s="65">
        <v>0</v>
      </c>
      <c r="CY56" s="65">
        <v>0</v>
      </c>
    </row>
    <row r="57" spans="2:156">
      <c r="B57" s="1" t="s">
        <v>1903</v>
      </c>
      <c r="AU57" s="1">
        <f t="shared" ref="AU57:BO57" si="81">AU53+SUM(AU54:AU56)</f>
        <v>3383</v>
      </c>
      <c r="AV57" s="1">
        <f t="shared" si="81"/>
        <v>6221</v>
      </c>
      <c r="AW57" s="1">
        <f t="shared" si="81"/>
        <v>6809</v>
      </c>
      <c r="AX57" s="1">
        <f t="shared" si="81"/>
        <v>7765</v>
      </c>
      <c r="AY57" s="1">
        <f t="shared" si="81"/>
        <v>10268</v>
      </c>
      <c r="AZ57" s="1">
        <f t="shared" si="81"/>
        <v>8634</v>
      </c>
      <c r="BA57" s="1">
        <f t="shared" si="81"/>
        <v>4315</v>
      </c>
      <c r="BB57" s="1">
        <f t="shared" si="81"/>
        <v>14934</v>
      </c>
      <c r="BC57" s="1">
        <f t="shared" si="81"/>
        <v>-5265</v>
      </c>
      <c r="BD57" s="1">
        <f t="shared" si="81"/>
        <v>-2653</v>
      </c>
      <c r="BE57" s="1">
        <f t="shared" si="81"/>
        <v>2944</v>
      </c>
      <c r="BF57" s="1">
        <f t="shared" si="81"/>
        <v>-962</v>
      </c>
      <c r="BG57" s="1">
        <f t="shared" si="81"/>
        <v>4119</v>
      </c>
      <c r="BH57" s="1">
        <f t="shared" si="81"/>
        <v>7563</v>
      </c>
      <c r="BI57" s="1">
        <f t="shared" si="81"/>
        <v>12189</v>
      </c>
      <c r="BJ57" s="1">
        <f t="shared" si="81"/>
        <v>13686</v>
      </c>
      <c r="BK57" s="1">
        <f t="shared" si="81"/>
        <v>12983</v>
      </c>
      <c r="BL57" s="1">
        <f t="shared" si="81"/>
        <v>15245</v>
      </c>
      <c r="BM57" s="1">
        <f t="shared" si="81"/>
        <v>18037</v>
      </c>
      <c r="BN57" s="1">
        <f t="shared" si="81"/>
        <v>22349</v>
      </c>
      <c r="BO57" s="1">
        <f t="shared" si="81"/>
        <v>21679</v>
      </c>
      <c r="BP57" s="1">
        <f>BP53+SUM(BP54:BP56)</f>
        <v>20857</v>
      </c>
      <c r="BQ57" s="1">
        <f>BQ53+SUM(BQ54:BQ56)</f>
        <v>28170</v>
      </c>
      <c r="CK57" s="1">
        <f t="shared" si="61"/>
        <v>24178</v>
      </c>
      <c r="CL57" s="1">
        <f t="shared" si="62"/>
        <v>38151</v>
      </c>
      <c r="CM57" s="1">
        <f t="shared" si="63"/>
        <v>-5936</v>
      </c>
      <c r="CN57" s="1">
        <f t="shared" si="64"/>
        <v>37557</v>
      </c>
      <c r="CO57" s="1">
        <f t="shared" si="65"/>
        <v>68614</v>
      </c>
      <c r="CP57" s="72">
        <f t="shared" ref="CP57" si="82">CP53+SUM(CP54:CP56)</f>
        <v>92671.503177999984</v>
      </c>
      <c r="CQ57" s="72">
        <f>CQ53+SUM(CQ54:CQ56)</f>
        <v>118450.88875677518</v>
      </c>
      <c r="CR57" s="72">
        <f t="shared" ref="CR57:CY57" si="83">CR53+SUM(CR54:CR56)</f>
        <v>157671.83796432181</v>
      </c>
      <c r="CS57" s="72">
        <f t="shared" si="83"/>
        <v>203043.77290950547</v>
      </c>
      <c r="CT57" s="72">
        <f t="shared" si="83"/>
        <v>261909.16903431766</v>
      </c>
      <c r="CU57" s="72">
        <f t="shared" si="83"/>
        <v>332531.83392702753</v>
      </c>
      <c r="CV57" s="72">
        <f t="shared" si="83"/>
        <v>407608.04136417783</v>
      </c>
      <c r="CW57" s="72">
        <f t="shared" si="83"/>
        <v>490461.08317280433</v>
      </c>
      <c r="CX57" s="72">
        <f t="shared" si="83"/>
        <v>587121.63374969317</v>
      </c>
      <c r="CY57" s="72">
        <f t="shared" si="83"/>
        <v>695205.71143693081</v>
      </c>
    </row>
    <row r="58" spans="2:156">
      <c r="B58" s="1" t="s">
        <v>1904</v>
      </c>
      <c r="AU58" s="1">
        <v>744</v>
      </c>
      <c r="AV58" s="1">
        <v>984</v>
      </c>
      <c r="AW58" s="1">
        <v>569</v>
      </c>
      <c r="AX58" s="1">
        <f>2863-SUM(AU58:AW58)</f>
        <v>566</v>
      </c>
      <c r="AY58" s="1">
        <v>2156</v>
      </c>
      <c r="AZ58" s="1">
        <v>868</v>
      </c>
      <c r="BA58" s="1">
        <v>1155</v>
      </c>
      <c r="BB58" s="1">
        <f>4791-SUM(AY58:BA58)</f>
        <v>612</v>
      </c>
      <c r="BC58" s="1">
        <v>-1422</v>
      </c>
      <c r="BD58" s="1">
        <v>-637</v>
      </c>
      <c r="BE58" s="1">
        <v>69</v>
      </c>
      <c r="BF58" s="1">
        <f>-3217-SUM(BC58:BE58)</f>
        <v>-1227</v>
      </c>
      <c r="BG58" s="1">
        <v>948</v>
      </c>
      <c r="BH58" s="1">
        <v>804</v>
      </c>
      <c r="BI58" s="1">
        <v>2306</v>
      </c>
      <c r="BJ58" s="1">
        <f>7120-SUM(BG58:BI58)</f>
        <v>3062</v>
      </c>
      <c r="BK58" s="1">
        <v>2467</v>
      </c>
      <c r="BL58" s="1">
        <v>1767</v>
      </c>
      <c r="BM58" s="1">
        <v>2706</v>
      </c>
      <c r="BN58" s="1">
        <f>9265-SUM(BK58:BM58)</f>
        <v>2325</v>
      </c>
      <c r="BO58" s="1">
        <v>4553</v>
      </c>
      <c r="BP58" s="1">
        <v>2678</v>
      </c>
      <c r="BQ58" s="1">
        <v>-6910</v>
      </c>
      <c r="CK58" s="1">
        <f t="shared" si="61"/>
        <v>2863</v>
      </c>
      <c r="CL58" s="1">
        <f t="shared" si="62"/>
        <v>4791</v>
      </c>
      <c r="CM58" s="1">
        <f t="shared" si="63"/>
        <v>-3217</v>
      </c>
      <c r="CN58" s="1">
        <f t="shared" si="64"/>
        <v>7120</v>
      </c>
      <c r="CO58" s="1">
        <f t="shared" si="65"/>
        <v>9265</v>
      </c>
      <c r="CP58" s="72">
        <f>CP57*CP71</f>
        <v>15754.155540259999</v>
      </c>
      <c r="CQ58" s="72">
        <f t="shared" ref="CQ58:CY58" si="84">CQ57*CQ71</f>
        <v>20136.651088651783</v>
      </c>
      <c r="CR58" s="72">
        <f t="shared" si="84"/>
        <v>26804.21245393471</v>
      </c>
      <c r="CS58" s="72">
        <f t="shared" si="84"/>
        <v>34517.441394615933</v>
      </c>
      <c r="CT58" s="72">
        <f t="shared" si="84"/>
        <v>44524.558735834005</v>
      </c>
      <c r="CU58" s="72">
        <f t="shared" si="84"/>
        <v>56530.411767594684</v>
      </c>
      <c r="CV58" s="72">
        <f t="shared" si="84"/>
        <v>69293.367031910238</v>
      </c>
      <c r="CW58" s="72">
        <f t="shared" si="84"/>
        <v>83378.384139376736</v>
      </c>
      <c r="CX58" s="72">
        <f t="shared" si="84"/>
        <v>99810.677737447841</v>
      </c>
      <c r="CY58" s="72">
        <f t="shared" si="84"/>
        <v>118184.97094427825</v>
      </c>
    </row>
    <row r="59" spans="2:156">
      <c r="B59" s="1" t="s">
        <v>1907</v>
      </c>
      <c r="AU59" s="1">
        <v>104</v>
      </c>
      <c r="AV59" s="1">
        <v>-6</v>
      </c>
      <c r="AW59" s="1">
        <v>91</v>
      </c>
      <c r="AX59" s="1">
        <f>-16-SUM(AU59:AW59)</f>
        <v>-205</v>
      </c>
      <c r="AY59" s="1">
        <v>5</v>
      </c>
      <c r="AZ59" s="1">
        <v>-12</v>
      </c>
      <c r="BA59" s="1">
        <v>4</v>
      </c>
      <c r="BB59" s="1">
        <f>-4-SUM(AY59:BA59)</f>
        <v>-1</v>
      </c>
      <c r="BC59" s="1">
        <v>1</v>
      </c>
      <c r="BD59" s="1">
        <v>12</v>
      </c>
      <c r="BE59" s="1">
        <v>3</v>
      </c>
      <c r="BF59" s="1">
        <f>3-SUM(BC59:BE59)</f>
        <v>-13</v>
      </c>
      <c r="BG59" s="1">
        <v>-1</v>
      </c>
      <c r="BH59" s="1">
        <v>9</v>
      </c>
      <c r="BI59" s="1">
        <v>4</v>
      </c>
      <c r="BJ59" s="1">
        <f>12-SUM(BG59:BI59)</f>
        <v>0</v>
      </c>
      <c r="BK59" s="1">
        <v>85</v>
      </c>
      <c r="BL59" s="1">
        <v>-7</v>
      </c>
      <c r="BM59" s="1">
        <v>3</v>
      </c>
      <c r="BN59" s="1">
        <f>101-SUM(BK59:BM59)</f>
        <v>20</v>
      </c>
      <c r="BO59" s="1">
        <v>-1</v>
      </c>
      <c r="BP59" s="1">
        <v>15</v>
      </c>
      <c r="BQ59" s="1">
        <v>-73</v>
      </c>
      <c r="CK59" s="1">
        <f t="shared" si="61"/>
        <v>-16</v>
      </c>
      <c r="CL59" s="1">
        <f t="shared" si="62"/>
        <v>-4</v>
      </c>
      <c r="CM59" s="1">
        <f t="shared" si="63"/>
        <v>3</v>
      </c>
      <c r="CN59" s="1">
        <f t="shared" si="64"/>
        <v>12</v>
      </c>
      <c r="CO59" s="1">
        <f t="shared" si="65"/>
        <v>101</v>
      </c>
      <c r="CP59" s="65">
        <v>0</v>
      </c>
      <c r="CQ59" s="65">
        <v>0</v>
      </c>
      <c r="CR59" s="65">
        <v>0</v>
      </c>
      <c r="CS59" s="65">
        <v>0</v>
      </c>
      <c r="CT59" s="65">
        <v>0</v>
      </c>
      <c r="CU59" s="65">
        <v>0</v>
      </c>
      <c r="CV59" s="65">
        <v>0</v>
      </c>
      <c r="CW59" s="65">
        <v>0</v>
      </c>
      <c r="CX59" s="65">
        <v>0</v>
      </c>
      <c r="CY59" s="65">
        <v>0</v>
      </c>
    </row>
    <row r="60" spans="2:156" s="2" customFormat="1" ht="15">
      <c r="B60" s="2" t="s">
        <v>1905</v>
      </c>
      <c r="C60" s="2">
        <v>177</v>
      </c>
      <c r="D60" s="2">
        <v>142</v>
      </c>
      <c r="E60" s="2">
        <v>199</v>
      </c>
      <c r="F60" s="2">
        <v>384</v>
      </c>
      <c r="G60" s="2">
        <v>299</v>
      </c>
      <c r="H60" s="2">
        <v>207</v>
      </c>
      <c r="I60" s="2">
        <v>231</v>
      </c>
      <c r="J60" s="2">
        <v>415</v>
      </c>
      <c r="K60" s="2">
        <v>201</v>
      </c>
      <c r="L60" s="2">
        <v>191</v>
      </c>
      <c r="M60" s="2">
        <v>63</v>
      </c>
      <c r="N60" s="2">
        <v>176</v>
      </c>
      <c r="O60" s="2">
        <v>130</v>
      </c>
      <c r="P60" s="2">
        <v>7</v>
      </c>
      <c r="Q60" s="2">
        <v>-274</v>
      </c>
      <c r="R60" s="2">
        <v>98</v>
      </c>
      <c r="S60" s="2">
        <v>82</v>
      </c>
      <c r="T60" s="2">
        <v>-7</v>
      </c>
      <c r="U60" s="2">
        <v>-41</v>
      </c>
      <c r="V60" s="2">
        <v>240</v>
      </c>
      <c r="W60" s="2">
        <v>108</v>
      </c>
      <c r="X60" s="2">
        <v>-126</v>
      </c>
      <c r="Y60" s="2">
        <v>-437</v>
      </c>
      <c r="Z60" s="2">
        <v>214</v>
      </c>
      <c r="AA60" s="2">
        <v>-57</v>
      </c>
      <c r="AB60" s="2">
        <v>92</v>
      </c>
      <c r="AC60" s="2">
        <v>79</v>
      </c>
      <c r="AD60" s="2">
        <v>482</v>
      </c>
      <c r="AE60" s="2">
        <v>513</v>
      </c>
      <c r="AF60" s="2">
        <v>857</v>
      </c>
      <c r="AG60" s="2">
        <v>252</v>
      </c>
      <c r="AH60" s="2">
        <v>749</v>
      </c>
      <c r="AI60" s="2">
        <v>724</v>
      </c>
      <c r="AJ60" s="2">
        <v>197</v>
      </c>
      <c r="AK60" s="2">
        <v>256</v>
      </c>
      <c r="AL60" s="2">
        <v>1856</v>
      </c>
      <c r="AM60" s="2">
        <v>1629</v>
      </c>
      <c r="AN60" s="2">
        <v>2534</v>
      </c>
      <c r="AO60" s="2">
        <v>2883</v>
      </c>
      <c r="AP60" s="2">
        <v>3027</v>
      </c>
      <c r="AQ60" s="2">
        <v>3561</v>
      </c>
      <c r="AR60" s="2">
        <v>2625</v>
      </c>
      <c r="AS60" s="2">
        <v>2134</v>
      </c>
      <c r="AT60" s="2">
        <v>3268</v>
      </c>
      <c r="AU60" s="2">
        <f>AU57-SUM(AU58:AU59)</f>
        <v>2535</v>
      </c>
      <c r="AV60" s="2">
        <f t="shared" ref="AV60:BP60" si="85">AV57-SUM(AV58:AV59)</f>
        <v>5243</v>
      </c>
      <c r="AW60" s="2">
        <f t="shared" si="85"/>
        <v>6149</v>
      </c>
      <c r="AX60" s="2">
        <f t="shared" si="85"/>
        <v>7404</v>
      </c>
      <c r="AY60" s="2">
        <f t="shared" si="85"/>
        <v>8107</v>
      </c>
      <c r="AZ60" s="2">
        <f t="shared" si="85"/>
        <v>7778</v>
      </c>
      <c r="BA60" s="2">
        <f t="shared" si="85"/>
        <v>3156</v>
      </c>
      <c r="BB60" s="2">
        <f t="shared" si="85"/>
        <v>14323</v>
      </c>
      <c r="BC60" s="2">
        <f t="shared" si="85"/>
        <v>-3844</v>
      </c>
      <c r="BD60" s="2">
        <f t="shared" si="85"/>
        <v>-2028</v>
      </c>
      <c r="BE60" s="2">
        <f t="shared" si="85"/>
        <v>2872</v>
      </c>
      <c r="BF60" s="2">
        <f t="shared" si="85"/>
        <v>278</v>
      </c>
      <c r="BG60" s="2">
        <f t="shared" si="85"/>
        <v>3172</v>
      </c>
      <c r="BH60" s="2">
        <f t="shared" si="85"/>
        <v>6750</v>
      </c>
      <c r="BI60" s="2">
        <f t="shared" si="85"/>
        <v>9879</v>
      </c>
      <c r="BJ60" s="2">
        <f t="shared" si="85"/>
        <v>10624</v>
      </c>
      <c r="BK60" s="2">
        <f t="shared" si="85"/>
        <v>10431</v>
      </c>
      <c r="BL60" s="2">
        <f t="shared" si="85"/>
        <v>13485</v>
      </c>
      <c r="BM60" s="2">
        <f t="shared" si="85"/>
        <v>15328</v>
      </c>
      <c r="BN60" s="2">
        <f t="shared" si="85"/>
        <v>20004</v>
      </c>
      <c r="BO60" s="2">
        <f t="shared" si="85"/>
        <v>17127</v>
      </c>
      <c r="BP60" s="2">
        <f t="shared" si="85"/>
        <v>18164</v>
      </c>
      <c r="BQ60" s="2">
        <f t="shared" ref="BQ60" si="86">BQ57-SUM(BQ58:BQ59)</f>
        <v>35153</v>
      </c>
      <c r="BR60" s="34"/>
      <c r="BS60" s="34"/>
      <c r="BT60" s="34"/>
      <c r="BU60" s="34"/>
      <c r="BZ60" s="2">
        <f>SUM(C60:F60)</f>
        <v>902</v>
      </c>
      <c r="CA60" s="2">
        <f>SUM(G60:J60)</f>
        <v>1152</v>
      </c>
      <c r="CB60" s="2">
        <f>SUM(K60:N60)</f>
        <v>631</v>
      </c>
      <c r="CC60" s="2">
        <f>SUM(O60:R60)</f>
        <v>-39</v>
      </c>
      <c r="CD60" s="2">
        <f>SUM(S60:V60)</f>
        <v>274</v>
      </c>
      <c r="CE60" s="2">
        <f>SUM(W60:Z60)</f>
        <v>-241</v>
      </c>
      <c r="CF60" s="2">
        <f>SUM(AA60:AD60)</f>
        <v>596</v>
      </c>
      <c r="CG60" s="2">
        <f>SUM(AE60:AH60)</f>
        <v>2371</v>
      </c>
      <c r="CH60" s="2">
        <f>SUM(AI60:AL60)</f>
        <v>3033</v>
      </c>
      <c r="CI60" s="2">
        <f>SUM(AM60:AP60)</f>
        <v>10073</v>
      </c>
      <c r="CJ60" s="2">
        <f>SUM(AQ60:AT60)</f>
        <v>11588</v>
      </c>
      <c r="CK60" s="2">
        <f t="shared" si="61"/>
        <v>21331</v>
      </c>
      <c r="CL60" s="2">
        <f t="shared" si="62"/>
        <v>33364</v>
      </c>
      <c r="CM60" s="2">
        <f t="shared" si="63"/>
        <v>-2722</v>
      </c>
      <c r="CN60" s="2">
        <f t="shared" si="64"/>
        <v>30425</v>
      </c>
      <c r="CO60" s="2">
        <f t="shared" si="65"/>
        <v>59248</v>
      </c>
      <c r="CP60" s="76">
        <f>CP57-SUM(CP58:CP59)</f>
        <v>76917.347637739993</v>
      </c>
      <c r="CQ60" s="76">
        <f t="shared" ref="CQ60:CY60" si="87">CQ57-SUM(CQ58:CQ59)</f>
        <v>98314.237668123402</v>
      </c>
      <c r="CR60" s="76">
        <f t="shared" si="87"/>
        <v>130867.62551038709</v>
      </c>
      <c r="CS60" s="76">
        <f t="shared" si="87"/>
        <v>168526.33151488955</v>
      </c>
      <c r="CT60" s="76">
        <f t="shared" si="87"/>
        <v>217384.61029848366</v>
      </c>
      <c r="CU60" s="76">
        <f t="shared" si="87"/>
        <v>276001.42215943284</v>
      </c>
      <c r="CV60" s="76">
        <f t="shared" si="87"/>
        <v>338314.6743322676</v>
      </c>
      <c r="CW60" s="76">
        <f t="shared" si="87"/>
        <v>407082.69903342758</v>
      </c>
      <c r="CX60" s="76">
        <f t="shared" si="87"/>
        <v>487310.95601224533</v>
      </c>
      <c r="CY60" s="76">
        <f t="shared" si="87"/>
        <v>577020.74049265252</v>
      </c>
      <c r="CZ60" s="76">
        <f>CY60*(1+$CY$77)</f>
        <v>587118.60345127399</v>
      </c>
      <c r="DA60" s="76">
        <f t="shared" ref="DA60:EW60" si="88">CZ60*(1+$CY$77)</f>
        <v>597393.17901167134</v>
      </c>
      <c r="DB60" s="76">
        <f t="shared" si="88"/>
        <v>607847.55964437558</v>
      </c>
      <c r="DC60" s="76">
        <f t="shared" si="88"/>
        <v>618484.89193815214</v>
      </c>
      <c r="DD60" s="76">
        <f t="shared" si="88"/>
        <v>629308.3775470698</v>
      </c>
      <c r="DE60" s="76">
        <f t="shared" si="88"/>
        <v>640321.27415414352</v>
      </c>
      <c r="DF60" s="76">
        <f t="shared" si="88"/>
        <v>651526.89645184111</v>
      </c>
      <c r="DG60" s="76">
        <f t="shared" si="88"/>
        <v>662928.61713974841</v>
      </c>
      <c r="DH60" s="76">
        <f t="shared" si="88"/>
        <v>674529.86793969409</v>
      </c>
      <c r="DI60" s="76">
        <f t="shared" si="88"/>
        <v>686334.14062863879</v>
      </c>
      <c r="DJ60" s="76">
        <f t="shared" si="88"/>
        <v>698344.98808964004</v>
      </c>
      <c r="DK60" s="76">
        <f t="shared" si="88"/>
        <v>710566.02538120875</v>
      </c>
      <c r="DL60" s="76">
        <f t="shared" si="88"/>
        <v>723000.93082537991</v>
      </c>
      <c r="DM60" s="76">
        <f t="shared" si="88"/>
        <v>735653.44711482408</v>
      </c>
      <c r="DN60" s="76">
        <f t="shared" si="88"/>
        <v>748527.3824393336</v>
      </c>
      <c r="DO60" s="76">
        <f t="shared" si="88"/>
        <v>761626.61163202196</v>
      </c>
      <c r="DP60" s="76">
        <f t="shared" si="88"/>
        <v>774955.07733558235</v>
      </c>
      <c r="DQ60" s="76">
        <f t="shared" si="88"/>
        <v>788516.79118895507</v>
      </c>
      <c r="DR60" s="76">
        <f t="shared" si="88"/>
        <v>802315.83503476181</v>
      </c>
      <c r="DS60" s="76">
        <f t="shared" si="88"/>
        <v>816356.36214787024</v>
      </c>
      <c r="DT60" s="76">
        <f t="shared" si="88"/>
        <v>830642.59848545806</v>
      </c>
      <c r="DU60" s="76">
        <f t="shared" si="88"/>
        <v>845178.84395895363</v>
      </c>
      <c r="DV60" s="76">
        <f t="shared" si="88"/>
        <v>859969.47372823535</v>
      </c>
      <c r="DW60" s="76">
        <f t="shared" si="88"/>
        <v>875018.93951847951</v>
      </c>
      <c r="DX60" s="76">
        <f t="shared" si="88"/>
        <v>890331.77096005296</v>
      </c>
      <c r="DY60" s="76">
        <f t="shared" si="88"/>
        <v>905912.57695185393</v>
      </c>
      <c r="DZ60" s="76">
        <f t="shared" si="88"/>
        <v>921766.04704851145</v>
      </c>
      <c r="EA60" s="76">
        <f t="shared" si="88"/>
        <v>937896.95287186047</v>
      </c>
      <c r="EB60" s="76">
        <f t="shared" si="88"/>
        <v>954310.14954711811</v>
      </c>
      <c r="EC60" s="76">
        <f t="shared" si="88"/>
        <v>971010.5771641928</v>
      </c>
      <c r="ED60" s="76">
        <f t="shared" si="88"/>
        <v>988003.26226456626</v>
      </c>
      <c r="EE60" s="76">
        <f t="shared" si="88"/>
        <v>1005293.3193541962</v>
      </c>
      <c r="EF60" s="76">
        <f t="shared" si="88"/>
        <v>1022885.9524428947</v>
      </c>
      <c r="EG60" s="76">
        <f t="shared" si="88"/>
        <v>1040786.4566106454</v>
      </c>
      <c r="EH60" s="76">
        <f t="shared" si="88"/>
        <v>1059000.2196013317</v>
      </c>
      <c r="EI60" s="76">
        <f t="shared" si="88"/>
        <v>1077532.7234443552</v>
      </c>
      <c r="EJ60" s="76">
        <f t="shared" si="88"/>
        <v>1096389.5461046314</v>
      </c>
      <c r="EK60" s="76">
        <f t="shared" si="88"/>
        <v>1115576.3631614626</v>
      </c>
      <c r="EL60" s="76">
        <f t="shared" si="88"/>
        <v>1135098.9495167884</v>
      </c>
      <c r="EM60" s="76">
        <f t="shared" si="88"/>
        <v>1154963.1811333322</v>
      </c>
      <c r="EN60" s="76">
        <f t="shared" si="88"/>
        <v>1175175.0368031657</v>
      </c>
      <c r="EO60" s="76">
        <f t="shared" si="88"/>
        <v>1195740.5999472211</v>
      </c>
      <c r="EP60" s="76">
        <f t="shared" si="88"/>
        <v>1216666.0604462975</v>
      </c>
      <c r="EQ60" s="76">
        <f t="shared" si="88"/>
        <v>1237957.7165041077</v>
      </c>
      <c r="ER60" s="76">
        <f t="shared" si="88"/>
        <v>1259621.9765429297</v>
      </c>
      <c r="ES60" s="76">
        <f t="shared" si="88"/>
        <v>1281665.3611324311</v>
      </c>
      <c r="ET60" s="76">
        <f t="shared" si="88"/>
        <v>1304094.5049522487</v>
      </c>
      <c r="EU60" s="76">
        <f t="shared" si="88"/>
        <v>1326916.1587889132</v>
      </c>
      <c r="EV60" s="76">
        <f t="shared" si="88"/>
        <v>1350137.1915677192</v>
      </c>
      <c r="EW60" s="76">
        <f t="shared" si="88"/>
        <v>1373764.5924201545</v>
      </c>
      <c r="EX60" s="66"/>
      <c r="EY60" s="66"/>
      <c r="EZ60" s="66"/>
    </row>
    <row r="61" spans="2:156">
      <c r="B61" s="1" t="s">
        <v>139</v>
      </c>
      <c r="C61" s="1">
        <v>8580</v>
      </c>
      <c r="D61" s="1">
        <v>8620</v>
      </c>
      <c r="E61" s="1">
        <v>8640</v>
      </c>
      <c r="F61" s="1">
        <v>8660</v>
      </c>
      <c r="G61" s="1">
        <v>8900</v>
      </c>
      <c r="H61" s="1">
        <v>8940</v>
      </c>
      <c r="I61" s="1">
        <v>8960</v>
      </c>
      <c r="J61" s="1">
        <v>8940</v>
      </c>
      <c r="K61" s="1">
        <v>9020</v>
      </c>
      <c r="L61" s="1">
        <v>9060</v>
      </c>
      <c r="M61" s="1">
        <v>9080</v>
      </c>
      <c r="N61" s="1">
        <v>9060</v>
      </c>
      <c r="O61" s="1">
        <v>9060</v>
      </c>
      <c r="P61" s="1">
        <v>9020</v>
      </c>
      <c r="Q61" s="1">
        <v>9040</v>
      </c>
      <c r="R61" s="1">
        <v>9060</v>
      </c>
      <c r="S61" s="1">
        <v>9100</v>
      </c>
      <c r="T61" s="1">
        <v>9120</v>
      </c>
      <c r="U61" s="1">
        <v>9140</v>
      </c>
      <c r="V61" s="1">
        <v>9140</v>
      </c>
      <c r="W61" s="1">
        <v>9200</v>
      </c>
      <c r="X61" s="1">
        <v>9220</v>
      </c>
      <c r="Y61" s="1">
        <v>9260</v>
      </c>
      <c r="Z61" s="1">
        <v>9240</v>
      </c>
      <c r="AA61" s="1">
        <v>9300</v>
      </c>
      <c r="AB61" s="1">
        <v>9340</v>
      </c>
      <c r="AC61" s="1">
        <v>9360</v>
      </c>
      <c r="AD61" s="1">
        <v>9340</v>
      </c>
      <c r="AE61" s="1">
        <v>9420</v>
      </c>
      <c r="AF61" s="1">
        <v>9460</v>
      </c>
      <c r="AG61" s="1">
        <v>9480</v>
      </c>
      <c r="AH61" s="1">
        <v>9480</v>
      </c>
      <c r="AI61" s="1">
        <v>9540</v>
      </c>
      <c r="AJ61" s="1">
        <v>9580</v>
      </c>
      <c r="AK61" s="1">
        <v>9620</v>
      </c>
      <c r="AL61" s="1">
        <v>9600</v>
      </c>
      <c r="AM61" s="1">
        <v>9680</v>
      </c>
      <c r="AN61" s="1">
        <v>9720</v>
      </c>
      <c r="AO61" s="1">
        <v>9760</v>
      </c>
      <c r="AP61" s="1">
        <v>9740</v>
      </c>
      <c r="AQ61" s="1">
        <v>9820</v>
      </c>
      <c r="AR61" s="1">
        <v>9860</v>
      </c>
      <c r="AS61" s="1">
        <v>9900</v>
      </c>
      <c r="AT61" s="1">
        <v>9880</v>
      </c>
      <c r="AU61" s="1">
        <f>498*20</f>
        <v>9960</v>
      </c>
      <c r="AV61" s="1">
        <f>500*20</f>
        <v>10000</v>
      </c>
      <c r="AW61" s="1">
        <f>501*20</f>
        <v>10020</v>
      </c>
      <c r="AX61" s="1">
        <v>10005</v>
      </c>
      <c r="AY61" s="1">
        <f>504*20</f>
        <v>10080</v>
      </c>
      <c r="AZ61" s="1">
        <f>505*20</f>
        <v>10100</v>
      </c>
      <c r="BA61" s="1">
        <v>10132</v>
      </c>
      <c r="BB61" s="1">
        <v>10017</v>
      </c>
      <c r="BC61" s="1">
        <v>10171</v>
      </c>
      <c r="BD61" s="1">
        <v>10175</v>
      </c>
      <c r="BE61" s="1">
        <v>10191</v>
      </c>
      <c r="BF61" s="1">
        <v>10189</v>
      </c>
      <c r="BG61" s="1">
        <v>10250</v>
      </c>
      <c r="BH61" s="1">
        <v>10285</v>
      </c>
      <c r="BI61" s="1">
        <v>10322</v>
      </c>
      <c r="BJ61" s="1">
        <v>10304</v>
      </c>
      <c r="BK61" s="1">
        <v>10393</v>
      </c>
      <c r="BL61" s="1">
        <v>10447</v>
      </c>
      <c r="BM61" s="1">
        <v>10501</v>
      </c>
      <c r="BN61" s="1">
        <v>10473</v>
      </c>
      <c r="BO61" s="1">
        <v>10603</v>
      </c>
      <c r="BP61" s="1">
        <v>10637</v>
      </c>
      <c r="BQ61" s="1">
        <v>10674</v>
      </c>
      <c r="BZ61" s="62">
        <f>AVERAGE(C61:F61)</f>
        <v>8625</v>
      </c>
      <c r="CA61" s="62">
        <f>AVERAGE(G61:J61)</f>
        <v>8935</v>
      </c>
      <c r="CB61" s="62">
        <f>AVERAGE(K61:N61)</f>
        <v>9055</v>
      </c>
      <c r="CC61" s="62">
        <f>AVERAGE(O61:R61)</f>
        <v>9045</v>
      </c>
      <c r="CD61" s="62">
        <f>AVERAGE(S61:V61)</f>
        <v>9125</v>
      </c>
      <c r="CE61" s="62">
        <f>AVERAGE(W61:Z61)</f>
        <v>9230</v>
      </c>
      <c r="CF61" s="62">
        <f>AVERAGE(AA61:AD61)</f>
        <v>9335</v>
      </c>
      <c r="CG61" s="62">
        <f>AVERAGE(AE61:AH61)</f>
        <v>9460</v>
      </c>
      <c r="CH61" s="62">
        <f>AVERAGE(AI61:AL61)</f>
        <v>9585</v>
      </c>
      <c r="CI61" s="62">
        <f>AVERAGE(AM61:AP61)</f>
        <v>9725</v>
      </c>
      <c r="CJ61" s="62">
        <f>AVERAGE(AQ61:AT61)</f>
        <v>9865</v>
      </c>
      <c r="CK61" s="62">
        <f>AVERAGE(AU61:AX61)</f>
        <v>9996.25</v>
      </c>
      <c r="CL61" s="62">
        <f>AVERAGE(AY61:BB61)</f>
        <v>10082.25</v>
      </c>
      <c r="CM61" s="62">
        <f>AVERAGE(BC61:BF61)</f>
        <v>10181.5</v>
      </c>
      <c r="CN61" s="62">
        <f>AVERAGE(BG61:BJ61)</f>
        <v>10290.25</v>
      </c>
      <c r="CO61" s="62">
        <f>AVERAGE(BK61:BN61)</f>
        <v>10453.5</v>
      </c>
    </row>
    <row r="62" spans="2:156">
      <c r="B62" s="1" t="s">
        <v>1906</v>
      </c>
      <c r="C62" s="39">
        <f t="shared" ref="C62" si="89">C60/C61</f>
        <v>2.062937062937063E-2</v>
      </c>
      <c r="D62" s="39">
        <f t="shared" ref="D62" si="90">D60/D61</f>
        <v>1.6473317865429233E-2</v>
      </c>
      <c r="E62" s="39">
        <f t="shared" ref="E62" si="91">E60/E61</f>
        <v>2.3032407407407408E-2</v>
      </c>
      <c r="F62" s="39">
        <f t="shared" ref="F62" si="92">F60/F61</f>
        <v>4.4341801385681293E-2</v>
      </c>
      <c r="G62" s="39">
        <f t="shared" ref="G62" si="93">G60/G61</f>
        <v>3.3595505617977528E-2</v>
      </c>
      <c r="H62" s="39">
        <f t="shared" ref="H62" si="94">H60/H61</f>
        <v>2.3154362416107382E-2</v>
      </c>
      <c r="I62" s="39">
        <f t="shared" ref="I62" si="95">I60/I61</f>
        <v>2.5781249999999999E-2</v>
      </c>
      <c r="J62" s="39">
        <f t="shared" ref="J62" si="96">J60/J61</f>
        <v>4.6420581655480984E-2</v>
      </c>
      <c r="K62" s="39">
        <f t="shared" ref="K62" si="97">K60/K61</f>
        <v>2.2283813747228383E-2</v>
      </c>
      <c r="L62" s="39">
        <f t="shared" ref="L62" si="98">L60/L61</f>
        <v>2.1081677704194262E-2</v>
      </c>
      <c r="M62" s="39">
        <f t="shared" ref="M62" si="99">M60/M61</f>
        <v>6.9383259911894269E-3</v>
      </c>
      <c r="N62" s="39">
        <f t="shared" ref="N62" si="100">N60/N61</f>
        <v>1.9426048565121413E-2</v>
      </c>
      <c r="O62" s="39">
        <f t="shared" ref="O62" si="101">O60/O61</f>
        <v>1.434878587196468E-2</v>
      </c>
      <c r="P62" s="39">
        <f t="shared" ref="P62" si="102">P60/P61</f>
        <v>7.7605321507760532E-4</v>
      </c>
      <c r="Q62" s="39">
        <f t="shared" ref="Q62" si="103">Q60/Q61</f>
        <v>-3.0309734513274338E-2</v>
      </c>
      <c r="R62" s="39">
        <f t="shared" ref="R62" si="104">R60/R61</f>
        <v>1.0816777041942605E-2</v>
      </c>
      <c r="S62" s="39">
        <f t="shared" ref="S62" si="105">S60/S61</f>
        <v>9.0109890109890105E-3</v>
      </c>
      <c r="T62" s="39">
        <f t="shared" ref="T62" si="106">T60/T61</f>
        <v>-7.6754385964912281E-4</v>
      </c>
      <c r="U62" s="39">
        <f t="shared" ref="U62" si="107">U60/U61</f>
        <v>-4.4857768052516409E-3</v>
      </c>
      <c r="V62" s="39">
        <f t="shared" ref="V62" si="108">V60/V61</f>
        <v>2.6258205689277898E-2</v>
      </c>
      <c r="W62" s="39">
        <f t="shared" ref="W62" si="109">W60/W61</f>
        <v>1.1739130434782608E-2</v>
      </c>
      <c r="X62" s="39">
        <f t="shared" ref="X62" si="110">X60/X61</f>
        <v>-1.3665943600867678E-2</v>
      </c>
      <c r="Y62" s="39">
        <f t="shared" ref="Y62" si="111">Y60/Y61</f>
        <v>-4.7192224622030238E-2</v>
      </c>
      <c r="Z62" s="39">
        <f t="shared" ref="Z62" si="112">Z60/Z61</f>
        <v>2.3160173160173159E-2</v>
      </c>
      <c r="AA62" s="39">
        <f t="shared" ref="AA62" si="113">AA60/AA61</f>
        <v>-6.1290322580645163E-3</v>
      </c>
      <c r="AB62" s="39">
        <f t="shared" ref="AB62" si="114">AB60/AB61</f>
        <v>9.8501070663811561E-3</v>
      </c>
      <c r="AC62" s="39">
        <f t="shared" ref="AC62" si="115">AC60/AC61</f>
        <v>8.4401709401709397E-3</v>
      </c>
      <c r="AD62" s="39">
        <f t="shared" ref="AD62" si="116">AD60/AD61</f>
        <v>5.1605995717344755E-2</v>
      </c>
      <c r="AE62" s="39">
        <f t="shared" ref="AE62" si="117">AE60/AE61</f>
        <v>5.4458598726114651E-2</v>
      </c>
      <c r="AF62" s="39">
        <f t="shared" ref="AF62" si="118">AF60/AF61</f>
        <v>9.0591966173361516E-2</v>
      </c>
      <c r="AG62" s="39">
        <f t="shared" ref="AG62" si="119">AG60/AG61</f>
        <v>2.6582278481012658E-2</v>
      </c>
      <c r="AH62" s="39">
        <f t="shared" ref="AH62" si="120">AH60/AH61</f>
        <v>7.9008438818565396E-2</v>
      </c>
      <c r="AI62" s="39">
        <f t="shared" ref="AI62" si="121">AI60/AI61</f>
        <v>7.5890985324947591E-2</v>
      </c>
      <c r="AJ62" s="39">
        <f t="shared" ref="AJ62" si="122">AJ60/AJ61</f>
        <v>2.056367432150313E-2</v>
      </c>
      <c r="AK62" s="39">
        <f t="shared" ref="AK62" si="123">AK60/AK61</f>
        <v>2.6611226611226613E-2</v>
      </c>
      <c r="AL62" s="39">
        <f t="shared" ref="AL62" si="124">AL60/AL61</f>
        <v>0.19333333333333333</v>
      </c>
      <c r="AM62" s="39">
        <f t="shared" ref="AM62" si="125">AM60/AM61</f>
        <v>0.16828512396694215</v>
      </c>
      <c r="AN62" s="39">
        <f t="shared" ref="AN62" si="126">AN60/AN61</f>
        <v>0.26069958847736624</v>
      </c>
      <c r="AO62" s="39">
        <f t="shared" ref="AO62" si="127">AO60/AO61</f>
        <v>0.29538934426229507</v>
      </c>
      <c r="AP62" s="39">
        <f t="shared" ref="AP62" si="128">AP60/AP61</f>
        <v>0.31078028747433267</v>
      </c>
      <c r="AQ62" s="39">
        <f t="shared" ref="AQ62" si="129">AQ60/AQ61</f>
        <v>0.36262729124236254</v>
      </c>
      <c r="AR62" s="39">
        <f t="shared" ref="AR62" si="130">AR60/AR61</f>
        <v>0.26622718052738337</v>
      </c>
      <c r="AS62" s="39">
        <f t="shared" ref="AS62" si="131">AS60/AS61</f>
        <v>0.21555555555555556</v>
      </c>
      <c r="AT62" s="39">
        <f t="shared" ref="AT62" si="132">AT60/AT61</f>
        <v>0.33076923076923076</v>
      </c>
      <c r="AU62" s="39">
        <f t="shared" ref="AU62:BO62" si="133">AU60/AU61</f>
        <v>0.25451807228915663</v>
      </c>
      <c r="AV62" s="39">
        <f t="shared" si="133"/>
        <v>0.52429999999999999</v>
      </c>
      <c r="AW62" s="39">
        <f t="shared" si="133"/>
        <v>0.61367265469061871</v>
      </c>
      <c r="AX62" s="39">
        <f t="shared" si="133"/>
        <v>0.74002998500749628</v>
      </c>
      <c r="AY62" s="39">
        <f t="shared" si="133"/>
        <v>0.80426587301587305</v>
      </c>
      <c r="AZ62" s="39">
        <f t="shared" si="133"/>
        <v>0.77009900990099012</v>
      </c>
      <c r="BA62" s="39">
        <f t="shared" si="133"/>
        <v>0.31148835373075406</v>
      </c>
      <c r="BB62" s="39">
        <f t="shared" si="133"/>
        <v>1.4298692223220526</v>
      </c>
      <c r="BC62" s="39">
        <f t="shared" si="133"/>
        <v>-0.37793727263789206</v>
      </c>
      <c r="BD62" s="39">
        <f t="shared" si="133"/>
        <v>-0.19931203931203931</v>
      </c>
      <c r="BE62" s="39">
        <f t="shared" si="133"/>
        <v>0.28181728976547932</v>
      </c>
      <c r="BF62" s="39">
        <f t="shared" si="133"/>
        <v>2.7284326234174108E-2</v>
      </c>
      <c r="BG62" s="39">
        <f t="shared" si="133"/>
        <v>0.30946341463414634</v>
      </c>
      <c r="BH62" s="39">
        <f t="shared" si="133"/>
        <v>0.65629557608167233</v>
      </c>
      <c r="BI62" s="39">
        <f t="shared" si="133"/>
        <v>0.9570819608602984</v>
      </c>
      <c r="BJ62" s="39">
        <f t="shared" si="133"/>
        <v>1.031055900621118</v>
      </c>
      <c r="BK62" s="39">
        <f t="shared" si="133"/>
        <v>1.0036563071297988</v>
      </c>
      <c r="BL62" s="39">
        <f t="shared" si="133"/>
        <v>1.2908011869436202</v>
      </c>
      <c r="BM62" s="39">
        <f t="shared" si="133"/>
        <v>1.4596705075707075</v>
      </c>
      <c r="BN62" s="39">
        <f t="shared" si="133"/>
        <v>1.9100544256659984</v>
      </c>
      <c r="BO62" s="39">
        <f t="shared" si="133"/>
        <v>1.6152975572951052</v>
      </c>
      <c r="BP62" s="39">
        <f>BP60/BP61</f>
        <v>1.7076243301682805</v>
      </c>
      <c r="BQ62" s="39">
        <f>BQ60/BQ61</f>
        <v>3.2933295859096869</v>
      </c>
      <c r="BZ62" s="39">
        <f t="shared" ref="BZ62:CN62" si="134">BZ60/BZ61</f>
        <v>0.10457971014492753</v>
      </c>
      <c r="CA62" s="39">
        <f t="shared" si="134"/>
        <v>0.12893116955791831</v>
      </c>
      <c r="CB62" s="39">
        <f t="shared" si="134"/>
        <v>6.9685256764218662E-2</v>
      </c>
      <c r="CC62" s="39">
        <f t="shared" si="134"/>
        <v>-4.3117744610281922E-3</v>
      </c>
      <c r="CD62" s="39">
        <f t="shared" si="134"/>
        <v>3.0027397260273973E-2</v>
      </c>
      <c r="CE62" s="39">
        <f t="shared" si="134"/>
        <v>-2.6110509209100758E-2</v>
      </c>
      <c r="CF62" s="39">
        <f t="shared" si="134"/>
        <v>6.3845741831815753E-2</v>
      </c>
      <c r="CG62" s="39">
        <f t="shared" si="134"/>
        <v>0.25063424947145879</v>
      </c>
      <c r="CH62" s="39">
        <f t="shared" si="134"/>
        <v>0.31643192488262911</v>
      </c>
      <c r="CI62" s="39">
        <f t="shared" si="134"/>
        <v>1.035784061696658</v>
      </c>
      <c r="CJ62" s="39">
        <f t="shared" si="134"/>
        <v>1.1746578813988851</v>
      </c>
      <c r="CK62" s="39">
        <f t="shared" si="134"/>
        <v>2.1339002125797175</v>
      </c>
      <c r="CL62" s="39">
        <f t="shared" si="134"/>
        <v>3.3091819782290659</v>
      </c>
      <c r="CM62" s="39">
        <f t="shared" si="134"/>
        <v>-0.26734764032804598</v>
      </c>
      <c r="CN62" s="39">
        <f t="shared" si="134"/>
        <v>2.9566822963484851</v>
      </c>
      <c r="CO62" s="39">
        <f>CO60/CO61</f>
        <v>5.6677667766776674</v>
      </c>
    </row>
    <row r="64" spans="2:156">
      <c r="B64" s="37" t="s">
        <v>120</v>
      </c>
      <c r="C64" s="59"/>
      <c r="D64" s="59"/>
      <c r="E64" s="59"/>
      <c r="F64" s="59"/>
      <c r="G64" s="59"/>
      <c r="H64" s="59"/>
      <c r="I64" s="59"/>
      <c r="J64" s="59"/>
      <c r="K64" s="59"/>
      <c r="L64" s="59"/>
      <c r="M64" s="59"/>
      <c r="N64" s="59"/>
      <c r="O64" s="59"/>
      <c r="P64" s="59"/>
      <c r="Q64" s="59"/>
      <c r="R64" s="59"/>
      <c r="S64" s="59"/>
      <c r="T64" s="59"/>
      <c r="U64" s="59"/>
      <c r="V64" s="59"/>
      <c r="W64" s="59"/>
      <c r="X64" s="59"/>
      <c r="Y64" s="59"/>
      <c r="Z64" s="59"/>
      <c r="AA64" s="59"/>
      <c r="AB64" s="59"/>
      <c r="AC64" s="59"/>
      <c r="AD64" s="59"/>
      <c r="AE64" s="59"/>
      <c r="AF64" s="59"/>
      <c r="AG64" s="59"/>
      <c r="AH64" s="59"/>
      <c r="AI64" s="59"/>
      <c r="AJ64" s="59"/>
      <c r="AK64" s="59"/>
      <c r="AL64" s="59"/>
      <c r="AM64" s="59"/>
      <c r="AN64" s="59"/>
      <c r="AO64" s="59"/>
      <c r="AP64" s="59"/>
      <c r="AQ64" s="59"/>
      <c r="AR64" s="59"/>
      <c r="AS64" s="59"/>
      <c r="AT64" s="59"/>
      <c r="AU64" s="59">
        <f t="shared" ref="AU64:BP64" si="135">AU46/AU44</f>
        <v>0.41344165827280921</v>
      </c>
      <c r="AV64" s="59">
        <f t="shared" si="135"/>
        <v>0.40772899046247973</v>
      </c>
      <c r="AW64" s="59">
        <f t="shared" si="135"/>
        <v>0.40604295595194756</v>
      </c>
      <c r="AX64" s="59">
        <f t="shared" si="135"/>
        <v>0.36853171916689897</v>
      </c>
      <c r="AY64" s="59">
        <f t="shared" si="135"/>
        <v>0.42495254243535635</v>
      </c>
      <c r="AZ64" s="59">
        <f t="shared" si="135"/>
        <v>0.43247258577997877</v>
      </c>
      <c r="BA64" s="59">
        <f t="shared" si="135"/>
        <v>0.43210121647475003</v>
      </c>
      <c r="BB64" s="59">
        <f t="shared" si="135"/>
        <v>0.39717783017494834</v>
      </c>
      <c r="BC64" s="59">
        <f t="shared" si="135"/>
        <v>0.42891862182680085</v>
      </c>
      <c r="BD64" s="59">
        <f t="shared" si="135"/>
        <v>0.4521008957883102</v>
      </c>
      <c r="BE64" s="59">
        <f t="shared" si="135"/>
        <v>0.44714833085498934</v>
      </c>
      <c r="BF64" s="59">
        <f t="shared" si="135"/>
        <v>0.42602075011393797</v>
      </c>
      <c r="BG64" s="59">
        <f t="shared" si="135"/>
        <v>0.46771306082067871</v>
      </c>
      <c r="BH64" s="59">
        <f t="shared" si="135"/>
        <v>0.48376654785203488</v>
      </c>
      <c r="BI64" s="59">
        <f t="shared" si="135"/>
        <v>0.47567495789157344</v>
      </c>
      <c r="BJ64" s="59">
        <f t="shared" si="135"/>
        <v>0.45544566106342044</v>
      </c>
      <c r="BK64" s="59">
        <f t="shared" si="135"/>
        <v>0.49318624269954575</v>
      </c>
      <c r="BL64" s="59">
        <f t="shared" si="135"/>
        <v>0.50137521371564497</v>
      </c>
      <c r="BM64" s="59">
        <f t="shared" si="135"/>
        <v>0.49031640829069029</v>
      </c>
      <c r="BN64" s="59">
        <f t="shared" si="135"/>
        <v>0.47339077276987307</v>
      </c>
      <c r="BO64" s="59">
        <f t="shared" si="135"/>
        <v>0.50550855351487467</v>
      </c>
      <c r="BP64" s="59">
        <f t="shared" si="135"/>
        <v>0.51813931855314788</v>
      </c>
      <c r="BQ64" s="59">
        <f t="shared" ref="BQ64" si="136">BQ46/BQ44</f>
        <v>0.50785096215220149</v>
      </c>
      <c r="BZ64" s="59"/>
      <c r="CA64" s="59"/>
      <c r="CB64" s="59"/>
      <c r="CC64" s="59"/>
      <c r="CD64" s="59"/>
      <c r="CE64" s="59"/>
      <c r="CF64" s="59"/>
      <c r="CG64" s="59"/>
      <c r="CH64" s="59"/>
      <c r="CI64" s="59"/>
      <c r="CJ64" s="59"/>
      <c r="CK64" s="59">
        <f t="shared" ref="CK64:CO64" si="137">CK46/CK44</f>
        <v>0.3956779186870571</v>
      </c>
      <c r="CL64" s="59">
        <f t="shared" si="137"/>
        <v>0.42032514441639601</v>
      </c>
      <c r="CM64" s="59">
        <f t="shared" si="137"/>
        <v>0.43805339865326287</v>
      </c>
      <c r="CN64" s="59">
        <f t="shared" si="137"/>
        <v>0.46982088955000567</v>
      </c>
      <c r="CO64" s="59">
        <f t="shared" si="137"/>
        <v>0.48854393464156787</v>
      </c>
      <c r="CP64" s="73">
        <v>0.505</v>
      </c>
      <c r="CQ64" s="73">
        <v>0.50749999999999995</v>
      </c>
      <c r="CR64" s="73">
        <v>0.51</v>
      </c>
      <c r="CS64" s="73">
        <v>0.51249999999999996</v>
      </c>
      <c r="CT64" s="73">
        <v>0.51500000000000001</v>
      </c>
      <c r="CU64" s="73">
        <v>0.52</v>
      </c>
      <c r="CV64" s="73">
        <v>0.52300000000000002</v>
      </c>
      <c r="CW64" s="73">
        <v>0.52500000000000002</v>
      </c>
      <c r="CX64" s="73">
        <v>0.52749999999999997</v>
      </c>
      <c r="CY64" s="73">
        <v>0.53</v>
      </c>
    </row>
    <row r="65" spans="2:103">
      <c r="B65" s="37" t="s">
        <v>1939</v>
      </c>
      <c r="C65" s="59"/>
      <c r="D65" s="59"/>
      <c r="E65" s="59"/>
      <c r="F65" s="59"/>
      <c r="G65" s="59"/>
      <c r="H65" s="59"/>
      <c r="I65" s="59"/>
      <c r="J65" s="59"/>
      <c r="K65" s="59"/>
      <c r="L65" s="59"/>
      <c r="M65" s="59"/>
      <c r="N65" s="59"/>
      <c r="O65" s="59"/>
      <c r="P65" s="59"/>
      <c r="Q65" s="59"/>
      <c r="R65" s="59"/>
      <c r="S65" s="59"/>
      <c r="T65" s="59"/>
      <c r="U65" s="59"/>
      <c r="V65" s="59"/>
      <c r="W65" s="59"/>
      <c r="X65" s="59"/>
      <c r="Y65" s="59"/>
      <c r="Z65" s="59"/>
      <c r="AA65" s="59"/>
      <c r="AB65" s="59"/>
      <c r="AC65" s="59"/>
      <c r="AD65" s="59"/>
      <c r="AE65" s="59"/>
      <c r="AF65" s="59"/>
      <c r="AG65" s="59"/>
      <c r="AH65" s="59"/>
      <c r="AI65" s="59"/>
      <c r="AJ65" s="59"/>
      <c r="AK65" s="59"/>
      <c r="AL65" s="59"/>
      <c r="AM65" s="59"/>
      <c r="AN65" s="59"/>
      <c r="AO65" s="59"/>
      <c r="AP65" s="59"/>
      <c r="AQ65" s="59"/>
      <c r="AR65" s="59"/>
      <c r="AS65" s="59"/>
      <c r="AT65" s="59"/>
      <c r="AU65" s="59">
        <f t="shared" ref="AU65:BP65" si="138">AU47/AU44</f>
        <v>0.15282563749138525</v>
      </c>
      <c r="AV65" s="59">
        <f t="shared" si="138"/>
        <v>0.15527712794673384</v>
      </c>
      <c r="AW65" s="59">
        <f t="shared" si="138"/>
        <v>0.15294607103853555</v>
      </c>
      <c r="AX65" s="59">
        <f t="shared" si="138"/>
        <v>0.14714666879056987</v>
      </c>
      <c r="AY65" s="59">
        <f t="shared" si="138"/>
        <v>0.15232495991448422</v>
      </c>
      <c r="AZ65" s="59">
        <f t="shared" si="138"/>
        <v>0.15597806862398303</v>
      </c>
      <c r="BA65" s="59">
        <f t="shared" si="138"/>
        <v>0.16693137927300292</v>
      </c>
      <c r="BB65" s="59">
        <f t="shared" si="138"/>
        <v>0.16334090181352429</v>
      </c>
      <c r="BC65" s="59">
        <f t="shared" si="138"/>
        <v>0.17408367970870117</v>
      </c>
      <c r="BD65" s="59">
        <f t="shared" si="138"/>
        <v>0.1677912136859297</v>
      </c>
      <c r="BE65" s="59">
        <f t="shared" si="138"/>
        <v>0.16194207756036538</v>
      </c>
      <c r="BF65" s="59">
        <f t="shared" si="138"/>
        <v>0.15484169325219163</v>
      </c>
      <c r="BG65" s="59">
        <f t="shared" si="138"/>
        <v>0.16414359521977417</v>
      </c>
      <c r="BH65" s="59">
        <f t="shared" si="138"/>
        <v>0.15853939858464242</v>
      </c>
      <c r="BI65" s="59">
        <f t="shared" si="138"/>
        <v>0.15595144077213924</v>
      </c>
      <c r="BJ65" s="59">
        <f t="shared" si="138"/>
        <v>0.15353522278640394</v>
      </c>
      <c r="BK65" s="59">
        <f t="shared" si="138"/>
        <v>0.15572209080823093</v>
      </c>
      <c r="BL65" s="59">
        <f t="shared" si="138"/>
        <v>0.1592544787365604</v>
      </c>
      <c r="BM65" s="59">
        <f t="shared" si="138"/>
        <v>0.15521441114824674</v>
      </c>
      <c r="BN65" s="59">
        <f t="shared" si="138"/>
        <v>0.14889878163074038</v>
      </c>
      <c r="BO65" s="59">
        <f t="shared" si="138"/>
        <v>0.15798467240969505</v>
      </c>
      <c r="BP65" s="59">
        <f t="shared" si="138"/>
        <v>0.15489379971616318</v>
      </c>
      <c r="BQ65" s="59">
        <f t="shared" ref="BQ65" si="139">BQ47/BQ44</f>
        <v>0.15362798261632135</v>
      </c>
      <c r="BZ65" s="59"/>
      <c r="CA65" s="59"/>
      <c r="CB65" s="59"/>
      <c r="CC65" s="59"/>
      <c r="CD65" s="59"/>
      <c r="CE65" s="59"/>
      <c r="CF65" s="59"/>
      <c r="CG65" s="59"/>
      <c r="CH65" s="59"/>
      <c r="CI65" s="59"/>
      <c r="CJ65" s="59"/>
      <c r="CK65" s="59">
        <f t="shared" ref="CK65:CN65" si="140">CK47/CK44</f>
        <v>0.15157331426913673</v>
      </c>
      <c r="CL65" s="59">
        <f t="shared" si="140"/>
        <v>0.15987118525739535</v>
      </c>
      <c r="CM65" s="59">
        <f t="shared" si="140"/>
        <v>0.16401126107283703</v>
      </c>
      <c r="CN65" s="59">
        <f t="shared" si="140"/>
        <v>0.1576572109571405</v>
      </c>
      <c r="CO65" s="59">
        <f>CO47/CO44</f>
        <v>0.15440647439725749</v>
      </c>
      <c r="CP65" s="73">
        <v>0.155</v>
      </c>
      <c r="CQ65" s="73">
        <v>0.153</v>
      </c>
      <c r="CR65" s="73">
        <v>0.152</v>
      </c>
      <c r="CS65" s="73">
        <v>0.151</v>
      </c>
      <c r="CT65" s="73">
        <v>0.15</v>
      </c>
      <c r="CU65" s="73">
        <v>0.14899999999999999</v>
      </c>
      <c r="CV65" s="73">
        <v>0.14799999999999999</v>
      </c>
      <c r="CW65" s="73">
        <v>0.14699999999999999</v>
      </c>
      <c r="CX65" s="73">
        <v>0.14599999999999999</v>
      </c>
      <c r="CY65" s="73">
        <v>0.14499999999999999</v>
      </c>
    </row>
    <row r="66" spans="2:103">
      <c r="B66" s="37" t="s">
        <v>121</v>
      </c>
      <c r="C66" s="59"/>
      <c r="D66" s="59"/>
      <c r="E66" s="59"/>
      <c r="F66" s="59"/>
      <c r="G66" s="59"/>
      <c r="H66" s="59"/>
      <c r="I66" s="59"/>
      <c r="J66" s="59"/>
      <c r="K66" s="59"/>
      <c r="L66" s="59"/>
      <c r="M66" s="59"/>
      <c r="N66" s="59"/>
      <c r="O66" s="59"/>
      <c r="P66" s="59"/>
      <c r="Q66" s="59"/>
      <c r="R66" s="59"/>
      <c r="S66" s="59"/>
      <c r="T66" s="59"/>
      <c r="U66" s="59"/>
      <c r="V66" s="59"/>
      <c r="W66" s="59"/>
      <c r="X66" s="59"/>
      <c r="Y66" s="59"/>
      <c r="Z66" s="59"/>
      <c r="AA66" s="59"/>
      <c r="AB66" s="59"/>
      <c r="AC66" s="59"/>
      <c r="AD66" s="59"/>
      <c r="AE66" s="59"/>
      <c r="AF66" s="59"/>
      <c r="AG66" s="59"/>
      <c r="AH66" s="59"/>
      <c r="AI66" s="59"/>
      <c r="AJ66" s="59"/>
      <c r="AK66" s="59"/>
      <c r="AL66" s="59"/>
      <c r="AM66" s="59"/>
      <c r="AN66" s="59"/>
      <c r="AO66" s="59"/>
      <c r="AP66" s="59"/>
      <c r="AQ66" s="59"/>
      <c r="AR66" s="59"/>
      <c r="AS66" s="59"/>
      <c r="AT66" s="59"/>
      <c r="AU66" s="59">
        <f t="shared" ref="AU66:BP66" si="141">AU48/AU44</f>
        <v>0.12358850660022266</v>
      </c>
      <c r="AV66" s="59">
        <f t="shared" si="141"/>
        <v>0.11683462299802051</v>
      </c>
      <c r="AW66" s="59">
        <f t="shared" si="141"/>
        <v>0.11416090280305788</v>
      </c>
      <c r="AX66" s="59">
        <f t="shared" si="141"/>
        <v>9.5981840627613391E-2</v>
      </c>
      <c r="AY66" s="59">
        <f t="shared" si="141"/>
        <v>0.11507768296503806</v>
      </c>
      <c r="AZ66" s="59">
        <f t="shared" si="141"/>
        <v>0.12266536964980544</v>
      </c>
      <c r="BA66" s="59">
        <f t="shared" si="141"/>
        <v>0.12976933906075155</v>
      </c>
      <c r="BB66" s="59">
        <f t="shared" si="141"/>
        <v>0.11143859342706605</v>
      </c>
      <c r="BC66" s="59">
        <f t="shared" si="141"/>
        <v>0.12746041015423723</v>
      </c>
      <c r="BD66" s="59">
        <f t="shared" si="141"/>
        <v>0.14906709338964316</v>
      </c>
      <c r="BE66" s="59">
        <f t="shared" si="141"/>
        <v>0.15330327849505512</v>
      </c>
      <c r="BF66" s="59">
        <f t="shared" si="141"/>
        <v>0.13950028149379373</v>
      </c>
      <c r="BG66" s="59">
        <f t="shared" si="141"/>
        <v>0.16057098886603119</v>
      </c>
      <c r="BH66" s="59">
        <f t="shared" si="141"/>
        <v>0.16319772590282997</v>
      </c>
      <c r="BI66" s="59">
        <f t="shared" si="141"/>
        <v>0.14818671680073803</v>
      </c>
      <c r="BJ66" s="59">
        <f t="shared" si="141"/>
        <v>0.12966504080347843</v>
      </c>
      <c r="BK66" s="59">
        <f t="shared" si="141"/>
        <v>0.14251324025036111</v>
      </c>
      <c r="BL66" s="59">
        <f t="shared" si="141"/>
        <v>0.15072612635747448</v>
      </c>
      <c r="BM66" s="59">
        <f t="shared" si="141"/>
        <v>0.14001397307350968</v>
      </c>
      <c r="BN66" s="59">
        <f t="shared" si="141"/>
        <v>0.12551652892561985</v>
      </c>
      <c r="BO66" s="59">
        <f t="shared" si="141"/>
        <v>0.14771274579711821</v>
      </c>
      <c r="BP66" s="59">
        <f t="shared" si="141"/>
        <v>0.16198971986022825</v>
      </c>
      <c r="BQ66" s="59">
        <f t="shared" ref="BQ66" si="142">BQ48/BQ44</f>
        <v>0.1607490744800715</v>
      </c>
      <c r="BZ66" s="59"/>
      <c r="CA66" s="59"/>
      <c r="CB66" s="59"/>
      <c r="CC66" s="59"/>
      <c r="CD66" s="59"/>
      <c r="CE66" s="59"/>
      <c r="CF66" s="59"/>
      <c r="CG66" s="59"/>
      <c r="CH66" s="59"/>
      <c r="CI66" s="59"/>
      <c r="CJ66" s="59"/>
      <c r="CK66" s="59">
        <f t="shared" ref="CK66:CO66" si="143">CK48/CK44</f>
        <v>0.11070703303079282</v>
      </c>
      <c r="CL66" s="59">
        <f t="shared" si="143"/>
        <v>0.11930475797216818</v>
      </c>
      <c r="CM66" s="59">
        <f t="shared" si="143"/>
        <v>0.14244245432241923</v>
      </c>
      <c r="CN66" s="59">
        <f t="shared" si="143"/>
        <v>0.14896352549214054</v>
      </c>
      <c r="CO66" s="59">
        <f t="shared" si="143"/>
        <v>0.13879261833440706</v>
      </c>
      <c r="CP66" s="73">
        <v>0.157</v>
      </c>
      <c r="CQ66" s="73">
        <v>0.16200000000000001</v>
      </c>
      <c r="CR66" s="73">
        <v>0.155</v>
      </c>
      <c r="CS66" s="73">
        <v>0.15</v>
      </c>
      <c r="CT66" s="73">
        <v>0.14000000000000001</v>
      </c>
      <c r="CU66" s="73">
        <v>0.13</v>
      </c>
      <c r="CV66" s="73">
        <v>0.125</v>
      </c>
      <c r="CW66" s="73">
        <v>0.1225</v>
      </c>
      <c r="CX66" s="73">
        <v>0.12</v>
      </c>
      <c r="CY66" s="73">
        <v>0.12</v>
      </c>
    </row>
    <row r="67" spans="2:103">
      <c r="B67" s="61" t="s">
        <v>1940</v>
      </c>
      <c r="C67" s="59"/>
      <c r="D67" s="59"/>
      <c r="E67" s="59"/>
      <c r="F67" s="59"/>
      <c r="G67" s="59"/>
      <c r="H67" s="59"/>
      <c r="I67" s="59"/>
      <c r="J67" s="59"/>
      <c r="K67" s="59"/>
      <c r="L67" s="59"/>
      <c r="M67" s="59"/>
      <c r="N67" s="59"/>
      <c r="O67" s="59"/>
      <c r="P67" s="59"/>
      <c r="Q67" s="59"/>
      <c r="R67" s="59"/>
      <c r="S67" s="59"/>
      <c r="T67" s="59"/>
      <c r="U67" s="59"/>
      <c r="V67" s="59"/>
      <c r="W67" s="59"/>
      <c r="X67" s="59"/>
      <c r="Y67" s="59"/>
      <c r="Z67" s="59"/>
      <c r="AA67" s="59"/>
      <c r="AB67" s="59"/>
      <c r="AC67" s="59"/>
      <c r="AD67" s="59"/>
      <c r="AE67" s="59"/>
      <c r="AF67" s="59"/>
      <c r="AG67" s="59"/>
      <c r="AH67" s="59"/>
      <c r="AI67" s="59"/>
      <c r="AJ67" s="59"/>
      <c r="AK67" s="59"/>
      <c r="AL67" s="59"/>
      <c r="AM67" s="59"/>
      <c r="AN67" s="59"/>
      <c r="AO67" s="59"/>
      <c r="AP67" s="59"/>
      <c r="AQ67" s="59"/>
      <c r="AR67" s="59"/>
      <c r="AS67" s="59"/>
      <c r="AT67" s="59"/>
      <c r="AU67" s="59">
        <f t="shared" ref="AU67:BP67" si="144">AU49/AU44</f>
        <v>6.3987700789906163E-2</v>
      </c>
      <c r="AV67" s="59">
        <f t="shared" si="144"/>
        <v>4.8868544178513586E-2</v>
      </c>
      <c r="AW67" s="59">
        <f t="shared" si="144"/>
        <v>5.6518799729575124E-2</v>
      </c>
      <c r="AX67" s="59">
        <f t="shared" si="144"/>
        <v>5.8946278523356301E-2</v>
      </c>
      <c r="AY67" s="59">
        <f t="shared" si="144"/>
        <v>5.7197884221972389E-2</v>
      </c>
      <c r="AZ67" s="59">
        <f t="shared" si="144"/>
        <v>6.6536964980544747E-2</v>
      </c>
      <c r="BA67" s="59">
        <f t="shared" si="144"/>
        <v>7.2284590116593869E-2</v>
      </c>
      <c r="BB67" s="59">
        <f t="shared" si="144"/>
        <v>7.8668529677175206E-2</v>
      </c>
      <c r="BC67" s="59">
        <f t="shared" si="144"/>
        <v>7.1450654391810656E-2</v>
      </c>
      <c r="BD67" s="59">
        <f t="shared" si="144"/>
        <v>8.3194483395747074E-2</v>
      </c>
      <c r="BE67" s="59">
        <f t="shared" si="144"/>
        <v>8.6655494449296225E-2</v>
      </c>
      <c r="BF67" s="59">
        <f t="shared" si="144"/>
        <v>8.5909224953754595E-2</v>
      </c>
      <c r="BG67" s="59">
        <f t="shared" si="144"/>
        <v>7.9869344681920251E-2</v>
      </c>
      <c r="BH67" s="59">
        <f t="shared" si="144"/>
        <v>7.9958030405631667E-2</v>
      </c>
      <c r="BI67" s="59">
        <f t="shared" si="144"/>
        <v>7.3740416401668965E-2</v>
      </c>
      <c r="BJ67" s="59">
        <f t="shared" si="144"/>
        <v>7.5911532645724603E-2</v>
      </c>
      <c r="BK67" s="59">
        <f t="shared" si="144"/>
        <v>6.7418866397326138E-2</v>
      </c>
      <c r="BL67" s="59">
        <f t="shared" si="144"/>
        <v>7.1038066726585886E-2</v>
      </c>
      <c r="BM67" s="59">
        <f t="shared" si="144"/>
        <v>6.6774926515480532E-2</v>
      </c>
      <c r="BN67" s="59">
        <f t="shared" si="144"/>
        <v>6.9885831132316611E-2</v>
      </c>
      <c r="BO67" s="59">
        <f t="shared" si="144"/>
        <v>6.2717210455652123E-2</v>
      </c>
      <c r="BP67" s="59">
        <f t="shared" si="144"/>
        <v>6.80731297181906E-2</v>
      </c>
      <c r="BQ67" s="59">
        <f t="shared" ref="BQ67" si="145">BQ49/BQ44</f>
        <v>6.4861324645194229E-2</v>
      </c>
      <c r="BZ67" s="59"/>
      <c r="CA67" s="59"/>
      <c r="CB67" s="59"/>
      <c r="CC67" s="59"/>
      <c r="CD67" s="59"/>
      <c r="CE67" s="59"/>
      <c r="CF67" s="59"/>
      <c r="CG67" s="59"/>
      <c r="CH67" s="59"/>
      <c r="CI67" s="59"/>
      <c r="CJ67" s="59"/>
      <c r="CK67" s="59">
        <f t="shared" ref="CK67:CN67" si="146">CK49/CK44</f>
        <v>5.7006092254134028E-2</v>
      </c>
      <c r="CL67" s="59">
        <f t="shared" si="146"/>
        <v>6.9283686161993263E-2</v>
      </c>
      <c r="CM67" s="59">
        <f t="shared" si="146"/>
        <v>8.2177815219569517E-2</v>
      </c>
      <c r="CN67" s="59">
        <f t="shared" si="146"/>
        <v>7.7194081265168718E-2</v>
      </c>
      <c r="CO67" s="59">
        <f>CO49/CO44</f>
        <v>6.8824172086293947E-2</v>
      </c>
      <c r="CP67" s="73">
        <v>6.7000000000000004E-2</v>
      </c>
      <c r="CQ67" s="73">
        <v>6.5000000000000002E-2</v>
      </c>
      <c r="CR67" s="73">
        <v>6.4000000000000001E-2</v>
      </c>
      <c r="CS67" s="73">
        <v>6.2E-2</v>
      </c>
      <c r="CT67" s="73">
        <v>0.06</v>
      </c>
      <c r="CU67" s="73">
        <v>5.8999999999999997E-2</v>
      </c>
      <c r="CV67" s="73">
        <v>5.8000000000000003E-2</v>
      </c>
      <c r="CW67" s="73">
        <v>5.7000000000000002E-2</v>
      </c>
      <c r="CX67" s="73">
        <v>5.6000000000000001E-2</v>
      </c>
      <c r="CY67" s="73">
        <v>5.5E-2</v>
      </c>
    </row>
    <row r="68" spans="2:103">
      <c r="B68" s="61" t="s">
        <v>1941</v>
      </c>
      <c r="C68" s="59"/>
      <c r="D68" s="59"/>
      <c r="E68" s="59"/>
      <c r="F68" s="59"/>
      <c r="G68" s="59"/>
      <c r="H68" s="59"/>
      <c r="I68" s="59"/>
      <c r="J68" s="59"/>
      <c r="K68" s="59"/>
      <c r="L68" s="59"/>
      <c r="M68" s="59"/>
      <c r="N68" s="59"/>
      <c r="O68" s="59"/>
      <c r="P68" s="59"/>
      <c r="Q68" s="59"/>
      <c r="R68" s="59"/>
      <c r="S68" s="59"/>
      <c r="T68" s="59"/>
      <c r="U68" s="59"/>
      <c r="V68" s="59"/>
      <c r="W68" s="59"/>
      <c r="X68" s="59"/>
      <c r="Y68" s="59"/>
      <c r="Z68" s="59"/>
      <c r="AA68" s="59"/>
      <c r="AB68" s="59"/>
      <c r="AC68" s="59"/>
      <c r="AD68" s="59"/>
      <c r="AE68" s="59"/>
      <c r="AF68" s="59"/>
      <c r="AG68" s="59"/>
      <c r="AH68" s="59"/>
      <c r="AI68" s="59"/>
      <c r="AJ68" s="59"/>
      <c r="AK68" s="59"/>
      <c r="AL68" s="59"/>
      <c r="AM68" s="59"/>
      <c r="AN68" s="59"/>
      <c r="AO68" s="59"/>
      <c r="AP68" s="59"/>
      <c r="AQ68" s="59"/>
      <c r="AR68" s="59"/>
      <c r="AS68" s="59"/>
      <c r="AT68" s="59"/>
      <c r="AU68" s="59">
        <f t="shared" ref="AU68:BP68" si="147">AU50/AU44</f>
        <v>1.924402268992207E-2</v>
      </c>
      <c r="AV68" s="59">
        <f t="shared" si="147"/>
        <v>1.7770379701277667E-2</v>
      </c>
      <c r="AW68" s="59">
        <f t="shared" si="147"/>
        <v>1.7348796089240209E-2</v>
      </c>
      <c r="AX68" s="59">
        <f t="shared" si="147"/>
        <v>1.5674405638963003E-2</v>
      </c>
      <c r="AY68" s="59">
        <f t="shared" si="147"/>
        <v>1.8310326397464015E-2</v>
      </c>
      <c r="AZ68" s="59">
        <f t="shared" si="147"/>
        <v>1.9083834453484258E-2</v>
      </c>
      <c r="BA68" s="59">
        <f t="shared" si="147"/>
        <v>1.9429303685521423E-2</v>
      </c>
      <c r="BB68" s="59">
        <f t="shared" si="147"/>
        <v>1.8375396617471545E-2</v>
      </c>
      <c r="BC68" s="59">
        <f t="shared" si="147"/>
        <v>2.2276802583215967E-2</v>
      </c>
      <c r="BD68" s="59">
        <f t="shared" si="147"/>
        <v>2.3945427850273027E-2</v>
      </c>
      <c r="BE68" s="59">
        <f t="shared" si="147"/>
        <v>2.4083209416133625E-2</v>
      </c>
      <c r="BF68" s="59">
        <f t="shared" si="147"/>
        <v>2.2338543202595106E-2</v>
      </c>
      <c r="BG68" s="59">
        <f t="shared" si="147"/>
        <v>2.3893277218549287E-2</v>
      </c>
      <c r="BH68" s="59">
        <f t="shared" si="147"/>
        <v>2.3827418646703825E-2</v>
      </c>
      <c r="BI68" s="59">
        <f t="shared" si="147"/>
        <v>1.7898702151897851E-2</v>
      </c>
      <c r="BJ68" s="59">
        <f t="shared" si="147"/>
        <v>1.7709945222727567E-2</v>
      </c>
      <c r="BK68" s="59">
        <f t="shared" si="147"/>
        <v>1.9132946766866929E-2</v>
      </c>
      <c r="BL68" s="59">
        <f t="shared" si="147"/>
        <v>2.0550490954675388E-2</v>
      </c>
      <c r="BM68" s="59">
        <f t="shared" si="147"/>
        <v>1.7076102897209792E-2</v>
      </c>
      <c r="BN68" s="59">
        <f t="shared" si="147"/>
        <v>1.5245590866490586E-2</v>
      </c>
      <c r="BO68" s="59">
        <f t="shared" si="147"/>
        <v>1.6882190830426486E-2</v>
      </c>
      <c r="BP68" s="59">
        <f t="shared" si="147"/>
        <v>1.7680170779120107E-2</v>
      </c>
      <c r="BQ68" s="59">
        <f t="shared" ref="BQ68" si="148">BQ50/BQ44</f>
        <v>1.5957240146751105E-2</v>
      </c>
      <c r="BZ68" s="59"/>
      <c r="CA68" s="59"/>
      <c r="CB68" s="59"/>
      <c r="CC68" s="59"/>
      <c r="CD68" s="59"/>
      <c r="CE68" s="59"/>
      <c r="CF68" s="59"/>
      <c r="CG68" s="59"/>
      <c r="CH68" s="59"/>
      <c r="CI68" s="59"/>
      <c r="CJ68" s="59"/>
      <c r="CK68" s="59">
        <f t="shared" ref="CK68:CN68" si="149">CK50/CK44</f>
        <v>1.7271747689502258E-2</v>
      </c>
      <c r="CL68" s="59">
        <f t="shared" si="149"/>
        <v>1.8779452643767215E-2</v>
      </c>
      <c r="CM68" s="59">
        <f t="shared" si="149"/>
        <v>2.3135006410717866E-2</v>
      </c>
      <c r="CN68" s="59">
        <f t="shared" si="149"/>
        <v>2.0557251841993092E-2</v>
      </c>
      <c r="CO68" s="59">
        <f>CO50/CO44</f>
        <v>1.7805219457676748E-2</v>
      </c>
      <c r="CP68" s="73">
        <v>1.7000000000000001E-2</v>
      </c>
      <c r="CQ68" s="73">
        <v>1.6500000000000001E-2</v>
      </c>
      <c r="CR68" s="73">
        <v>1.6E-2</v>
      </c>
      <c r="CS68" s="73">
        <v>1.55E-2</v>
      </c>
      <c r="CT68" s="73">
        <v>1.4999999999999999E-2</v>
      </c>
      <c r="CU68" s="73">
        <v>1.4999999999999999E-2</v>
      </c>
      <c r="CV68" s="73">
        <v>1.4999999999999999E-2</v>
      </c>
      <c r="CW68" s="73">
        <v>1.4999999999999999E-2</v>
      </c>
      <c r="CX68" s="73">
        <v>1.4999999999999999E-2</v>
      </c>
      <c r="CY68" s="73">
        <v>1.4999999999999999E-2</v>
      </c>
    </row>
    <row r="69" spans="2:103">
      <c r="B69" s="37" t="s">
        <v>122</v>
      </c>
      <c r="C69" s="59"/>
      <c r="D69" s="59"/>
      <c r="E69" s="59"/>
      <c r="F69" s="59"/>
      <c r="G69" s="59"/>
      <c r="H69" s="59"/>
      <c r="I69" s="59"/>
      <c r="J69" s="59"/>
      <c r="K69" s="59"/>
      <c r="L69" s="59"/>
      <c r="M69" s="59"/>
      <c r="N69" s="59"/>
      <c r="O69" s="59"/>
      <c r="P69" s="59"/>
      <c r="Q69" s="59"/>
      <c r="R69" s="59"/>
      <c r="S69" s="59"/>
      <c r="T69" s="59"/>
      <c r="U69" s="59"/>
      <c r="V69" s="59"/>
      <c r="W69" s="59"/>
      <c r="X69" s="59"/>
      <c r="Y69" s="59"/>
      <c r="Z69" s="59"/>
      <c r="AA69" s="59"/>
      <c r="AB69" s="59"/>
      <c r="AC69" s="59"/>
      <c r="AD69" s="59"/>
      <c r="AE69" s="59"/>
      <c r="AF69" s="59"/>
      <c r="AG69" s="59"/>
      <c r="AH69" s="59"/>
      <c r="AI69" s="59"/>
      <c r="AJ69" s="59"/>
      <c r="AK69" s="59"/>
      <c r="AL69" s="59"/>
      <c r="AM69" s="59"/>
      <c r="AN69" s="59"/>
      <c r="AO69" s="59"/>
      <c r="AP69" s="59"/>
      <c r="AQ69" s="59"/>
      <c r="AR69" s="59"/>
      <c r="AS69" s="59"/>
      <c r="AT69" s="59"/>
      <c r="AU69" s="59">
        <f t="shared" ref="AU69:BP69" si="150">AU51/AU44</f>
        <v>8.323172347982824E-2</v>
      </c>
      <c r="AV69" s="59">
        <f t="shared" si="150"/>
        <v>6.6638923879791256E-2</v>
      </c>
      <c r="AW69" s="59">
        <f t="shared" si="150"/>
        <v>7.3867595818815329E-2</v>
      </c>
      <c r="AX69" s="59">
        <f t="shared" si="150"/>
        <v>7.4620684162319303E-2</v>
      </c>
      <c r="AY69" s="59">
        <f t="shared" si="150"/>
        <v>7.5508210619436411E-2</v>
      </c>
      <c r="AZ69" s="59">
        <f t="shared" si="150"/>
        <v>8.5620799434029005E-2</v>
      </c>
      <c r="BA69" s="59">
        <f t="shared" si="150"/>
        <v>9.1713893802115296E-2</v>
      </c>
      <c r="BB69" s="59">
        <f t="shared" si="150"/>
        <v>9.7043926294646754E-2</v>
      </c>
      <c r="BC69" s="59">
        <f t="shared" si="150"/>
        <v>9.3727456975026616E-2</v>
      </c>
      <c r="BD69" s="59">
        <f t="shared" si="150"/>
        <v>0.1071399112460201</v>
      </c>
      <c r="BE69" s="59">
        <f t="shared" si="150"/>
        <v>0.11073870386542986</v>
      </c>
      <c r="BF69" s="59">
        <f t="shared" si="150"/>
        <v>0.10824776815634969</v>
      </c>
      <c r="BG69" s="59">
        <f t="shared" si="150"/>
        <v>0.10376262190046955</v>
      </c>
      <c r="BH69" s="59">
        <f t="shared" si="150"/>
        <v>0.10378544905233549</v>
      </c>
      <c r="BI69" s="59">
        <f t="shared" si="150"/>
        <v>9.1639118553566809E-2</v>
      </c>
      <c r="BJ69" s="59">
        <f t="shared" si="150"/>
        <v>9.362147786845218E-2</v>
      </c>
      <c r="BK69" s="59">
        <f t="shared" si="150"/>
        <v>8.6551813164193053E-2</v>
      </c>
      <c r="BL69" s="59">
        <f t="shared" si="150"/>
        <v>9.1588557681261271E-2</v>
      </c>
      <c r="BM69" s="59">
        <f t="shared" si="150"/>
        <v>8.385102941269032E-2</v>
      </c>
      <c r="BN69" s="59">
        <f t="shared" si="150"/>
        <v>8.5131421998807189E-2</v>
      </c>
      <c r="BO69" s="59">
        <f t="shared" si="150"/>
        <v>7.9599401286078619E-2</v>
      </c>
      <c r="BP69" s="59">
        <f t="shared" si="150"/>
        <v>8.5753300497310711E-2</v>
      </c>
      <c r="BQ69" s="59">
        <f t="shared" ref="BQ69" si="151">BQ51/BQ44</f>
        <v>8.0818564791945338E-2</v>
      </c>
      <c r="BZ69" s="59"/>
      <c r="CA69" s="59"/>
      <c r="CB69" s="59"/>
      <c r="CC69" s="59"/>
      <c r="CD69" s="59"/>
      <c r="CE69" s="59"/>
      <c r="CF69" s="59"/>
      <c r="CG69" s="59"/>
      <c r="CH69" s="59"/>
      <c r="CI69" s="59"/>
      <c r="CJ69" s="59"/>
      <c r="CK69" s="59">
        <f>CK51/CK44</f>
        <v>7.4277839943636292E-2</v>
      </c>
      <c r="CL69" s="59">
        <f>CL51/CL44</f>
        <v>8.8063138805760485E-2</v>
      </c>
      <c r="CM69" s="59">
        <f>CM51/CM44</f>
        <v>0.10531282163028738</v>
      </c>
      <c r="CN69" s="59">
        <f>CN51/CN44</f>
        <v>9.7751333107161803E-2</v>
      </c>
      <c r="CO69" s="59">
        <f>CO51/CO44</f>
        <v>8.6629391543970688E-2</v>
      </c>
      <c r="CP69" s="73">
        <v>8.3000000000000004E-2</v>
      </c>
      <c r="CQ69" s="73">
        <v>8.1000000000000003E-2</v>
      </c>
      <c r="CR69" s="73">
        <f t="shared" ref="CR69:CY69" si="152">SUM(CR49:CR50)/CR44</f>
        <v>0.08</v>
      </c>
      <c r="CS69" s="73">
        <f t="shared" si="152"/>
        <v>7.7499999999999999E-2</v>
      </c>
      <c r="CT69" s="73">
        <f t="shared" si="152"/>
        <v>7.5000000000000011E-2</v>
      </c>
      <c r="CU69" s="73">
        <f t="shared" si="152"/>
        <v>7.3999999999999996E-2</v>
      </c>
      <c r="CV69" s="73">
        <f t="shared" si="152"/>
        <v>7.3000000000000009E-2</v>
      </c>
      <c r="CW69" s="73">
        <f t="shared" si="152"/>
        <v>7.2000000000000008E-2</v>
      </c>
      <c r="CX69" s="73">
        <f t="shared" si="152"/>
        <v>7.0999999999999994E-2</v>
      </c>
      <c r="CY69" s="73">
        <f t="shared" si="152"/>
        <v>6.9999999999999993E-2</v>
      </c>
    </row>
    <row r="70" spans="2:103">
      <c r="B70" s="37" t="s">
        <v>123</v>
      </c>
      <c r="C70" s="59">
        <f t="shared" ref="C70:AH70" si="153">C53/C44</f>
        <v>4.9907956637349149E-2</v>
      </c>
      <c r="D70" s="59">
        <f t="shared" si="153"/>
        <v>3.4186196516878091E-2</v>
      </c>
      <c r="E70" s="59">
        <f t="shared" si="153"/>
        <v>4.6063497889521014E-2</v>
      </c>
      <c r="F70" s="59">
        <f t="shared" si="153"/>
        <v>4.989495798319328E-2</v>
      </c>
      <c r="G70" s="59">
        <f t="shared" si="153"/>
        <v>5.5251717851633714E-2</v>
      </c>
      <c r="H70" s="59">
        <f t="shared" si="153"/>
        <v>4.1120925982333231E-2</v>
      </c>
      <c r="I70" s="59">
        <f t="shared" si="153"/>
        <v>3.5449735449735446E-2</v>
      </c>
      <c r="J70" s="59">
        <f t="shared" si="153"/>
        <v>3.6610797868232021E-2</v>
      </c>
      <c r="K70" s="59">
        <f t="shared" si="153"/>
        <v>3.2667140103479764E-2</v>
      </c>
      <c r="L70" s="59">
        <f t="shared" si="153"/>
        <v>2.0276404721073338E-2</v>
      </c>
      <c r="M70" s="59">
        <f t="shared" si="153"/>
        <v>7.2636998896653182E-3</v>
      </c>
      <c r="N70" s="59">
        <f t="shared" si="153"/>
        <v>1.4915954334232115E-2</v>
      </c>
      <c r="O70" s="59">
        <f t="shared" si="153"/>
        <v>1.4562002275312855E-2</v>
      </c>
      <c r="P70" s="59">
        <f t="shared" si="153"/>
        <v>8.3372292348449437E-3</v>
      </c>
      <c r="Q70" s="59">
        <f t="shared" si="153"/>
        <v>-2.0281037230189774E-3</v>
      </c>
      <c r="R70" s="59">
        <f t="shared" si="153"/>
        <v>1.9042693248072222E-2</v>
      </c>
      <c r="S70" s="59">
        <f t="shared" si="153"/>
        <v>1.1263223397635346E-2</v>
      </c>
      <c r="T70" s="59">
        <f t="shared" si="153"/>
        <v>5.0305654610290369E-3</v>
      </c>
      <c r="U70" s="59">
        <f t="shared" si="153"/>
        <v>-1.4626725953662532E-3</v>
      </c>
      <c r="V70" s="59">
        <f t="shared" si="153"/>
        <v>1.9932775736731023E-2</v>
      </c>
      <c r="W70" s="59">
        <f t="shared" si="153"/>
        <v>7.3957752900055719E-3</v>
      </c>
      <c r="X70" s="59">
        <f t="shared" si="153"/>
        <v>-7.7559462254395031E-4</v>
      </c>
      <c r="Y70" s="59">
        <f t="shared" si="153"/>
        <v>-2.6434715000728897E-2</v>
      </c>
      <c r="Z70" s="59">
        <f t="shared" si="153"/>
        <v>2.015139116202946E-2</v>
      </c>
      <c r="AA70" s="59">
        <f t="shared" si="153"/>
        <v>1.1225073733327463E-2</v>
      </c>
      <c r="AB70" s="59">
        <f t="shared" si="153"/>
        <v>2.0012939400474446E-2</v>
      </c>
      <c r="AC70" s="59">
        <f t="shared" si="153"/>
        <v>1.6010726397980915E-2</v>
      </c>
      <c r="AD70" s="59">
        <f t="shared" si="153"/>
        <v>3.0996475130084484E-2</v>
      </c>
      <c r="AE70" s="59">
        <f t="shared" si="153"/>
        <v>3.6768744850315845E-2</v>
      </c>
      <c r="AF70" s="59">
        <f t="shared" si="153"/>
        <v>4.2264175766346536E-2</v>
      </c>
      <c r="AG70" s="59">
        <f t="shared" si="153"/>
        <v>1.7576572721159138E-2</v>
      </c>
      <c r="AH70" s="59">
        <f t="shared" si="153"/>
        <v>2.8691616561121146E-2</v>
      </c>
      <c r="AI70" s="59">
        <f t="shared" ref="AI70:BP70" si="154">AI53/AI44</f>
        <v>2.8140225121800973E-2</v>
      </c>
      <c r="AJ70" s="59">
        <f t="shared" si="154"/>
        <v>1.6545909629824794E-2</v>
      </c>
      <c r="AK70" s="59">
        <f t="shared" si="154"/>
        <v>7.932516459400147E-3</v>
      </c>
      <c r="AL70" s="59">
        <f t="shared" si="154"/>
        <v>3.5167816320116452E-2</v>
      </c>
      <c r="AM70" s="59">
        <f t="shared" si="154"/>
        <v>3.7753222836095765E-2</v>
      </c>
      <c r="AN70" s="59">
        <f t="shared" si="154"/>
        <v>5.6404341413606625E-2</v>
      </c>
      <c r="AO70" s="59">
        <f t="shared" si="154"/>
        <v>6.5822963800904979E-2</v>
      </c>
      <c r="AP70" s="59">
        <f t="shared" si="154"/>
        <v>5.2318914662282577E-2</v>
      </c>
      <c r="AQ70" s="59">
        <f t="shared" si="154"/>
        <v>7.4036850921273031E-2</v>
      </c>
      <c r="AR70" s="59">
        <f t="shared" si="154"/>
        <v>4.8640464324017411E-2</v>
      </c>
      <c r="AS70" s="59">
        <f t="shared" si="154"/>
        <v>4.5112244752147014E-2</v>
      </c>
      <c r="AT70" s="59">
        <f t="shared" si="154"/>
        <v>4.4374807003899952E-2</v>
      </c>
      <c r="AU70" s="59">
        <f t="shared" si="154"/>
        <v>5.2868048560674334E-2</v>
      </c>
      <c r="AV70" s="59">
        <f t="shared" si="154"/>
        <v>6.5716663667446468E-2</v>
      </c>
      <c r="AW70" s="59">
        <f t="shared" si="154"/>
        <v>6.4423526964480726E-2</v>
      </c>
      <c r="AX70" s="59">
        <f t="shared" si="154"/>
        <v>5.4740950181195493E-2</v>
      </c>
      <c r="AY70" s="59">
        <f t="shared" si="154"/>
        <v>8.1691516614755155E-2</v>
      </c>
      <c r="AZ70" s="59">
        <f t="shared" si="154"/>
        <v>6.8111071807569867E-2</v>
      </c>
      <c r="BA70" s="59">
        <f t="shared" si="154"/>
        <v>4.3785871566256365E-2</v>
      </c>
      <c r="BB70" s="59">
        <f t="shared" si="154"/>
        <v>2.5179751404535267E-2</v>
      </c>
      <c r="BC70" s="59">
        <f t="shared" si="154"/>
        <v>3.1508708048504003E-2</v>
      </c>
      <c r="BD70" s="59">
        <f t="shared" si="154"/>
        <v>2.7360311463780786E-2</v>
      </c>
      <c r="BE70" s="59">
        <f t="shared" si="154"/>
        <v>1.986609074672898E-2</v>
      </c>
      <c r="BF70" s="59">
        <f t="shared" si="154"/>
        <v>1.8344012224873328E-2</v>
      </c>
      <c r="BG70" s="59">
        <f t="shared" si="154"/>
        <v>3.7484885126964934E-2</v>
      </c>
      <c r="BH70" s="59">
        <f t="shared" si="154"/>
        <v>5.7157527365812637E-2</v>
      </c>
      <c r="BI70" s="59">
        <f t="shared" si="154"/>
        <v>7.8192377850618167E-2</v>
      </c>
      <c r="BJ70" s="59">
        <f t="shared" si="154"/>
        <v>7.771782938438819E-2</v>
      </c>
      <c r="BK70" s="59">
        <f t="shared" si="154"/>
        <v>0.10680817511321374</v>
      </c>
      <c r="BL70" s="59">
        <f t="shared" si="154"/>
        <v>9.9150543665569649E-2</v>
      </c>
      <c r="BM70" s="59">
        <f t="shared" si="154"/>
        <v>0.1095879202150091</v>
      </c>
      <c r="BN70" s="59">
        <f t="shared" si="154"/>
        <v>0.1129068330919315</v>
      </c>
      <c r="BO70" s="59">
        <f t="shared" si="154"/>
        <v>0.11823315153500742</v>
      </c>
      <c r="BP70" s="59">
        <f t="shared" si="154"/>
        <v>0.11431586981669867</v>
      </c>
      <c r="BQ70" s="59">
        <f t="shared" ref="BQ70" si="155">BQ53/BQ44</f>
        <v>9.6698100117112273E-2</v>
      </c>
      <c r="BZ70" s="59">
        <f t="shared" ref="BZ70:CO70" si="156">BZ53/BZ44</f>
        <v>4.6064710922518258E-2</v>
      </c>
      <c r="CA70" s="59">
        <f t="shared" si="156"/>
        <v>4.1106303356332592E-2</v>
      </c>
      <c r="CB70" s="59">
        <f t="shared" si="156"/>
        <v>1.79295713126859E-2</v>
      </c>
      <c r="CC70" s="59">
        <f t="shared" si="156"/>
        <v>1.1065097474342396E-2</v>
      </c>
      <c r="CD70" s="59">
        <f t="shared" si="156"/>
        <v>1.0006447106860796E-2</v>
      </c>
      <c r="CE70" s="59">
        <f t="shared" si="156"/>
        <v>2.000269699285297E-3</v>
      </c>
      <c r="CF70" s="59">
        <f t="shared" si="156"/>
        <v>2.0867988710913405E-2</v>
      </c>
      <c r="CG70" s="59">
        <f t="shared" si="156"/>
        <v>3.0782354195621642E-2</v>
      </c>
      <c r="CH70" s="59">
        <f t="shared" si="156"/>
        <v>2.3084794170892695E-2</v>
      </c>
      <c r="CI70" s="59">
        <f t="shared" si="156"/>
        <v>5.3334879147397665E-2</v>
      </c>
      <c r="CJ70" s="59">
        <f t="shared" si="156"/>
        <v>5.1835506662579051E-2</v>
      </c>
      <c r="CK70" s="59">
        <f t="shared" si="156"/>
        <v>5.9313999751336569E-2</v>
      </c>
      <c r="CL70" s="59">
        <f t="shared" si="156"/>
        <v>5.2954097509269465E-2</v>
      </c>
      <c r="CM70" s="59">
        <f t="shared" si="156"/>
        <v>2.3829581912242232E-2</v>
      </c>
      <c r="CN70" s="59">
        <f t="shared" si="156"/>
        <v>6.4114407996033296E-2</v>
      </c>
      <c r="CO70" s="59">
        <f t="shared" si="156"/>
        <v>0.1075194487420038</v>
      </c>
      <c r="CP70" s="73">
        <f>CP53/CP44</f>
        <v>0.10899999999999996</v>
      </c>
      <c r="CQ70" s="73">
        <f t="shared" ref="CQ70:CY70" si="157">CQ53/CQ44</f>
        <v>0.11099999999999992</v>
      </c>
      <c r="CR70" s="73">
        <f t="shared" si="157"/>
        <v>0.12299999999999998</v>
      </c>
      <c r="CS70" s="73">
        <f t="shared" si="157"/>
        <v>0.13399999999999995</v>
      </c>
      <c r="CT70" s="73">
        <f t="shared" si="157"/>
        <v>0.15000000000000011</v>
      </c>
      <c r="CU70" s="73">
        <f t="shared" si="157"/>
        <v>0.16700000000000009</v>
      </c>
      <c r="CV70" s="73">
        <f t="shared" si="157"/>
        <v>0.17700000000000005</v>
      </c>
      <c r="CW70" s="73">
        <f t="shared" si="157"/>
        <v>0.18350000000000005</v>
      </c>
      <c r="CX70" s="73">
        <f t="shared" si="157"/>
        <v>0.19050000000000003</v>
      </c>
      <c r="CY70" s="73">
        <f t="shared" si="157"/>
        <v>0.19499999999999998</v>
      </c>
    </row>
    <row r="71" spans="2:103">
      <c r="B71" s="37" t="s">
        <v>124</v>
      </c>
      <c r="C71" s="59"/>
      <c r="D71" s="59"/>
      <c r="E71" s="59"/>
      <c r="F71" s="59"/>
      <c r="G71" s="59"/>
      <c r="H71" s="59"/>
      <c r="I71" s="59"/>
      <c r="J71" s="59"/>
      <c r="K71" s="59"/>
      <c r="L71" s="59"/>
      <c r="M71" s="59"/>
      <c r="N71" s="59"/>
      <c r="O71" s="59"/>
      <c r="P71" s="59"/>
      <c r="Q71" s="59"/>
      <c r="R71" s="59"/>
      <c r="S71" s="59"/>
      <c r="T71" s="59"/>
      <c r="U71" s="59"/>
      <c r="V71" s="59"/>
      <c r="W71" s="59"/>
      <c r="X71" s="59"/>
      <c r="Y71" s="59"/>
      <c r="Z71" s="59"/>
      <c r="AA71" s="59"/>
      <c r="AB71" s="59"/>
      <c r="AC71" s="59"/>
      <c r="AD71" s="59"/>
      <c r="AE71" s="59"/>
      <c r="AF71" s="59"/>
      <c r="AG71" s="59"/>
      <c r="AH71" s="59"/>
      <c r="AI71" s="59"/>
      <c r="AJ71" s="59"/>
      <c r="AK71" s="59"/>
      <c r="AL71" s="59"/>
      <c r="AM71" s="59"/>
      <c r="AN71" s="59"/>
      <c r="AO71" s="59"/>
      <c r="AP71" s="59"/>
      <c r="AQ71" s="59"/>
      <c r="AR71" s="59"/>
      <c r="AS71" s="59"/>
      <c r="AT71" s="59"/>
      <c r="AU71" s="59">
        <f t="shared" ref="AU71:BO71" si="158">AU58/AU57</f>
        <v>0.21992314513745195</v>
      </c>
      <c r="AV71" s="59">
        <f t="shared" si="158"/>
        <v>0.1581739270213792</v>
      </c>
      <c r="AW71" s="59">
        <f t="shared" si="158"/>
        <v>8.3565868703186955E-2</v>
      </c>
      <c r="AX71" s="59">
        <f t="shared" si="158"/>
        <v>7.2891178364455897E-2</v>
      </c>
      <c r="AY71" s="59">
        <f t="shared" si="158"/>
        <v>0.20997273081417997</v>
      </c>
      <c r="AZ71" s="59">
        <f t="shared" si="158"/>
        <v>0.1005327773917072</v>
      </c>
      <c r="BA71" s="59">
        <f t="shared" si="158"/>
        <v>0.26767091541135574</v>
      </c>
      <c r="BB71" s="59">
        <f t="shared" si="158"/>
        <v>4.0980313378867012E-2</v>
      </c>
      <c r="BC71" s="59">
        <f t="shared" si="158"/>
        <v>0.27008547008547007</v>
      </c>
      <c r="BD71" s="59">
        <f t="shared" si="158"/>
        <v>0.24010554089709762</v>
      </c>
      <c r="BE71" s="59">
        <f t="shared" si="158"/>
        <v>2.34375E-2</v>
      </c>
      <c r="BF71" s="59">
        <f t="shared" si="158"/>
        <v>1.2754677754677755</v>
      </c>
      <c r="BG71" s="59">
        <f t="shared" si="158"/>
        <v>0.23015294974508377</v>
      </c>
      <c r="BH71" s="59">
        <f t="shared" si="158"/>
        <v>0.10630702102340341</v>
      </c>
      <c r="BI71" s="59">
        <f t="shared" si="158"/>
        <v>0.18918697185987365</v>
      </c>
      <c r="BJ71" s="59">
        <f t="shared" si="158"/>
        <v>0.22373228116323249</v>
      </c>
      <c r="BK71" s="59">
        <f t="shared" si="158"/>
        <v>0.1900177154740815</v>
      </c>
      <c r="BL71" s="59">
        <f t="shared" si="158"/>
        <v>0.11590685470646113</v>
      </c>
      <c r="BM71" s="59">
        <f t="shared" si="158"/>
        <v>0.15002494871652713</v>
      </c>
      <c r="BN71" s="59">
        <f t="shared" si="158"/>
        <v>0.10403150029084075</v>
      </c>
      <c r="BO71" s="59">
        <f t="shared" si="158"/>
        <v>0.21001891231145348</v>
      </c>
      <c r="BP71" s="59">
        <f>BP58/BP57</f>
        <v>0.1283981397132857</v>
      </c>
      <c r="BQ71" s="59">
        <f>BQ58/BQ57</f>
        <v>-0.2452964146254881</v>
      </c>
      <c r="BZ71" s="59"/>
      <c r="CA71" s="59"/>
      <c r="CB71" s="59"/>
      <c r="CC71" s="59"/>
      <c r="CD71" s="59"/>
      <c r="CE71" s="59"/>
      <c r="CF71" s="59"/>
      <c r="CG71" s="59"/>
      <c r="CH71" s="59"/>
      <c r="CI71" s="59"/>
      <c r="CJ71" s="59"/>
      <c r="CK71" s="59">
        <f t="shared" ref="CK71:CO71" si="159">CK58/CK57</f>
        <v>0.1184134337000579</v>
      </c>
      <c r="CL71" s="59">
        <f t="shared" si="159"/>
        <v>0.12557993237398757</v>
      </c>
      <c r="CM71" s="59">
        <f t="shared" si="159"/>
        <v>0.54194743935309975</v>
      </c>
      <c r="CN71" s="59">
        <f t="shared" si="159"/>
        <v>0.18957850733551668</v>
      </c>
      <c r="CO71" s="59">
        <f t="shared" si="159"/>
        <v>0.13503075174162707</v>
      </c>
      <c r="CP71" s="73">
        <v>0.17</v>
      </c>
      <c r="CQ71" s="73">
        <v>0.17</v>
      </c>
      <c r="CR71" s="73">
        <v>0.17</v>
      </c>
      <c r="CS71" s="73">
        <v>0.17</v>
      </c>
      <c r="CT71" s="73">
        <v>0.17</v>
      </c>
      <c r="CU71" s="73">
        <v>0.17</v>
      </c>
      <c r="CV71" s="73">
        <v>0.17</v>
      </c>
      <c r="CW71" s="73">
        <v>0.17</v>
      </c>
      <c r="CX71" s="73">
        <v>0.17</v>
      </c>
      <c r="CY71" s="73">
        <v>0.17</v>
      </c>
    </row>
    <row r="72" spans="2:103">
      <c r="B72" s="37" t="s">
        <v>125</v>
      </c>
      <c r="C72" s="59">
        <f t="shared" ref="C72:AH72" si="160">C60/C44</f>
        <v>3.6203722642667212E-2</v>
      </c>
      <c r="D72" s="59">
        <f t="shared" si="160"/>
        <v>3.053106858740056E-2</v>
      </c>
      <c r="E72" s="59">
        <f t="shared" si="160"/>
        <v>3.6520462470178011E-2</v>
      </c>
      <c r="F72" s="59">
        <f t="shared" si="160"/>
        <v>4.0336134453781515E-2</v>
      </c>
      <c r="G72" s="59">
        <f t="shared" si="160"/>
        <v>4.1929603141214418E-2</v>
      </c>
      <c r="H72" s="59">
        <f t="shared" si="160"/>
        <v>3.1526043253122145E-2</v>
      </c>
      <c r="I72" s="59">
        <f t="shared" si="160"/>
        <v>3.0555555555555555E-2</v>
      </c>
      <c r="J72" s="59">
        <f t="shared" si="160"/>
        <v>3.2053757627249553E-2</v>
      </c>
      <c r="K72" s="59">
        <f t="shared" si="160"/>
        <v>2.0391599878259104E-2</v>
      </c>
      <c r="L72" s="59">
        <f t="shared" si="160"/>
        <v>1.9267628366791082E-2</v>
      </c>
      <c r="M72" s="59">
        <f t="shared" si="160"/>
        <v>5.7925707980875322E-3</v>
      </c>
      <c r="N72" s="59">
        <f t="shared" si="160"/>
        <v>1.0096953703172509E-2</v>
      </c>
      <c r="O72" s="59">
        <f t="shared" si="160"/>
        <v>9.8596890405764134E-3</v>
      </c>
      <c r="P72" s="59">
        <f t="shared" si="160"/>
        <v>5.4542621162537012E-4</v>
      </c>
      <c r="Q72" s="59">
        <f t="shared" si="160"/>
        <v>-1.9846443575257135E-2</v>
      </c>
      <c r="R72" s="59">
        <f t="shared" si="160"/>
        <v>4.6078615760767353E-3</v>
      </c>
      <c r="S72" s="59">
        <f t="shared" si="160"/>
        <v>5.1026757934038583E-3</v>
      </c>
      <c r="T72" s="59">
        <f t="shared" si="160"/>
        <v>-4.4574630667345899E-4</v>
      </c>
      <c r="U72" s="59">
        <f t="shared" si="160"/>
        <v>-2.3987830564006552E-3</v>
      </c>
      <c r="V72" s="59">
        <f t="shared" si="160"/>
        <v>9.380129758461659E-3</v>
      </c>
      <c r="W72" s="59">
        <f t="shared" si="160"/>
        <v>5.4708474747986423E-3</v>
      </c>
      <c r="X72" s="59">
        <f t="shared" si="160"/>
        <v>-6.5149948293691832E-3</v>
      </c>
      <c r="Y72" s="59">
        <f t="shared" si="160"/>
        <v>-2.1235239807570826E-2</v>
      </c>
      <c r="Z72" s="59">
        <f t="shared" si="160"/>
        <v>7.2967812329514459E-3</v>
      </c>
      <c r="AA72" s="59">
        <f t="shared" si="160"/>
        <v>-2.5091341286261389E-3</v>
      </c>
      <c r="AB72" s="59">
        <f t="shared" si="160"/>
        <v>3.9680828121630369E-3</v>
      </c>
      <c r="AC72" s="59">
        <f t="shared" si="160"/>
        <v>3.1153876488682073E-3</v>
      </c>
      <c r="AD72" s="59">
        <f t="shared" si="160"/>
        <v>1.3484026184747944E-2</v>
      </c>
      <c r="AE72" s="59">
        <f t="shared" si="160"/>
        <v>1.7611919802252129E-2</v>
      </c>
      <c r="AF72" s="59">
        <f t="shared" si="160"/>
        <v>2.8187080647283251E-2</v>
      </c>
      <c r="AG72" s="59">
        <f t="shared" si="160"/>
        <v>7.7031240447514825E-3</v>
      </c>
      <c r="AH72" s="59">
        <f t="shared" si="160"/>
        <v>1.7123522553210948E-2</v>
      </c>
      <c r="AI72" s="59">
        <f t="shared" ref="AI72:BP72" si="161">AI60/AI44</f>
        <v>2.027216217729742E-2</v>
      </c>
      <c r="AJ72" s="59">
        <f t="shared" si="161"/>
        <v>5.1903570017125542E-3</v>
      </c>
      <c r="AK72" s="59">
        <f t="shared" si="161"/>
        <v>5.8522311631309439E-3</v>
      </c>
      <c r="AL72" s="59">
        <f t="shared" si="161"/>
        <v>3.0701536731014178E-2</v>
      </c>
      <c r="AM72" s="59">
        <f t="shared" si="161"/>
        <v>3.1914893617021274E-2</v>
      </c>
      <c r="AN72" s="59">
        <f t="shared" si="161"/>
        <v>4.791438187800174E-2</v>
      </c>
      <c r="AO72" s="59">
        <f t="shared" si="161"/>
        <v>5.0958003393665158E-2</v>
      </c>
      <c r="AP72" s="59">
        <f t="shared" si="161"/>
        <v>4.1819211693353411E-2</v>
      </c>
      <c r="AQ72" s="59">
        <f t="shared" si="161"/>
        <v>5.9648241206030149E-2</v>
      </c>
      <c r="AR72" s="59">
        <f t="shared" si="161"/>
        <v>4.1401173427544007E-2</v>
      </c>
      <c r="AS72" s="59">
        <f t="shared" si="161"/>
        <v>3.0493991226189964E-2</v>
      </c>
      <c r="AT72" s="59">
        <f t="shared" si="161"/>
        <v>3.7375481775449755E-2</v>
      </c>
      <c r="AU72" s="59">
        <f t="shared" si="161"/>
        <v>3.3597518952446587E-2</v>
      </c>
      <c r="AV72" s="59">
        <f t="shared" si="161"/>
        <v>5.896841821126507E-2</v>
      </c>
      <c r="AW72" s="59">
        <f t="shared" si="161"/>
        <v>6.3955483904519217E-2</v>
      </c>
      <c r="AX72" s="59">
        <f t="shared" si="161"/>
        <v>5.8970172434391302E-2</v>
      </c>
      <c r="AY72" s="59">
        <f t="shared" si="161"/>
        <v>7.470650030409702E-2</v>
      </c>
      <c r="AZ72" s="59">
        <f t="shared" si="161"/>
        <v>6.8783162362928904E-2</v>
      </c>
      <c r="BA72" s="59">
        <f t="shared" si="161"/>
        <v>2.8480669963541854E-2</v>
      </c>
      <c r="BB72" s="59">
        <f t="shared" si="161"/>
        <v>0.1042339824760574</v>
      </c>
      <c r="BC72" s="59">
        <f t="shared" si="161"/>
        <v>-3.3011576380062517E-2</v>
      </c>
      <c r="BD72" s="59">
        <f t="shared" si="161"/>
        <v>-1.6727980599501788E-2</v>
      </c>
      <c r="BE72" s="59">
        <f t="shared" si="161"/>
        <v>2.2596203019645794E-2</v>
      </c>
      <c r="BF72" s="59">
        <f t="shared" si="161"/>
        <v>1.8632208251789495E-3</v>
      </c>
      <c r="BG72" s="59">
        <f t="shared" si="161"/>
        <v>2.4906170008951147E-2</v>
      </c>
      <c r="BH72" s="59">
        <f t="shared" si="161"/>
        <v>5.0229567728060844E-2</v>
      </c>
      <c r="BI72" s="59">
        <f t="shared" si="161"/>
        <v>6.9043841686293975E-2</v>
      </c>
      <c r="BJ72" s="59">
        <f t="shared" si="161"/>
        <v>6.2508457822676972E-2</v>
      </c>
      <c r="BK72" s="59">
        <f t="shared" si="161"/>
        <v>7.2784743882271671E-2</v>
      </c>
      <c r="BL72" s="59">
        <f t="shared" si="161"/>
        <v>9.1129026808220201E-2</v>
      </c>
      <c r="BM72" s="59">
        <f t="shared" si="161"/>
        <v>9.6477148989469838E-2</v>
      </c>
      <c r="BN72" s="59">
        <f t="shared" si="161"/>
        <v>0.10652210956803272</v>
      </c>
      <c r="BO72" s="59">
        <f t="shared" si="161"/>
        <v>0.1100233190078822</v>
      </c>
      <c r="BP72" s="59">
        <f t="shared" si="161"/>
        <v>0.10831117100571251</v>
      </c>
      <c r="BQ72" s="59">
        <f t="shared" ref="BQ72" si="162">BQ60/BQ44</f>
        <v>0.19511125665347534</v>
      </c>
      <c r="BZ72" s="59">
        <f t="shared" ref="BZ72:CO72" si="163">BZ60/BZ44</f>
        <v>3.6802807132073935E-2</v>
      </c>
      <c r="CA72" s="59">
        <f t="shared" si="163"/>
        <v>3.3680271313296692E-2</v>
      </c>
      <c r="CB72" s="59">
        <f t="shared" si="163"/>
        <v>1.3124779000353599E-2</v>
      </c>
      <c r="CC72" s="59">
        <f t="shared" si="163"/>
        <v>-6.3837100813513828E-4</v>
      </c>
      <c r="CD72" s="59">
        <f t="shared" si="163"/>
        <v>3.6802234997045076E-3</v>
      </c>
      <c r="CE72" s="59">
        <f t="shared" si="163"/>
        <v>-2.7082303231896437E-3</v>
      </c>
      <c r="CF72" s="59">
        <f t="shared" si="163"/>
        <v>5.5697811337681999E-3</v>
      </c>
      <c r="CG72" s="59">
        <f t="shared" si="163"/>
        <v>1.7435490157147373E-2</v>
      </c>
      <c r="CH72" s="59">
        <f t="shared" si="163"/>
        <v>1.7052162864178651E-2</v>
      </c>
      <c r="CI72" s="59">
        <f t="shared" si="163"/>
        <v>4.3252736305590261E-2</v>
      </c>
      <c r="CJ72" s="59">
        <f t="shared" si="163"/>
        <v>4.1308703060722513E-2</v>
      </c>
      <c r="CK72" s="59">
        <f t="shared" si="163"/>
        <v>5.5252496995316841E-2</v>
      </c>
      <c r="CL72" s="59">
        <f t="shared" si="163"/>
        <v>7.1014128755145567E-2</v>
      </c>
      <c r="CM72" s="59">
        <f t="shared" si="163"/>
        <v>-5.2958950004183018E-3</v>
      </c>
      <c r="CN72" s="59">
        <f t="shared" si="163"/>
        <v>5.2932835755978319E-2</v>
      </c>
      <c r="CO72" s="59">
        <f t="shared" si="163"/>
        <v>9.2871171971866534E-2</v>
      </c>
      <c r="CP72" s="73">
        <f>CP60/CP44</f>
        <v>0.10762443472134806</v>
      </c>
      <c r="CQ72" s="73">
        <f t="shared" ref="CQ72:CY72" si="164">CQ60/CQ44</f>
        <v>0.12226245212027621</v>
      </c>
      <c r="CR72" s="73">
        <f t="shared" si="164"/>
        <v>0.14627415519083356</v>
      </c>
      <c r="CS72" s="73">
        <f t="shared" si="164"/>
        <v>0.17254494397361306</v>
      </c>
      <c r="CT72" s="73">
        <f t="shared" si="164"/>
        <v>0.20618750525142443</v>
      </c>
      <c r="CU72" s="73">
        <f t="shared" si="164"/>
        <v>0.24515991207104898</v>
      </c>
      <c r="CV72" s="73">
        <f t="shared" si="164"/>
        <v>0.28334990225219542</v>
      </c>
      <c r="CW72" s="73">
        <f t="shared" si="164"/>
        <v>0.32372017025274119</v>
      </c>
      <c r="CX72" s="73">
        <f t="shared" si="164"/>
        <v>0.36972428428772713</v>
      </c>
      <c r="CY72" s="73">
        <f t="shared" si="164"/>
        <v>0.42016125597244502</v>
      </c>
    </row>
    <row r="74" spans="2:103">
      <c r="B74" s="1" t="s">
        <v>126</v>
      </c>
      <c r="AX74" s="1">
        <v>42122</v>
      </c>
      <c r="AY74" s="1">
        <v>33834</v>
      </c>
      <c r="AZ74" s="1">
        <v>40380</v>
      </c>
      <c r="BA74" s="1">
        <v>29944</v>
      </c>
      <c r="BB74" s="1">
        <v>36220</v>
      </c>
      <c r="BC74" s="1">
        <v>36393</v>
      </c>
      <c r="BD74" s="1">
        <v>37478</v>
      </c>
      <c r="BE74" s="1">
        <v>34947</v>
      </c>
      <c r="BF74" s="1">
        <v>53888</v>
      </c>
      <c r="BG74" s="1">
        <v>49343</v>
      </c>
      <c r="BH74" s="1">
        <v>49529</v>
      </c>
      <c r="BI74" s="1">
        <v>49605</v>
      </c>
      <c r="BJ74" s="1">
        <v>73387</v>
      </c>
      <c r="BK74" s="1">
        <v>72852</v>
      </c>
      <c r="BL74" s="1">
        <v>71178</v>
      </c>
      <c r="BM74" s="1">
        <v>75091</v>
      </c>
      <c r="BN74" s="1">
        <v>78779</v>
      </c>
      <c r="BO74" s="1">
        <v>66207</v>
      </c>
      <c r="BP74" s="1">
        <v>57741</v>
      </c>
      <c r="BQ74" s="1">
        <v>66922</v>
      </c>
      <c r="CK74" s="1">
        <f t="shared" ref="CK74:CK82" si="165">AX74</f>
        <v>42122</v>
      </c>
      <c r="CL74" s="1">
        <f t="shared" ref="CL74:CL82" si="166">BB74</f>
        <v>36220</v>
      </c>
      <c r="CM74" s="1">
        <f t="shared" ref="CM74:CM82" si="167">BF74</f>
        <v>53888</v>
      </c>
      <c r="CN74" s="1">
        <f t="shared" ref="CN74:CN82" si="168">BJ74</f>
        <v>73387</v>
      </c>
      <c r="CO74" s="1">
        <f t="shared" ref="CO74:CO82" si="169">BN74</f>
        <v>78779</v>
      </c>
      <c r="CP74" s="72">
        <f>CO74+CP60</f>
        <v>155696.34763773999</v>
      </c>
      <c r="CQ74" s="72">
        <f t="shared" ref="CQ74:CY74" si="170">CP74+CQ60</f>
        <v>254010.58530586341</v>
      </c>
      <c r="CR74" s="72">
        <f t="shared" si="170"/>
        <v>384878.21081625053</v>
      </c>
      <c r="CS74" s="72">
        <f t="shared" si="170"/>
        <v>553404.54233114002</v>
      </c>
      <c r="CT74" s="72">
        <f t="shared" si="170"/>
        <v>770789.15262962366</v>
      </c>
      <c r="CU74" s="72">
        <f t="shared" si="170"/>
        <v>1046790.5747890566</v>
      </c>
      <c r="CV74" s="72">
        <f t="shared" si="170"/>
        <v>1385105.2491213242</v>
      </c>
      <c r="CW74" s="72">
        <f t="shared" si="170"/>
        <v>1792187.9481547517</v>
      </c>
      <c r="CX74" s="72">
        <f t="shared" si="170"/>
        <v>2279498.9041669969</v>
      </c>
      <c r="CY74" s="72">
        <f t="shared" si="170"/>
        <v>2856519.6446596496</v>
      </c>
    </row>
    <row r="75" spans="2:103">
      <c r="B75" s="1" t="s">
        <v>127</v>
      </c>
      <c r="AX75" s="1">
        <v>42274</v>
      </c>
      <c r="AY75" s="1">
        <v>39436</v>
      </c>
      <c r="AZ75" s="1">
        <v>49514</v>
      </c>
      <c r="BA75" s="1">
        <v>49044</v>
      </c>
      <c r="BB75" s="1">
        <v>59829</v>
      </c>
      <c r="BC75" s="1">
        <v>29992</v>
      </c>
      <c r="BD75" s="1">
        <v>23232</v>
      </c>
      <c r="BE75" s="1">
        <v>23715</v>
      </c>
      <c r="BF75" s="1">
        <v>16138</v>
      </c>
      <c r="BG75" s="1">
        <v>15062</v>
      </c>
      <c r="BH75" s="1">
        <v>14441</v>
      </c>
      <c r="BI75" s="1">
        <v>14564</v>
      </c>
      <c r="BJ75" s="1">
        <v>13393</v>
      </c>
      <c r="BK75" s="1">
        <v>12222</v>
      </c>
      <c r="BL75" s="1">
        <v>17914</v>
      </c>
      <c r="BM75" s="1">
        <v>12960</v>
      </c>
      <c r="BN75" s="1">
        <v>22423</v>
      </c>
      <c r="BO75" s="1">
        <v>28358</v>
      </c>
      <c r="BP75" s="1">
        <v>35439</v>
      </c>
      <c r="BQ75" s="1">
        <v>27275</v>
      </c>
      <c r="CK75" s="1">
        <f t="shared" si="165"/>
        <v>42274</v>
      </c>
      <c r="CL75" s="1">
        <f t="shared" si="166"/>
        <v>59829</v>
      </c>
      <c r="CM75" s="1">
        <f t="shared" si="167"/>
        <v>16138</v>
      </c>
      <c r="CN75" s="1">
        <f t="shared" si="168"/>
        <v>13393</v>
      </c>
      <c r="CO75" s="1">
        <f t="shared" si="169"/>
        <v>22423</v>
      </c>
    </row>
    <row r="76" spans="2:103">
      <c r="B76" s="1" t="s">
        <v>1908</v>
      </c>
      <c r="AX76" s="1">
        <v>23795</v>
      </c>
      <c r="AY76" s="1">
        <v>23849</v>
      </c>
      <c r="AZ76" s="1">
        <v>24119</v>
      </c>
      <c r="BA76" s="1">
        <v>30933</v>
      </c>
      <c r="BB76" s="1">
        <v>32640</v>
      </c>
      <c r="BC76" s="1">
        <v>34987</v>
      </c>
      <c r="BD76" s="1">
        <v>38153</v>
      </c>
      <c r="BE76" s="1">
        <v>36647</v>
      </c>
      <c r="BF76" s="1">
        <v>34405</v>
      </c>
      <c r="BG76" s="1">
        <v>34170</v>
      </c>
      <c r="BH76" s="1">
        <v>36587</v>
      </c>
      <c r="BI76" s="1">
        <v>35406</v>
      </c>
      <c r="BJ76" s="1">
        <v>33318</v>
      </c>
      <c r="BK76" s="1">
        <v>31147</v>
      </c>
      <c r="BL76" s="1">
        <v>34109</v>
      </c>
      <c r="BM76" s="1">
        <v>36103</v>
      </c>
      <c r="BN76" s="1">
        <v>34214</v>
      </c>
      <c r="BO76" s="1">
        <v>35864</v>
      </c>
      <c r="BP76" s="1">
        <v>40825</v>
      </c>
      <c r="BQ76" s="1">
        <v>41494</v>
      </c>
      <c r="CK76" s="1">
        <f t="shared" si="165"/>
        <v>23795</v>
      </c>
      <c r="CL76" s="1">
        <f t="shared" si="166"/>
        <v>32640</v>
      </c>
      <c r="CM76" s="1">
        <f t="shared" si="167"/>
        <v>34405</v>
      </c>
      <c r="CN76" s="1">
        <f t="shared" si="168"/>
        <v>33318</v>
      </c>
      <c r="CO76" s="1">
        <f t="shared" si="169"/>
        <v>34214</v>
      </c>
      <c r="CQ76" s="67" t="s">
        <v>1942</v>
      </c>
      <c r="CT76" s="67" t="s">
        <v>1925</v>
      </c>
      <c r="CV76" s="68" t="s">
        <v>1926</v>
      </c>
      <c r="CX76" s="69" t="s">
        <v>1927</v>
      </c>
      <c r="CY76" s="70">
        <v>0.1875</v>
      </c>
    </row>
    <row r="77" spans="2:103" ht="14.25" customHeight="1">
      <c r="B77" s="1" t="s">
        <v>1909</v>
      </c>
      <c r="AX77" s="1">
        <v>24542</v>
      </c>
      <c r="AY77" s="1">
        <v>24289</v>
      </c>
      <c r="AZ77" s="1">
        <v>26835</v>
      </c>
      <c r="BA77" s="1">
        <v>28610</v>
      </c>
      <c r="BB77" s="1">
        <v>32891</v>
      </c>
      <c r="BC77" s="1">
        <v>32504</v>
      </c>
      <c r="BD77" s="1">
        <v>34804</v>
      </c>
      <c r="BE77" s="1">
        <v>36154</v>
      </c>
      <c r="BF77" s="1">
        <v>42360</v>
      </c>
      <c r="BG77" s="1">
        <v>37646</v>
      </c>
      <c r="BH77" s="1">
        <v>39925</v>
      </c>
      <c r="BI77" s="1">
        <v>43420</v>
      </c>
      <c r="BJ77" s="1">
        <v>52253</v>
      </c>
      <c r="BK77" s="1">
        <v>47768</v>
      </c>
      <c r="BL77" s="1">
        <v>50106</v>
      </c>
      <c r="BM77" s="1">
        <v>51638</v>
      </c>
      <c r="BN77" s="1">
        <v>55451</v>
      </c>
      <c r="BO77" s="1">
        <v>54216</v>
      </c>
      <c r="BP77" s="1">
        <v>57415</v>
      </c>
      <c r="BQ77" s="1">
        <v>61175</v>
      </c>
      <c r="CK77" s="1">
        <f t="shared" si="165"/>
        <v>24542</v>
      </c>
      <c r="CL77" s="1">
        <f t="shared" si="166"/>
        <v>32891</v>
      </c>
      <c r="CM77" s="1">
        <f t="shared" si="167"/>
        <v>42360</v>
      </c>
      <c r="CN77" s="1">
        <f t="shared" si="168"/>
        <v>52253</v>
      </c>
      <c r="CO77" s="1">
        <f t="shared" si="169"/>
        <v>55451</v>
      </c>
      <c r="CQ77" s="65">
        <v>2024</v>
      </c>
      <c r="CS77" s="65">
        <v>2023</v>
      </c>
      <c r="CT77" s="65">
        <v>2024</v>
      </c>
      <c r="CV77" s="68" t="s">
        <v>1928</v>
      </c>
      <c r="CX77" s="69" t="s">
        <v>1929</v>
      </c>
      <c r="CY77" s="71">
        <v>1.7500000000000002E-2</v>
      </c>
    </row>
    <row r="78" spans="2:103" ht="14.25" customHeight="1">
      <c r="B78" s="1" t="s">
        <v>1910</v>
      </c>
      <c r="AX78" s="1">
        <v>113114</v>
      </c>
      <c r="AY78" s="1">
        <v>121461</v>
      </c>
      <c r="AZ78" s="1">
        <v>133502</v>
      </c>
      <c r="BA78" s="1">
        <v>147152</v>
      </c>
      <c r="BB78" s="1">
        <v>160281</v>
      </c>
      <c r="BC78" s="1">
        <v>168468</v>
      </c>
      <c r="BD78" s="1">
        <v>173706</v>
      </c>
      <c r="BE78" s="1">
        <v>177195</v>
      </c>
      <c r="BF78" s="1">
        <v>186715</v>
      </c>
      <c r="BG78" s="1">
        <v>190754</v>
      </c>
      <c r="BH78" s="1">
        <v>193784</v>
      </c>
      <c r="BI78" s="1">
        <v>196468</v>
      </c>
      <c r="BJ78" s="1">
        <v>204177</v>
      </c>
      <c r="BK78" s="1">
        <v>209950</v>
      </c>
      <c r="BL78" s="1">
        <v>220717</v>
      </c>
      <c r="BM78" s="1">
        <v>237917</v>
      </c>
      <c r="BN78" s="1">
        <v>252665</v>
      </c>
      <c r="BO78" s="1">
        <v>272781</v>
      </c>
      <c r="BP78" s="1">
        <v>297616</v>
      </c>
      <c r="BQ78" s="1">
        <v>325435</v>
      </c>
      <c r="BR78" s="63"/>
      <c r="CK78" s="1">
        <f t="shared" si="165"/>
        <v>113114</v>
      </c>
      <c r="CL78" s="1">
        <f t="shared" si="166"/>
        <v>160281</v>
      </c>
      <c r="CM78" s="1">
        <f t="shared" si="167"/>
        <v>186715</v>
      </c>
      <c r="CN78" s="1">
        <f t="shared" si="168"/>
        <v>204177</v>
      </c>
      <c r="CO78" s="1">
        <f t="shared" si="169"/>
        <v>252665</v>
      </c>
      <c r="CQ78" s="72">
        <f>CP53*(1-CP71)</f>
        <v>64657.365762739981</v>
      </c>
      <c r="CS78" s="65">
        <f>SUM(CN74:CN77)-SUM(CN84)+CN78+CN80</f>
        <v>314336</v>
      </c>
      <c r="CT78" s="65">
        <f>SUM(CO74:CO77)-SUM(CO84)+CO78+CO80</f>
        <v>372243</v>
      </c>
      <c r="CV78" s="65">
        <f>AVERAGE(CS78:CT78)</f>
        <v>343289.5</v>
      </c>
      <c r="CX78" s="69" t="s">
        <v>1930</v>
      </c>
      <c r="CY78" s="71">
        <v>3.9899999999999998E-2</v>
      </c>
    </row>
    <row r="79" spans="2:103" ht="14.25" customHeight="1">
      <c r="B79" s="1" t="s">
        <v>1911</v>
      </c>
      <c r="AX79" s="1">
        <v>37553</v>
      </c>
      <c r="AY79" s="1">
        <v>39328</v>
      </c>
      <c r="AZ79" s="1">
        <v>43346</v>
      </c>
      <c r="BA79" s="1">
        <v>52151</v>
      </c>
      <c r="BB79" s="1">
        <v>56082</v>
      </c>
      <c r="BC79" s="1">
        <v>56161</v>
      </c>
      <c r="BD79" s="1">
        <v>58430</v>
      </c>
      <c r="BE79" s="1">
        <v>62033</v>
      </c>
      <c r="BF79" s="1">
        <v>66123</v>
      </c>
      <c r="BG79" s="1">
        <v>68262</v>
      </c>
      <c r="BH79" s="1">
        <v>70332</v>
      </c>
      <c r="BI79" s="1">
        <v>70758</v>
      </c>
      <c r="BJ79" s="1">
        <v>72513</v>
      </c>
      <c r="BK79" s="1">
        <v>73313</v>
      </c>
      <c r="BL79" s="1">
        <v>74575</v>
      </c>
      <c r="BM79" s="1">
        <v>76527</v>
      </c>
      <c r="BN79" s="1">
        <v>76141</v>
      </c>
      <c r="BO79" s="1">
        <v>78495</v>
      </c>
      <c r="BP79" s="1">
        <v>82125</v>
      </c>
      <c r="BQ79" s="1">
        <v>83456</v>
      </c>
      <c r="BR79" s="64"/>
      <c r="CK79" s="1">
        <f t="shared" si="165"/>
        <v>37553</v>
      </c>
      <c r="CL79" s="1">
        <f t="shared" si="166"/>
        <v>56082</v>
      </c>
      <c r="CM79" s="1">
        <f t="shared" si="167"/>
        <v>66123</v>
      </c>
      <c r="CN79" s="1">
        <f t="shared" si="168"/>
        <v>72513</v>
      </c>
      <c r="CO79" s="1">
        <f t="shared" si="169"/>
        <v>76141</v>
      </c>
      <c r="CQ79" s="73">
        <f>CQ78/CV78</f>
        <v>0.18834647072730154</v>
      </c>
      <c r="CX79" s="69" t="s">
        <v>1931</v>
      </c>
      <c r="CY79" s="71">
        <f>10.25%-CY78</f>
        <v>6.2599999999999989E-2</v>
      </c>
    </row>
    <row r="80" spans="2:103" ht="14.25" customHeight="1">
      <c r="B80" s="1" t="s">
        <v>1912</v>
      </c>
      <c r="AX80" s="1">
        <v>15017</v>
      </c>
      <c r="AY80" s="1">
        <v>15220</v>
      </c>
      <c r="AZ80" s="1">
        <v>15350</v>
      </c>
      <c r="BA80" s="1">
        <v>15345</v>
      </c>
      <c r="BB80" s="1">
        <v>15371</v>
      </c>
      <c r="BC80" s="1">
        <v>20229</v>
      </c>
      <c r="BD80" s="1">
        <v>20195</v>
      </c>
      <c r="BE80" s="1">
        <v>20168</v>
      </c>
      <c r="BF80" s="1">
        <v>20288</v>
      </c>
      <c r="BG80" s="1">
        <v>22749</v>
      </c>
      <c r="BH80" s="1">
        <v>22785</v>
      </c>
      <c r="BI80" s="1">
        <v>22749</v>
      </c>
      <c r="BJ80" s="1">
        <v>22789</v>
      </c>
      <c r="BK80" s="1">
        <v>22770</v>
      </c>
      <c r="BL80" s="1">
        <v>22879</v>
      </c>
      <c r="BM80" s="1">
        <v>23081</v>
      </c>
      <c r="BN80" s="1">
        <v>23074</v>
      </c>
      <c r="BO80" s="1">
        <v>23089</v>
      </c>
      <c r="BP80" s="1">
        <v>23155</v>
      </c>
      <c r="BQ80" s="1">
        <v>23260</v>
      </c>
      <c r="CK80" s="1">
        <f t="shared" si="165"/>
        <v>15017</v>
      </c>
      <c r="CL80" s="1">
        <f t="shared" si="166"/>
        <v>15371</v>
      </c>
      <c r="CM80" s="1">
        <f t="shared" si="167"/>
        <v>20288</v>
      </c>
      <c r="CN80" s="1">
        <f t="shared" si="168"/>
        <v>22789</v>
      </c>
      <c r="CO80" s="1">
        <f t="shared" si="169"/>
        <v>23074</v>
      </c>
      <c r="CX80" s="69" t="s">
        <v>1932</v>
      </c>
      <c r="CY80" s="65">
        <v>1.31</v>
      </c>
    </row>
    <row r="81" spans="2:156" ht="14.25" customHeight="1">
      <c r="B81" s="1" t="s">
        <v>1913</v>
      </c>
      <c r="AX81" s="1">
        <v>22778</v>
      </c>
      <c r="AY81" s="1">
        <v>25660</v>
      </c>
      <c r="AZ81" s="1">
        <v>27273</v>
      </c>
      <c r="BA81" s="1">
        <v>29227</v>
      </c>
      <c r="BB81" s="1">
        <v>27235</v>
      </c>
      <c r="BC81" s="1">
        <v>32033</v>
      </c>
      <c r="BD81" s="1">
        <v>33730</v>
      </c>
      <c r="BE81" s="1">
        <v>37503</v>
      </c>
      <c r="BF81" s="1">
        <v>42758</v>
      </c>
      <c r="BG81" s="1">
        <v>46392</v>
      </c>
      <c r="BH81" s="1">
        <v>50224</v>
      </c>
      <c r="BI81" s="1">
        <v>53913</v>
      </c>
      <c r="BJ81" s="1">
        <v>56024</v>
      </c>
      <c r="BK81" s="1">
        <v>60947</v>
      </c>
      <c r="BL81" s="1">
        <v>63340</v>
      </c>
      <c r="BM81" s="1">
        <v>71309</v>
      </c>
      <c r="BN81" s="1">
        <v>82147</v>
      </c>
      <c r="BO81" s="1">
        <v>84246</v>
      </c>
      <c r="BP81" s="1">
        <v>87854</v>
      </c>
      <c r="BQ81" s="1">
        <v>99904</v>
      </c>
      <c r="CK81" s="1">
        <f t="shared" si="165"/>
        <v>22778</v>
      </c>
      <c r="CL81" s="1">
        <f t="shared" si="166"/>
        <v>27235</v>
      </c>
      <c r="CM81" s="1">
        <f t="shared" si="167"/>
        <v>42758</v>
      </c>
      <c r="CN81" s="1">
        <f t="shared" si="168"/>
        <v>56024</v>
      </c>
      <c r="CO81" s="1">
        <f t="shared" si="169"/>
        <v>82147</v>
      </c>
      <c r="CX81" s="69" t="s">
        <v>1933</v>
      </c>
      <c r="CY81" s="71">
        <f>+CY78+(CY79*CY80)</f>
        <v>0.12190599999999999</v>
      </c>
    </row>
    <row r="82" spans="2:156" s="2" customFormat="1" ht="14.25" customHeight="1">
      <c r="B82" s="2" t="s">
        <v>1920</v>
      </c>
      <c r="AX82" s="2">
        <f t="shared" ref="AX82:BP82" si="171">SUM(AX74:AX81)</f>
        <v>321195</v>
      </c>
      <c r="AY82" s="2">
        <f>SUM(AY74:AY81)</f>
        <v>323077</v>
      </c>
      <c r="AZ82" s="2">
        <f t="shared" si="171"/>
        <v>360319</v>
      </c>
      <c r="BA82" s="2">
        <f t="shared" si="171"/>
        <v>382406</v>
      </c>
      <c r="BB82" s="2">
        <f t="shared" si="171"/>
        <v>420549</v>
      </c>
      <c r="BC82" s="2">
        <f t="shared" si="171"/>
        <v>410767</v>
      </c>
      <c r="BD82" s="2">
        <f t="shared" si="171"/>
        <v>419728</v>
      </c>
      <c r="BE82" s="2">
        <f t="shared" si="171"/>
        <v>428362</v>
      </c>
      <c r="BF82" s="2">
        <f t="shared" si="171"/>
        <v>462675</v>
      </c>
      <c r="BG82" s="2">
        <f t="shared" si="171"/>
        <v>464378</v>
      </c>
      <c r="BH82" s="2">
        <f t="shared" si="171"/>
        <v>477607</v>
      </c>
      <c r="BI82" s="2">
        <f t="shared" si="171"/>
        <v>486883</v>
      </c>
      <c r="BJ82" s="2">
        <f t="shared" si="171"/>
        <v>527854</v>
      </c>
      <c r="BK82" s="2">
        <f t="shared" si="171"/>
        <v>530969</v>
      </c>
      <c r="BL82" s="2">
        <f t="shared" si="171"/>
        <v>554818</v>
      </c>
      <c r="BM82" s="2">
        <f t="shared" si="171"/>
        <v>584626</v>
      </c>
      <c r="BN82" s="2">
        <f>SUM(BN74:BN81)</f>
        <v>624894</v>
      </c>
      <c r="BO82" s="2">
        <f t="shared" si="171"/>
        <v>643256</v>
      </c>
      <c r="BP82" s="2">
        <f t="shared" si="171"/>
        <v>682170</v>
      </c>
      <c r="BQ82" s="2">
        <f t="shared" ref="BQ82" si="172">SUM(BQ74:BQ81)</f>
        <v>728921</v>
      </c>
      <c r="BR82" s="34"/>
      <c r="BS82" s="34"/>
      <c r="BT82" s="34"/>
      <c r="BU82" s="34"/>
      <c r="CK82" s="2">
        <f t="shared" si="165"/>
        <v>321195</v>
      </c>
      <c r="CL82" s="2">
        <f t="shared" si="166"/>
        <v>420549</v>
      </c>
      <c r="CM82" s="2">
        <f t="shared" si="167"/>
        <v>462675</v>
      </c>
      <c r="CN82" s="2">
        <f t="shared" si="168"/>
        <v>527854</v>
      </c>
      <c r="CO82" s="2">
        <f t="shared" si="169"/>
        <v>624894</v>
      </c>
      <c r="CP82" s="66"/>
      <c r="CQ82" s="65"/>
      <c r="CR82" s="65"/>
      <c r="CS82" s="65"/>
      <c r="CT82" s="65"/>
      <c r="CU82" s="65"/>
      <c r="CV82" s="65"/>
      <c r="CW82" s="65"/>
      <c r="CX82" s="69"/>
      <c r="CY82" s="65"/>
      <c r="CZ82" s="65"/>
      <c r="DA82" s="66"/>
      <c r="DB82" s="66"/>
      <c r="DC82" s="66"/>
      <c r="DD82" s="66"/>
      <c r="DE82" s="66"/>
      <c r="DF82" s="66"/>
      <c r="DG82" s="66"/>
      <c r="DH82" s="66"/>
      <c r="DI82" s="66"/>
      <c r="DJ82" s="66"/>
      <c r="DK82" s="66"/>
      <c r="DL82" s="66"/>
      <c r="DM82" s="66"/>
      <c r="DN82" s="66"/>
      <c r="DO82" s="66"/>
      <c r="DP82" s="66"/>
      <c r="DQ82" s="66"/>
      <c r="DR82" s="66"/>
      <c r="DS82" s="66"/>
      <c r="DT82" s="66"/>
      <c r="DU82" s="66"/>
      <c r="DV82" s="66"/>
      <c r="DW82" s="66"/>
      <c r="DX82" s="66"/>
      <c r="DY82" s="66"/>
      <c r="DZ82" s="66"/>
      <c r="EA82" s="66"/>
      <c r="EB82" s="66"/>
      <c r="EC82" s="66"/>
      <c r="ED82" s="66"/>
      <c r="EE82" s="66"/>
      <c r="EF82" s="66"/>
      <c r="EG82" s="66"/>
      <c r="EH82" s="66"/>
      <c r="EI82" s="66"/>
      <c r="EJ82" s="66"/>
      <c r="EK82" s="66"/>
      <c r="EL82" s="66"/>
      <c r="EM82" s="66"/>
      <c r="EN82" s="66"/>
      <c r="EO82" s="66"/>
      <c r="EP82" s="66"/>
      <c r="EQ82" s="66"/>
      <c r="ER82" s="66"/>
      <c r="ES82" s="66"/>
      <c r="ET82" s="66"/>
      <c r="EU82" s="66"/>
      <c r="EV82" s="66"/>
      <c r="EW82" s="66"/>
      <c r="EX82" s="66"/>
      <c r="EY82" s="66"/>
      <c r="EZ82" s="66"/>
    </row>
    <row r="83" spans="2:156" ht="14.25" customHeight="1">
      <c r="CX83" s="69" t="s">
        <v>1934</v>
      </c>
      <c r="CY83" s="72">
        <f>NPV(CY81,CP60:EX60)</f>
        <v>3042163.7987868013</v>
      </c>
    </row>
    <row r="84" spans="2:156" ht="14.25" customHeight="1">
      <c r="B84" s="1" t="s">
        <v>1914</v>
      </c>
      <c r="AX84" s="1">
        <v>72539</v>
      </c>
      <c r="AY84" s="1">
        <v>63926</v>
      </c>
      <c r="AZ84" s="1">
        <v>66090</v>
      </c>
      <c r="BA84" s="1">
        <v>71474</v>
      </c>
      <c r="BB84" s="1">
        <v>78664</v>
      </c>
      <c r="BC84" s="1">
        <v>68547</v>
      </c>
      <c r="BD84" s="1">
        <v>71219</v>
      </c>
      <c r="BE84" s="1">
        <v>6760</v>
      </c>
      <c r="BF84" s="1">
        <v>79600</v>
      </c>
      <c r="BG84" s="1">
        <v>66907</v>
      </c>
      <c r="BH84" s="1">
        <v>69481</v>
      </c>
      <c r="BI84" s="1">
        <v>72004</v>
      </c>
      <c r="BJ84" s="1">
        <v>84981</v>
      </c>
      <c r="BK84" s="1">
        <v>73068</v>
      </c>
      <c r="BL84" s="1">
        <v>81817</v>
      </c>
      <c r="BM84" s="1">
        <v>84570</v>
      </c>
      <c r="BN84" s="1">
        <v>94363</v>
      </c>
      <c r="BO84" s="1">
        <v>89241</v>
      </c>
      <c r="BP84" s="1">
        <v>98285</v>
      </c>
      <c r="BQ84" s="1">
        <v>106032</v>
      </c>
      <c r="CK84" s="1">
        <f t="shared" ref="CK84:CK92" si="173">AX84</f>
        <v>72539</v>
      </c>
      <c r="CL84" s="1">
        <f t="shared" ref="CL84:CL92" si="174">BB84</f>
        <v>78664</v>
      </c>
      <c r="CM84" s="1">
        <f t="shared" ref="CM84:CM92" si="175">BF84</f>
        <v>79600</v>
      </c>
      <c r="CN84" s="1">
        <f t="shared" ref="CN84:CN92" si="176">BJ84</f>
        <v>84981</v>
      </c>
      <c r="CO84" s="1">
        <f t="shared" ref="CO84:CO92" si="177">BN84</f>
        <v>94363</v>
      </c>
      <c r="CX84" s="69" t="s">
        <v>139</v>
      </c>
      <c r="CY84" s="72">
        <f>Main!C4</f>
        <v>10690</v>
      </c>
    </row>
    <row r="85" spans="2:156" ht="14.25" customHeight="1">
      <c r="B85" s="1" t="s">
        <v>1915</v>
      </c>
      <c r="AX85" s="1">
        <v>44138</v>
      </c>
      <c r="AY85" s="1">
        <v>40939</v>
      </c>
      <c r="AZ85" s="1">
        <v>41007</v>
      </c>
      <c r="BA85" s="1">
        <v>41546</v>
      </c>
      <c r="BB85" s="1">
        <v>51775</v>
      </c>
      <c r="BC85" s="1">
        <v>58141</v>
      </c>
      <c r="BD85" s="1">
        <v>56254</v>
      </c>
      <c r="BE85" s="1">
        <v>59974</v>
      </c>
      <c r="BF85" s="1">
        <v>62566</v>
      </c>
      <c r="BG85" s="1">
        <v>66382</v>
      </c>
      <c r="BH85" s="1">
        <v>64235</v>
      </c>
      <c r="BI85" s="1">
        <v>58812</v>
      </c>
      <c r="BJ85" s="1">
        <v>64709</v>
      </c>
      <c r="BK85" s="1">
        <v>63970</v>
      </c>
      <c r="BL85" s="1">
        <v>60351</v>
      </c>
      <c r="BM85" s="1">
        <v>60602</v>
      </c>
      <c r="BN85" s="1">
        <v>66965</v>
      </c>
      <c r="BO85" s="1">
        <v>66331</v>
      </c>
      <c r="BP85" s="1">
        <v>66974</v>
      </c>
      <c r="BQ85" s="1">
        <v>68051</v>
      </c>
      <c r="CK85" s="1">
        <f t="shared" si="173"/>
        <v>44138</v>
      </c>
      <c r="CL85" s="1">
        <f t="shared" si="174"/>
        <v>51775</v>
      </c>
      <c r="CM85" s="1">
        <f t="shared" si="175"/>
        <v>62566</v>
      </c>
      <c r="CN85" s="1">
        <f t="shared" si="176"/>
        <v>64709</v>
      </c>
      <c r="CO85" s="1">
        <f t="shared" si="177"/>
        <v>66965</v>
      </c>
      <c r="CX85" s="69" t="s">
        <v>1935</v>
      </c>
      <c r="CY85" s="74">
        <f>CY83/CY84</f>
        <v>284.58033664984112</v>
      </c>
    </row>
    <row r="86" spans="2:156" ht="14.25" customHeight="1">
      <c r="B86" s="1" t="s">
        <v>1916</v>
      </c>
      <c r="AX86" s="1">
        <v>9708</v>
      </c>
      <c r="AY86" s="1">
        <v>10539</v>
      </c>
      <c r="AZ86" s="1">
        <v>10695</v>
      </c>
      <c r="BA86" s="1">
        <v>10974</v>
      </c>
      <c r="BB86" s="1">
        <v>11827</v>
      </c>
      <c r="BC86" s="1">
        <v>12820</v>
      </c>
      <c r="BD86" s="1">
        <v>12818</v>
      </c>
      <c r="BE86" s="1">
        <v>12629</v>
      </c>
      <c r="BF86" s="1">
        <v>13227</v>
      </c>
      <c r="BG86" s="1">
        <v>14281</v>
      </c>
      <c r="BH86" s="1">
        <v>14522</v>
      </c>
      <c r="BI86" s="1">
        <v>14398</v>
      </c>
      <c r="BJ86" s="1">
        <v>15227</v>
      </c>
      <c r="BK86" s="1">
        <v>15927</v>
      </c>
      <c r="BL86" s="1">
        <v>16004</v>
      </c>
      <c r="BM86" s="1">
        <v>16305</v>
      </c>
      <c r="BN86" s="1">
        <v>18103</v>
      </c>
      <c r="BO86" s="1">
        <v>20599</v>
      </c>
      <c r="BP86" s="1">
        <v>21662</v>
      </c>
      <c r="BQ86" s="1">
        <v>21113</v>
      </c>
      <c r="CK86" s="1">
        <f t="shared" si="173"/>
        <v>9708</v>
      </c>
      <c r="CL86" s="1">
        <f t="shared" si="174"/>
        <v>11827</v>
      </c>
      <c r="CM86" s="1">
        <f t="shared" si="175"/>
        <v>13227</v>
      </c>
      <c r="CN86" s="1">
        <f t="shared" si="176"/>
        <v>15227</v>
      </c>
      <c r="CO86" s="1">
        <f t="shared" si="177"/>
        <v>18103</v>
      </c>
      <c r="CX86" s="69" t="s">
        <v>1936</v>
      </c>
      <c r="CY86" s="74">
        <f>Main!C3</f>
        <v>247.55</v>
      </c>
    </row>
    <row r="87" spans="2:156" ht="14.25" customHeight="1">
      <c r="B87" s="1" t="s">
        <v>1917</v>
      </c>
      <c r="AX87" s="1">
        <v>52573</v>
      </c>
      <c r="AY87" s="1">
        <v>53067</v>
      </c>
      <c r="AZ87" s="1">
        <v>56297</v>
      </c>
      <c r="BA87" s="1">
        <v>63848</v>
      </c>
      <c r="BB87" s="1">
        <v>67651</v>
      </c>
      <c r="BC87" s="1">
        <v>65731</v>
      </c>
      <c r="BD87" s="1">
        <v>66524</v>
      </c>
      <c r="BE87" s="1">
        <v>69332</v>
      </c>
      <c r="BF87" s="1">
        <v>72968</v>
      </c>
      <c r="BG87" s="1">
        <v>74267</v>
      </c>
      <c r="BH87" s="1">
        <v>75822</v>
      </c>
      <c r="BI87" s="1">
        <v>75891</v>
      </c>
      <c r="BJ87" s="1">
        <v>77297</v>
      </c>
      <c r="BK87" s="1">
        <v>77052</v>
      </c>
      <c r="BL87" s="1">
        <v>78084</v>
      </c>
      <c r="BM87" s="1">
        <v>79802</v>
      </c>
      <c r="BN87" s="1">
        <v>78277</v>
      </c>
      <c r="BO87" s="1">
        <v>79871</v>
      </c>
      <c r="BP87" s="1">
        <v>83221</v>
      </c>
      <c r="BQ87" s="1">
        <v>84677</v>
      </c>
      <c r="CK87" s="1">
        <f t="shared" si="173"/>
        <v>52573</v>
      </c>
      <c r="CL87" s="1">
        <f t="shared" si="174"/>
        <v>67651</v>
      </c>
      <c r="CM87" s="1">
        <f t="shared" si="175"/>
        <v>72968</v>
      </c>
      <c r="CN87" s="1">
        <f t="shared" si="176"/>
        <v>77297</v>
      </c>
      <c r="CO87" s="1">
        <f t="shared" si="177"/>
        <v>78277</v>
      </c>
      <c r="CQ87" s="66"/>
      <c r="CR87" s="66"/>
      <c r="CS87" s="66"/>
      <c r="CT87" s="66"/>
      <c r="CU87" s="66"/>
      <c r="CV87" s="66"/>
      <c r="CW87" s="66"/>
      <c r="CX87" s="69" t="s">
        <v>1937</v>
      </c>
      <c r="CY87" s="71">
        <f>CY85/CY86-1</f>
        <v>0.14958730216053762</v>
      </c>
      <c r="CZ87" s="67" t="str">
        <f>IF(CY87&gt;0,"Upside","Downside")</f>
        <v>Upside</v>
      </c>
    </row>
    <row r="88" spans="2:156" ht="14.25" customHeight="1">
      <c r="B88" s="1" t="s">
        <v>1918</v>
      </c>
      <c r="AX88" s="1">
        <v>31816</v>
      </c>
      <c r="AY88" s="1">
        <v>31868</v>
      </c>
      <c r="AZ88" s="1">
        <v>50279</v>
      </c>
      <c r="BA88" s="1">
        <v>50055</v>
      </c>
      <c r="BB88" s="1">
        <v>48744</v>
      </c>
      <c r="BC88" s="1">
        <v>47556</v>
      </c>
      <c r="BD88" s="1">
        <v>58053</v>
      </c>
      <c r="BE88" s="1">
        <v>58919</v>
      </c>
      <c r="BF88" s="1">
        <v>67150</v>
      </c>
      <c r="BG88" s="1">
        <v>67084</v>
      </c>
      <c r="BH88" s="1">
        <v>63092</v>
      </c>
      <c r="BI88" s="1">
        <v>61098</v>
      </c>
      <c r="BJ88" s="1">
        <v>58314</v>
      </c>
      <c r="BK88" s="1">
        <v>57634</v>
      </c>
      <c r="BL88" s="1">
        <v>54889</v>
      </c>
      <c r="BM88" s="1">
        <v>54890</v>
      </c>
      <c r="BN88" s="1">
        <v>52623</v>
      </c>
      <c r="BO88" s="1">
        <v>53374</v>
      </c>
      <c r="BP88" s="1">
        <v>50718</v>
      </c>
      <c r="BQ88" s="1">
        <v>50742</v>
      </c>
      <c r="CK88" s="1">
        <f t="shared" si="173"/>
        <v>31816</v>
      </c>
      <c r="CL88" s="1">
        <f t="shared" si="174"/>
        <v>48744</v>
      </c>
      <c r="CM88" s="1">
        <f t="shared" si="175"/>
        <v>67150</v>
      </c>
      <c r="CN88" s="1">
        <f t="shared" si="176"/>
        <v>58314</v>
      </c>
      <c r="CO88" s="1">
        <f t="shared" si="177"/>
        <v>52623</v>
      </c>
      <c r="CX88" s="83" t="str" cm="1">
        <f t="array" ref="CX88">_xlfn.IFS(CY87&gt;=25%,"Strong Buy",CY87&gt;=10.00001%,"Buy",AND(CY87&lt;=10%,CY87&gt;=-4.9999%),"Hold",AND(CY87&lt;=-5%,CY87&gt;=-14.999999%),"Sell",CY87&lt;=-15%,"Strong Sell")</f>
        <v>Buy</v>
      </c>
      <c r="CY88" s="83"/>
    </row>
    <row r="89" spans="2:156" ht="14.25" customHeight="1">
      <c r="B89" s="1" t="s">
        <v>1919</v>
      </c>
      <c r="AX89" s="1">
        <v>17017</v>
      </c>
      <c r="AY89" s="1">
        <v>19418</v>
      </c>
      <c r="AZ89" s="1">
        <v>21148</v>
      </c>
      <c r="BA89" s="1">
        <v>23945</v>
      </c>
      <c r="BB89" s="1">
        <v>23643</v>
      </c>
      <c r="BC89" s="1">
        <v>23971</v>
      </c>
      <c r="BD89" s="1">
        <v>23458</v>
      </c>
      <c r="BE89" s="1">
        <v>22259</v>
      </c>
      <c r="BF89" s="1">
        <v>21121</v>
      </c>
      <c r="BG89" s="1">
        <v>20931</v>
      </c>
      <c r="BH89" s="1">
        <v>21853</v>
      </c>
      <c r="BI89" s="1">
        <v>21707</v>
      </c>
      <c r="BJ89" s="1">
        <v>25451</v>
      </c>
      <c r="BK89" s="1">
        <v>26657</v>
      </c>
      <c r="BL89" s="1">
        <v>27226</v>
      </c>
      <c r="BM89" s="1">
        <v>29306</v>
      </c>
      <c r="BN89" s="1">
        <v>28593</v>
      </c>
      <c r="BO89" s="1">
        <v>27973</v>
      </c>
      <c r="BP89" s="1">
        <v>27535</v>
      </c>
      <c r="BQ89" s="1">
        <v>27675</v>
      </c>
      <c r="CK89" s="1">
        <f t="shared" si="173"/>
        <v>17017</v>
      </c>
      <c r="CL89" s="1">
        <f t="shared" si="174"/>
        <v>23643</v>
      </c>
      <c r="CM89" s="1">
        <f t="shared" si="175"/>
        <v>21121</v>
      </c>
      <c r="CN89" s="1">
        <f t="shared" si="176"/>
        <v>25451</v>
      </c>
      <c r="CO89" s="1">
        <f t="shared" si="177"/>
        <v>28593</v>
      </c>
    </row>
    <row r="90" spans="2:156" s="2" customFormat="1" ht="14.25" customHeight="1">
      <c r="B90" s="2" t="s">
        <v>1921</v>
      </c>
      <c r="AX90" s="2">
        <f t="shared" ref="AX90:BM90" si="178">SUM(AX84:AX89)</f>
        <v>227791</v>
      </c>
      <c r="AY90" s="2">
        <f t="shared" si="178"/>
        <v>219757</v>
      </c>
      <c r="AZ90" s="2">
        <f t="shared" si="178"/>
        <v>245516</v>
      </c>
      <c r="BA90" s="2">
        <f t="shared" si="178"/>
        <v>261842</v>
      </c>
      <c r="BB90" s="2">
        <f t="shared" si="178"/>
        <v>282304</v>
      </c>
      <c r="BC90" s="2">
        <f t="shared" si="178"/>
        <v>276766</v>
      </c>
      <c r="BD90" s="2">
        <f t="shared" si="178"/>
        <v>288326</v>
      </c>
      <c r="BE90" s="2">
        <f t="shared" si="178"/>
        <v>229873</v>
      </c>
      <c r="BF90" s="2">
        <f t="shared" si="178"/>
        <v>316632</v>
      </c>
      <c r="BG90" s="2">
        <f t="shared" si="178"/>
        <v>309852</v>
      </c>
      <c r="BH90" s="2">
        <f t="shared" si="178"/>
        <v>309005</v>
      </c>
      <c r="BI90" s="2">
        <f t="shared" si="178"/>
        <v>303910</v>
      </c>
      <c r="BJ90" s="2">
        <f t="shared" si="178"/>
        <v>325979</v>
      </c>
      <c r="BK90" s="2">
        <f t="shared" si="178"/>
        <v>314308</v>
      </c>
      <c r="BL90" s="2">
        <f t="shared" si="178"/>
        <v>318371</v>
      </c>
      <c r="BM90" s="2">
        <f t="shared" si="178"/>
        <v>325475</v>
      </c>
      <c r="BN90" s="2">
        <f>SUM(BN84:BN89)</f>
        <v>338924</v>
      </c>
      <c r="BO90" s="2">
        <f t="shared" ref="BO90:BP90" si="179">SUM(BO84:BO89)</f>
        <v>337389</v>
      </c>
      <c r="BP90" s="2">
        <f t="shared" si="179"/>
        <v>348395</v>
      </c>
      <c r="BQ90" s="2">
        <f t="shared" ref="BQ90" si="180">SUM(BQ84:BQ89)</f>
        <v>358290</v>
      </c>
      <c r="BR90" s="34"/>
      <c r="BS90" s="34"/>
      <c r="BT90" s="34"/>
      <c r="BU90" s="34"/>
      <c r="CK90" s="2">
        <f t="shared" si="173"/>
        <v>227791</v>
      </c>
      <c r="CL90" s="2">
        <f t="shared" si="174"/>
        <v>282304</v>
      </c>
      <c r="CM90" s="2">
        <f t="shared" si="175"/>
        <v>316632</v>
      </c>
      <c r="CN90" s="2">
        <f t="shared" si="176"/>
        <v>325979</v>
      </c>
      <c r="CO90" s="2">
        <f t="shared" si="177"/>
        <v>338924</v>
      </c>
      <c r="CP90" s="66"/>
      <c r="CQ90" s="66"/>
      <c r="CR90" s="66"/>
      <c r="CS90" s="66"/>
      <c r="CT90" s="66"/>
      <c r="CU90" s="66"/>
      <c r="CV90" s="66"/>
      <c r="CW90" s="66"/>
      <c r="CX90" s="66"/>
      <c r="CY90" s="66"/>
      <c r="CZ90" s="66"/>
      <c r="DA90" s="66"/>
      <c r="DB90" s="66"/>
      <c r="DC90" s="66"/>
      <c r="DD90" s="66"/>
      <c r="DE90" s="66"/>
      <c r="DF90" s="66"/>
      <c r="DG90" s="66"/>
      <c r="DH90" s="66"/>
      <c r="DI90" s="66"/>
      <c r="DJ90" s="66"/>
      <c r="DK90" s="66"/>
      <c r="DL90" s="66"/>
      <c r="DM90" s="66"/>
      <c r="DN90" s="66"/>
      <c r="DO90" s="66"/>
      <c r="DP90" s="66"/>
      <c r="DQ90" s="66"/>
      <c r="DR90" s="66"/>
      <c r="DS90" s="66"/>
      <c r="DT90" s="66"/>
      <c r="DU90" s="66"/>
      <c r="DV90" s="66"/>
      <c r="DW90" s="66"/>
      <c r="DX90" s="66"/>
      <c r="DY90" s="66"/>
      <c r="DZ90" s="66"/>
      <c r="EA90" s="66"/>
      <c r="EB90" s="66"/>
      <c r="EC90" s="66"/>
      <c r="ED90" s="66"/>
      <c r="EE90" s="66"/>
      <c r="EF90" s="66"/>
      <c r="EG90" s="66"/>
      <c r="EH90" s="66"/>
      <c r="EI90" s="66"/>
      <c r="EJ90" s="66"/>
      <c r="EK90" s="66"/>
      <c r="EL90" s="66"/>
      <c r="EM90" s="66"/>
      <c r="EN90" s="66"/>
      <c r="EO90" s="66"/>
      <c r="EP90" s="66"/>
      <c r="EQ90" s="66"/>
      <c r="ER90" s="66"/>
      <c r="ES90" s="66"/>
      <c r="ET90" s="66"/>
      <c r="EU90" s="66"/>
      <c r="EV90" s="66"/>
      <c r="EW90" s="66"/>
      <c r="EX90" s="66"/>
      <c r="EY90" s="66"/>
      <c r="EZ90" s="66"/>
    </row>
    <row r="91" spans="2:156" ht="14.25" customHeight="1">
      <c r="B91" s="1" t="s">
        <v>1922</v>
      </c>
      <c r="AX91" s="1">
        <v>93404</v>
      </c>
      <c r="AY91" s="1">
        <v>103320</v>
      </c>
      <c r="AZ91" s="1">
        <v>114803</v>
      </c>
      <c r="BA91" s="1">
        <v>120564</v>
      </c>
      <c r="BB91" s="1">
        <v>138245</v>
      </c>
      <c r="BC91" s="1">
        <v>134001</v>
      </c>
      <c r="BD91" s="1">
        <v>131402</v>
      </c>
      <c r="BE91" s="1">
        <v>137489</v>
      </c>
      <c r="BF91" s="1">
        <v>146043</v>
      </c>
      <c r="BG91" s="1">
        <v>154526</v>
      </c>
      <c r="BH91" s="1">
        <v>168602</v>
      </c>
      <c r="BI91" s="1">
        <v>182973</v>
      </c>
      <c r="BJ91" s="1">
        <v>201875</v>
      </c>
      <c r="BK91" s="1">
        <v>216661</v>
      </c>
      <c r="BL91" s="1">
        <v>236447</v>
      </c>
      <c r="BM91" s="1">
        <v>259151</v>
      </c>
      <c r="BN91" s="1">
        <v>285970</v>
      </c>
      <c r="BO91" s="1">
        <v>305867</v>
      </c>
      <c r="BP91" s="1">
        <v>333775</v>
      </c>
      <c r="BQ91" s="1">
        <v>369631</v>
      </c>
      <c r="CK91" s="1">
        <f t="shared" si="173"/>
        <v>93404</v>
      </c>
      <c r="CL91" s="1">
        <f t="shared" si="174"/>
        <v>138245</v>
      </c>
      <c r="CM91" s="1">
        <f t="shared" si="175"/>
        <v>146043</v>
      </c>
      <c r="CN91" s="1">
        <f t="shared" si="176"/>
        <v>201875</v>
      </c>
      <c r="CO91" s="1">
        <f t="shared" si="177"/>
        <v>285970</v>
      </c>
    </row>
    <row r="92" spans="2:156" s="2" customFormat="1" ht="14.25" customHeight="1">
      <c r="B92" s="2" t="s">
        <v>1923</v>
      </c>
      <c r="AX92" s="2">
        <f t="shared" ref="AX92:BM92" si="181">AX90+AX91</f>
        <v>321195</v>
      </c>
      <c r="AY92" s="2">
        <f t="shared" si="181"/>
        <v>323077</v>
      </c>
      <c r="AZ92" s="2">
        <f t="shared" si="181"/>
        <v>360319</v>
      </c>
      <c r="BA92" s="2">
        <f t="shared" si="181"/>
        <v>382406</v>
      </c>
      <c r="BB92" s="2">
        <f t="shared" si="181"/>
        <v>420549</v>
      </c>
      <c r="BC92" s="2">
        <f t="shared" si="181"/>
        <v>410767</v>
      </c>
      <c r="BD92" s="2">
        <f t="shared" si="181"/>
        <v>419728</v>
      </c>
      <c r="BE92" s="2">
        <f t="shared" si="181"/>
        <v>367362</v>
      </c>
      <c r="BF92" s="2">
        <f t="shared" si="181"/>
        <v>462675</v>
      </c>
      <c r="BG92" s="2">
        <f t="shared" si="181"/>
        <v>464378</v>
      </c>
      <c r="BH92" s="2">
        <f t="shared" si="181"/>
        <v>477607</v>
      </c>
      <c r="BI92" s="2">
        <f t="shared" si="181"/>
        <v>486883</v>
      </c>
      <c r="BJ92" s="2">
        <f t="shared" si="181"/>
        <v>527854</v>
      </c>
      <c r="BK92" s="2">
        <f t="shared" si="181"/>
        <v>530969</v>
      </c>
      <c r="BL92" s="2">
        <f t="shared" si="181"/>
        <v>554818</v>
      </c>
      <c r="BM92" s="2">
        <f t="shared" si="181"/>
        <v>584626</v>
      </c>
      <c r="BN92" s="2">
        <f>BN90+BN91</f>
        <v>624894</v>
      </c>
      <c r="BO92" s="2">
        <f t="shared" ref="BO92:BP92" si="182">BO90+BO91</f>
        <v>643256</v>
      </c>
      <c r="BP92" s="2">
        <f t="shared" si="182"/>
        <v>682170</v>
      </c>
      <c r="BQ92" s="2">
        <f t="shared" ref="BQ92" si="183">BQ90+BQ91</f>
        <v>727921</v>
      </c>
      <c r="BR92" s="34"/>
      <c r="BS92" s="34"/>
      <c r="BT92" s="34"/>
      <c r="BU92" s="34"/>
      <c r="CK92" s="2">
        <f t="shared" si="173"/>
        <v>321195</v>
      </c>
      <c r="CL92" s="2">
        <f t="shared" si="174"/>
        <v>420549</v>
      </c>
      <c r="CM92" s="2">
        <f t="shared" si="175"/>
        <v>462675</v>
      </c>
      <c r="CN92" s="2">
        <f t="shared" si="176"/>
        <v>527854</v>
      </c>
      <c r="CO92" s="2">
        <f t="shared" si="177"/>
        <v>624894</v>
      </c>
      <c r="CP92" s="66"/>
      <c r="CQ92" s="66"/>
      <c r="CR92" s="66"/>
      <c r="CS92" s="66"/>
      <c r="CT92" s="66"/>
      <c r="CU92" s="66"/>
      <c r="CV92" s="66"/>
      <c r="CW92" s="66"/>
      <c r="CX92" s="66"/>
      <c r="CY92" s="66"/>
      <c r="CZ92" s="66"/>
      <c r="DA92" s="66"/>
      <c r="DB92" s="66"/>
      <c r="DC92" s="66"/>
      <c r="DD92" s="66"/>
      <c r="DE92" s="66"/>
      <c r="DF92" s="66"/>
      <c r="DG92" s="66"/>
      <c r="DH92" s="66"/>
      <c r="DI92" s="66"/>
      <c r="DJ92" s="66"/>
      <c r="DK92" s="66"/>
      <c r="DL92" s="66"/>
      <c r="DM92" s="66"/>
      <c r="DN92" s="66"/>
      <c r="DO92" s="66"/>
      <c r="DP92" s="66"/>
      <c r="DQ92" s="66"/>
      <c r="DR92" s="66"/>
      <c r="DS92" s="66"/>
      <c r="DT92" s="66"/>
      <c r="DU92" s="66"/>
      <c r="DV92" s="66"/>
      <c r="DW92" s="66"/>
      <c r="DX92" s="66"/>
      <c r="DY92" s="66"/>
      <c r="DZ92" s="66"/>
      <c r="EA92" s="66"/>
      <c r="EB92" s="66"/>
      <c r="EC92" s="66"/>
      <c r="ED92" s="66"/>
      <c r="EE92" s="66"/>
      <c r="EF92" s="66"/>
      <c r="EG92" s="66"/>
      <c r="EH92" s="66"/>
      <c r="EI92" s="66"/>
      <c r="EJ92" s="66"/>
      <c r="EK92" s="66"/>
      <c r="EL92" s="66"/>
      <c r="EM92" s="66"/>
      <c r="EN92" s="66"/>
      <c r="EO92" s="66"/>
      <c r="EP92" s="66"/>
      <c r="EQ92" s="66"/>
      <c r="ER92" s="66"/>
      <c r="ES92" s="66"/>
      <c r="ET92" s="66"/>
      <c r="EU92" s="66"/>
      <c r="EV92" s="66"/>
      <c r="EW92" s="66"/>
      <c r="EX92" s="66"/>
      <c r="EY92" s="66"/>
      <c r="EZ92" s="66"/>
    </row>
    <row r="93" spans="2:156" ht="14.25" customHeight="1"/>
    <row r="94" spans="2:156" ht="14.25" customHeight="1">
      <c r="B94" s="1" t="s">
        <v>128</v>
      </c>
      <c r="AX94" s="39">
        <f t="shared" ref="AX94:BO94" si="184">SUM(AX74:AX77)/SUM(AX84:AX86)</f>
        <v>1.0502274795268425</v>
      </c>
      <c r="AY94" s="39">
        <f t="shared" si="184"/>
        <v>1.0520259263110463</v>
      </c>
      <c r="AZ94" s="39">
        <f t="shared" si="184"/>
        <v>1.19573485465906</v>
      </c>
      <c r="BA94" s="39">
        <f t="shared" si="184"/>
        <v>1.117239543848896</v>
      </c>
      <c r="BB94" s="39">
        <f t="shared" si="184"/>
        <v>1.1357597739445826</v>
      </c>
      <c r="BC94" s="39">
        <f t="shared" si="184"/>
        <v>0.95962955529432004</v>
      </c>
      <c r="BD94" s="39">
        <f t="shared" si="184"/>
        <v>0.9527838564127421</v>
      </c>
      <c r="BE94" s="39">
        <f t="shared" si="184"/>
        <v>1.6564771997026322</v>
      </c>
      <c r="BF94" s="39">
        <f t="shared" si="184"/>
        <v>0.9446435811136924</v>
      </c>
      <c r="BG94" s="39">
        <f t="shared" si="184"/>
        <v>0.92309412482211828</v>
      </c>
      <c r="BH94" s="39">
        <f t="shared" si="184"/>
        <v>0.94767873284852733</v>
      </c>
      <c r="BI94" s="39">
        <f t="shared" si="184"/>
        <v>0.98471910421860154</v>
      </c>
      <c r="BJ94" s="39">
        <f t="shared" si="184"/>
        <v>1.0450772206625152</v>
      </c>
      <c r="BK94" s="39">
        <f t="shared" si="184"/>
        <v>1.0720687739025268</v>
      </c>
      <c r="BL94" s="39">
        <f t="shared" si="184"/>
        <v>1.0956869736742281</v>
      </c>
      <c r="BM94" s="39">
        <f t="shared" si="184"/>
        <v>1.0886503960316329</v>
      </c>
      <c r="BN94" s="39">
        <f t="shared" si="184"/>
        <v>1.0637348061371781</v>
      </c>
      <c r="BO94" s="39">
        <f t="shared" si="184"/>
        <v>1.0481009927854188</v>
      </c>
      <c r="BP94" s="39">
        <f>SUM(BP74:BP77)/SUM(BP84:BP86)</f>
        <v>1.0240689917130767</v>
      </c>
      <c r="BQ94" s="39">
        <f>SUM(BQ74:BQ77)/SUM(BQ84:BQ86)</f>
        <v>1.0085555031865407</v>
      </c>
      <c r="CK94" s="39">
        <f t="shared" ref="CK94:CO94" si="185">SUM(CK74:CK77)/SUM(CK84:CK86)</f>
        <v>1.0502274795268425</v>
      </c>
      <c r="CL94" s="39">
        <f t="shared" si="185"/>
        <v>1.1357597739445826</v>
      </c>
      <c r="CM94" s="39">
        <f t="shared" si="185"/>
        <v>0.9446435811136924</v>
      </c>
      <c r="CN94" s="39">
        <f t="shared" si="185"/>
        <v>1.0450772206625152</v>
      </c>
      <c r="CO94" s="39">
        <f t="shared" si="185"/>
        <v>1.0637348061371781</v>
      </c>
    </row>
    <row r="95" spans="2:156" ht="14.25" customHeight="1">
      <c r="B95" s="1" t="s">
        <v>129</v>
      </c>
      <c r="AX95" s="39">
        <f t="shared" ref="AX95:BO95" si="186">(SUM(AX74:AX77)-AX76)/SUM(AX84:AX86)</f>
        <v>0.86195355461486722</v>
      </c>
      <c r="AY95" s="39">
        <f t="shared" si="186"/>
        <v>0.84536931128903681</v>
      </c>
      <c r="AZ95" s="39">
        <f t="shared" si="186"/>
        <v>0.99097561803857648</v>
      </c>
      <c r="BA95" s="39">
        <f t="shared" si="186"/>
        <v>0.86776779521589753</v>
      </c>
      <c r="BB95" s="39">
        <f t="shared" si="186"/>
        <v>0.90633039517523517</v>
      </c>
      <c r="BC95" s="39">
        <f t="shared" si="186"/>
        <v>0.70884107004616226</v>
      </c>
      <c r="BD95" s="39">
        <f t="shared" si="186"/>
        <v>0.68082770812097715</v>
      </c>
      <c r="BE95" s="39">
        <f t="shared" si="186"/>
        <v>1.1947129014780187</v>
      </c>
      <c r="BF95" s="39">
        <f t="shared" si="186"/>
        <v>0.72323721145740161</v>
      </c>
      <c r="BG95" s="39">
        <f t="shared" si="186"/>
        <v>0.69154299654401297</v>
      </c>
      <c r="BH95" s="39">
        <f t="shared" si="186"/>
        <v>0.70086617466506562</v>
      </c>
      <c r="BI95" s="39">
        <f t="shared" si="186"/>
        <v>0.74089963777597201</v>
      </c>
      <c r="BJ95" s="39">
        <f t="shared" si="186"/>
        <v>0.84304832127676343</v>
      </c>
      <c r="BK95" s="39">
        <f t="shared" si="186"/>
        <v>0.86844703036642368</v>
      </c>
      <c r="BL95" s="39">
        <f t="shared" si="186"/>
        <v>0.88004197961712571</v>
      </c>
      <c r="BM95" s="39">
        <f t="shared" si="186"/>
        <v>0.86507056732537757</v>
      </c>
      <c r="BN95" s="39">
        <f t="shared" si="186"/>
        <v>0.87305426598525337</v>
      </c>
      <c r="BO95" s="39">
        <f t="shared" si="186"/>
        <v>0.84452605706955175</v>
      </c>
      <c r="BP95" s="39">
        <f>(SUM(BP74:BP77)-BP76)/SUM(BP84:BP86)</f>
        <v>0.80566121516576517</v>
      </c>
      <c r="BQ95" s="39">
        <f>(SUM(BQ74:BQ77)-BQ76)/SUM(BQ84:BQ86)</f>
        <v>0.79597942580790593</v>
      </c>
      <c r="CK95" s="39">
        <f t="shared" ref="CK95:CO95" si="187">(SUM(CK74:CK77)-CK76)/SUM(CK84:CK86)</f>
        <v>0.86195355461486722</v>
      </c>
      <c r="CL95" s="39">
        <f t="shared" si="187"/>
        <v>0.90633039517523517</v>
      </c>
      <c r="CM95" s="39">
        <f t="shared" si="187"/>
        <v>0.72323721145740161</v>
      </c>
      <c r="CN95" s="39">
        <f t="shared" si="187"/>
        <v>0.84304832127676343</v>
      </c>
      <c r="CO95" s="39">
        <f t="shared" si="187"/>
        <v>0.87305426598525337</v>
      </c>
    </row>
    <row r="96" spans="2:156" ht="14.25" customHeight="1">
      <c r="B96" s="1" t="s">
        <v>130</v>
      </c>
      <c r="AX96" s="39">
        <f t="shared" ref="AX96:BO96" si="188">SUM(AX74:AX75)/SUM(AX84:AX86)</f>
        <v>0.66776911817066897</v>
      </c>
      <c r="AY96" s="39">
        <f t="shared" si="188"/>
        <v>0.63490000346608433</v>
      </c>
      <c r="AZ96" s="39">
        <f t="shared" si="188"/>
        <v>0.76315878837272477</v>
      </c>
      <c r="BA96" s="39">
        <f t="shared" si="188"/>
        <v>0.63703082407213252</v>
      </c>
      <c r="BB96" s="39">
        <f t="shared" si="188"/>
        <v>0.67513671572968947</v>
      </c>
      <c r="BC96" s="39">
        <f t="shared" si="188"/>
        <v>0.4758508472632394</v>
      </c>
      <c r="BD96" s="39">
        <f t="shared" si="188"/>
        <v>0.43274336913985928</v>
      </c>
      <c r="BE96" s="39">
        <f t="shared" si="188"/>
        <v>0.73916056600682933</v>
      </c>
      <c r="BF96" s="39">
        <f t="shared" si="188"/>
        <v>0.45063805962945563</v>
      </c>
      <c r="BG96" s="39">
        <f t="shared" si="188"/>
        <v>0.43643694517855935</v>
      </c>
      <c r="BH96" s="39">
        <f t="shared" si="188"/>
        <v>0.43153577355333989</v>
      </c>
      <c r="BI96" s="39">
        <f t="shared" si="188"/>
        <v>0.44189265497817015</v>
      </c>
      <c r="BJ96" s="39">
        <f t="shared" si="188"/>
        <v>0.52620409054251538</v>
      </c>
      <c r="BK96" s="39">
        <f t="shared" si="188"/>
        <v>0.55616644330402376</v>
      </c>
      <c r="BL96" s="39">
        <f t="shared" si="188"/>
        <v>0.56326024833725308</v>
      </c>
      <c r="BM96" s="39">
        <f t="shared" si="188"/>
        <v>0.54528508704025958</v>
      </c>
      <c r="BN96" s="39">
        <f t="shared" si="188"/>
        <v>0.56401625137239386</v>
      </c>
      <c r="BO96" s="39">
        <f t="shared" si="188"/>
        <v>0.53677960617808829</v>
      </c>
      <c r="BP96" s="39">
        <f>SUM(BP74:BP75)/SUM(BP84:BP86)</f>
        <v>0.49849936604233874</v>
      </c>
      <c r="BQ96" s="39">
        <f>SUM(BQ74:BQ75)/SUM(BQ84:BQ86)</f>
        <v>0.48257648722309882</v>
      </c>
      <c r="CK96" s="39">
        <f t="shared" ref="CK96:CO96" si="189">SUM(CK74:CK75)/SUM(CK84:CK86)</f>
        <v>0.66776911817066897</v>
      </c>
      <c r="CL96" s="39">
        <f t="shared" si="189"/>
        <v>0.67513671572968947</v>
      </c>
      <c r="CM96" s="39">
        <f t="shared" si="189"/>
        <v>0.45063805962945563</v>
      </c>
      <c r="CN96" s="39">
        <f t="shared" si="189"/>
        <v>0.52620409054251538</v>
      </c>
      <c r="CO96" s="39">
        <f t="shared" si="189"/>
        <v>0.56401625137239386</v>
      </c>
    </row>
    <row r="97" spans="2:156" ht="14.25" customHeight="1">
      <c r="B97" s="1" t="s">
        <v>131</v>
      </c>
      <c r="AX97" s="39">
        <f t="shared" ref="AX97:BP97" si="190">AX44/AX82</f>
        <v>0.39089960927162626</v>
      </c>
      <c r="AY97" s="39">
        <f t="shared" si="190"/>
        <v>0.33588896764548387</v>
      </c>
      <c r="AZ97" s="39">
        <f t="shared" si="190"/>
        <v>0.31383302018489173</v>
      </c>
      <c r="BA97" s="39">
        <f t="shared" si="190"/>
        <v>0.2897757880367986</v>
      </c>
      <c r="BB97" s="39">
        <f t="shared" si="190"/>
        <v>0.3267443270582025</v>
      </c>
      <c r="BC97" s="39">
        <f t="shared" si="190"/>
        <v>0.28347944211682047</v>
      </c>
      <c r="BD97" s="39">
        <f t="shared" si="190"/>
        <v>0.28883943887469982</v>
      </c>
      <c r="BE97" s="39">
        <f t="shared" si="190"/>
        <v>0.29671399423851791</v>
      </c>
      <c r="BF97" s="39">
        <f t="shared" si="190"/>
        <v>0.32248122332090562</v>
      </c>
      <c r="BG97" s="39">
        <f t="shared" si="190"/>
        <v>0.27425502500118437</v>
      </c>
      <c r="BH97" s="39">
        <f t="shared" si="190"/>
        <v>0.28136731664318154</v>
      </c>
      <c r="BI97" s="39">
        <f t="shared" si="190"/>
        <v>0.2938755306716398</v>
      </c>
      <c r="BJ97" s="39">
        <f t="shared" si="190"/>
        <v>0.32198486702762508</v>
      </c>
      <c r="BK97" s="39">
        <f t="shared" si="190"/>
        <v>0.2699084127321934</v>
      </c>
      <c r="BL97" s="39">
        <f t="shared" si="190"/>
        <v>0.26671268776427587</v>
      </c>
      <c r="BM97" s="39">
        <f t="shared" si="190"/>
        <v>0.27175835491408185</v>
      </c>
      <c r="BN97" s="39">
        <f t="shared" si="190"/>
        <v>0.30051816788127267</v>
      </c>
      <c r="BO97" s="39">
        <f t="shared" si="190"/>
        <v>0.24199852002935068</v>
      </c>
      <c r="BP97" s="39">
        <f t="shared" si="190"/>
        <v>0.24583608191506515</v>
      </c>
      <c r="BQ97" s="39">
        <f t="shared" ref="BQ97" si="191">BQ44/BQ82</f>
        <v>0.24717219012759956</v>
      </c>
      <c r="CK97" s="39">
        <f>CK44/CK82</f>
        <v>1.2019614253023865</v>
      </c>
      <c r="CL97" s="39">
        <f>CL44/CL82</f>
        <v>1.1171635172120253</v>
      </c>
      <c r="CM97" s="39">
        <f>CM44/CM82</f>
        <v>1.1108942562273734</v>
      </c>
      <c r="CN97" s="39">
        <f>CN44/CN82</f>
        <v>1.0889090543976174</v>
      </c>
      <c r="CO97" s="39">
        <f>CO44/CO82</f>
        <v>1.0209075459197881</v>
      </c>
    </row>
    <row r="98" spans="2:156" ht="14.25" customHeight="1">
      <c r="B98" s="1" t="s">
        <v>132</v>
      </c>
      <c r="AX98" s="39">
        <f t="shared" ref="AX98:BQ98" si="192">AX45/AVERAGE(AU76:AX76)</f>
        <v>3.3319604959025004</v>
      </c>
      <c r="AY98" s="39">
        <f t="shared" si="192"/>
        <v>2.6195533540424818</v>
      </c>
      <c r="AZ98" s="39">
        <f t="shared" si="192"/>
        <v>2.6828309853267003</v>
      </c>
      <c r="BA98" s="39">
        <f t="shared" si="192"/>
        <v>2.4511178624289163</v>
      </c>
      <c r="BB98" s="39">
        <f t="shared" si="192"/>
        <v>2.9705668767538396</v>
      </c>
      <c r="BC98" s="39">
        <f t="shared" si="192"/>
        <v>2.1682276510242176</v>
      </c>
      <c r="BD98" s="39">
        <f t="shared" si="192"/>
        <v>1.9434581934417356</v>
      </c>
      <c r="BE98" s="39">
        <f t="shared" si="192"/>
        <v>1.9734460460446404</v>
      </c>
      <c r="BF98" s="39">
        <f t="shared" si="192"/>
        <v>2.3757212605415003</v>
      </c>
      <c r="BG98" s="39">
        <f t="shared" si="192"/>
        <v>1.8912920662598083</v>
      </c>
      <c r="BH98" s="39">
        <f t="shared" si="192"/>
        <v>1.9568010492987047</v>
      </c>
      <c r="BI98" s="39">
        <f t="shared" si="192"/>
        <v>2.1348244266120311</v>
      </c>
      <c r="BJ98" s="39">
        <f t="shared" si="192"/>
        <v>2.6542109678020664</v>
      </c>
      <c r="BK98" s="39">
        <f t="shared" si="192"/>
        <v>2.1290946664907882</v>
      </c>
      <c r="BL98" s="39">
        <f t="shared" si="192"/>
        <v>2.2028660994178235</v>
      </c>
      <c r="BM98" s="39">
        <f t="shared" si="192"/>
        <v>2.4050728780712372</v>
      </c>
      <c r="BN98" s="39">
        <f t="shared" si="192"/>
        <v>2.9177786137357735</v>
      </c>
      <c r="BO98" s="39">
        <f t="shared" si="192"/>
        <v>2.1947679806115903</v>
      </c>
      <c r="BP98" s="39">
        <f t="shared" si="192"/>
        <v>2.1987946070228426</v>
      </c>
      <c r="BQ98" s="39">
        <f t="shared" si="192"/>
        <v>2.3273424017533153</v>
      </c>
      <c r="CK98" s="39">
        <f>CK45/AVERAGE(CH76:CK76)</f>
        <v>9.8048749737339769</v>
      </c>
      <c r="CL98" s="39">
        <f>CL45/AVERAGE(CI76:CL76)</f>
        <v>9.6515991849029863</v>
      </c>
      <c r="CM98" s="39">
        <f>CM45/AVERAGE(CJ76:CM76)</f>
        <v>9.5386723910171725</v>
      </c>
      <c r="CN98" s="39">
        <f>CN45/AVERAGE(CK76:CN76)</f>
        <v>9.8177805699189751</v>
      </c>
      <c r="CO98" s="39">
        <f>CO45/AVERAGE(CL76:CO76)</f>
        <v>9.6981802239610033</v>
      </c>
    </row>
    <row r="99" spans="2:156" ht="14.25" customHeight="1">
      <c r="B99" s="1" t="s">
        <v>133</v>
      </c>
      <c r="AX99" s="59">
        <f t="shared" ref="AX99:BO99" si="193">AX60/AX82</f>
        <v>2.3051417363283987E-2</v>
      </c>
      <c r="AY99" s="59">
        <f t="shared" si="193"/>
        <v>2.5093089263550174E-2</v>
      </c>
      <c r="AZ99" s="59">
        <f t="shared" si="193"/>
        <v>2.1586427582225749E-2</v>
      </c>
      <c r="BA99" s="59">
        <f t="shared" si="193"/>
        <v>8.2530085825013207E-3</v>
      </c>
      <c r="BB99" s="59">
        <f t="shared" si="193"/>
        <v>3.4057862460735847E-2</v>
      </c>
      <c r="BC99" s="59">
        <f t="shared" si="193"/>
        <v>-9.3581032556169317E-3</v>
      </c>
      <c r="BD99" s="59">
        <f t="shared" si="193"/>
        <v>-4.8317005298669615E-3</v>
      </c>
      <c r="BE99" s="59">
        <f t="shared" si="193"/>
        <v>6.7046096525835621E-3</v>
      </c>
      <c r="BF99" s="59">
        <f t="shared" si="193"/>
        <v>6.0085373102069487E-4</v>
      </c>
      <c r="BG99" s="59">
        <f t="shared" si="193"/>
        <v>6.830642278488645E-3</v>
      </c>
      <c r="BH99" s="59">
        <f t="shared" si="193"/>
        <v>1.4132958687791427E-2</v>
      </c>
      <c r="BI99" s="59">
        <f t="shared" si="193"/>
        <v>2.0290295615168326E-2</v>
      </c>
      <c r="BJ99" s="59">
        <f t="shared" si="193"/>
        <v>2.0126777480136554E-2</v>
      </c>
      <c r="BK99" s="59">
        <f t="shared" si="193"/>
        <v>1.9645214692383173E-2</v>
      </c>
      <c r="BL99" s="59">
        <f t="shared" si="193"/>
        <v>2.4305267673363155E-2</v>
      </c>
      <c r="BM99" s="59">
        <f t="shared" si="193"/>
        <v>2.6218471296179095E-2</v>
      </c>
      <c r="BN99" s="59">
        <f t="shared" si="193"/>
        <v>3.2011829206233376E-2</v>
      </c>
      <c r="BO99" s="59">
        <f t="shared" si="193"/>
        <v>2.6625480368624624E-2</v>
      </c>
      <c r="BP99" s="59">
        <f>BP60/BP82</f>
        <v>2.6626793907676971E-2</v>
      </c>
      <c r="BQ99" s="59">
        <f>BQ60/BQ82</f>
        <v>4.8226076625587685E-2</v>
      </c>
      <c r="CK99" s="59">
        <f t="shared" ref="CK99:CO99" si="194">CK60/CK82</f>
        <v>6.6411370040006856E-2</v>
      </c>
      <c r="CL99" s="59">
        <f t="shared" si="194"/>
        <v>7.9334393851846041E-2</v>
      </c>
      <c r="CM99" s="59">
        <f t="shared" si="194"/>
        <v>-5.8831793375479545E-3</v>
      </c>
      <c r="CN99" s="59">
        <f t="shared" si="194"/>
        <v>5.7639044129626754E-2</v>
      </c>
      <c r="CO99" s="59">
        <f t="shared" si="194"/>
        <v>9.481288026449286E-2</v>
      </c>
    </row>
    <row r="100" spans="2:156" ht="14.25" customHeight="1">
      <c r="B100" s="1" t="s">
        <v>134</v>
      </c>
      <c r="AX100" s="59">
        <f t="shared" ref="AX100:BO100" si="195">AX60/AX91</f>
        <v>7.9268553809258707E-2</v>
      </c>
      <c r="AY100" s="59">
        <f t="shared" si="195"/>
        <v>7.8464963221060779E-2</v>
      </c>
      <c r="AZ100" s="59">
        <f t="shared" si="195"/>
        <v>6.7750842748011811E-2</v>
      </c>
      <c r="BA100" s="59">
        <f t="shared" si="195"/>
        <v>2.6176968249228626E-2</v>
      </c>
      <c r="BB100" s="59">
        <f t="shared" si="195"/>
        <v>0.10360591703135737</v>
      </c>
      <c r="BC100" s="59">
        <f t="shared" si="195"/>
        <v>-2.8686353086917263E-2</v>
      </c>
      <c r="BD100" s="59">
        <f t="shared" si="195"/>
        <v>-1.543355504482428E-2</v>
      </c>
      <c r="BE100" s="59">
        <f t="shared" si="195"/>
        <v>2.0888943842780151E-2</v>
      </c>
      <c r="BF100" s="59">
        <f t="shared" si="195"/>
        <v>1.9035489547598995E-3</v>
      </c>
      <c r="BG100" s="59">
        <f t="shared" si="195"/>
        <v>2.0527289905905802E-2</v>
      </c>
      <c r="BH100" s="59">
        <f t="shared" si="195"/>
        <v>4.0035112276248203E-2</v>
      </c>
      <c r="BI100" s="59">
        <f t="shared" si="195"/>
        <v>5.3991572527094162E-2</v>
      </c>
      <c r="BJ100" s="59">
        <f t="shared" si="195"/>
        <v>5.2626625386996903E-2</v>
      </c>
      <c r="BK100" s="59">
        <f t="shared" si="195"/>
        <v>4.8144336082636005E-2</v>
      </c>
      <c r="BL100" s="59">
        <f t="shared" si="195"/>
        <v>5.7031808396807743E-2</v>
      </c>
      <c r="BM100" s="59">
        <f t="shared" si="195"/>
        <v>5.9146983804808782E-2</v>
      </c>
      <c r="BN100" s="59">
        <f t="shared" si="195"/>
        <v>6.9951393502814985E-2</v>
      </c>
      <c r="BO100" s="59">
        <f t="shared" si="195"/>
        <v>5.5994925899165326E-2</v>
      </c>
      <c r="BP100" s="59">
        <f>BP60/BP91</f>
        <v>5.4419893640925775E-2</v>
      </c>
      <c r="BQ100" s="59">
        <f>BQ60/BQ91</f>
        <v>9.5102954027124348E-2</v>
      </c>
      <c r="CK100" s="59">
        <f t="shared" ref="CK100:CO100" si="196">CK60/CK91</f>
        <v>0.22837351719412444</v>
      </c>
      <c r="CL100" s="59">
        <f t="shared" si="196"/>
        <v>0.2413396506202756</v>
      </c>
      <c r="CM100" s="59">
        <f t="shared" si="196"/>
        <v>-1.8638346240490815E-2</v>
      </c>
      <c r="CN100" s="59">
        <f t="shared" si="196"/>
        <v>0.15071207430340558</v>
      </c>
      <c r="CO100" s="59">
        <f t="shared" si="196"/>
        <v>0.20718257159841941</v>
      </c>
    </row>
    <row r="101" spans="2:156" ht="14.25" customHeight="1"/>
    <row r="102" spans="2:156">
      <c r="B102" s="1" t="s">
        <v>135</v>
      </c>
      <c r="C102" s="1">
        <f t="shared" ref="C102:AT102" si="197">C60</f>
        <v>177</v>
      </c>
      <c r="D102" s="1">
        <f t="shared" si="197"/>
        <v>142</v>
      </c>
      <c r="E102" s="1">
        <f t="shared" si="197"/>
        <v>199</v>
      </c>
      <c r="F102" s="1">
        <f t="shared" si="197"/>
        <v>384</v>
      </c>
      <c r="G102" s="1">
        <f t="shared" si="197"/>
        <v>299</v>
      </c>
      <c r="H102" s="1">
        <f t="shared" si="197"/>
        <v>207</v>
      </c>
      <c r="I102" s="1">
        <f t="shared" si="197"/>
        <v>231</v>
      </c>
      <c r="J102" s="1">
        <f t="shared" si="197"/>
        <v>415</v>
      </c>
      <c r="K102" s="1">
        <f t="shared" si="197"/>
        <v>201</v>
      </c>
      <c r="L102" s="1">
        <f t="shared" si="197"/>
        <v>191</v>
      </c>
      <c r="M102" s="1">
        <f t="shared" si="197"/>
        <v>63</v>
      </c>
      <c r="N102" s="1">
        <f t="shared" si="197"/>
        <v>176</v>
      </c>
      <c r="O102" s="1">
        <f t="shared" si="197"/>
        <v>130</v>
      </c>
      <c r="P102" s="1">
        <f t="shared" si="197"/>
        <v>7</v>
      </c>
      <c r="Q102" s="1">
        <f t="shared" si="197"/>
        <v>-274</v>
      </c>
      <c r="R102" s="1">
        <f t="shared" si="197"/>
        <v>98</v>
      </c>
      <c r="S102" s="1">
        <f t="shared" si="197"/>
        <v>82</v>
      </c>
      <c r="T102" s="1">
        <f t="shared" si="197"/>
        <v>-7</v>
      </c>
      <c r="U102" s="1">
        <f t="shared" si="197"/>
        <v>-41</v>
      </c>
      <c r="V102" s="1">
        <f t="shared" si="197"/>
        <v>240</v>
      </c>
      <c r="W102" s="1">
        <f t="shared" si="197"/>
        <v>108</v>
      </c>
      <c r="X102" s="1">
        <f t="shared" si="197"/>
        <v>-126</v>
      </c>
      <c r="Y102" s="1">
        <f t="shared" si="197"/>
        <v>-437</v>
      </c>
      <c r="Z102" s="1">
        <f t="shared" si="197"/>
        <v>214</v>
      </c>
      <c r="AA102" s="1">
        <f t="shared" si="197"/>
        <v>-57</v>
      </c>
      <c r="AB102" s="1">
        <f t="shared" si="197"/>
        <v>92</v>
      </c>
      <c r="AC102" s="1">
        <f t="shared" si="197"/>
        <v>79</v>
      </c>
      <c r="AD102" s="1">
        <f t="shared" si="197"/>
        <v>482</v>
      </c>
      <c r="AE102" s="1">
        <f t="shared" si="197"/>
        <v>513</v>
      </c>
      <c r="AF102" s="1">
        <f t="shared" si="197"/>
        <v>857</v>
      </c>
      <c r="AG102" s="1">
        <f t="shared" si="197"/>
        <v>252</v>
      </c>
      <c r="AH102" s="1">
        <f t="shared" si="197"/>
        <v>749</v>
      </c>
      <c r="AI102" s="1">
        <f t="shared" si="197"/>
        <v>724</v>
      </c>
      <c r="AJ102" s="1">
        <f t="shared" si="197"/>
        <v>197</v>
      </c>
      <c r="AK102" s="1">
        <f t="shared" si="197"/>
        <v>256</v>
      </c>
      <c r="AL102" s="1">
        <f t="shared" si="197"/>
        <v>1856</v>
      </c>
      <c r="AM102" s="1">
        <f t="shared" si="197"/>
        <v>1629</v>
      </c>
      <c r="AN102" s="1">
        <f t="shared" si="197"/>
        <v>2534</v>
      </c>
      <c r="AO102" s="1">
        <f t="shared" si="197"/>
        <v>2883</v>
      </c>
      <c r="AP102" s="1">
        <f t="shared" si="197"/>
        <v>3027</v>
      </c>
      <c r="AQ102" s="1">
        <f t="shared" si="197"/>
        <v>3561</v>
      </c>
      <c r="AR102" s="1">
        <f t="shared" si="197"/>
        <v>2625</v>
      </c>
      <c r="AS102" s="1">
        <f t="shared" si="197"/>
        <v>2134</v>
      </c>
      <c r="AT102" s="1">
        <f t="shared" si="197"/>
        <v>3268</v>
      </c>
      <c r="AU102" s="1">
        <f t="shared" ref="AU102:AW102" si="198">AU60</f>
        <v>2535</v>
      </c>
      <c r="AV102" s="1">
        <f t="shared" si="198"/>
        <v>5243</v>
      </c>
      <c r="AW102" s="1">
        <f t="shared" si="198"/>
        <v>6149</v>
      </c>
      <c r="AX102" s="1">
        <f t="shared" ref="AX102:BO102" si="199">AX60</f>
        <v>7404</v>
      </c>
      <c r="AY102" s="1">
        <f t="shared" si="199"/>
        <v>8107</v>
      </c>
      <c r="AZ102" s="1">
        <f t="shared" si="199"/>
        <v>7778</v>
      </c>
      <c r="BA102" s="1">
        <f t="shared" si="199"/>
        <v>3156</v>
      </c>
      <c r="BB102" s="1">
        <f t="shared" si="199"/>
        <v>14323</v>
      </c>
      <c r="BC102" s="1">
        <f t="shared" si="199"/>
        <v>-3844</v>
      </c>
      <c r="BD102" s="1">
        <f t="shared" si="199"/>
        <v>-2028</v>
      </c>
      <c r="BE102" s="1">
        <f t="shared" si="199"/>
        <v>2872</v>
      </c>
      <c r="BF102" s="1">
        <f t="shared" si="199"/>
        <v>278</v>
      </c>
      <c r="BG102" s="1">
        <f t="shared" si="199"/>
        <v>3172</v>
      </c>
      <c r="BH102" s="1">
        <f t="shared" si="199"/>
        <v>6750</v>
      </c>
      <c r="BI102" s="1">
        <f t="shared" si="199"/>
        <v>9879</v>
      </c>
      <c r="BJ102" s="1">
        <f t="shared" si="199"/>
        <v>10624</v>
      </c>
      <c r="BK102" s="1">
        <f t="shared" si="199"/>
        <v>10431</v>
      </c>
      <c r="BL102" s="1">
        <f t="shared" si="199"/>
        <v>13485</v>
      </c>
      <c r="BM102" s="1">
        <f t="shared" si="199"/>
        <v>15328</v>
      </c>
      <c r="BN102" s="1">
        <f t="shared" si="199"/>
        <v>20004</v>
      </c>
      <c r="BO102" s="1">
        <f t="shared" si="199"/>
        <v>17127</v>
      </c>
      <c r="BP102" s="1">
        <f>BP60</f>
        <v>18164</v>
      </c>
      <c r="BQ102" s="1">
        <f>BQ60</f>
        <v>35153</v>
      </c>
      <c r="BZ102" s="1">
        <f t="shared" ref="BZ102:CJ102" si="200">BZ60</f>
        <v>902</v>
      </c>
      <c r="CA102" s="1">
        <f t="shared" si="200"/>
        <v>1152</v>
      </c>
      <c r="CB102" s="1">
        <f t="shared" si="200"/>
        <v>631</v>
      </c>
      <c r="CC102" s="1">
        <f t="shared" si="200"/>
        <v>-39</v>
      </c>
      <c r="CD102" s="1">
        <f t="shared" si="200"/>
        <v>274</v>
      </c>
      <c r="CE102" s="1">
        <f t="shared" si="200"/>
        <v>-241</v>
      </c>
      <c r="CF102" s="1">
        <f t="shared" si="200"/>
        <v>596</v>
      </c>
      <c r="CG102" s="1">
        <f t="shared" si="200"/>
        <v>2371</v>
      </c>
      <c r="CH102" s="1">
        <f t="shared" si="200"/>
        <v>3033</v>
      </c>
      <c r="CI102" s="1">
        <f t="shared" si="200"/>
        <v>10073</v>
      </c>
      <c r="CJ102" s="1">
        <f t="shared" si="200"/>
        <v>11588</v>
      </c>
      <c r="CK102" s="1">
        <f t="shared" ref="CK102:CN102" si="201">CK60</f>
        <v>21331</v>
      </c>
      <c r="CL102" s="1">
        <f t="shared" si="201"/>
        <v>33364</v>
      </c>
      <c r="CM102" s="1">
        <f t="shared" si="201"/>
        <v>-2722</v>
      </c>
      <c r="CN102" s="1">
        <f t="shared" si="201"/>
        <v>30425</v>
      </c>
      <c r="CO102" s="1">
        <f>CO60</f>
        <v>59248</v>
      </c>
    </row>
    <row r="103" spans="2:156" s="2" customFormat="1" ht="15">
      <c r="B103" s="2" t="s">
        <v>136</v>
      </c>
      <c r="C103" s="2">
        <v>-585</v>
      </c>
      <c r="D103" s="2">
        <v>468</v>
      </c>
      <c r="E103" s="2">
        <v>799</v>
      </c>
      <c r="F103" s="2">
        <v>2611</v>
      </c>
      <c r="G103" s="2">
        <v>-1098</v>
      </c>
      <c r="H103" s="2">
        <v>250</v>
      </c>
      <c r="I103" s="2">
        <v>855</v>
      </c>
      <c r="J103" s="2">
        <v>3488</v>
      </c>
      <c r="K103" s="2">
        <v>-1586</v>
      </c>
      <c r="L103" s="2">
        <v>423</v>
      </c>
      <c r="M103" s="2">
        <v>797</v>
      </c>
      <c r="N103" s="2">
        <v>4269</v>
      </c>
      <c r="O103" s="2">
        <v>-2438</v>
      </c>
      <c r="P103" s="2">
        <v>594</v>
      </c>
      <c r="Q103" s="2">
        <v>943</v>
      </c>
      <c r="R103" s="2">
        <v>5081</v>
      </c>
      <c r="S103" s="2">
        <v>-2372</v>
      </c>
      <c r="T103" s="2">
        <v>880</v>
      </c>
      <c r="U103" s="2">
        <v>1389</v>
      </c>
      <c r="V103" s="2">
        <v>5578</v>
      </c>
      <c r="W103" s="2">
        <v>-2502</v>
      </c>
      <c r="X103" s="2">
        <v>862</v>
      </c>
      <c r="Y103" s="2">
        <v>1767</v>
      </c>
      <c r="Z103" s="2">
        <v>6715</v>
      </c>
      <c r="AA103" s="2">
        <v>-1499</v>
      </c>
      <c r="AB103" s="2">
        <v>1997</v>
      </c>
      <c r="AC103" s="2">
        <v>2610</v>
      </c>
      <c r="AD103" s="2">
        <v>8931</v>
      </c>
      <c r="AE103" s="2">
        <v>-1953</v>
      </c>
      <c r="AF103" s="2">
        <v>3578</v>
      </c>
      <c r="AG103" s="2">
        <v>4659</v>
      </c>
      <c r="AH103" s="2">
        <v>10919</v>
      </c>
      <c r="AI103" s="2">
        <v>-1619</v>
      </c>
      <c r="AJ103" s="2">
        <v>3849</v>
      </c>
      <c r="AK103" s="2">
        <v>3777</v>
      </c>
      <c r="AL103" s="2">
        <v>12358</v>
      </c>
      <c r="AM103" s="2">
        <v>-1791</v>
      </c>
      <c r="AN103" s="2">
        <v>7449</v>
      </c>
      <c r="AO103" s="2">
        <v>8588</v>
      </c>
      <c r="AP103" s="2">
        <v>16477</v>
      </c>
      <c r="AQ103" s="2">
        <v>1846</v>
      </c>
      <c r="AR103" s="2">
        <v>9117</v>
      </c>
      <c r="AS103" s="2">
        <v>7892</v>
      </c>
      <c r="AT103" s="2">
        <v>19659</v>
      </c>
      <c r="AU103" s="2">
        <v>3064</v>
      </c>
      <c r="AV103" s="2">
        <v>20605</v>
      </c>
      <c r="AW103" s="2">
        <v>11964</v>
      </c>
      <c r="AX103" s="2">
        <v>30431</v>
      </c>
      <c r="AY103" s="2">
        <v>4213</v>
      </c>
      <c r="AZ103" s="2">
        <v>12715</v>
      </c>
      <c r="BA103" s="2">
        <v>7313</v>
      </c>
      <c r="BB103" s="2">
        <v>22086</v>
      </c>
      <c r="BC103" s="2">
        <v>-2790</v>
      </c>
      <c r="BD103" s="2">
        <v>8965</v>
      </c>
      <c r="BE103" s="2">
        <v>11404</v>
      </c>
      <c r="BF103" s="2">
        <v>29173</v>
      </c>
      <c r="BG103" s="2">
        <v>4788</v>
      </c>
      <c r="BH103" s="2">
        <v>16476</v>
      </c>
      <c r="BI103" s="2">
        <v>21217</v>
      </c>
      <c r="BJ103" s="2">
        <v>42465</v>
      </c>
      <c r="BK103" s="2">
        <v>18989</v>
      </c>
      <c r="BL103" s="2">
        <v>25281</v>
      </c>
      <c r="BM103" s="2">
        <v>25971</v>
      </c>
      <c r="BN103" s="2">
        <v>45636</v>
      </c>
      <c r="BO103" s="2">
        <v>17015</v>
      </c>
      <c r="BP103" s="2">
        <v>32515</v>
      </c>
      <c r="BQ103" s="2">
        <v>35525</v>
      </c>
      <c r="BR103" s="34"/>
      <c r="BS103" s="34"/>
      <c r="BT103" s="34"/>
      <c r="BU103" s="34"/>
      <c r="BZ103" s="2">
        <f>SUM(C103:F103)</f>
        <v>3293</v>
      </c>
      <c r="CA103" s="2">
        <f>SUM(G103:J103)</f>
        <v>3495</v>
      </c>
      <c r="CB103" s="2">
        <f>SUM(K103:N103)</f>
        <v>3903</v>
      </c>
      <c r="CC103" s="2">
        <f>SUM(O103:R103)</f>
        <v>4180</v>
      </c>
      <c r="CD103" s="2">
        <f>SUM(S103:V103)</f>
        <v>5475</v>
      </c>
      <c r="CE103" s="2">
        <f>SUM(W103:Z103)</f>
        <v>6842</v>
      </c>
      <c r="CF103" s="2">
        <f>SUM(AA103:AD103)</f>
        <v>12039</v>
      </c>
      <c r="CG103" s="2">
        <f>SUM(AE103:AH103)</f>
        <v>17203</v>
      </c>
      <c r="CH103" s="2">
        <f>SUM(AI103:AL103)</f>
        <v>18365</v>
      </c>
      <c r="CI103" s="2">
        <f>SUM(AM103:AP103)</f>
        <v>30723</v>
      </c>
      <c r="CJ103" s="2">
        <f>SUM(AQ103:AT103)</f>
        <v>38514</v>
      </c>
      <c r="CK103" s="2">
        <f>SUM(AU103:AX103)</f>
        <v>66064</v>
      </c>
      <c r="CL103" s="2">
        <f>SUM(AY103:BB103)</f>
        <v>46327</v>
      </c>
      <c r="CM103" s="2">
        <f>SUM(BC103:BF103)</f>
        <v>46752</v>
      </c>
      <c r="CN103" s="2">
        <f>SUM(BG103:BJ103)</f>
        <v>84946</v>
      </c>
      <c r="CO103" s="2">
        <f>SUM(BK103:BN103)</f>
        <v>115877</v>
      </c>
      <c r="CP103" s="66"/>
      <c r="CQ103" s="66"/>
      <c r="CR103" s="66"/>
      <c r="CS103" s="66"/>
      <c r="CT103" s="66"/>
      <c r="CU103" s="66"/>
      <c r="CV103" s="66"/>
      <c r="CW103" s="66"/>
      <c r="CX103" s="66"/>
      <c r="CY103" s="66"/>
      <c r="CZ103" s="66"/>
      <c r="DA103" s="66"/>
      <c r="DB103" s="66"/>
      <c r="DC103" s="66"/>
      <c r="DD103" s="66"/>
      <c r="DE103" s="66"/>
      <c r="DF103" s="66"/>
      <c r="DG103" s="66"/>
      <c r="DH103" s="66"/>
      <c r="DI103" s="66"/>
      <c r="DJ103" s="66"/>
      <c r="DK103" s="66"/>
      <c r="DL103" s="66"/>
      <c r="DM103" s="66"/>
      <c r="DN103" s="66"/>
      <c r="DO103" s="66"/>
      <c r="DP103" s="66"/>
      <c r="DQ103" s="66"/>
      <c r="DR103" s="66"/>
      <c r="DS103" s="66"/>
      <c r="DT103" s="66"/>
      <c r="DU103" s="66"/>
      <c r="DV103" s="66"/>
      <c r="DW103" s="66"/>
      <c r="DX103" s="66"/>
      <c r="DY103" s="66"/>
      <c r="DZ103" s="66"/>
      <c r="EA103" s="66"/>
      <c r="EB103" s="66"/>
      <c r="EC103" s="66"/>
      <c r="ED103" s="66"/>
      <c r="EE103" s="66"/>
      <c r="EF103" s="66"/>
      <c r="EG103" s="66"/>
      <c r="EH103" s="66"/>
      <c r="EI103" s="66"/>
      <c r="EJ103" s="66"/>
      <c r="EK103" s="66"/>
      <c r="EL103" s="66"/>
      <c r="EM103" s="66"/>
      <c r="EN103" s="66"/>
      <c r="EO103" s="66"/>
      <c r="EP103" s="66"/>
      <c r="EQ103" s="66"/>
      <c r="ER103" s="66"/>
      <c r="ES103" s="66"/>
      <c r="ET103" s="66"/>
      <c r="EU103" s="66"/>
      <c r="EV103" s="66"/>
      <c r="EW103" s="66"/>
      <c r="EX103" s="66"/>
      <c r="EY103" s="66"/>
      <c r="EZ103" s="66"/>
    </row>
    <row r="104" spans="2:156">
      <c r="B104" s="1" t="s">
        <v>137</v>
      </c>
      <c r="C104" s="1">
        <v>-55</v>
      </c>
      <c r="D104" s="1">
        <v>-78</v>
      </c>
      <c r="E104" s="1">
        <v>-103</v>
      </c>
      <c r="F104" s="1">
        <v>-137</v>
      </c>
      <c r="G104" s="1">
        <v>-140</v>
      </c>
      <c r="H104" s="1">
        <v>-196</v>
      </c>
      <c r="I104" s="1">
        <v>-315</v>
      </c>
      <c r="J104" s="1">
        <v>-328</v>
      </c>
      <c r="K104" s="1">
        <v>-298</v>
      </c>
      <c r="L104" s="1">
        <v>-433</v>
      </c>
      <c r="M104" s="1">
        <v>-530</v>
      </c>
      <c r="N104" s="1">
        <v>-550</v>
      </c>
      <c r="O104" s="1">
        <v>-386</v>
      </c>
      <c r="P104" s="1">
        <v>-657</v>
      </c>
      <c r="Q104" s="1">
        <v>-716</v>
      </c>
      <c r="R104" s="1">
        <v>-2026</v>
      </c>
      <c r="S104" s="1">
        <v>-670</v>
      </c>
      <c r="T104" s="1">
        <v>-856</v>
      </c>
      <c r="U104" s="1">
        <v>-1039</v>
      </c>
      <c r="V104" s="1">
        <v>-879</v>
      </c>
      <c r="W104" s="1">
        <v>-1080</v>
      </c>
      <c r="X104" s="1">
        <v>-1290</v>
      </c>
      <c r="Y104" s="1">
        <v>-1378</v>
      </c>
      <c r="Z104" s="1">
        <v>-1145</v>
      </c>
      <c r="AA104" s="1">
        <v>-871</v>
      </c>
      <c r="AB104" s="1">
        <v>-1213</v>
      </c>
      <c r="AC104" s="1">
        <v>-1196</v>
      </c>
      <c r="AD104" s="1">
        <v>-1309</v>
      </c>
      <c r="AE104" s="1">
        <v>-1179</v>
      </c>
      <c r="AF104" s="1">
        <v>-1711</v>
      </c>
      <c r="AG104" s="1">
        <v>-1841</v>
      </c>
      <c r="AH104" s="1">
        <v>-2006</v>
      </c>
      <c r="AI104" s="1">
        <v>-1861</v>
      </c>
      <c r="AJ104" s="1">
        <v>-2501</v>
      </c>
      <c r="AK104" s="1">
        <v>-2660</v>
      </c>
      <c r="AL104" s="1">
        <v>-3036</v>
      </c>
      <c r="AM104" s="1">
        <v>-2727</v>
      </c>
      <c r="AN104" s="1">
        <v>-2949</v>
      </c>
      <c r="AO104" s="1">
        <v>-2527</v>
      </c>
      <c r="AP104" s="1">
        <v>-3120</v>
      </c>
      <c r="AQ104" s="1">
        <v>-2721</v>
      </c>
      <c r="AR104" s="1">
        <v>-2643</v>
      </c>
      <c r="AS104" s="1">
        <v>-3385</v>
      </c>
      <c r="AT104" s="1">
        <v>-3940</v>
      </c>
      <c r="AU104" s="1">
        <v>-5428</v>
      </c>
      <c r="AV104" s="1">
        <v>-6614</v>
      </c>
      <c r="AW104" s="1">
        <v>-9808</v>
      </c>
      <c r="AX104" s="1">
        <v>-13194</v>
      </c>
      <c r="AY104" s="1">
        <v>-11187</v>
      </c>
      <c r="AZ104" s="1">
        <v>-12988</v>
      </c>
      <c r="BA104" s="1">
        <v>-14751</v>
      </c>
      <c r="BB104" s="1">
        <v>-16470</v>
      </c>
      <c r="BC104" s="1">
        <v>-13742</v>
      </c>
      <c r="BD104" s="1">
        <v>-14098</v>
      </c>
      <c r="BE104" s="1">
        <v>-15041</v>
      </c>
      <c r="BF104" s="1">
        <v>-15440</v>
      </c>
      <c r="BG104" s="1">
        <v>-13070</v>
      </c>
      <c r="BH104" s="1">
        <v>-10412</v>
      </c>
      <c r="BI104" s="1">
        <v>-11298</v>
      </c>
      <c r="BJ104" s="1">
        <v>-13353</v>
      </c>
      <c r="BK104" s="1">
        <v>-13935</v>
      </c>
      <c r="BL104" s="1">
        <v>-16393</v>
      </c>
      <c r="BM104" s="1">
        <v>-21278</v>
      </c>
      <c r="BN104" s="1">
        <v>-26052</v>
      </c>
      <c r="BO104" s="1">
        <v>-24255</v>
      </c>
      <c r="BP104" s="1">
        <v>-31368</v>
      </c>
      <c r="BQ104" s="1">
        <v>-35095</v>
      </c>
      <c r="BZ104" s="1">
        <f>SUM(C104:F104)</f>
        <v>-373</v>
      </c>
      <c r="CA104" s="1">
        <f>SUM(G104:J104)</f>
        <v>-979</v>
      </c>
      <c r="CB104" s="1">
        <f>SUM(K104:N104)</f>
        <v>-1811</v>
      </c>
      <c r="CC104" s="1">
        <f>SUM(O104:R104)</f>
        <v>-3785</v>
      </c>
      <c r="CD104" s="1">
        <f>SUM(S104:V104)</f>
        <v>-3444</v>
      </c>
      <c r="CE104" s="1">
        <f>SUM(W104:Z104)</f>
        <v>-4893</v>
      </c>
      <c r="CF104" s="1">
        <f>SUM(AA104:AD104)</f>
        <v>-4589</v>
      </c>
      <c r="CG104" s="1">
        <f>SUM(AE104:AH104)</f>
        <v>-6737</v>
      </c>
      <c r="CH104" s="1">
        <f>SUM(AI104:AL104)</f>
        <v>-10058</v>
      </c>
      <c r="CI104" s="1">
        <f>SUM(AM104:AP104)</f>
        <v>-11323</v>
      </c>
      <c r="CJ104" s="1">
        <f>SUM(AQ104:AT104)</f>
        <v>-12689</v>
      </c>
      <c r="CK104" s="1">
        <f>SUM(AU104:AX104)</f>
        <v>-35044</v>
      </c>
      <c r="CL104" s="1">
        <f>SUM(AY104:BB104)</f>
        <v>-55396</v>
      </c>
      <c r="CM104" s="1">
        <f>SUM(BC104:BF104)</f>
        <v>-58321</v>
      </c>
      <c r="CN104" s="1">
        <f>SUM(BG104:BJ104)</f>
        <v>-48133</v>
      </c>
      <c r="CO104" s="1">
        <f>SUM(BK104:BN104)</f>
        <v>-77658</v>
      </c>
    </row>
    <row r="105" spans="2:156" s="2" customFormat="1" ht="15">
      <c r="B105" s="2" t="s">
        <v>138</v>
      </c>
      <c r="C105" s="2">
        <f t="shared" ref="C105:BJ105" si="202">C103+C104</f>
        <v>-640</v>
      </c>
      <c r="D105" s="2">
        <f t="shared" si="202"/>
        <v>390</v>
      </c>
      <c r="E105" s="2">
        <f t="shared" si="202"/>
        <v>696</v>
      </c>
      <c r="F105" s="2">
        <f t="shared" si="202"/>
        <v>2474</v>
      </c>
      <c r="G105" s="2">
        <f t="shared" si="202"/>
        <v>-1238</v>
      </c>
      <c r="H105" s="2">
        <f t="shared" si="202"/>
        <v>54</v>
      </c>
      <c r="I105" s="2">
        <f t="shared" si="202"/>
        <v>540</v>
      </c>
      <c r="J105" s="2">
        <f t="shared" si="202"/>
        <v>3160</v>
      </c>
      <c r="K105" s="2">
        <f t="shared" si="202"/>
        <v>-1884</v>
      </c>
      <c r="L105" s="2">
        <f t="shared" si="202"/>
        <v>-10</v>
      </c>
      <c r="M105" s="2">
        <f t="shared" si="202"/>
        <v>267</v>
      </c>
      <c r="N105" s="2">
        <f t="shared" si="202"/>
        <v>3719</v>
      </c>
      <c r="O105" s="2">
        <f t="shared" si="202"/>
        <v>-2824</v>
      </c>
      <c r="P105" s="2">
        <f t="shared" si="202"/>
        <v>-63</v>
      </c>
      <c r="Q105" s="2">
        <f t="shared" si="202"/>
        <v>227</v>
      </c>
      <c r="R105" s="2">
        <f t="shared" si="202"/>
        <v>3055</v>
      </c>
      <c r="S105" s="2">
        <f t="shared" si="202"/>
        <v>-3042</v>
      </c>
      <c r="T105" s="2">
        <f t="shared" si="202"/>
        <v>24</v>
      </c>
      <c r="U105" s="2">
        <f t="shared" si="202"/>
        <v>350</v>
      </c>
      <c r="V105" s="2">
        <f t="shared" si="202"/>
        <v>4699</v>
      </c>
      <c r="W105" s="2">
        <f t="shared" si="202"/>
        <v>-3582</v>
      </c>
      <c r="X105" s="2">
        <f t="shared" si="202"/>
        <v>-428</v>
      </c>
      <c r="Y105" s="2">
        <f t="shared" si="202"/>
        <v>389</v>
      </c>
      <c r="Z105" s="2">
        <f t="shared" si="202"/>
        <v>5570</v>
      </c>
      <c r="AA105" s="2">
        <f t="shared" si="202"/>
        <v>-2370</v>
      </c>
      <c r="AB105" s="2">
        <f t="shared" si="202"/>
        <v>784</v>
      </c>
      <c r="AC105" s="2">
        <f t="shared" si="202"/>
        <v>1414</v>
      </c>
      <c r="AD105" s="2">
        <f t="shared" si="202"/>
        <v>7622</v>
      </c>
      <c r="AE105" s="2">
        <f t="shared" si="202"/>
        <v>-3132</v>
      </c>
      <c r="AF105" s="2">
        <f t="shared" si="202"/>
        <v>1867</v>
      </c>
      <c r="AG105" s="2">
        <f t="shared" si="202"/>
        <v>2818</v>
      </c>
      <c r="AH105" s="2">
        <f t="shared" si="202"/>
        <v>8913</v>
      </c>
      <c r="AI105" s="2">
        <f t="shared" si="202"/>
        <v>-3480</v>
      </c>
      <c r="AJ105" s="2">
        <f t="shared" si="202"/>
        <v>1348</v>
      </c>
      <c r="AK105" s="2">
        <f t="shared" si="202"/>
        <v>1117</v>
      </c>
      <c r="AL105" s="2">
        <f t="shared" si="202"/>
        <v>9322</v>
      </c>
      <c r="AM105" s="2">
        <f t="shared" si="202"/>
        <v>-4518</v>
      </c>
      <c r="AN105" s="2">
        <f t="shared" si="202"/>
        <v>4500</v>
      </c>
      <c r="AO105" s="2">
        <f t="shared" si="202"/>
        <v>6061</v>
      </c>
      <c r="AP105" s="2">
        <f t="shared" si="202"/>
        <v>13357</v>
      </c>
      <c r="AQ105" s="2">
        <f t="shared" si="202"/>
        <v>-875</v>
      </c>
      <c r="AR105" s="2">
        <f t="shared" si="202"/>
        <v>6474</v>
      </c>
      <c r="AS105" s="2">
        <f t="shared" si="202"/>
        <v>4507</v>
      </c>
      <c r="AT105" s="2">
        <f t="shared" si="202"/>
        <v>15719</v>
      </c>
      <c r="AU105" s="2">
        <f t="shared" si="202"/>
        <v>-2364</v>
      </c>
      <c r="AV105" s="2">
        <f t="shared" si="202"/>
        <v>13991</v>
      </c>
      <c r="AW105" s="2">
        <f t="shared" si="202"/>
        <v>2156</v>
      </c>
      <c r="AX105" s="2">
        <f t="shared" si="202"/>
        <v>17237</v>
      </c>
      <c r="AY105" s="2">
        <f t="shared" si="202"/>
        <v>-6974</v>
      </c>
      <c r="AZ105" s="2">
        <f t="shared" si="202"/>
        <v>-273</v>
      </c>
      <c r="BA105" s="2">
        <f t="shared" si="202"/>
        <v>-7438</v>
      </c>
      <c r="BB105" s="2">
        <f t="shared" si="202"/>
        <v>5616</v>
      </c>
      <c r="BC105" s="2">
        <f t="shared" si="202"/>
        <v>-16532</v>
      </c>
      <c r="BD105" s="2">
        <f t="shared" si="202"/>
        <v>-5133</v>
      </c>
      <c r="BE105" s="2">
        <f t="shared" si="202"/>
        <v>-3637</v>
      </c>
      <c r="BF105" s="2">
        <f t="shared" si="202"/>
        <v>13733</v>
      </c>
      <c r="BG105" s="2">
        <f t="shared" si="202"/>
        <v>-8282</v>
      </c>
      <c r="BH105" s="2">
        <f t="shared" si="202"/>
        <v>6064</v>
      </c>
      <c r="BI105" s="2">
        <f t="shared" si="202"/>
        <v>9919</v>
      </c>
      <c r="BJ105" s="2">
        <f t="shared" si="202"/>
        <v>29112</v>
      </c>
      <c r="BK105" s="2">
        <f t="shared" ref="BK105:BO105" si="203">BK103+BK104</f>
        <v>5054</v>
      </c>
      <c r="BL105" s="2">
        <f t="shared" si="203"/>
        <v>8888</v>
      </c>
      <c r="BM105" s="2">
        <f t="shared" si="203"/>
        <v>4693</v>
      </c>
      <c r="BN105" s="2">
        <f t="shared" si="203"/>
        <v>19584</v>
      </c>
      <c r="BO105" s="2">
        <f t="shared" si="203"/>
        <v>-7240</v>
      </c>
      <c r="BP105" s="2">
        <f>BP103+BP104</f>
        <v>1147</v>
      </c>
      <c r="BQ105" s="2">
        <f>BQ103+BQ104</f>
        <v>430</v>
      </c>
      <c r="BR105" s="34"/>
      <c r="BS105" s="34"/>
      <c r="BT105" s="34"/>
      <c r="BU105" s="34"/>
      <c r="BZ105" s="2">
        <f t="shared" ref="BZ105:CN105" si="204">BZ103+BZ104</f>
        <v>2920</v>
      </c>
      <c r="CA105" s="2">
        <f t="shared" si="204"/>
        <v>2516</v>
      </c>
      <c r="CB105" s="2">
        <f t="shared" si="204"/>
        <v>2092</v>
      </c>
      <c r="CC105" s="2">
        <f t="shared" si="204"/>
        <v>395</v>
      </c>
      <c r="CD105" s="2">
        <f t="shared" si="204"/>
        <v>2031</v>
      </c>
      <c r="CE105" s="2">
        <f t="shared" si="204"/>
        <v>1949</v>
      </c>
      <c r="CF105" s="2">
        <f t="shared" si="204"/>
        <v>7450</v>
      </c>
      <c r="CG105" s="2">
        <f t="shared" si="204"/>
        <v>10466</v>
      </c>
      <c r="CH105" s="2">
        <f t="shared" si="204"/>
        <v>8307</v>
      </c>
      <c r="CI105" s="2">
        <f t="shared" si="204"/>
        <v>19400</v>
      </c>
      <c r="CJ105" s="2">
        <f t="shared" si="204"/>
        <v>25825</v>
      </c>
      <c r="CK105" s="2">
        <f t="shared" si="204"/>
        <v>31020</v>
      </c>
      <c r="CL105" s="2">
        <f t="shared" si="204"/>
        <v>-9069</v>
      </c>
      <c r="CM105" s="2">
        <f t="shared" si="204"/>
        <v>-11569</v>
      </c>
      <c r="CN105" s="2">
        <f t="shared" si="204"/>
        <v>36813</v>
      </c>
      <c r="CO105" s="2">
        <f>CO103+CO104</f>
        <v>38219</v>
      </c>
      <c r="CP105" s="66"/>
      <c r="CQ105" s="66"/>
      <c r="CR105" s="66"/>
      <c r="CS105" s="66"/>
      <c r="CT105" s="66"/>
      <c r="CU105" s="66"/>
      <c r="CV105" s="66"/>
      <c r="CW105" s="66"/>
      <c r="CX105" s="66"/>
      <c r="CY105" s="66"/>
      <c r="CZ105" s="66"/>
      <c r="DA105" s="66"/>
      <c r="DB105" s="66"/>
      <c r="DC105" s="66"/>
      <c r="DD105" s="66"/>
      <c r="DE105" s="66"/>
      <c r="DF105" s="66"/>
      <c r="DG105" s="66"/>
      <c r="DH105" s="66"/>
      <c r="DI105" s="66"/>
      <c r="DJ105" s="66"/>
      <c r="DK105" s="66"/>
      <c r="DL105" s="66"/>
      <c r="DM105" s="66"/>
      <c r="DN105" s="66"/>
      <c r="DO105" s="66"/>
      <c r="DP105" s="66"/>
      <c r="DQ105" s="66"/>
      <c r="DR105" s="66"/>
      <c r="DS105" s="66"/>
      <c r="DT105" s="66"/>
      <c r="DU105" s="66"/>
      <c r="DV105" s="66"/>
      <c r="DW105" s="66"/>
      <c r="DX105" s="66"/>
      <c r="DY105" s="66"/>
      <c r="DZ105" s="66"/>
      <c r="EA105" s="66"/>
      <c r="EB105" s="66"/>
      <c r="EC105" s="66"/>
      <c r="ED105" s="66"/>
      <c r="EE105" s="66"/>
      <c r="EF105" s="66"/>
      <c r="EG105" s="66"/>
      <c r="EH105" s="66"/>
      <c r="EI105" s="66"/>
      <c r="EJ105" s="66"/>
      <c r="EK105" s="66"/>
      <c r="EL105" s="66"/>
      <c r="EM105" s="66"/>
      <c r="EN105" s="66"/>
      <c r="EO105" s="66"/>
      <c r="EP105" s="66"/>
      <c r="EQ105" s="66"/>
      <c r="ER105" s="66"/>
      <c r="ES105" s="66"/>
      <c r="ET105" s="66"/>
      <c r="EU105" s="66"/>
      <c r="EV105" s="66"/>
      <c r="EW105" s="66"/>
      <c r="EX105" s="66"/>
      <c r="EY105" s="66"/>
      <c r="EZ105" s="66"/>
    </row>
    <row r="106" spans="2:156">
      <c r="B106" s="1" t="s">
        <v>139</v>
      </c>
      <c r="C106" s="1">
        <f t="shared" ref="C106:BJ106" si="205">C61</f>
        <v>8580</v>
      </c>
      <c r="D106" s="1">
        <f t="shared" si="205"/>
        <v>8620</v>
      </c>
      <c r="E106" s="1">
        <f t="shared" si="205"/>
        <v>8640</v>
      </c>
      <c r="F106" s="1">
        <f t="shared" si="205"/>
        <v>8660</v>
      </c>
      <c r="G106" s="1">
        <f t="shared" si="205"/>
        <v>8900</v>
      </c>
      <c r="H106" s="1">
        <f t="shared" si="205"/>
        <v>8940</v>
      </c>
      <c r="I106" s="1">
        <f t="shared" si="205"/>
        <v>8960</v>
      </c>
      <c r="J106" s="1">
        <f t="shared" si="205"/>
        <v>8940</v>
      </c>
      <c r="K106" s="1">
        <f t="shared" si="205"/>
        <v>9020</v>
      </c>
      <c r="L106" s="1">
        <f t="shared" si="205"/>
        <v>9060</v>
      </c>
      <c r="M106" s="1">
        <f t="shared" si="205"/>
        <v>9080</v>
      </c>
      <c r="N106" s="1">
        <f t="shared" si="205"/>
        <v>9060</v>
      </c>
      <c r="O106" s="1">
        <f t="shared" si="205"/>
        <v>9060</v>
      </c>
      <c r="P106" s="1">
        <f t="shared" si="205"/>
        <v>9020</v>
      </c>
      <c r="Q106" s="1">
        <f t="shared" si="205"/>
        <v>9040</v>
      </c>
      <c r="R106" s="1">
        <f t="shared" si="205"/>
        <v>9060</v>
      </c>
      <c r="S106" s="1">
        <f t="shared" si="205"/>
        <v>9100</v>
      </c>
      <c r="T106" s="1">
        <f t="shared" si="205"/>
        <v>9120</v>
      </c>
      <c r="U106" s="1">
        <f t="shared" si="205"/>
        <v>9140</v>
      </c>
      <c r="V106" s="1">
        <f t="shared" si="205"/>
        <v>9140</v>
      </c>
      <c r="W106" s="1">
        <f t="shared" si="205"/>
        <v>9200</v>
      </c>
      <c r="X106" s="1">
        <f t="shared" si="205"/>
        <v>9220</v>
      </c>
      <c r="Y106" s="1">
        <f t="shared" si="205"/>
        <v>9260</v>
      </c>
      <c r="Z106" s="1">
        <f t="shared" si="205"/>
        <v>9240</v>
      </c>
      <c r="AA106" s="1">
        <f t="shared" si="205"/>
        <v>9300</v>
      </c>
      <c r="AB106" s="1">
        <f t="shared" si="205"/>
        <v>9340</v>
      </c>
      <c r="AC106" s="1">
        <f t="shared" si="205"/>
        <v>9360</v>
      </c>
      <c r="AD106" s="1">
        <f t="shared" si="205"/>
        <v>9340</v>
      </c>
      <c r="AE106" s="1">
        <f t="shared" si="205"/>
        <v>9420</v>
      </c>
      <c r="AF106" s="1">
        <f t="shared" si="205"/>
        <v>9460</v>
      </c>
      <c r="AG106" s="1">
        <f t="shared" si="205"/>
        <v>9480</v>
      </c>
      <c r="AH106" s="1">
        <f t="shared" si="205"/>
        <v>9480</v>
      </c>
      <c r="AI106" s="1">
        <f t="shared" si="205"/>
        <v>9540</v>
      </c>
      <c r="AJ106" s="1">
        <f t="shared" si="205"/>
        <v>9580</v>
      </c>
      <c r="AK106" s="1">
        <f t="shared" si="205"/>
        <v>9620</v>
      </c>
      <c r="AL106" s="1">
        <f t="shared" si="205"/>
        <v>9600</v>
      </c>
      <c r="AM106" s="1">
        <f t="shared" si="205"/>
        <v>9680</v>
      </c>
      <c r="AN106" s="1">
        <f t="shared" si="205"/>
        <v>9720</v>
      </c>
      <c r="AO106" s="1">
        <f t="shared" si="205"/>
        <v>9760</v>
      </c>
      <c r="AP106" s="1">
        <f t="shared" si="205"/>
        <v>9740</v>
      </c>
      <c r="AQ106" s="1">
        <f t="shared" si="205"/>
        <v>9820</v>
      </c>
      <c r="AR106" s="1">
        <f t="shared" si="205"/>
        <v>9860</v>
      </c>
      <c r="AS106" s="1">
        <f t="shared" si="205"/>
        <v>9900</v>
      </c>
      <c r="AT106" s="1">
        <f t="shared" si="205"/>
        <v>9880</v>
      </c>
      <c r="AU106" s="1">
        <f t="shared" si="205"/>
        <v>9960</v>
      </c>
      <c r="AV106" s="1">
        <f t="shared" si="205"/>
        <v>10000</v>
      </c>
      <c r="AW106" s="1">
        <f t="shared" si="205"/>
        <v>10020</v>
      </c>
      <c r="AX106" s="1">
        <f t="shared" si="205"/>
        <v>10005</v>
      </c>
      <c r="AY106" s="1">
        <f t="shared" si="205"/>
        <v>10080</v>
      </c>
      <c r="AZ106" s="1">
        <f t="shared" si="205"/>
        <v>10100</v>
      </c>
      <c r="BA106" s="1">
        <f t="shared" si="205"/>
        <v>10132</v>
      </c>
      <c r="BB106" s="1">
        <f t="shared" si="205"/>
        <v>10017</v>
      </c>
      <c r="BC106" s="1">
        <f t="shared" si="205"/>
        <v>10171</v>
      </c>
      <c r="BD106" s="1">
        <f t="shared" si="205"/>
        <v>10175</v>
      </c>
      <c r="BE106" s="1">
        <f t="shared" si="205"/>
        <v>10191</v>
      </c>
      <c r="BF106" s="1">
        <f t="shared" si="205"/>
        <v>10189</v>
      </c>
      <c r="BG106" s="1">
        <f t="shared" si="205"/>
        <v>10250</v>
      </c>
      <c r="BH106" s="1">
        <f t="shared" si="205"/>
        <v>10285</v>
      </c>
      <c r="BI106" s="1">
        <f t="shared" si="205"/>
        <v>10322</v>
      </c>
      <c r="BJ106" s="1">
        <f t="shared" si="205"/>
        <v>10304</v>
      </c>
      <c r="BK106" s="1">
        <f t="shared" ref="BK106:BO106" si="206">BK61</f>
        <v>10393</v>
      </c>
      <c r="BL106" s="1">
        <f t="shared" si="206"/>
        <v>10447</v>
      </c>
      <c r="BM106" s="1">
        <f t="shared" si="206"/>
        <v>10501</v>
      </c>
      <c r="BN106" s="1">
        <f t="shared" si="206"/>
        <v>10473</v>
      </c>
      <c r="BO106" s="1">
        <f t="shared" si="206"/>
        <v>10603</v>
      </c>
      <c r="BP106" s="1">
        <f>BP61</f>
        <v>10637</v>
      </c>
      <c r="BQ106" s="1">
        <f>BQ61</f>
        <v>10674</v>
      </c>
      <c r="BZ106" s="62">
        <f t="shared" ref="BZ106:CN106" si="207">BZ61</f>
        <v>8625</v>
      </c>
      <c r="CA106" s="62">
        <f t="shared" si="207"/>
        <v>8935</v>
      </c>
      <c r="CB106" s="62">
        <f t="shared" si="207"/>
        <v>9055</v>
      </c>
      <c r="CC106" s="62">
        <f t="shared" si="207"/>
        <v>9045</v>
      </c>
      <c r="CD106" s="62">
        <f t="shared" si="207"/>
        <v>9125</v>
      </c>
      <c r="CE106" s="62">
        <f t="shared" si="207"/>
        <v>9230</v>
      </c>
      <c r="CF106" s="62">
        <f t="shared" si="207"/>
        <v>9335</v>
      </c>
      <c r="CG106" s="62">
        <f t="shared" si="207"/>
        <v>9460</v>
      </c>
      <c r="CH106" s="62">
        <f t="shared" si="207"/>
        <v>9585</v>
      </c>
      <c r="CI106" s="62">
        <f t="shared" si="207"/>
        <v>9725</v>
      </c>
      <c r="CJ106" s="62">
        <f t="shared" si="207"/>
        <v>9865</v>
      </c>
      <c r="CK106" s="62">
        <f t="shared" si="207"/>
        <v>9996.25</v>
      </c>
      <c r="CL106" s="62">
        <f t="shared" si="207"/>
        <v>10082.25</v>
      </c>
      <c r="CM106" s="62">
        <f t="shared" si="207"/>
        <v>10181.5</v>
      </c>
      <c r="CN106" s="62">
        <f t="shared" si="207"/>
        <v>10290.25</v>
      </c>
      <c r="CO106" s="62">
        <f>CO61</f>
        <v>10453.5</v>
      </c>
    </row>
    <row r="107" spans="2:156">
      <c r="B107" s="1" t="s">
        <v>140</v>
      </c>
      <c r="C107" s="39">
        <f t="shared" ref="C107:BJ107" si="208">C105/C106</f>
        <v>-7.4592074592074592E-2</v>
      </c>
      <c r="D107" s="39">
        <f t="shared" si="208"/>
        <v>4.5243619489559163E-2</v>
      </c>
      <c r="E107" s="39">
        <f t="shared" si="208"/>
        <v>8.0555555555555561E-2</v>
      </c>
      <c r="F107" s="39">
        <f t="shared" si="208"/>
        <v>0.28568129330254044</v>
      </c>
      <c r="G107" s="39">
        <f t="shared" si="208"/>
        <v>-0.13910112359550561</v>
      </c>
      <c r="H107" s="39">
        <f t="shared" si="208"/>
        <v>6.0402684563758387E-3</v>
      </c>
      <c r="I107" s="39">
        <f t="shared" si="208"/>
        <v>6.0267857142857144E-2</v>
      </c>
      <c r="J107" s="39">
        <f t="shared" si="208"/>
        <v>0.3534675615212528</v>
      </c>
      <c r="K107" s="39">
        <f t="shared" si="208"/>
        <v>-0.20886917960088691</v>
      </c>
      <c r="L107" s="39">
        <f t="shared" si="208"/>
        <v>-1.1037527593818985E-3</v>
      </c>
      <c r="M107" s="39">
        <f t="shared" si="208"/>
        <v>2.9405286343612336E-2</v>
      </c>
      <c r="N107" s="39">
        <f t="shared" si="208"/>
        <v>0.41048565121412806</v>
      </c>
      <c r="O107" s="39">
        <f t="shared" si="208"/>
        <v>-0.31169977924944814</v>
      </c>
      <c r="P107" s="39">
        <f t="shared" si="208"/>
        <v>-6.9844789356984481E-3</v>
      </c>
      <c r="Q107" s="39">
        <f t="shared" si="208"/>
        <v>2.5110619469026547E-2</v>
      </c>
      <c r="R107" s="39">
        <f t="shared" si="208"/>
        <v>0.33719646799116998</v>
      </c>
      <c r="S107" s="39">
        <f t="shared" si="208"/>
        <v>-0.3342857142857143</v>
      </c>
      <c r="T107" s="39">
        <f t="shared" si="208"/>
        <v>2.631578947368421E-3</v>
      </c>
      <c r="U107" s="39">
        <f t="shared" si="208"/>
        <v>3.8293216630196934E-2</v>
      </c>
      <c r="V107" s="39">
        <f t="shared" si="208"/>
        <v>0.51411378555798692</v>
      </c>
      <c r="W107" s="39">
        <f t="shared" si="208"/>
        <v>-0.38934782608695651</v>
      </c>
      <c r="X107" s="39">
        <f t="shared" si="208"/>
        <v>-4.6420824295010849E-2</v>
      </c>
      <c r="Y107" s="39">
        <f t="shared" si="208"/>
        <v>4.2008639308855289E-2</v>
      </c>
      <c r="Z107" s="39">
        <f t="shared" si="208"/>
        <v>0.6028138528138528</v>
      </c>
      <c r="AA107" s="39">
        <f t="shared" si="208"/>
        <v>-0.25483870967741934</v>
      </c>
      <c r="AB107" s="39">
        <f t="shared" si="208"/>
        <v>8.3940042826552458E-2</v>
      </c>
      <c r="AC107" s="39">
        <f t="shared" si="208"/>
        <v>0.15106837606837606</v>
      </c>
      <c r="AD107" s="39">
        <f t="shared" si="208"/>
        <v>0.81605995717344759</v>
      </c>
      <c r="AE107" s="39">
        <f t="shared" si="208"/>
        <v>-0.332484076433121</v>
      </c>
      <c r="AF107" s="39">
        <f t="shared" si="208"/>
        <v>0.19735729386892178</v>
      </c>
      <c r="AG107" s="39">
        <f t="shared" si="208"/>
        <v>0.29725738396624474</v>
      </c>
      <c r="AH107" s="39">
        <f t="shared" si="208"/>
        <v>0.94018987341772153</v>
      </c>
      <c r="AI107" s="39">
        <f t="shared" si="208"/>
        <v>-0.36477987421383645</v>
      </c>
      <c r="AJ107" s="39">
        <f t="shared" si="208"/>
        <v>0.14070981210855951</v>
      </c>
      <c r="AK107" s="39">
        <f t="shared" si="208"/>
        <v>0.11611226611226612</v>
      </c>
      <c r="AL107" s="39">
        <f t="shared" si="208"/>
        <v>0.97104166666666669</v>
      </c>
      <c r="AM107" s="39">
        <f t="shared" si="208"/>
        <v>-0.46673553719008265</v>
      </c>
      <c r="AN107" s="39">
        <f t="shared" si="208"/>
        <v>0.46296296296296297</v>
      </c>
      <c r="AO107" s="39">
        <f t="shared" si="208"/>
        <v>0.62100409836065573</v>
      </c>
      <c r="AP107" s="39">
        <f t="shared" si="208"/>
        <v>1.3713552361396304</v>
      </c>
      <c r="AQ107" s="39">
        <f t="shared" si="208"/>
        <v>-8.910386965376782E-2</v>
      </c>
      <c r="AR107" s="39">
        <f t="shared" si="208"/>
        <v>0.65659229208924952</v>
      </c>
      <c r="AS107" s="39">
        <f t="shared" si="208"/>
        <v>0.45525252525252524</v>
      </c>
      <c r="AT107" s="39">
        <f t="shared" si="208"/>
        <v>1.590991902834008</v>
      </c>
      <c r="AU107" s="39">
        <f t="shared" si="208"/>
        <v>-0.23734939759036144</v>
      </c>
      <c r="AV107" s="39">
        <f t="shared" si="208"/>
        <v>1.3991</v>
      </c>
      <c r="AW107" s="39">
        <f t="shared" si="208"/>
        <v>0.21516966067864271</v>
      </c>
      <c r="AX107" s="39">
        <f t="shared" si="208"/>
        <v>1.7228385807096451</v>
      </c>
      <c r="AY107" s="39">
        <f t="shared" si="208"/>
        <v>-0.69186507936507935</v>
      </c>
      <c r="AZ107" s="39">
        <f t="shared" si="208"/>
        <v>-2.7029702970297029E-2</v>
      </c>
      <c r="BA107" s="39">
        <f t="shared" si="208"/>
        <v>-0.73410975128306355</v>
      </c>
      <c r="BB107" s="39">
        <f t="shared" si="208"/>
        <v>0.56064690026954178</v>
      </c>
      <c r="BC107" s="39">
        <f t="shared" si="208"/>
        <v>-1.6254055648412151</v>
      </c>
      <c r="BD107" s="39">
        <f t="shared" si="208"/>
        <v>-0.50447174447174448</v>
      </c>
      <c r="BE107" s="39">
        <f t="shared" si="208"/>
        <v>-0.35688352467863799</v>
      </c>
      <c r="BF107" s="39">
        <f t="shared" si="208"/>
        <v>1.3478260869565217</v>
      </c>
      <c r="BG107" s="39">
        <f t="shared" si="208"/>
        <v>-0.80800000000000005</v>
      </c>
      <c r="BH107" s="39">
        <f t="shared" si="208"/>
        <v>0.58959649975692752</v>
      </c>
      <c r="BI107" s="39">
        <f t="shared" si="208"/>
        <v>0.96095717884130982</v>
      </c>
      <c r="BJ107" s="39">
        <f t="shared" si="208"/>
        <v>2.8253105590062111</v>
      </c>
      <c r="BK107" s="39">
        <f t="shared" ref="BK107:BO107" si="209">BK105/BK106</f>
        <v>0.48628884826325414</v>
      </c>
      <c r="BL107" s="39">
        <f t="shared" si="209"/>
        <v>0.85077055614051877</v>
      </c>
      <c r="BM107" s="39">
        <f t="shared" si="209"/>
        <v>0.4469098181125607</v>
      </c>
      <c r="BN107" s="39">
        <f t="shared" si="209"/>
        <v>1.8699513033514752</v>
      </c>
      <c r="BO107" s="39">
        <f t="shared" si="209"/>
        <v>-0.68282561539187026</v>
      </c>
      <c r="BP107" s="39">
        <f>BP105/BP106</f>
        <v>0.10783115540095892</v>
      </c>
      <c r="BQ107" s="39">
        <f>BQ105/BQ106</f>
        <v>4.0284804197114485E-2</v>
      </c>
      <c r="BZ107" s="39">
        <f t="shared" ref="BZ107:CN107" si="210">BZ105/BZ106</f>
        <v>0.33855072463768116</v>
      </c>
      <c r="CA107" s="39">
        <f t="shared" si="210"/>
        <v>0.28158925573587018</v>
      </c>
      <c r="CB107" s="39">
        <f t="shared" si="210"/>
        <v>0.23103257868580895</v>
      </c>
      <c r="CC107" s="39">
        <f t="shared" si="210"/>
        <v>4.3670536207849643E-2</v>
      </c>
      <c r="CD107" s="39">
        <f t="shared" si="210"/>
        <v>0.22257534246575342</v>
      </c>
      <c r="CE107" s="39">
        <f t="shared" si="210"/>
        <v>0.21115926327193932</v>
      </c>
      <c r="CF107" s="39">
        <f t="shared" si="210"/>
        <v>0.79807177289769682</v>
      </c>
      <c r="CG107" s="39">
        <f t="shared" si="210"/>
        <v>1.1063424947145877</v>
      </c>
      <c r="CH107" s="39">
        <f t="shared" si="210"/>
        <v>0.8666666666666667</v>
      </c>
      <c r="CI107" s="39">
        <f t="shared" si="210"/>
        <v>1.9948586118251928</v>
      </c>
      <c r="CJ107" s="39">
        <f t="shared" si="210"/>
        <v>2.6178408514951852</v>
      </c>
      <c r="CK107" s="39">
        <f t="shared" si="210"/>
        <v>3.1031636863823935</v>
      </c>
      <c r="CL107" s="39">
        <f t="shared" si="210"/>
        <v>-0.89950159934538421</v>
      </c>
      <c r="CM107" s="39">
        <f t="shared" si="210"/>
        <v>-1.1362765800716987</v>
      </c>
      <c r="CN107" s="39">
        <f t="shared" si="210"/>
        <v>3.5774641043706423</v>
      </c>
      <c r="CO107" s="39">
        <f>CO105/CO106</f>
        <v>3.6560960443870476</v>
      </c>
    </row>
  </sheetData>
  <mergeCells count="1">
    <mergeCell ref="CX88:CY88"/>
  </mergeCells>
  <conditionalFormatting sqref="CX88:CY88">
    <cfRule type="colorScale" priority="1">
      <colorScale>
        <cfvo type="min"/>
        <cfvo type="percentile" val="50"/>
        <cfvo type="max"/>
        <color rgb="FFF8696B"/>
        <color rgb="FFFCFCFF"/>
        <color rgb="FF63BE7B"/>
      </colorScale>
    </cfRule>
    <cfRule type="containsText" dxfId="4" priority="2" operator="containsText" text="Strong Sell">
      <formula>NOT(ISERROR(SEARCH("Strong Sell",CX88)))</formula>
    </cfRule>
    <cfRule type="containsText" dxfId="3" priority="3" operator="containsText" text="Sell">
      <formula>NOT(ISERROR(SEARCH("Sell",CX88)))</formula>
    </cfRule>
    <cfRule type="containsText" dxfId="2" priority="4" operator="containsText" text="Hold">
      <formula>NOT(ISERROR(SEARCH("Hold",CX88)))</formula>
    </cfRule>
    <cfRule type="beginsWith" dxfId="1" priority="5" operator="beginsWith" text="Buy">
      <formula>LEFT(CX88,LEN("Buy"))="Buy"</formula>
    </cfRule>
    <cfRule type="beginsWith" dxfId="0" priority="6" operator="beginsWith" text="Strong">
      <formula>LEFT(CX88,LEN("Strong"))="Strong"</formula>
    </cfRule>
  </conditionalFormatting>
  <pageMargins left="0.7" right="0.7" top="0.75" bottom="0.75" header="0.3" footer="0.3"/>
  <ignoredErrors>
    <ignoredError sqref="AU69:BH72 AU62:AW62 C105:AT107 BZ106:CJ107 BZ72:CJ72 CJ70 AU63:BH64 AU66:BH66" evalError="1"/>
    <ignoredError sqref="AU51:AW51 BI51:BQ51 AX94:BP100 BZ103:CO104 AX44:AX45 AX52 AX48:AX50 AX54:AX56 BZ44:CJ44 BZ60:CJ60 BZ53:CJ53 BQ94:BQ100" formulaRange="1"/>
    <ignoredError sqref="AX62:BH62" evalError="1" formula="1"/>
    <ignoredError sqref="AX51:BH51 AX57" formula="1" formulaRange="1"/>
    <ignoredError sqref="BI62:BP62 BI48:BP48 BI49:BP49 BI50:BP50 BI52:BP52 AY57:BP57 BI54:BP54 BI55:BP55 BI56:BP56 BI61:BP61 BF48 BF49 BF50 BF52 BF54 BF55 BF56 BF61 CP49 BO46 BO11" formula="1"/>
    <ignoredError sqref="CK61:CO61 BZ61:CJ61 BZ62:CJ62" evalError="1" formulaRange="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FD4A5-C172-4508-BDD9-9132B91E029B}">
  <dimension ref="A1:CA1613"/>
  <sheetViews>
    <sheetView topLeftCell="H123" zoomScale="55" zoomScaleNormal="55" workbookViewId="0">
      <selection activeCell="AJ191" sqref="AJ191"/>
    </sheetView>
  </sheetViews>
  <sheetFormatPr defaultColWidth="9.140625" defaultRowHeight="14.25"/>
  <cols>
    <col min="1" max="7" width="0" style="1" hidden="1" customWidth="1"/>
    <col min="8" max="8" width="3.140625" style="1" customWidth="1"/>
    <col min="9" max="28" width="9.140625" style="1"/>
    <col min="29" max="29" width="2.85546875" style="1" customWidth="1"/>
    <col min="30" max="16384" width="9.140625" style="1"/>
  </cols>
  <sheetData>
    <row r="1" spans="8:79">
      <c r="CA1" s="1">
        <v>0</v>
      </c>
    </row>
    <row r="2" spans="8:79" ht="15">
      <c r="H2" s="2" t="s">
        <v>166</v>
      </c>
      <c r="AD2" s="2" t="s">
        <v>141</v>
      </c>
    </row>
    <row r="29" spans="9:10">
      <c r="I29" s="1" t="s">
        <v>15</v>
      </c>
      <c r="J29" s="1" t="s">
        <v>16</v>
      </c>
    </row>
    <row r="30" spans="9:10">
      <c r="J30" s="1" t="s">
        <v>17</v>
      </c>
    </row>
    <row r="31" spans="9:10">
      <c r="J31" s="1" t="s">
        <v>18</v>
      </c>
    </row>
    <row r="33" spans="8:30" ht="15">
      <c r="H33" s="2" t="s">
        <v>170</v>
      </c>
    </row>
    <row r="34" spans="8:30" ht="15">
      <c r="AD34" s="2" t="s">
        <v>142</v>
      </c>
    </row>
    <row r="35" spans="8:30" ht="15">
      <c r="AD35" s="2" t="s">
        <v>143</v>
      </c>
    </row>
    <row r="36" spans="8:30">
      <c r="AD36" s="1" t="s">
        <v>144</v>
      </c>
    </row>
    <row r="60" spans="8:10">
      <c r="I60" s="1" t="s">
        <v>15</v>
      </c>
      <c r="J60" s="1" t="s">
        <v>16</v>
      </c>
    </row>
    <row r="61" spans="8:10">
      <c r="J61" s="1" t="s">
        <v>17</v>
      </c>
    </row>
    <row r="62" spans="8:10">
      <c r="J62" s="1" t="s">
        <v>18</v>
      </c>
    </row>
    <row r="64" spans="8:10" ht="15">
      <c r="H64" s="2" t="s">
        <v>14</v>
      </c>
    </row>
    <row r="96" spans="9:10">
      <c r="I96" s="1" t="s">
        <v>15</v>
      </c>
      <c r="J96" s="1" t="s">
        <v>16</v>
      </c>
    </row>
    <row r="97" spans="8:10">
      <c r="J97" s="1" t="s">
        <v>17</v>
      </c>
    </row>
    <row r="98" spans="8:10">
      <c r="J98" s="1" t="s">
        <v>18</v>
      </c>
    </row>
    <row r="100" spans="8:10" ht="15">
      <c r="H100" s="2" t="s">
        <v>169</v>
      </c>
    </row>
    <row r="129" spans="8:30">
      <c r="I129" s="1" t="s">
        <v>15</v>
      </c>
      <c r="J129" s="1" t="s">
        <v>16</v>
      </c>
    </row>
    <row r="130" spans="8:30">
      <c r="J130" s="1" t="s">
        <v>17</v>
      </c>
    </row>
    <row r="131" spans="8:30">
      <c r="J131" s="1" t="s">
        <v>18</v>
      </c>
    </row>
    <row r="132" spans="8:30" ht="15">
      <c r="AD132" s="2" t="s">
        <v>145</v>
      </c>
    </row>
    <row r="133" spans="8:30" ht="15">
      <c r="H133" s="2" t="s">
        <v>168</v>
      </c>
      <c r="AD133" s="1" t="s">
        <v>146</v>
      </c>
    </row>
    <row r="162" spans="9:10">
      <c r="I162" s="1" t="s">
        <v>15</v>
      </c>
      <c r="J162" s="1" t="s">
        <v>16</v>
      </c>
    </row>
    <row r="163" spans="9:10">
      <c r="J163" s="1" t="s">
        <v>17</v>
      </c>
    </row>
    <row r="164" spans="9:10">
      <c r="J164" s="1" t="s">
        <v>18</v>
      </c>
    </row>
    <row r="194" spans="9:16">
      <c r="I194" s="1" t="s">
        <v>15</v>
      </c>
      <c r="J194" s="1" t="s">
        <v>16</v>
      </c>
    </row>
    <row r="195" spans="9:16">
      <c r="J195" s="1" t="s">
        <v>17</v>
      </c>
    </row>
    <row r="196" spans="9:16">
      <c r="J196" s="1" t="s">
        <v>18</v>
      </c>
    </row>
    <row r="198" spans="9:16">
      <c r="I198" s="26"/>
      <c r="J198" s="26" t="s">
        <v>26</v>
      </c>
      <c r="K198" s="27">
        <f>MIN(G243:G1497)</f>
        <v>-7.8658964530583519E-2</v>
      </c>
    </row>
    <row r="199" spans="9:16">
      <c r="I199" s="26"/>
      <c r="J199" s="26" t="s">
        <v>27</v>
      </c>
      <c r="K199" s="27">
        <f>MAX(G243:G1497)</f>
        <v>0.11030415710426156</v>
      </c>
    </row>
    <row r="200" spans="9:16">
      <c r="I200" s="26"/>
      <c r="J200" s="26" t="s">
        <v>28</v>
      </c>
      <c r="K200" s="27">
        <f>AVERAGE(G243:G1497)</f>
        <v>-1.0009957853329814E-4</v>
      </c>
    </row>
    <row r="201" spans="9:16">
      <c r="I201" s="26"/>
      <c r="J201" s="26" t="s">
        <v>29</v>
      </c>
      <c r="K201" s="27">
        <f>MEDIAN(G243:G1497)</f>
        <v>0</v>
      </c>
    </row>
    <row r="202" spans="9:16" ht="15">
      <c r="I202" s="26"/>
      <c r="J202" s="26" t="s">
        <v>30</v>
      </c>
      <c r="K202" s="27">
        <f>_xlfn.STDEV.P(G243:G1497)</f>
        <v>1.7308360756892287E-2</v>
      </c>
      <c r="M202" s="2"/>
    </row>
    <row r="203" spans="9:16" ht="15">
      <c r="I203" s="26"/>
      <c r="J203" s="28" t="s">
        <v>31</v>
      </c>
      <c r="K203" s="27">
        <f>3*K202</f>
        <v>5.192508227067686E-2</v>
      </c>
      <c r="L203" s="26"/>
      <c r="M203" s="2" t="s">
        <v>160</v>
      </c>
    </row>
    <row r="204" spans="9:16" ht="15">
      <c r="I204" s="26"/>
      <c r="J204" s="28" t="s">
        <v>32</v>
      </c>
      <c r="K204" s="26">
        <v>1.31</v>
      </c>
      <c r="L204" s="26"/>
      <c r="M204" s="2" t="s">
        <v>33</v>
      </c>
    </row>
    <row r="207" spans="9:16">
      <c r="I207" s="29" t="s">
        <v>34</v>
      </c>
      <c r="J207" s="30">
        <v>1256</v>
      </c>
    </row>
    <row r="208" spans="9:16" ht="15" thickBot="1">
      <c r="I208" s="1" t="s">
        <v>35</v>
      </c>
      <c r="L208" s="1" t="s">
        <v>36</v>
      </c>
      <c r="P208" s="1" t="s">
        <v>37</v>
      </c>
    </row>
    <row r="209" spans="9:17" ht="15" customHeight="1">
      <c r="I209" s="47" t="s">
        <v>38</v>
      </c>
      <c r="J209" s="47" t="s">
        <v>39</v>
      </c>
      <c r="L209" s="31" t="s">
        <v>40</v>
      </c>
      <c r="M209" s="32" t="s">
        <v>41</v>
      </c>
      <c r="P209" s="31" t="s">
        <v>42</v>
      </c>
      <c r="Q209" s="32" t="s">
        <v>43</v>
      </c>
    </row>
    <row r="210" spans="9:17" ht="15" customHeight="1">
      <c r="I210" s="45">
        <v>-5.5E-2</v>
      </c>
      <c r="J210">
        <v>1</v>
      </c>
      <c r="L210" s="45">
        <v>-5.6000000000000001E-2</v>
      </c>
      <c r="M210" s="1">
        <f t="shared" ref="M210:M241" si="0">_xlfn.NORM.DIST(L210,$K$200,$K$202,FALSE)</f>
        <v>0.12521991966188609</v>
      </c>
      <c r="O210" s="1" t="s">
        <v>151</v>
      </c>
      <c r="P210" s="25">
        <f>K200</f>
        <v>-1.0009957853329814E-4</v>
      </c>
      <c r="Q210" s="1">
        <v>0</v>
      </c>
    </row>
    <row r="211" spans="9:17" ht="15">
      <c r="I211" s="45">
        <v>-5.3999999999999999E-2</v>
      </c>
      <c r="J211">
        <v>1</v>
      </c>
      <c r="L211" s="45">
        <v>-5.5E-2</v>
      </c>
      <c r="M211" s="1">
        <f t="shared" si="0"/>
        <v>0.1506557117271192</v>
      </c>
      <c r="P211" s="25">
        <f>K200</f>
        <v>-1.0009957853329814E-4</v>
      </c>
      <c r="Q211" s="1">
        <v>25</v>
      </c>
    </row>
    <row r="212" spans="9:17" ht="15">
      <c r="I212" s="45">
        <v>-5.2999999999999999E-2</v>
      </c>
      <c r="J212">
        <v>3</v>
      </c>
      <c r="L212" s="45">
        <v>-5.3999999999999999E-2</v>
      </c>
      <c r="M212" s="1">
        <f t="shared" si="0"/>
        <v>0.18065421594927472</v>
      </c>
      <c r="O212" s="38" t="s">
        <v>152</v>
      </c>
      <c r="P212" s="25">
        <f>($K$202*-3)+$K$200</f>
        <v>-5.2025181849210157E-2</v>
      </c>
      <c r="Q212" s="1">
        <v>0</v>
      </c>
    </row>
    <row r="213" spans="9:17" ht="15">
      <c r="I213" s="45">
        <v>-5.1999999999999998E-2</v>
      </c>
      <c r="J213">
        <v>0</v>
      </c>
      <c r="L213" s="45">
        <v>-5.2999999999999999E-2</v>
      </c>
      <c r="M213" s="1">
        <f t="shared" si="0"/>
        <v>0.21590411508163188</v>
      </c>
      <c r="O213" s="39"/>
      <c r="P213" s="25">
        <f>($K$202*-3)+$K$200</f>
        <v>-5.2025181849210157E-2</v>
      </c>
      <c r="Q213" s="1">
        <v>2</v>
      </c>
    </row>
    <row r="214" spans="9:17" ht="15">
      <c r="I214" s="45">
        <v>-5.0999999999999997E-2</v>
      </c>
      <c r="J214">
        <v>0</v>
      </c>
      <c r="L214" s="45">
        <v>-5.1999999999999998E-2</v>
      </c>
      <c r="M214" s="1">
        <f t="shared" si="0"/>
        <v>0.25717222231117803</v>
      </c>
      <c r="O214" s="38" t="s">
        <v>153</v>
      </c>
      <c r="P214" s="25">
        <f>($K$202*-2)+$K$200</f>
        <v>-3.4716821092317871E-2</v>
      </c>
      <c r="Q214" s="1">
        <v>0</v>
      </c>
    </row>
    <row r="215" spans="9:17" ht="15">
      <c r="I215" s="45">
        <v>-0.05</v>
      </c>
      <c r="J215">
        <v>0</v>
      </c>
      <c r="L215" s="45">
        <v>-5.0999999999999997E-2</v>
      </c>
      <c r="M215" s="1">
        <f t="shared" si="0"/>
        <v>0.30530752921877763</v>
      </c>
      <c r="O215" s="39"/>
      <c r="P215" s="25">
        <f>($K$202*-2)+$K$200</f>
        <v>-3.4716821092317871E-2</v>
      </c>
      <c r="Q215" s="1">
        <v>5</v>
      </c>
    </row>
    <row r="216" spans="9:17" ht="15">
      <c r="I216" s="45">
        <v>-4.7500000000000001E-2</v>
      </c>
      <c r="J216">
        <v>1</v>
      </c>
      <c r="L216" s="45">
        <v>-0.05</v>
      </c>
      <c r="M216" s="1">
        <f t="shared" si="0"/>
        <v>0.36124453899289266</v>
      </c>
      <c r="O216" s="40" t="s">
        <v>154</v>
      </c>
      <c r="P216" s="25">
        <f>($K$202*-1)+$K$200</f>
        <v>-1.7408460335425584E-2</v>
      </c>
      <c r="Q216" s="1">
        <v>0</v>
      </c>
    </row>
    <row r="217" spans="9:17" ht="15">
      <c r="I217" s="45">
        <v>-4.4999999999999998E-2</v>
      </c>
      <c r="J217">
        <v>1</v>
      </c>
      <c r="L217" s="45">
        <v>-4.7500000000000001E-2</v>
      </c>
      <c r="M217" s="1">
        <f t="shared" si="0"/>
        <v>0.54214864419295583</v>
      </c>
      <c r="P217" s="25">
        <f>($K$202*-1)+$K$200</f>
        <v>-1.7408460335425584E-2</v>
      </c>
      <c r="Q217" s="1">
        <v>15</v>
      </c>
    </row>
    <row r="218" spans="9:17" ht="15">
      <c r="I218" s="45">
        <v>-4.2500000000000003E-2</v>
      </c>
      <c r="J218">
        <v>4</v>
      </c>
      <c r="L218" s="45">
        <v>-4.4999999999999998E-2</v>
      </c>
      <c r="M218" s="1">
        <f t="shared" si="0"/>
        <v>0.79684702503170346</v>
      </c>
      <c r="O218" s="1" t="s">
        <v>155</v>
      </c>
      <c r="P218" s="25">
        <f>($K$202*1)+$K$200</f>
        <v>1.720826117835899E-2</v>
      </c>
      <c r="Q218" s="1">
        <v>0</v>
      </c>
    </row>
    <row r="219" spans="9:17" ht="15">
      <c r="I219" s="45">
        <v>-0.04</v>
      </c>
      <c r="J219">
        <v>4</v>
      </c>
      <c r="L219" s="45">
        <v>-4.2500000000000003E-2</v>
      </c>
      <c r="M219" s="1">
        <f t="shared" si="0"/>
        <v>1.1470201019451152</v>
      </c>
      <c r="P219" s="25">
        <f>($K$202*1)+$K$200</f>
        <v>1.720826117835899E-2</v>
      </c>
      <c r="Q219" s="1">
        <v>15</v>
      </c>
    </row>
    <row r="220" spans="9:17" ht="15">
      <c r="I220" s="45">
        <v>-3.7499999999999999E-2</v>
      </c>
      <c r="J220">
        <v>5</v>
      </c>
      <c r="L220" s="45">
        <v>-0.04</v>
      </c>
      <c r="M220" s="1">
        <f t="shared" si="0"/>
        <v>1.6169872545630715</v>
      </c>
      <c r="O220" s="41" t="s">
        <v>156</v>
      </c>
      <c r="P220" s="25">
        <f>($K$202*2)+$K$200</f>
        <v>3.4516621935251277E-2</v>
      </c>
      <c r="Q220" s="1">
        <v>0</v>
      </c>
    </row>
    <row r="221" spans="9:17" ht="15">
      <c r="I221" s="45">
        <v>-3.5000000000000003E-2</v>
      </c>
      <c r="J221">
        <v>4</v>
      </c>
      <c r="L221" s="45">
        <v>-3.7499999999999999E-2</v>
      </c>
      <c r="M221" s="1">
        <f t="shared" si="0"/>
        <v>2.2324495759472809</v>
      </c>
      <c r="P221" s="25">
        <f>($K$202*2)+$K$200</f>
        <v>3.4516621935251277E-2</v>
      </c>
      <c r="Q221" s="1">
        <v>5</v>
      </c>
    </row>
    <row r="222" spans="9:17" ht="15">
      <c r="I222" s="45">
        <v>-3.2500000000000001E-2</v>
      </c>
      <c r="J222">
        <v>10</v>
      </c>
      <c r="L222" s="45">
        <v>-3.5000000000000003E-2</v>
      </c>
      <c r="M222" s="1">
        <f t="shared" si="0"/>
        <v>3.0185349865032358</v>
      </c>
      <c r="O222" s="41" t="s">
        <v>157</v>
      </c>
      <c r="P222" s="25">
        <f>($K$202*3)+$K$200</f>
        <v>5.1824982692143563E-2</v>
      </c>
      <c r="Q222" s="1">
        <v>0</v>
      </c>
    </row>
    <row r="223" spans="9:17" ht="15">
      <c r="I223" s="45">
        <v>-0.03</v>
      </c>
      <c r="J223">
        <v>10</v>
      </c>
      <c r="L223" s="45">
        <v>-3.2500000000000001E-2</v>
      </c>
      <c r="M223" s="1">
        <f t="shared" si="0"/>
        <v>3.9971483188972816</v>
      </c>
      <c r="O223" s="41"/>
      <c r="P223" s="25">
        <f>($K$202*3)+$K$200</f>
        <v>5.1824982692143563E-2</v>
      </c>
      <c r="Q223" s="1">
        <v>2</v>
      </c>
    </row>
    <row r="224" spans="9:17" ht="15">
      <c r="I224" s="45">
        <v>-2.75E-2</v>
      </c>
      <c r="J224">
        <v>15</v>
      </c>
      <c r="L224" s="45">
        <v>-0.03</v>
      </c>
      <c r="M224" s="1">
        <f t="shared" si="0"/>
        <v>5.183747121585446</v>
      </c>
    </row>
    <row r="225" spans="9:30" ht="15">
      <c r="I225" s="45">
        <v>-2.5000000000000001E-2</v>
      </c>
      <c r="J225">
        <v>26</v>
      </c>
      <c r="L225" s="45">
        <v>-2.75E-2</v>
      </c>
      <c r="M225" s="1">
        <f t="shared" si="0"/>
        <v>6.5838032639499406</v>
      </c>
    </row>
    <row r="226" spans="9:30" ht="15">
      <c r="I226" s="45">
        <v>-2.2499999999999999E-2</v>
      </c>
      <c r="J226">
        <v>22</v>
      </c>
      <c r="L226" s="45">
        <v>-2.5000000000000001E-2</v>
      </c>
      <c r="M226" s="1">
        <f t="shared" si="0"/>
        <v>8.1893489439512717</v>
      </c>
    </row>
    <row r="227" spans="9:30" ht="15">
      <c r="I227" s="45">
        <v>-0.02</v>
      </c>
      <c r="J227">
        <v>33</v>
      </c>
      <c r="L227" s="45">
        <v>-2.2499999999999999E-2</v>
      </c>
      <c r="M227" s="1">
        <f t="shared" si="0"/>
        <v>9.9761139762376345</v>
      </c>
      <c r="AD227" s="2" t="s">
        <v>147</v>
      </c>
    </row>
    <row r="228" spans="9:30" ht="15">
      <c r="I228" s="45">
        <v>-1.7500000000000002E-2</v>
      </c>
      <c r="J228">
        <v>31</v>
      </c>
      <c r="L228" s="45">
        <v>-0.02</v>
      </c>
      <c r="M228" s="1">
        <f t="shared" si="0"/>
        <v>11.901807508097786</v>
      </c>
      <c r="AD228" s="1" t="s">
        <v>148</v>
      </c>
    </row>
    <row r="229" spans="9:30" ht="15">
      <c r="I229" s="45">
        <v>-1.4999999999999999E-2</v>
      </c>
      <c r="J229">
        <v>50</v>
      </c>
      <c r="L229" s="45">
        <v>-1.7500000000000002E-2</v>
      </c>
      <c r="M229" s="1">
        <f t="shared" si="0"/>
        <v>13.906054775787402</v>
      </c>
    </row>
    <row r="230" spans="9:30" ht="15">
      <c r="I230" s="45">
        <v>-1.2500000000000001E-2</v>
      </c>
      <c r="J230">
        <v>38</v>
      </c>
      <c r="L230" s="45">
        <v>-1.4999999999999999E-2</v>
      </c>
      <c r="M230" s="1">
        <f t="shared" si="0"/>
        <v>15.912354424073341</v>
      </c>
    </row>
    <row r="231" spans="9:30" ht="15">
      <c r="I231" s="45">
        <v>-0.01</v>
      </c>
      <c r="J231">
        <v>60</v>
      </c>
      <c r="L231" s="45">
        <v>-1.2500000000000001E-2</v>
      </c>
      <c r="M231" s="1">
        <f t="shared" si="0"/>
        <v>17.832180244331312</v>
      </c>
    </row>
    <row r="232" spans="9:30" ht="15">
      <c r="I232" s="45">
        <v>-7.4999999999999997E-3</v>
      </c>
      <c r="J232">
        <v>69</v>
      </c>
      <c r="L232" s="45">
        <v>-0.01</v>
      </c>
      <c r="M232" s="1">
        <f t="shared" si="0"/>
        <v>19.571041644103644</v>
      </c>
    </row>
    <row r="233" spans="9:30" ht="15">
      <c r="I233" s="45">
        <v>-5.0000000000000001E-3</v>
      </c>
      <c r="J233">
        <v>86</v>
      </c>
      <c r="L233" s="45">
        <v>-7.4999999999999997E-3</v>
      </c>
      <c r="M233" s="1">
        <f t="shared" si="0"/>
        <v>21.035988797311816</v>
      </c>
    </row>
    <row r="234" spans="9:30" ht="15">
      <c r="I234" s="45">
        <v>-2.5000000000000001E-3</v>
      </c>
      <c r="J234">
        <v>74</v>
      </c>
      <c r="L234" s="45">
        <v>-5.0000000000000001E-3</v>
      </c>
      <c r="M234" s="1">
        <f t="shared" si="0"/>
        <v>22.143762492328317</v>
      </c>
    </row>
    <row r="235" spans="9:30" ht="15">
      <c r="I235" s="45">
        <v>0</v>
      </c>
      <c r="J235">
        <v>78</v>
      </c>
      <c r="L235" s="45">
        <v>-2.5000000000000001E-3</v>
      </c>
      <c r="M235" s="1">
        <f t="shared" si="0"/>
        <v>22.828605993126853</v>
      </c>
    </row>
    <row r="236" spans="9:30" ht="15">
      <c r="I236" s="45">
        <v>2.5000000000000001E-3</v>
      </c>
      <c r="J236">
        <v>84</v>
      </c>
      <c r="L236" s="45">
        <v>0</v>
      </c>
      <c r="M236" s="1">
        <f t="shared" si="0"/>
        <v>23.048722777344732</v>
      </c>
    </row>
    <row r="237" spans="9:30" ht="15">
      <c r="I237" s="45">
        <v>5.0000000000000001E-3</v>
      </c>
      <c r="J237">
        <v>92</v>
      </c>
      <c r="L237" s="45">
        <v>2.5000000000000001E-3</v>
      </c>
      <c r="M237" s="1">
        <f t="shared" si="0"/>
        <v>22.790498793246574</v>
      </c>
    </row>
    <row r="238" spans="9:30" ht="15">
      <c r="I238" s="45">
        <v>7.4999999999999997E-3</v>
      </c>
      <c r="J238">
        <v>66</v>
      </c>
      <c r="L238" s="45">
        <v>5.0000000000000001E-3</v>
      </c>
      <c r="M238" s="1">
        <f t="shared" si="0"/>
        <v>22.06989617861451</v>
      </c>
    </row>
    <row r="239" spans="9:30" ht="15">
      <c r="I239" s="45">
        <v>0.01</v>
      </c>
      <c r="J239">
        <v>61</v>
      </c>
      <c r="L239" s="45">
        <v>7.4999999999999997E-3</v>
      </c>
      <c r="M239" s="1">
        <f t="shared" si="0"/>
        <v>20.930820056821585</v>
      </c>
    </row>
    <row r="240" spans="9:30" ht="15">
      <c r="I240" s="45">
        <v>1.2500000000000001E-2</v>
      </c>
      <c r="J240">
        <v>68</v>
      </c>
      <c r="L240" s="45">
        <v>0.01</v>
      </c>
      <c r="M240" s="1">
        <f t="shared" si="0"/>
        <v>19.440690756725502</v>
      </c>
    </row>
    <row r="241" spans="1:13" ht="15">
      <c r="A241" s="1" t="s">
        <v>1426</v>
      </c>
      <c r="I241" s="45">
        <v>1.4999999999999999E-2</v>
      </c>
      <c r="J241">
        <v>55</v>
      </c>
      <c r="L241" s="45">
        <v>1.2500000000000001E-2</v>
      </c>
      <c r="M241" s="1">
        <f t="shared" si="0"/>
        <v>17.6838423251344</v>
      </c>
    </row>
    <row r="242" spans="1:13" ht="15">
      <c r="A242" s="24" t="s">
        <v>19</v>
      </c>
      <c r="B242" s="24" t="s">
        <v>20</v>
      </c>
      <c r="C242" s="24" t="s">
        <v>21</v>
      </c>
      <c r="D242" s="24" t="s">
        <v>22</v>
      </c>
      <c r="E242" s="24" t="s">
        <v>23</v>
      </c>
      <c r="F242" s="24" t="s">
        <v>24</v>
      </c>
      <c r="G242" s="24" t="s">
        <v>25</v>
      </c>
      <c r="I242" s="45">
        <v>1.7500000000000002E-2</v>
      </c>
      <c r="J242">
        <v>48</v>
      </c>
      <c r="L242" s="45">
        <v>1.4999999999999999E-2</v>
      </c>
      <c r="M242" s="1">
        <f t="shared" ref="M242:M262" si="1">_xlfn.NORM.DIST(L242,$K$200,$K$202,FALSE)</f>
        <v>15.753645553380057</v>
      </c>
    </row>
    <row r="243" spans="1:13" ht="15">
      <c r="A243" s="44">
        <v>231.49</v>
      </c>
      <c r="B243" s="44">
        <v>231.91</v>
      </c>
      <c r="C243" s="44">
        <v>228.33</v>
      </c>
      <c r="D243" s="44">
        <v>230.22499999999999</v>
      </c>
      <c r="E243" s="44">
        <v>25248890</v>
      </c>
      <c r="F243" s="44" t="s">
        <v>171</v>
      </c>
      <c r="G243" s="25">
        <f t="shared" ref="G243:G306" si="2">A243/D243-1</f>
        <v>5.4946248235423489E-3</v>
      </c>
      <c r="I243" s="45">
        <v>0.02</v>
      </c>
      <c r="J243">
        <v>25</v>
      </c>
      <c r="L243" s="45">
        <v>1.7500000000000002E-2</v>
      </c>
      <c r="M243" s="1">
        <f t="shared" si="1"/>
        <v>13.744375126392935</v>
      </c>
    </row>
    <row r="244" spans="1:13" ht="15">
      <c r="A244" s="44">
        <v>231.03</v>
      </c>
      <c r="B244" s="44">
        <v>234.08</v>
      </c>
      <c r="C244" s="44">
        <v>229.80699999999999</v>
      </c>
      <c r="D244" s="44">
        <v>232.58</v>
      </c>
      <c r="E244" s="44">
        <v>39407376</v>
      </c>
      <c r="F244" s="44" t="s">
        <v>172</v>
      </c>
      <c r="G244" s="25">
        <f t="shared" si="2"/>
        <v>-6.664373548886493E-3</v>
      </c>
      <c r="I244" s="45">
        <v>2.2499999999999999E-2</v>
      </c>
      <c r="J244">
        <v>26</v>
      </c>
      <c r="L244" s="45">
        <v>0.02</v>
      </c>
      <c r="M244" s="1">
        <f t="shared" si="1"/>
        <v>11.7437939805778</v>
      </c>
    </row>
    <row r="245" spans="1:13" ht="15">
      <c r="A245" s="44">
        <v>230.98</v>
      </c>
      <c r="B245" s="44">
        <v>233.11</v>
      </c>
      <c r="C245" s="44">
        <v>227.02</v>
      </c>
      <c r="D245" s="44">
        <v>227.4</v>
      </c>
      <c r="E245" s="44">
        <v>58942495</v>
      </c>
      <c r="F245" s="44" t="s">
        <v>173</v>
      </c>
      <c r="G245" s="25">
        <f t="shared" si="2"/>
        <v>1.5743183817062301E-2</v>
      </c>
      <c r="I245" s="45">
        <v>2.5000000000000001E-2</v>
      </c>
      <c r="J245">
        <v>20</v>
      </c>
      <c r="L245" s="45">
        <v>2.2499999999999999E-2</v>
      </c>
      <c r="M245" s="1">
        <f t="shared" si="1"/>
        <v>9.8272350085894047</v>
      </c>
    </row>
    <row r="246" spans="1:13" ht="15">
      <c r="A246" s="44">
        <v>224.56</v>
      </c>
      <c r="B246" s="44">
        <v>224.91849999999999</v>
      </c>
      <c r="C246" s="44">
        <v>222</v>
      </c>
      <c r="D246" s="44">
        <v>222</v>
      </c>
      <c r="E246" s="44">
        <v>36508335</v>
      </c>
      <c r="F246" s="44" t="s">
        <v>174</v>
      </c>
      <c r="G246" s="25">
        <f t="shared" si="2"/>
        <v>1.1531531531531636E-2</v>
      </c>
      <c r="I246" s="45">
        <v>2.75E-2</v>
      </c>
      <c r="J246">
        <v>14</v>
      </c>
      <c r="L246" s="45">
        <v>2.5000000000000001E-2</v>
      </c>
      <c r="M246" s="1">
        <f t="shared" si="1"/>
        <v>8.0536685824528504</v>
      </c>
    </row>
    <row r="247" spans="1:13" ht="15">
      <c r="A247" s="44">
        <v>221.47</v>
      </c>
      <c r="B247" s="44">
        <v>223.5</v>
      </c>
      <c r="C247" s="44">
        <v>219.05</v>
      </c>
      <c r="D247" s="44">
        <v>222.23</v>
      </c>
      <c r="E247" s="44">
        <v>37029769</v>
      </c>
      <c r="F247" s="44" t="s">
        <v>175</v>
      </c>
      <c r="G247" s="25">
        <f t="shared" si="2"/>
        <v>-3.4198803041892711E-3</v>
      </c>
      <c r="I247" s="45">
        <v>0.03</v>
      </c>
      <c r="J247">
        <v>13</v>
      </c>
      <c r="L247" s="45">
        <v>2.75E-2</v>
      </c>
      <c r="M247" s="1">
        <f t="shared" si="1"/>
        <v>6.46391534407267</v>
      </c>
    </row>
    <row r="248" spans="1:13" ht="15">
      <c r="A248" s="44">
        <v>221.3</v>
      </c>
      <c r="B248" s="44">
        <v>223.05</v>
      </c>
      <c r="C248" s="44">
        <v>220.4</v>
      </c>
      <c r="D248" s="44">
        <v>221.78</v>
      </c>
      <c r="E248" s="44">
        <v>31045171</v>
      </c>
      <c r="F248" s="44" t="s">
        <v>176</v>
      </c>
      <c r="G248" s="25">
        <f t="shared" si="2"/>
        <v>-2.1643069708719986E-3</v>
      </c>
      <c r="I248" s="45">
        <v>3.2500000000000001E-2</v>
      </c>
      <c r="J248">
        <v>16</v>
      </c>
      <c r="L248" s="45">
        <v>0.03</v>
      </c>
      <c r="M248" s="1">
        <f t="shared" si="1"/>
        <v>5.0808580309634808</v>
      </c>
    </row>
    <row r="249" spans="1:13" ht="15">
      <c r="A249" s="44">
        <v>222.69</v>
      </c>
      <c r="B249" s="44">
        <v>223.8</v>
      </c>
      <c r="C249" s="44">
        <v>221.8836</v>
      </c>
      <c r="D249" s="44">
        <v>223.14</v>
      </c>
      <c r="E249" s="44">
        <v>31166299</v>
      </c>
      <c r="F249" s="44" t="s">
        <v>177</v>
      </c>
      <c r="G249" s="25">
        <f t="shared" si="2"/>
        <v>-2.0166711481580668E-3</v>
      </c>
      <c r="I249" s="45">
        <v>3.5000000000000003E-2</v>
      </c>
      <c r="J249">
        <v>6</v>
      </c>
      <c r="L249" s="45">
        <v>3.2500000000000001E-2</v>
      </c>
      <c r="M249" s="1">
        <f t="shared" si="1"/>
        <v>3.9112714161090105</v>
      </c>
    </row>
    <row r="250" spans="1:13" ht="15">
      <c r="A250" s="44">
        <v>223.13</v>
      </c>
      <c r="B250" s="44">
        <v>226.22</v>
      </c>
      <c r="C250" s="44">
        <v>220.82</v>
      </c>
      <c r="D250" s="44">
        <v>221</v>
      </c>
      <c r="E250" s="44">
        <v>40344717</v>
      </c>
      <c r="F250" s="44" t="s">
        <v>178</v>
      </c>
      <c r="G250" s="25">
        <f t="shared" si="2"/>
        <v>9.6380090497736326E-3</v>
      </c>
      <c r="I250" s="45">
        <v>3.7499999999999999E-2</v>
      </c>
      <c r="J250">
        <v>12</v>
      </c>
      <c r="L250" s="45">
        <v>3.5000000000000003E-2</v>
      </c>
      <c r="M250" s="1">
        <f t="shared" si="1"/>
        <v>2.9487526367478383</v>
      </c>
    </row>
    <row r="251" spans="1:13" ht="15">
      <c r="A251" s="44">
        <v>222.31</v>
      </c>
      <c r="B251" s="44">
        <v>222.65</v>
      </c>
      <c r="C251" s="44">
        <v>213.74090000000001</v>
      </c>
      <c r="D251" s="44">
        <v>214.69499999999999</v>
      </c>
      <c r="E251" s="44">
        <v>54332517</v>
      </c>
      <c r="F251" s="44" t="s">
        <v>179</v>
      </c>
      <c r="G251" s="25">
        <f t="shared" si="2"/>
        <v>3.5468921027504097E-2</v>
      </c>
      <c r="I251" s="45">
        <v>0.04</v>
      </c>
      <c r="J251">
        <v>4</v>
      </c>
      <c r="L251" s="45">
        <v>3.7499999999999999E-2</v>
      </c>
      <c r="M251" s="1">
        <f t="shared" si="1"/>
        <v>2.177199492216916</v>
      </c>
    </row>
    <row r="252" spans="1:13" ht="15">
      <c r="A252" s="44">
        <v>213.75</v>
      </c>
      <c r="B252" s="44">
        <v>216.3</v>
      </c>
      <c r="C252" s="44">
        <v>212.87</v>
      </c>
      <c r="D252" s="44">
        <v>213.05</v>
      </c>
      <c r="E252" s="44">
        <v>50570800</v>
      </c>
      <c r="F252" s="44" t="s">
        <v>180</v>
      </c>
      <c r="G252" s="25">
        <f t="shared" si="2"/>
        <v>3.2856137057029056E-3</v>
      </c>
      <c r="I252" s="45">
        <v>4.2500000000000003E-2</v>
      </c>
      <c r="J252">
        <v>5</v>
      </c>
      <c r="L252" s="45">
        <v>0.04</v>
      </c>
      <c r="M252" s="1">
        <f t="shared" si="1"/>
        <v>1.5743366307984832</v>
      </c>
    </row>
    <row r="253" spans="1:13" ht="15">
      <c r="A253" s="44">
        <v>211.65</v>
      </c>
      <c r="B253" s="44">
        <v>217.44</v>
      </c>
      <c r="C253" s="44">
        <v>211.42</v>
      </c>
      <c r="D253" s="44">
        <v>217.4</v>
      </c>
      <c r="E253" s="44">
        <v>75977106</v>
      </c>
      <c r="F253" s="44" t="s">
        <v>181</v>
      </c>
      <c r="G253" s="25">
        <f t="shared" si="2"/>
        <v>-2.6448942042318291E-2</v>
      </c>
      <c r="I253" s="45">
        <v>4.4999999999999998E-2</v>
      </c>
      <c r="J253">
        <v>5</v>
      </c>
      <c r="L253" s="45">
        <v>4.2500000000000003E-2</v>
      </c>
      <c r="M253" s="1">
        <f t="shared" si="1"/>
        <v>1.1149014252506144</v>
      </c>
    </row>
    <row r="254" spans="1:13" ht="15">
      <c r="A254" s="44">
        <v>214.75</v>
      </c>
      <c r="B254" s="44">
        <v>220.43989999999999</v>
      </c>
      <c r="C254" s="44">
        <v>212.8</v>
      </c>
      <c r="D254" s="44">
        <v>217.21</v>
      </c>
      <c r="E254" s="44">
        <v>119661172</v>
      </c>
      <c r="F254" s="44" t="s">
        <v>182</v>
      </c>
      <c r="G254" s="25">
        <f t="shared" si="2"/>
        <v>-1.1325445421481506E-2</v>
      </c>
      <c r="I254" s="45">
        <v>4.7500000000000001E-2</v>
      </c>
      <c r="J254">
        <v>1</v>
      </c>
      <c r="L254" s="45">
        <v>4.4999999999999998E-2</v>
      </c>
      <c r="M254" s="1">
        <f t="shared" si="1"/>
        <v>0.77324093057394583</v>
      </c>
    </row>
    <row r="255" spans="1:13" ht="15">
      <c r="A255" s="44">
        <v>234.11</v>
      </c>
      <c r="B255" s="44">
        <v>236.53</v>
      </c>
      <c r="C255" s="44">
        <v>231.4</v>
      </c>
      <c r="D255" s="44">
        <v>235.77</v>
      </c>
      <c r="E255" s="44">
        <v>92878059</v>
      </c>
      <c r="F255" s="44" t="s">
        <v>183</v>
      </c>
      <c r="G255" s="25">
        <f t="shared" si="2"/>
        <v>-7.0407600627729883E-3</v>
      </c>
      <c r="I255" s="45">
        <v>0.05</v>
      </c>
      <c r="J255">
        <v>1</v>
      </c>
      <c r="L255" s="45">
        <v>4.7500000000000001E-2</v>
      </c>
      <c r="M255" s="1">
        <f t="shared" si="1"/>
        <v>0.52520964511056345</v>
      </c>
    </row>
    <row r="256" spans="1:13" ht="15">
      <c r="A256" s="44">
        <v>230.19</v>
      </c>
      <c r="B256" s="44">
        <v>231.8</v>
      </c>
      <c r="C256" s="44">
        <v>229.29</v>
      </c>
      <c r="D256" s="44">
        <v>231.64</v>
      </c>
      <c r="E256" s="44">
        <v>30706692</v>
      </c>
      <c r="F256" s="44" t="s">
        <v>184</v>
      </c>
      <c r="G256" s="25">
        <f t="shared" si="2"/>
        <v>-6.2597133482990008E-3</v>
      </c>
      <c r="I256" s="45">
        <v>5.0999999999999997E-2</v>
      </c>
      <c r="J256">
        <v>0</v>
      </c>
      <c r="L256" s="45">
        <v>0.05</v>
      </c>
      <c r="M256" s="1">
        <f t="shared" si="1"/>
        <v>0.34937356804054037</v>
      </c>
    </row>
    <row r="257" spans="1:13" ht="15">
      <c r="A257" s="44">
        <v>231.01</v>
      </c>
      <c r="B257" s="44">
        <v>234.72</v>
      </c>
      <c r="C257" s="44">
        <v>230.31</v>
      </c>
      <c r="D257" s="44">
        <v>234.15</v>
      </c>
      <c r="E257" s="44">
        <v>33189496</v>
      </c>
      <c r="F257" s="44" t="s">
        <v>185</v>
      </c>
      <c r="G257" s="25">
        <f t="shared" si="2"/>
        <v>-1.341020713218033E-2</v>
      </c>
      <c r="I257" s="45">
        <v>5.1999999999999998E-2</v>
      </c>
      <c r="J257">
        <v>0</v>
      </c>
      <c r="L257" s="45">
        <v>5.0999999999999997E-2</v>
      </c>
      <c r="M257" s="1">
        <f t="shared" si="1"/>
        <v>0.29507746542612551</v>
      </c>
    </row>
    <row r="258" spans="1:13" ht="15">
      <c r="A258" s="44">
        <v>232.79</v>
      </c>
      <c r="B258" s="44">
        <v>234.29</v>
      </c>
      <c r="C258" s="44">
        <v>232.25</v>
      </c>
      <c r="D258" s="44">
        <v>233.35</v>
      </c>
      <c r="E258" s="44">
        <v>27133070</v>
      </c>
      <c r="F258" s="44" t="s">
        <v>186</v>
      </c>
      <c r="G258" s="25">
        <f t="shared" si="2"/>
        <v>-2.399828583672603E-3</v>
      </c>
      <c r="I258" s="45">
        <v>5.2999999999999999E-2</v>
      </c>
      <c r="J258">
        <v>0</v>
      </c>
      <c r="L258" s="45">
        <v>5.1999999999999998E-2</v>
      </c>
      <c r="M258" s="1">
        <f t="shared" si="1"/>
        <v>0.24838900207890199</v>
      </c>
    </row>
    <row r="259" spans="1:13" ht="15">
      <c r="A259" s="44">
        <v>231.44</v>
      </c>
      <c r="B259" s="44">
        <v>232.48</v>
      </c>
      <c r="C259" s="44">
        <v>231.18</v>
      </c>
      <c r="D259" s="44">
        <v>232.22</v>
      </c>
      <c r="E259" s="44">
        <v>28465119</v>
      </c>
      <c r="F259" s="44" t="s">
        <v>187</v>
      </c>
      <c r="G259" s="25">
        <f t="shared" si="2"/>
        <v>-3.3588838170700575E-3</v>
      </c>
      <c r="I259" s="45">
        <v>5.3999999999999999E-2</v>
      </c>
      <c r="J259">
        <v>0</v>
      </c>
      <c r="L259" s="45">
        <v>5.2999999999999999E-2</v>
      </c>
      <c r="M259" s="1">
        <f t="shared" si="1"/>
        <v>0.20839101979887681</v>
      </c>
    </row>
    <row r="260" spans="1:13" ht="15">
      <c r="A260" s="44">
        <v>232.23</v>
      </c>
      <c r="B260" s="44">
        <v>236</v>
      </c>
      <c r="C260" s="44">
        <v>228.64</v>
      </c>
      <c r="D260" s="44">
        <v>229.17</v>
      </c>
      <c r="E260" s="44">
        <v>42902266</v>
      </c>
      <c r="F260" s="44" t="s">
        <v>188</v>
      </c>
      <c r="G260" s="25">
        <f t="shared" si="2"/>
        <v>1.3352533054064697E-2</v>
      </c>
      <c r="I260" s="45">
        <v>5.5E-2</v>
      </c>
      <c r="J260">
        <v>1</v>
      </c>
      <c r="L260" s="45">
        <v>5.3999999999999999E-2</v>
      </c>
      <c r="M260" s="1">
        <f t="shared" si="1"/>
        <v>0.1742512717007057</v>
      </c>
    </row>
    <row r="261" spans="1:13" ht="15.75" thickBot="1">
      <c r="A261" s="44">
        <v>228.29</v>
      </c>
      <c r="B261" s="44">
        <v>228.79</v>
      </c>
      <c r="C261" s="44">
        <v>227.09</v>
      </c>
      <c r="D261" s="44">
        <v>228.47</v>
      </c>
      <c r="E261" s="44">
        <v>28294852</v>
      </c>
      <c r="F261" s="44" t="s">
        <v>189</v>
      </c>
      <c r="G261" s="25">
        <f t="shared" si="2"/>
        <v>-7.878496082637243E-4</v>
      </c>
      <c r="I261" s="46" t="s">
        <v>1427</v>
      </c>
      <c r="J261" s="46">
        <v>6</v>
      </c>
      <c r="L261" s="45">
        <v>5.5E-2</v>
      </c>
      <c r="M261" s="1">
        <f t="shared" si="1"/>
        <v>0.14521892973508299</v>
      </c>
    </row>
    <row r="262" spans="1:13" ht="15">
      <c r="A262" s="44">
        <v>227.47</v>
      </c>
      <c r="B262" s="44">
        <v>230</v>
      </c>
      <c r="C262" s="44">
        <v>226.35</v>
      </c>
      <c r="D262" s="44">
        <v>229.68</v>
      </c>
      <c r="E262" s="44">
        <v>34023188</v>
      </c>
      <c r="F262" s="44" t="s">
        <v>190</v>
      </c>
      <c r="G262" s="25">
        <f t="shared" si="2"/>
        <v>-9.6220828979449724E-3</v>
      </c>
      <c r="L262" s="45">
        <v>5.6000000000000001E-2</v>
      </c>
      <c r="M262" s="1">
        <f t="shared" si="1"/>
        <v>0.12062041715313598</v>
      </c>
    </row>
    <row r="263" spans="1:13">
      <c r="A263" s="44">
        <v>229.3</v>
      </c>
      <c r="B263" s="44">
        <v>229.69</v>
      </c>
      <c r="C263" s="44">
        <v>225.65</v>
      </c>
      <c r="D263" s="44">
        <v>225.83500000000001</v>
      </c>
      <c r="E263" s="44">
        <v>39706333</v>
      </c>
      <c r="F263" s="44" t="s">
        <v>191</v>
      </c>
      <c r="G263" s="25">
        <f t="shared" si="2"/>
        <v>1.5343060198817815E-2</v>
      </c>
    </row>
    <row r="264" spans="1:13">
      <c r="A264" s="44">
        <v>226.13</v>
      </c>
      <c r="B264" s="44">
        <v>226.4</v>
      </c>
      <c r="C264" s="44">
        <v>222.98</v>
      </c>
      <c r="D264" s="44">
        <v>225.14</v>
      </c>
      <c r="E264" s="44">
        <v>37249131</v>
      </c>
      <c r="F264" s="44" t="s">
        <v>192</v>
      </c>
      <c r="G264" s="25">
        <f t="shared" si="2"/>
        <v>4.3972639246692147E-3</v>
      </c>
    </row>
    <row r="265" spans="1:13">
      <c r="A265" s="44">
        <v>223.88</v>
      </c>
      <c r="B265" s="44">
        <v>224.5</v>
      </c>
      <c r="C265" s="44">
        <v>222.51</v>
      </c>
      <c r="D265" s="44">
        <v>223.32</v>
      </c>
      <c r="E265" s="44">
        <v>31715178</v>
      </c>
      <c r="F265" s="44" t="s">
        <v>193</v>
      </c>
      <c r="G265" s="25">
        <f t="shared" si="2"/>
        <v>2.5076123947698203E-3</v>
      </c>
    </row>
    <row r="266" spans="1:13">
      <c r="A266" s="44">
        <v>223.19</v>
      </c>
      <c r="B266" s="44">
        <v>226.1</v>
      </c>
      <c r="C266" s="44">
        <v>222.18</v>
      </c>
      <c r="D266" s="44">
        <v>225.875</v>
      </c>
      <c r="E266" s="44">
        <v>39179651</v>
      </c>
      <c r="F266" s="44" t="s">
        <v>194</v>
      </c>
      <c r="G266" s="25">
        <f t="shared" si="2"/>
        <v>-1.1887105700055356E-2</v>
      </c>
    </row>
    <row r="267" spans="1:13">
      <c r="A267" s="44">
        <v>226.35</v>
      </c>
      <c r="B267" s="44">
        <v>227.27</v>
      </c>
      <c r="C267" s="44">
        <v>225.45500000000001</v>
      </c>
      <c r="D267" s="44">
        <v>226.2</v>
      </c>
      <c r="E267" s="44">
        <v>33923766</v>
      </c>
      <c r="F267" s="44" t="s">
        <v>195</v>
      </c>
      <c r="G267" s="25">
        <f t="shared" si="2"/>
        <v>6.6312997347472979E-4</v>
      </c>
    </row>
    <row r="268" spans="1:13">
      <c r="A268" s="44">
        <v>225.69</v>
      </c>
      <c r="B268" s="44">
        <v>226.66</v>
      </c>
      <c r="C268" s="44">
        <v>224.24</v>
      </c>
      <c r="D268" s="44">
        <v>225.07</v>
      </c>
      <c r="E268" s="44">
        <v>35454339</v>
      </c>
      <c r="F268" s="44" t="s">
        <v>196</v>
      </c>
      <c r="G268" s="25">
        <f t="shared" si="2"/>
        <v>2.754698538232514E-3</v>
      </c>
    </row>
    <row r="269" spans="1:13">
      <c r="A269" s="44">
        <v>225.02</v>
      </c>
      <c r="B269" s="44">
        <v>226.6799</v>
      </c>
      <c r="C269" s="44">
        <v>222.37</v>
      </c>
      <c r="D269" s="44">
        <v>223.58</v>
      </c>
      <c r="E269" s="44">
        <v>50204697</v>
      </c>
      <c r="F269" s="44" t="s">
        <v>197</v>
      </c>
      <c r="G269" s="25">
        <f t="shared" si="2"/>
        <v>6.4406476429017534E-3</v>
      </c>
    </row>
    <row r="270" spans="1:13" ht="15" customHeight="1">
      <c r="A270" s="44">
        <v>222.26</v>
      </c>
      <c r="B270" s="44">
        <v>222.79</v>
      </c>
      <c r="C270" s="44">
        <v>219.7</v>
      </c>
      <c r="D270" s="44">
        <v>221.55</v>
      </c>
      <c r="E270" s="44">
        <v>29939716</v>
      </c>
      <c r="F270" s="44" t="s">
        <v>198</v>
      </c>
      <c r="G270" s="25">
        <f t="shared" si="2"/>
        <v>3.2046941999548384E-3</v>
      </c>
    </row>
    <row r="271" spans="1:13">
      <c r="A271" s="44">
        <v>222.54</v>
      </c>
      <c r="B271" s="44">
        <v>224.29</v>
      </c>
      <c r="C271" s="44">
        <v>220.47</v>
      </c>
      <c r="D271" s="44">
        <v>221.07</v>
      </c>
      <c r="E271" s="44">
        <v>37810340</v>
      </c>
      <c r="F271" s="44" t="s">
        <v>199</v>
      </c>
      <c r="G271" s="25">
        <f t="shared" si="2"/>
        <v>6.6494775410503859E-3</v>
      </c>
    </row>
    <row r="272" spans="1:13">
      <c r="A272" s="44">
        <v>219.36</v>
      </c>
      <c r="B272" s="44">
        <v>224</v>
      </c>
      <c r="C272" s="44">
        <v>218.43</v>
      </c>
      <c r="D272" s="44">
        <v>223.91499999999999</v>
      </c>
      <c r="E272" s="44">
        <v>44919851</v>
      </c>
      <c r="F272" s="44" t="s">
        <v>200</v>
      </c>
      <c r="G272" s="25">
        <f t="shared" si="2"/>
        <v>-2.0342540696246303E-2</v>
      </c>
    </row>
    <row r="273" spans="1:7">
      <c r="A273" s="44">
        <v>223.47</v>
      </c>
      <c r="B273" s="44">
        <v>224.29</v>
      </c>
      <c r="C273" s="44">
        <v>222.37</v>
      </c>
      <c r="D273" s="44">
        <v>223</v>
      </c>
      <c r="E273" s="44">
        <v>36449937</v>
      </c>
      <c r="F273" s="44" t="s">
        <v>201</v>
      </c>
      <c r="G273" s="25">
        <f t="shared" si="2"/>
        <v>2.1076233183856541E-3</v>
      </c>
    </row>
    <row r="274" spans="1:7">
      <c r="A274" s="44">
        <v>223.41</v>
      </c>
      <c r="B274" s="44">
        <v>224.01</v>
      </c>
      <c r="C274" s="44">
        <v>221.36</v>
      </c>
      <c r="D274" s="44">
        <v>221.82</v>
      </c>
      <c r="E274" s="44">
        <v>29620876</v>
      </c>
      <c r="F274" s="44" t="s">
        <v>202</v>
      </c>
      <c r="G274" s="25">
        <f t="shared" si="2"/>
        <v>7.1679740329997355E-3</v>
      </c>
    </row>
    <row r="275" spans="1:7">
      <c r="A275" s="44">
        <v>219.92</v>
      </c>
      <c r="B275" s="44">
        <v>221.6</v>
      </c>
      <c r="C275" s="44">
        <v>219.06</v>
      </c>
      <c r="D275" s="44">
        <v>219.73</v>
      </c>
      <c r="E275" s="44">
        <v>30534136</v>
      </c>
      <c r="F275" s="44" t="s">
        <v>203</v>
      </c>
      <c r="G275" s="25">
        <f t="shared" si="2"/>
        <v>8.6469758339768887E-4</v>
      </c>
    </row>
    <row r="276" spans="1:7" ht="15" customHeight="1">
      <c r="A276" s="44">
        <v>220.46</v>
      </c>
      <c r="B276" s="44">
        <v>221.875</v>
      </c>
      <c r="C276" s="44">
        <v>217.93</v>
      </c>
      <c r="D276" s="44">
        <v>219.5</v>
      </c>
      <c r="E276" s="44">
        <v>39093190</v>
      </c>
      <c r="F276" s="44" t="s">
        <v>204</v>
      </c>
      <c r="G276" s="25">
        <f t="shared" si="2"/>
        <v>4.3735763097949576E-3</v>
      </c>
    </row>
    <row r="277" spans="1:7">
      <c r="A277" s="44">
        <v>219.39</v>
      </c>
      <c r="B277" s="44">
        <v>223.82</v>
      </c>
      <c r="C277" s="44">
        <v>219.12</v>
      </c>
      <c r="D277" s="44">
        <v>223.52</v>
      </c>
      <c r="E277" s="44">
        <v>58632481</v>
      </c>
      <c r="F277" s="44" t="s">
        <v>205</v>
      </c>
      <c r="G277" s="25">
        <f t="shared" si="2"/>
        <v>-1.8477093772369502E-2</v>
      </c>
    </row>
    <row r="278" spans="1:7">
      <c r="A278" s="44">
        <v>223.3</v>
      </c>
      <c r="B278" s="44">
        <v>223.3</v>
      </c>
      <c r="C278" s="44">
        <v>216.74</v>
      </c>
      <c r="D278" s="44">
        <v>219.92</v>
      </c>
      <c r="E278" s="44">
        <v>119217138</v>
      </c>
      <c r="F278" s="44" t="s">
        <v>206</v>
      </c>
      <c r="G278" s="25">
        <f t="shared" si="2"/>
        <v>1.5369225172790157E-2</v>
      </c>
    </row>
    <row r="279" spans="1:7">
      <c r="A279" s="44">
        <v>217.12</v>
      </c>
      <c r="B279" s="44">
        <v>218.035</v>
      </c>
      <c r="C279" s="44">
        <v>212.01</v>
      </c>
      <c r="D279" s="44">
        <v>213.12</v>
      </c>
      <c r="E279" s="44">
        <v>50480814</v>
      </c>
      <c r="F279" s="44" t="s">
        <v>207</v>
      </c>
      <c r="G279" s="25">
        <f t="shared" si="2"/>
        <v>1.8768768768768762E-2</v>
      </c>
    </row>
    <row r="280" spans="1:7">
      <c r="A280" s="44">
        <v>211.99</v>
      </c>
      <c r="B280" s="44">
        <v>216.03</v>
      </c>
      <c r="C280" s="44">
        <v>211.11</v>
      </c>
      <c r="D280" s="44">
        <v>214.61500000000001</v>
      </c>
      <c r="E280" s="44">
        <v>31755698</v>
      </c>
      <c r="F280" s="44" t="s">
        <v>208</v>
      </c>
      <c r="G280" s="25">
        <f t="shared" si="2"/>
        <v>-1.2231204715420607E-2</v>
      </c>
    </row>
    <row r="281" spans="1:7">
      <c r="A281" s="44">
        <v>212.77</v>
      </c>
      <c r="B281" s="44">
        <v>214.34</v>
      </c>
      <c r="C281" s="44">
        <v>211.04499999999999</v>
      </c>
      <c r="D281" s="44">
        <v>212.13499999999999</v>
      </c>
      <c r="E281" s="44">
        <v>38378757</v>
      </c>
      <c r="F281" s="44" t="s">
        <v>209</v>
      </c>
      <c r="G281" s="25">
        <f t="shared" si="2"/>
        <v>2.993376859075747E-3</v>
      </c>
    </row>
    <row r="282" spans="1:7">
      <c r="A282" s="44">
        <v>208.47</v>
      </c>
      <c r="B282" s="44">
        <v>210.39</v>
      </c>
      <c r="C282" s="44">
        <v>207.31010000000001</v>
      </c>
      <c r="D282" s="44">
        <v>209.79</v>
      </c>
      <c r="E282" s="44">
        <v>36156646</v>
      </c>
      <c r="F282" s="44" t="s">
        <v>210</v>
      </c>
      <c r="G282" s="25">
        <f t="shared" si="2"/>
        <v>-6.2920062920062136E-3</v>
      </c>
    </row>
    <row r="283" spans="1:7">
      <c r="A283" s="44">
        <v>209.69</v>
      </c>
      <c r="B283" s="44">
        <v>214.89</v>
      </c>
      <c r="C283" s="44">
        <v>208.27090000000001</v>
      </c>
      <c r="D283" s="44">
        <v>214.68</v>
      </c>
      <c r="E283" s="44">
        <v>75117706</v>
      </c>
      <c r="F283" s="44" t="s">
        <v>211</v>
      </c>
      <c r="G283" s="25">
        <f t="shared" si="2"/>
        <v>-2.3243897894540733E-2</v>
      </c>
    </row>
    <row r="284" spans="1:7">
      <c r="A284" s="44">
        <v>212.52</v>
      </c>
      <c r="B284" s="44">
        <v>217.96</v>
      </c>
      <c r="C284" s="44">
        <v>212.34</v>
      </c>
      <c r="D284" s="44">
        <v>215.09</v>
      </c>
      <c r="E284" s="44">
        <v>44360509</v>
      </c>
      <c r="F284" s="44" t="s">
        <v>212</v>
      </c>
      <c r="G284" s="25">
        <f t="shared" si="2"/>
        <v>-1.1948486679994375E-2</v>
      </c>
    </row>
    <row r="285" spans="1:7">
      <c r="A285" s="44">
        <v>214.82</v>
      </c>
      <c r="B285" s="44">
        <v>217.41</v>
      </c>
      <c r="C285" s="44">
        <v>214.56</v>
      </c>
      <c r="D285" s="44">
        <v>215.19499999999999</v>
      </c>
      <c r="E285" s="44">
        <v>32086262</v>
      </c>
      <c r="F285" s="44" t="s">
        <v>213</v>
      </c>
      <c r="G285" s="25">
        <f t="shared" si="2"/>
        <v>-1.742605543809117E-3</v>
      </c>
    </row>
    <row r="286" spans="1:7">
      <c r="A286" s="44">
        <v>216.1</v>
      </c>
      <c r="B286" s="44">
        <v>217.06</v>
      </c>
      <c r="C286" s="44">
        <v>211.6</v>
      </c>
      <c r="D286" s="44">
        <v>212.31</v>
      </c>
      <c r="E286" s="44">
        <v>33284158</v>
      </c>
      <c r="F286" s="44" t="s">
        <v>214</v>
      </c>
      <c r="G286" s="25">
        <f t="shared" si="2"/>
        <v>1.7851255239979213E-2</v>
      </c>
    </row>
    <row r="287" spans="1:7">
      <c r="A287" s="44">
        <v>212.1</v>
      </c>
      <c r="B287" s="44">
        <v>214.05</v>
      </c>
      <c r="C287" s="44">
        <v>209.62</v>
      </c>
      <c r="D287" s="44">
        <v>209.96</v>
      </c>
      <c r="E287" s="44">
        <v>28874486</v>
      </c>
      <c r="F287" s="44" t="s">
        <v>215</v>
      </c>
      <c r="G287" s="25">
        <f t="shared" si="2"/>
        <v>1.0192417603352988E-2</v>
      </c>
    </row>
    <row r="288" spans="1:7">
      <c r="A288" s="44">
        <v>213.24</v>
      </c>
      <c r="B288" s="44">
        <v>213.58</v>
      </c>
      <c r="C288" s="44">
        <v>211.33</v>
      </c>
      <c r="D288" s="44">
        <v>211.78</v>
      </c>
      <c r="E288" s="44">
        <v>27639991</v>
      </c>
      <c r="F288" s="44" t="s">
        <v>216</v>
      </c>
      <c r="G288" s="25">
        <f t="shared" si="2"/>
        <v>6.8939465483048856E-3</v>
      </c>
    </row>
    <row r="289" spans="1:7">
      <c r="A289" s="44">
        <v>213.2</v>
      </c>
      <c r="B289" s="44">
        <v>218.4</v>
      </c>
      <c r="C289" s="44">
        <v>212.89</v>
      </c>
      <c r="D289" s="44">
        <v>217.41</v>
      </c>
      <c r="E289" s="44">
        <v>39325981</v>
      </c>
      <c r="F289" s="44" t="s">
        <v>217</v>
      </c>
      <c r="G289" s="25">
        <f t="shared" si="2"/>
        <v>-1.9364334667218652E-2</v>
      </c>
    </row>
    <row r="290" spans="1:7">
      <c r="A290" s="44">
        <v>217.61</v>
      </c>
      <c r="B290" s="44">
        <v>217.69</v>
      </c>
      <c r="C290" s="44">
        <v>214.15</v>
      </c>
      <c r="D290" s="44">
        <v>216.78</v>
      </c>
      <c r="E290" s="44">
        <v>31175507</v>
      </c>
      <c r="F290" s="44" t="s">
        <v>218</v>
      </c>
      <c r="G290" s="25">
        <f t="shared" si="2"/>
        <v>3.8287664913738695E-3</v>
      </c>
    </row>
    <row r="291" spans="1:7">
      <c r="A291" s="44">
        <v>216.98</v>
      </c>
      <c r="B291" s="44">
        <v>217.85</v>
      </c>
      <c r="C291" s="44">
        <v>212.88</v>
      </c>
      <c r="D291" s="44">
        <v>214.75</v>
      </c>
      <c r="E291" s="44">
        <v>37809976</v>
      </c>
      <c r="F291" s="44" t="s">
        <v>219</v>
      </c>
      <c r="G291" s="25">
        <f t="shared" si="2"/>
        <v>1.0384167636786845E-2</v>
      </c>
    </row>
    <row r="292" spans="1:7">
      <c r="A292" s="44">
        <v>213.57</v>
      </c>
      <c r="B292" s="44">
        <v>213.8699</v>
      </c>
      <c r="C292" s="44">
        <v>210.5</v>
      </c>
      <c r="D292" s="44">
        <v>212.4</v>
      </c>
      <c r="E292" s="44">
        <v>39384222</v>
      </c>
      <c r="F292" s="44" t="s">
        <v>220</v>
      </c>
      <c r="G292" s="25">
        <f t="shared" si="2"/>
        <v>5.5084745762712384E-3</v>
      </c>
    </row>
    <row r="293" spans="1:7">
      <c r="A293" s="44">
        <v>207.91</v>
      </c>
      <c r="B293" s="44">
        <v>212.81</v>
      </c>
      <c r="C293" s="44">
        <v>207.56</v>
      </c>
      <c r="D293" s="44">
        <v>209.55</v>
      </c>
      <c r="E293" s="44">
        <v>51446989</v>
      </c>
      <c r="F293" s="44" t="s">
        <v>221</v>
      </c>
      <c r="G293" s="25">
        <f t="shared" si="2"/>
        <v>-7.8262944404677848E-3</v>
      </c>
    </row>
    <row r="294" spans="1:7">
      <c r="A294" s="44">
        <v>207.23</v>
      </c>
      <c r="B294" s="44">
        <v>208.18</v>
      </c>
      <c r="C294" s="44">
        <v>205.18</v>
      </c>
      <c r="D294" s="44">
        <v>206.55</v>
      </c>
      <c r="E294" s="44">
        <v>29731666</v>
      </c>
      <c r="F294" s="44" t="s">
        <v>222</v>
      </c>
      <c r="G294" s="25">
        <f t="shared" si="2"/>
        <v>3.2921810699586551E-3</v>
      </c>
    </row>
    <row r="295" spans="1:7">
      <c r="A295" s="44">
        <v>205.71</v>
      </c>
      <c r="B295" s="44">
        <v>208.9469</v>
      </c>
      <c r="C295" s="44">
        <v>205.03</v>
      </c>
      <c r="D295" s="44">
        <v>207.10499999999999</v>
      </c>
      <c r="E295" s="44">
        <v>32959609</v>
      </c>
      <c r="F295" s="44" t="s">
        <v>223</v>
      </c>
      <c r="G295" s="25">
        <f t="shared" si="2"/>
        <v>-6.7357137683782264E-3</v>
      </c>
    </row>
    <row r="296" spans="1:7">
      <c r="A296" s="44">
        <v>206.65</v>
      </c>
      <c r="B296" s="44">
        <v>207</v>
      </c>
      <c r="C296" s="44">
        <v>202.68</v>
      </c>
      <c r="D296" s="44">
        <v>204.98</v>
      </c>
      <c r="E296" s="44">
        <v>28656126</v>
      </c>
      <c r="F296" s="44" t="s">
        <v>224</v>
      </c>
      <c r="G296" s="25">
        <f t="shared" si="2"/>
        <v>8.1471363059810731E-3</v>
      </c>
    </row>
    <row r="297" spans="1:7">
      <c r="A297" s="44">
        <v>205.01</v>
      </c>
      <c r="B297" s="44">
        <v>205.99</v>
      </c>
      <c r="C297" s="44">
        <v>201.69499999999999</v>
      </c>
      <c r="D297" s="44">
        <v>204.84</v>
      </c>
      <c r="E297" s="44">
        <v>50992681</v>
      </c>
      <c r="F297" s="44" t="s">
        <v>225</v>
      </c>
      <c r="G297" s="25">
        <f t="shared" si="2"/>
        <v>8.2991603202486885E-4</v>
      </c>
    </row>
    <row r="298" spans="1:7">
      <c r="A298" s="44">
        <v>205.7</v>
      </c>
      <c r="B298" s="44">
        <v>208.81</v>
      </c>
      <c r="C298" s="44">
        <v>204.23</v>
      </c>
      <c r="D298" s="44">
        <v>208.02500000000001</v>
      </c>
      <c r="E298" s="44">
        <v>34700005</v>
      </c>
      <c r="F298" s="44" t="s">
        <v>226</v>
      </c>
      <c r="G298" s="25">
        <f t="shared" si="2"/>
        <v>-1.1176541281096131E-2</v>
      </c>
    </row>
    <row r="299" spans="1:7">
      <c r="A299" s="44">
        <v>204.72</v>
      </c>
      <c r="B299" s="44">
        <v>207.66</v>
      </c>
      <c r="C299" s="44">
        <v>204.41</v>
      </c>
      <c r="D299" s="44">
        <v>205.91499999999999</v>
      </c>
      <c r="E299" s="44">
        <v>27447685</v>
      </c>
      <c r="F299" s="44" t="s">
        <v>227</v>
      </c>
      <c r="G299" s="25">
        <f t="shared" si="2"/>
        <v>-5.8033654663331991E-3</v>
      </c>
    </row>
    <row r="300" spans="1:7">
      <c r="A300" s="44">
        <v>206.02</v>
      </c>
      <c r="B300" s="44">
        <v>206.69</v>
      </c>
      <c r="C300" s="44">
        <v>202.19</v>
      </c>
      <c r="D300" s="44">
        <v>203.08500000000001</v>
      </c>
      <c r="E300" s="44">
        <v>34541867</v>
      </c>
      <c r="F300" s="44" t="s">
        <v>228</v>
      </c>
      <c r="G300" s="25">
        <f t="shared" si="2"/>
        <v>1.4452076716645834E-2</v>
      </c>
    </row>
    <row r="301" spans="1:7">
      <c r="A301" s="44">
        <v>200.99</v>
      </c>
      <c r="B301" s="44">
        <v>202.37</v>
      </c>
      <c r="C301" s="44">
        <v>197.85</v>
      </c>
      <c r="D301" s="44">
        <v>198.9</v>
      </c>
      <c r="E301" s="44">
        <v>33393545</v>
      </c>
      <c r="F301" s="44" t="s">
        <v>229</v>
      </c>
      <c r="G301" s="25">
        <f t="shared" si="2"/>
        <v>1.0507792860734E-2</v>
      </c>
    </row>
    <row r="302" spans="1:7">
      <c r="A302" s="44">
        <v>203.1</v>
      </c>
      <c r="B302" s="44">
        <v>205.76</v>
      </c>
      <c r="C302" s="44">
        <v>200.16</v>
      </c>
      <c r="D302" s="44">
        <v>201.38</v>
      </c>
      <c r="E302" s="44">
        <v>38938882</v>
      </c>
      <c r="F302" s="44" t="s">
        <v>230</v>
      </c>
      <c r="G302" s="25">
        <f t="shared" si="2"/>
        <v>8.5410666401828372E-3</v>
      </c>
    </row>
    <row r="303" spans="1:7">
      <c r="A303" s="44">
        <v>201.12</v>
      </c>
      <c r="B303" s="44">
        <v>203.45500000000001</v>
      </c>
      <c r="C303" s="44">
        <v>200.06</v>
      </c>
      <c r="D303" s="44">
        <v>201.61</v>
      </c>
      <c r="E303" s="44">
        <v>42460924</v>
      </c>
      <c r="F303" s="44" t="s">
        <v>231</v>
      </c>
      <c r="G303" s="25">
        <f t="shared" si="2"/>
        <v>-2.4304349982640083E-3</v>
      </c>
    </row>
    <row r="304" spans="1:7">
      <c r="A304" s="44">
        <v>204.07</v>
      </c>
      <c r="B304" s="44">
        <v>205.5899</v>
      </c>
      <c r="C304" s="44">
        <v>202.65</v>
      </c>
      <c r="D304" s="44">
        <v>204.62799999999999</v>
      </c>
      <c r="E304" s="44">
        <v>29470373</v>
      </c>
      <c r="F304" s="44" t="s">
        <v>232</v>
      </c>
      <c r="G304" s="25">
        <f t="shared" si="2"/>
        <v>-2.7268995445393074E-3</v>
      </c>
    </row>
    <row r="305" spans="1:30">
      <c r="A305" s="44">
        <v>206.16</v>
      </c>
      <c r="B305" s="44">
        <v>206.62</v>
      </c>
      <c r="C305" s="44">
        <v>201.26</v>
      </c>
      <c r="D305" s="44">
        <v>201.64500000000001</v>
      </c>
      <c r="E305" s="44">
        <v>34314810</v>
      </c>
      <c r="F305" s="44" t="s">
        <v>233</v>
      </c>
      <c r="G305" s="25">
        <f t="shared" si="2"/>
        <v>2.2390835379007656E-2</v>
      </c>
    </row>
    <row r="306" spans="1:30">
      <c r="A306" s="44">
        <v>205.59</v>
      </c>
      <c r="B306" s="44">
        <v>206.85</v>
      </c>
      <c r="C306" s="44">
        <v>204.374</v>
      </c>
      <c r="D306" s="44">
        <v>206.85</v>
      </c>
      <c r="E306" s="44">
        <v>43318478</v>
      </c>
      <c r="F306" s="44" t="s">
        <v>234</v>
      </c>
      <c r="G306" s="25">
        <f t="shared" si="2"/>
        <v>-6.0913705583756084E-3</v>
      </c>
    </row>
    <row r="307" spans="1:30">
      <c r="A307" s="44">
        <v>205.17</v>
      </c>
      <c r="B307" s="44">
        <v>206.88</v>
      </c>
      <c r="C307" s="44">
        <v>202.673</v>
      </c>
      <c r="D307" s="44">
        <v>206.45</v>
      </c>
      <c r="E307" s="44">
        <v>64347317</v>
      </c>
      <c r="F307" s="44" t="s">
        <v>235</v>
      </c>
      <c r="G307" s="25">
        <f t="shared" ref="G307:G370" si="3">A307/D307-1</f>
        <v>-6.2000484378784693E-3</v>
      </c>
    </row>
    <row r="308" spans="1:30">
      <c r="A308" s="44">
        <v>210.25</v>
      </c>
      <c r="B308" s="44">
        <v>211.93</v>
      </c>
      <c r="C308" s="44">
        <v>208.85</v>
      </c>
      <c r="D308" s="44">
        <v>211.45</v>
      </c>
      <c r="E308" s="44">
        <v>38492128</v>
      </c>
      <c r="F308" s="44" t="s">
        <v>236</v>
      </c>
      <c r="G308" s="25">
        <f t="shared" si="3"/>
        <v>-5.6751004965712726E-3</v>
      </c>
    </row>
    <row r="309" spans="1:30">
      <c r="A309" s="44">
        <v>211.37</v>
      </c>
      <c r="B309" s="44">
        <v>214.84</v>
      </c>
      <c r="C309" s="44">
        <v>210.1</v>
      </c>
      <c r="D309" s="44">
        <v>211.08</v>
      </c>
      <c r="E309" s="44">
        <v>56193682</v>
      </c>
      <c r="F309" s="44" t="s">
        <v>237</v>
      </c>
      <c r="G309" s="25">
        <f t="shared" si="3"/>
        <v>1.3738866780366177E-3</v>
      </c>
    </row>
    <row r="310" spans="1:30">
      <c r="A310" s="44">
        <v>208.64</v>
      </c>
      <c r="B310" s="44">
        <v>211.66</v>
      </c>
      <c r="C310" s="44">
        <v>205.75</v>
      </c>
      <c r="D310" s="44">
        <v>210.71</v>
      </c>
      <c r="E310" s="44">
        <v>75205042</v>
      </c>
      <c r="F310" s="44" t="s">
        <v>238</v>
      </c>
      <c r="G310" s="25">
        <f t="shared" si="3"/>
        <v>-9.8239286222772115E-3</v>
      </c>
    </row>
    <row r="311" spans="1:30">
      <c r="A311" s="44">
        <v>193.06</v>
      </c>
      <c r="B311" s="44">
        <v>194.69</v>
      </c>
      <c r="C311" s="44">
        <v>191.16</v>
      </c>
      <c r="D311" s="44">
        <v>193.375</v>
      </c>
      <c r="E311" s="44">
        <v>29663143</v>
      </c>
      <c r="F311" s="44" t="s">
        <v>239</v>
      </c>
      <c r="G311" s="25">
        <f t="shared" si="3"/>
        <v>-1.6289592760181382E-3</v>
      </c>
    </row>
    <row r="312" spans="1:30">
      <c r="A312" s="44">
        <v>192.08</v>
      </c>
      <c r="B312" s="44">
        <v>194.33</v>
      </c>
      <c r="C312" s="44">
        <v>188.82</v>
      </c>
      <c r="D312" s="44">
        <v>191.43</v>
      </c>
      <c r="E312" s="44">
        <v>41043620</v>
      </c>
      <c r="F312" s="44" t="s">
        <v>240</v>
      </c>
      <c r="G312" s="25">
        <f t="shared" si="3"/>
        <v>3.3954970485294833E-3</v>
      </c>
    </row>
    <row r="313" spans="1:30" ht="15">
      <c r="A313" s="44">
        <v>188.71</v>
      </c>
      <c r="B313" s="44">
        <v>190.99</v>
      </c>
      <c r="C313" s="44">
        <v>185.01</v>
      </c>
      <c r="D313" s="44">
        <v>185.56</v>
      </c>
      <c r="E313" s="44">
        <v>44002926</v>
      </c>
      <c r="F313" s="44" t="s">
        <v>241</v>
      </c>
      <c r="G313" s="25">
        <f t="shared" si="3"/>
        <v>1.6975641302004796E-2</v>
      </c>
      <c r="AD313" s="2" t="s">
        <v>149</v>
      </c>
    </row>
    <row r="314" spans="1:30">
      <c r="A314" s="44">
        <v>185.01</v>
      </c>
      <c r="B314" s="44">
        <v>187.93</v>
      </c>
      <c r="C314" s="44">
        <v>183.85</v>
      </c>
      <c r="D314" s="44">
        <v>184.57</v>
      </c>
      <c r="E314" s="44">
        <v>29314055</v>
      </c>
      <c r="F314" s="44" t="s">
        <v>242</v>
      </c>
      <c r="G314" s="25">
        <f t="shared" si="3"/>
        <v>2.3839193801808989E-3</v>
      </c>
      <c r="AD314" s="1" t="s">
        <v>150</v>
      </c>
    </row>
    <row r="315" spans="1:30">
      <c r="A315" s="44">
        <v>186.35</v>
      </c>
      <c r="B315" s="44">
        <v>188.18</v>
      </c>
      <c r="C315" s="44">
        <v>185.53</v>
      </c>
      <c r="D315" s="44">
        <v>186.51</v>
      </c>
      <c r="E315" s="44">
        <v>35217469</v>
      </c>
      <c r="F315" s="44" t="s">
        <v>243</v>
      </c>
      <c r="G315" s="25">
        <f t="shared" si="3"/>
        <v>-8.5786284917699351E-4</v>
      </c>
    </row>
    <row r="316" spans="1:30">
      <c r="A316" s="44">
        <v>189.98</v>
      </c>
      <c r="B316" s="44">
        <v>192.88</v>
      </c>
      <c r="C316" s="44">
        <v>186.4</v>
      </c>
      <c r="D316" s="44">
        <v>191.435</v>
      </c>
      <c r="E316" s="44">
        <v>77903487</v>
      </c>
      <c r="F316" s="44" t="s">
        <v>244</v>
      </c>
      <c r="G316" s="25">
        <f t="shared" si="3"/>
        <v>-7.6004910282864158E-3</v>
      </c>
    </row>
    <row r="317" spans="1:30">
      <c r="A317" s="44">
        <v>190.2</v>
      </c>
      <c r="B317" s="44">
        <v>191.80709999999999</v>
      </c>
      <c r="C317" s="44">
        <v>187.5</v>
      </c>
      <c r="D317" s="44">
        <v>190.63</v>
      </c>
      <c r="E317" s="44">
        <v>74265963</v>
      </c>
      <c r="F317" s="44" t="s">
        <v>245</v>
      </c>
      <c r="G317" s="25">
        <f t="shared" si="3"/>
        <v>-2.2556785395793089E-3</v>
      </c>
    </row>
    <row r="318" spans="1:30">
      <c r="A318" s="44">
        <v>184.42</v>
      </c>
      <c r="B318" s="44">
        <v>185.05</v>
      </c>
      <c r="C318" s="44">
        <v>178.85</v>
      </c>
      <c r="D318" s="44">
        <v>182.17</v>
      </c>
      <c r="E318" s="44">
        <v>55176543</v>
      </c>
      <c r="F318" s="44" t="s">
        <v>246</v>
      </c>
      <c r="G318" s="25">
        <f t="shared" si="3"/>
        <v>1.2351100620299649E-2</v>
      </c>
    </row>
    <row r="319" spans="1:30">
      <c r="A319" s="44">
        <v>187.39</v>
      </c>
      <c r="B319" s="44">
        <v>188.01580000000001</v>
      </c>
      <c r="C319" s="44">
        <v>183.68</v>
      </c>
      <c r="D319" s="44">
        <v>183.99</v>
      </c>
      <c r="E319" s="44">
        <v>41667255</v>
      </c>
      <c r="F319" s="44" t="s">
        <v>247</v>
      </c>
      <c r="G319" s="25">
        <f t="shared" si="3"/>
        <v>1.847926517745524E-2</v>
      </c>
    </row>
    <row r="320" spans="1:30">
      <c r="A320" s="44">
        <v>187.7</v>
      </c>
      <c r="B320" s="44">
        <v>190.22</v>
      </c>
      <c r="C320" s="44">
        <v>184.88499999999999</v>
      </c>
      <c r="D320" s="44">
        <v>190.10499999999999</v>
      </c>
      <c r="E320" s="44">
        <v>33224732</v>
      </c>
      <c r="F320" s="44" t="s">
        <v>248</v>
      </c>
      <c r="G320" s="25">
        <f t="shared" si="3"/>
        <v>-1.2650903448094497E-2</v>
      </c>
    </row>
    <row r="321" spans="1:7">
      <c r="A321" s="44">
        <v>188.99</v>
      </c>
      <c r="B321" s="44">
        <v>189.94</v>
      </c>
      <c r="C321" s="44">
        <v>185.49</v>
      </c>
      <c r="D321" s="44">
        <v>187.62</v>
      </c>
      <c r="E321" s="44">
        <v>36414330</v>
      </c>
      <c r="F321" s="44" t="s">
        <v>249</v>
      </c>
      <c r="G321" s="25">
        <f t="shared" si="3"/>
        <v>7.301993390896433E-3</v>
      </c>
    </row>
    <row r="322" spans="1:7">
      <c r="A322" s="44">
        <v>186.54</v>
      </c>
      <c r="B322" s="44">
        <v>186.74</v>
      </c>
      <c r="C322" s="44">
        <v>180.18</v>
      </c>
      <c r="D322" s="44">
        <v>180.91499999999999</v>
      </c>
      <c r="E322" s="44">
        <v>43763196</v>
      </c>
      <c r="F322" s="44" t="s">
        <v>250</v>
      </c>
      <c r="G322" s="25">
        <f t="shared" si="3"/>
        <v>3.10919492579389E-2</v>
      </c>
    </row>
    <row r="323" spans="1:7">
      <c r="A323" s="44">
        <v>180.6</v>
      </c>
      <c r="B323" s="44">
        <v>187.38</v>
      </c>
      <c r="C323" s="44">
        <v>180.19</v>
      </c>
      <c r="D323" s="44">
        <v>183.45</v>
      </c>
      <c r="E323" s="44">
        <v>63470149</v>
      </c>
      <c r="F323" s="44" t="s">
        <v>251</v>
      </c>
      <c r="G323" s="25">
        <f t="shared" si="3"/>
        <v>-1.5535568274734235E-2</v>
      </c>
    </row>
    <row r="324" spans="1:7">
      <c r="A324" s="44">
        <v>173.18</v>
      </c>
      <c r="B324" s="44">
        <v>176.78</v>
      </c>
      <c r="C324" s="44">
        <v>169.35</v>
      </c>
      <c r="D324" s="44">
        <v>169.845</v>
      </c>
      <c r="E324" s="44">
        <v>56607202</v>
      </c>
      <c r="F324" s="44" t="s">
        <v>252</v>
      </c>
      <c r="G324" s="25">
        <f t="shared" si="3"/>
        <v>1.9635550060349116E-2</v>
      </c>
    </row>
    <row r="325" spans="1:7">
      <c r="A325" s="44">
        <v>167.32</v>
      </c>
      <c r="B325" s="44">
        <v>169.6</v>
      </c>
      <c r="C325" s="44">
        <v>165.285</v>
      </c>
      <c r="D325" s="44">
        <v>169.6</v>
      </c>
      <c r="E325" s="44">
        <v>48126111</v>
      </c>
      <c r="F325" s="44" t="s">
        <v>253</v>
      </c>
      <c r="G325" s="25">
        <f t="shared" si="3"/>
        <v>-1.3443396226415105E-2</v>
      </c>
    </row>
    <row r="326" spans="1:7">
      <c r="A326" s="44">
        <v>172.61</v>
      </c>
      <c r="B326" s="44">
        <v>176.21</v>
      </c>
      <c r="C326" s="44">
        <v>172</v>
      </c>
      <c r="D326" s="44">
        <v>176</v>
      </c>
      <c r="E326" s="44">
        <v>44726453</v>
      </c>
      <c r="F326" s="44" t="s">
        <v>254</v>
      </c>
      <c r="G326" s="25">
        <f t="shared" si="3"/>
        <v>-1.9261363636363549E-2</v>
      </c>
    </row>
    <row r="327" spans="1:7">
      <c r="A327" s="44">
        <v>174.33</v>
      </c>
      <c r="B327" s="44">
        <v>179.1046</v>
      </c>
      <c r="C327" s="44">
        <v>171.41</v>
      </c>
      <c r="D327" s="44">
        <v>176.29</v>
      </c>
      <c r="E327" s="44">
        <v>51875316</v>
      </c>
      <c r="F327" s="44" t="s">
        <v>255</v>
      </c>
      <c r="G327" s="25">
        <f t="shared" si="3"/>
        <v>-1.1118044131828153E-2</v>
      </c>
    </row>
    <row r="328" spans="1:7">
      <c r="A328" s="44">
        <v>179.59</v>
      </c>
      <c r="B328" s="44">
        <v>182.35</v>
      </c>
      <c r="C328" s="44">
        <v>177.9331</v>
      </c>
      <c r="D328" s="44">
        <v>181.41</v>
      </c>
      <c r="E328" s="44">
        <v>43641952</v>
      </c>
      <c r="F328" s="44" t="s">
        <v>256</v>
      </c>
      <c r="G328" s="25">
        <f t="shared" si="3"/>
        <v>-1.0032523014166794E-2</v>
      </c>
    </row>
    <row r="329" spans="1:7">
      <c r="A329" s="44">
        <v>182.12</v>
      </c>
      <c r="B329" s="44">
        <v>187.44</v>
      </c>
      <c r="C329" s="44">
        <v>179.23</v>
      </c>
      <c r="D329" s="44">
        <v>186.84</v>
      </c>
      <c r="E329" s="44">
        <v>48002540</v>
      </c>
      <c r="F329" s="44" t="s">
        <v>257</v>
      </c>
      <c r="G329" s="25">
        <f t="shared" si="3"/>
        <v>-2.5262256476129341E-2</v>
      </c>
    </row>
    <row r="330" spans="1:7">
      <c r="A330" s="44">
        <v>184.87</v>
      </c>
      <c r="B330" s="44">
        <v>185.86</v>
      </c>
      <c r="C330" s="44">
        <v>178</v>
      </c>
      <c r="D330" s="44">
        <v>179.93</v>
      </c>
      <c r="E330" s="44">
        <v>50594339</v>
      </c>
      <c r="F330" s="44" t="s">
        <v>258</v>
      </c>
      <c r="G330" s="25">
        <f t="shared" si="3"/>
        <v>2.7455121436114061E-2</v>
      </c>
    </row>
    <row r="331" spans="1:7">
      <c r="A331" s="44">
        <v>181.22</v>
      </c>
      <c r="B331" s="44">
        <v>186.86920000000001</v>
      </c>
      <c r="C331" s="44">
        <v>175.8518</v>
      </c>
      <c r="D331" s="44">
        <v>185.44</v>
      </c>
      <c r="E331" s="44">
        <v>68302045</v>
      </c>
      <c r="F331" s="44" t="s">
        <v>259</v>
      </c>
      <c r="G331" s="25">
        <f t="shared" si="3"/>
        <v>-2.2756686798964587E-2</v>
      </c>
    </row>
    <row r="332" spans="1:7">
      <c r="A332" s="44">
        <v>191.1</v>
      </c>
      <c r="B332" s="44">
        <v>192.65</v>
      </c>
      <c r="C332" s="44">
        <v>169.93</v>
      </c>
      <c r="D332" s="44">
        <v>172.11500000000001</v>
      </c>
      <c r="E332" s="44">
        <v>116804328</v>
      </c>
      <c r="F332" s="44" t="s">
        <v>260</v>
      </c>
      <c r="G332" s="25">
        <f t="shared" si="3"/>
        <v>0.11030415710426156</v>
      </c>
    </row>
    <row r="333" spans="1:7">
      <c r="A333" s="44">
        <v>170.66</v>
      </c>
      <c r="B333" s="44">
        <v>185.9</v>
      </c>
      <c r="C333" s="44">
        <v>168.57</v>
      </c>
      <c r="D333" s="44">
        <v>185.23</v>
      </c>
      <c r="E333" s="44">
        <v>87710360</v>
      </c>
      <c r="F333" s="44" t="s">
        <v>261</v>
      </c>
      <c r="G333" s="25">
        <f t="shared" si="3"/>
        <v>-7.8658964530583519E-2</v>
      </c>
    </row>
    <row r="334" spans="1:7">
      <c r="A334" s="44">
        <v>175.26</v>
      </c>
      <c r="B334" s="44">
        <v>183.40989999999999</v>
      </c>
      <c r="C334" s="44">
        <v>161.38</v>
      </c>
      <c r="D334" s="44">
        <v>162</v>
      </c>
      <c r="E334" s="44">
        <v>109327115</v>
      </c>
      <c r="F334" s="44" t="s">
        <v>262</v>
      </c>
      <c r="G334" s="25">
        <f t="shared" si="3"/>
        <v>8.1851851851851842E-2</v>
      </c>
    </row>
    <row r="335" spans="1:7">
      <c r="A335" s="44">
        <v>171</v>
      </c>
      <c r="B335" s="44">
        <v>178.14359999999999</v>
      </c>
      <c r="C335" s="44">
        <v>166</v>
      </c>
      <c r="D335" s="44">
        <v>167.14500000000001</v>
      </c>
      <c r="E335" s="44">
        <v>123159359</v>
      </c>
      <c r="F335" s="44" t="s">
        <v>263</v>
      </c>
      <c r="G335" s="25">
        <f t="shared" si="3"/>
        <v>2.3063806874270787E-2</v>
      </c>
    </row>
    <row r="336" spans="1:7">
      <c r="A336" s="44">
        <v>178.41</v>
      </c>
      <c r="B336" s="44">
        <v>184.13</v>
      </c>
      <c r="C336" s="44">
        <v>176.92</v>
      </c>
      <c r="D336" s="44">
        <v>182.995</v>
      </c>
      <c r="E336" s="44">
        <v>95553617</v>
      </c>
      <c r="F336" s="44" t="s">
        <v>264</v>
      </c>
      <c r="G336" s="25">
        <f t="shared" si="3"/>
        <v>-2.505532938058419E-2</v>
      </c>
    </row>
    <row r="337" spans="1:7">
      <c r="A337" s="44">
        <v>196.01</v>
      </c>
      <c r="B337" s="44">
        <v>198.34</v>
      </c>
      <c r="C337" s="44">
        <v>187.66</v>
      </c>
      <c r="D337" s="44">
        <v>187.66</v>
      </c>
      <c r="E337" s="44">
        <v>53679198</v>
      </c>
      <c r="F337" s="44" t="s">
        <v>265</v>
      </c>
      <c r="G337" s="25">
        <f t="shared" si="3"/>
        <v>4.4495363956090772E-2</v>
      </c>
    </row>
    <row r="338" spans="1:7">
      <c r="A338" s="44">
        <v>192.17</v>
      </c>
      <c r="B338" s="44">
        <v>193.93</v>
      </c>
      <c r="C338" s="44">
        <v>187.2</v>
      </c>
      <c r="D338" s="44">
        <v>187.86</v>
      </c>
      <c r="E338" s="44">
        <v>41267315</v>
      </c>
      <c r="F338" s="44" t="s">
        <v>266</v>
      </c>
      <c r="G338" s="25">
        <f t="shared" si="3"/>
        <v>2.2942616842329233E-2</v>
      </c>
    </row>
    <row r="339" spans="1:7">
      <c r="A339" s="44">
        <v>190.26</v>
      </c>
      <c r="B339" s="44">
        <v>191.33</v>
      </c>
      <c r="C339" s="44">
        <v>184.4</v>
      </c>
      <c r="D339" s="44">
        <v>188.19</v>
      </c>
      <c r="E339" s="44">
        <v>63547558</v>
      </c>
      <c r="F339" s="44" t="s">
        <v>267</v>
      </c>
      <c r="G339" s="25">
        <f t="shared" si="3"/>
        <v>1.099952175992347E-2</v>
      </c>
    </row>
    <row r="340" spans="1:7">
      <c r="A340" s="44">
        <v>192.72</v>
      </c>
      <c r="B340" s="44">
        <v>199.26</v>
      </c>
      <c r="C340" s="44">
        <v>191.881</v>
      </c>
      <c r="D340" s="44">
        <v>198.42</v>
      </c>
      <c r="E340" s="44">
        <v>52548226</v>
      </c>
      <c r="F340" s="44" t="s">
        <v>268</v>
      </c>
      <c r="G340" s="25">
        <f t="shared" si="3"/>
        <v>-2.8726942848503079E-2</v>
      </c>
    </row>
    <row r="341" spans="1:7">
      <c r="A341" s="44">
        <v>201.36</v>
      </c>
      <c r="B341" s="44">
        <v>203.79</v>
      </c>
      <c r="C341" s="44">
        <v>199.28210000000001</v>
      </c>
      <c r="D341" s="44">
        <v>200.89</v>
      </c>
      <c r="E341" s="44">
        <v>27317661</v>
      </c>
      <c r="F341" s="44" t="s">
        <v>269</v>
      </c>
      <c r="G341" s="25">
        <f t="shared" si="3"/>
        <v>2.3395888297079726E-3</v>
      </c>
    </row>
    <row r="342" spans="1:7">
      <c r="A342" s="44">
        <v>201.13</v>
      </c>
      <c r="B342" s="44">
        <v>206.01</v>
      </c>
      <c r="C342" s="44">
        <v>199.92500000000001</v>
      </c>
      <c r="D342" s="44">
        <v>205.83500000000001</v>
      </c>
      <c r="E342" s="44">
        <v>32990973</v>
      </c>
      <c r="F342" s="44" t="s">
        <v>270</v>
      </c>
      <c r="G342" s="25">
        <f t="shared" si="3"/>
        <v>-2.2858114509194283E-2</v>
      </c>
    </row>
    <row r="343" spans="1:7">
      <c r="A343" s="44">
        <v>205.71</v>
      </c>
      <c r="B343" s="44">
        <v>206.21</v>
      </c>
      <c r="C343" s="44">
        <v>203.22</v>
      </c>
      <c r="D343" s="44">
        <v>203.595</v>
      </c>
      <c r="E343" s="44">
        <v>31171161</v>
      </c>
      <c r="F343" s="44" t="s">
        <v>271</v>
      </c>
      <c r="G343" s="25">
        <f t="shared" si="3"/>
        <v>1.0388270831798385E-2</v>
      </c>
    </row>
    <row r="344" spans="1:7">
      <c r="A344" s="44">
        <v>203.26</v>
      </c>
      <c r="B344" s="44">
        <v>203.64</v>
      </c>
      <c r="C344" s="44">
        <v>199.95</v>
      </c>
      <c r="D344" s="44">
        <v>200</v>
      </c>
      <c r="E344" s="44">
        <v>41625365</v>
      </c>
      <c r="F344" s="44" t="s">
        <v>272</v>
      </c>
      <c r="G344" s="25">
        <f t="shared" si="3"/>
        <v>1.6299999999999981E-2</v>
      </c>
    </row>
    <row r="345" spans="1:7">
      <c r="A345" s="44">
        <v>196.21</v>
      </c>
      <c r="B345" s="44">
        <v>196.99</v>
      </c>
      <c r="C345" s="44">
        <v>192.52</v>
      </c>
      <c r="D345" s="44">
        <v>192.9</v>
      </c>
      <c r="E345" s="44">
        <v>60056917</v>
      </c>
      <c r="F345" s="44" t="s">
        <v>273</v>
      </c>
      <c r="G345" s="25">
        <f t="shared" si="3"/>
        <v>1.7159149818558816E-2</v>
      </c>
    </row>
    <row r="346" spans="1:7">
      <c r="A346" s="44">
        <v>194.95</v>
      </c>
      <c r="B346" s="44">
        <v>199.32</v>
      </c>
      <c r="C346" s="44">
        <v>192.3</v>
      </c>
      <c r="D346" s="44">
        <v>193.07</v>
      </c>
      <c r="E346" s="44">
        <v>38921113</v>
      </c>
      <c r="F346" s="44" t="s">
        <v>274</v>
      </c>
      <c r="G346" s="25">
        <f t="shared" si="3"/>
        <v>9.7374009426631769E-3</v>
      </c>
    </row>
    <row r="347" spans="1:7">
      <c r="A347" s="44">
        <v>195.54</v>
      </c>
      <c r="B347" s="44">
        <v>195.965</v>
      </c>
      <c r="C347" s="44">
        <v>191.96</v>
      </c>
      <c r="D347" s="44">
        <v>193.38</v>
      </c>
      <c r="E347" s="44">
        <v>39442878</v>
      </c>
      <c r="F347" s="44" t="s">
        <v>275</v>
      </c>
      <c r="G347" s="25">
        <f t="shared" si="3"/>
        <v>1.1169717654359257E-2</v>
      </c>
    </row>
    <row r="348" spans="1:7">
      <c r="A348" s="44">
        <v>192.82</v>
      </c>
      <c r="B348" s="44">
        <v>194</v>
      </c>
      <c r="C348" s="44">
        <v>189.38</v>
      </c>
      <c r="D348" s="44">
        <v>192.52</v>
      </c>
      <c r="E348" s="44">
        <v>40414867</v>
      </c>
      <c r="F348" s="44" t="s">
        <v>276</v>
      </c>
      <c r="G348" s="25">
        <f t="shared" si="3"/>
        <v>1.5582796592561454E-3</v>
      </c>
    </row>
    <row r="349" spans="1:7">
      <c r="A349" s="44">
        <v>195.74</v>
      </c>
      <c r="B349" s="44">
        <v>199</v>
      </c>
      <c r="C349" s="44">
        <v>194.32470000000001</v>
      </c>
      <c r="D349" s="44">
        <v>198.77</v>
      </c>
      <c r="E349" s="44">
        <v>47341752</v>
      </c>
      <c r="F349" s="44" t="s">
        <v>277</v>
      </c>
      <c r="G349" s="25">
        <f t="shared" si="3"/>
        <v>-1.5243749056698674E-2</v>
      </c>
    </row>
    <row r="350" spans="1:7">
      <c r="A350" s="44">
        <v>197.95</v>
      </c>
      <c r="B350" s="44">
        <v>198.65</v>
      </c>
      <c r="C350" s="44">
        <v>195.32</v>
      </c>
      <c r="D350" s="44">
        <v>197.41</v>
      </c>
      <c r="E350" s="44">
        <v>38096663</v>
      </c>
      <c r="F350" s="44" t="s">
        <v>278</v>
      </c>
      <c r="G350" s="25">
        <f t="shared" si="3"/>
        <v>2.7354237373993229E-3</v>
      </c>
    </row>
    <row r="351" spans="1:7">
      <c r="A351" s="44">
        <v>193.89</v>
      </c>
      <c r="B351" s="44">
        <v>198.87989999999999</v>
      </c>
      <c r="C351" s="44">
        <v>191.82</v>
      </c>
      <c r="D351" s="44">
        <v>198.16499999999999</v>
      </c>
      <c r="E351" s="44">
        <v>41270761</v>
      </c>
      <c r="F351" s="44" t="s">
        <v>279</v>
      </c>
      <c r="G351" s="25">
        <f t="shared" si="3"/>
        <v>-2.157293164786922E-2</v>
      </c>
    </row>
    <row r="352" spans="1:7">
      <c r="A352" s="44">
        <v>198.89</v>
      </c>
      <c r="B352" s="44">
        <v>201.52</v>
      </c>
      <c r="C352" s="44">
        <v>195.29</v>
      </c>
      <c r="D352" s="44">
        <v>200.72</v>
      </c>
      <c r="E352" s="44">
        <v>43679284</v>
      </c>
      <c r="F352" s="44" t="s">
        <v>280</v>
      </c>
      <c r="G352" s="25">
        <f t="shared" si="3"/>
        <v>-9.1171781586290024E-3</v>
      </c>
    </row>
    <row r="353" spans="1:7">
      <c r="A353" s="44">
        <v>196.59</v>
      </c>
      <c r="B353" s="44">
        <v>200.18</v>
      </c>
      <c r="C353" s="44">
        <v>193.4</v>
      </c>
      <c r="D353" s="44">
        <v>193.9</v>
      </c>
      <c r="E353" s="44">
        <v>54002880</v>
      </c>
      <c r="F353" s="44" t="s">
        <v>281</v>
      </c>
      <c r="G353" s="25">
        <f t="shared" si="3"/>
        <v>1.3873130479628681E-2</v>
      </c>
    </row>
    <row r="354" spans="1:7">
      <c r="A354" s="44">
        <v>194.54</v>
      </c>
      <c r="B354" s="44">
        <v>196.73</v>
      </c>
      <c r="C354" s="44">
        <v>190.85</v>
      </c>
      <c r="D354" s="44">
        <v>195.6</v>
      </c>
      <c r="E354" s="44">
        <v>62350926</v>
      </c>
      <c r="F354" s="44" t="s">
        <v>282</v>
      </c>
      <c r="G354" s="25">
        <f t="shared" si="3"/>
        <v>-5.4192229038855233E-3</v>
      </c>
    </row>
    <row r="355" spans="1:7">
      <c r="A355" s="44">
        <v>199.25</v>
      </c>
      <c r="B355" s="44">
        <v>202.2653</v>
      </c>
      <c r="C355" s="44">
        <v>192.53</v>
      </c>
      <c r="D355" s="44">
        <v>199.49</v>
      </c>
      <c r="E355" s="44">
        <v>59802821</v>
      </c>
      <c r="F355" s="44" t="s">
        <v>283</v>
      </c>
      <c r="G355" s="25">
        <f t="shared" si="3"/>
        <v>-1.2030678229485448E-3</v>
      </c>
    </row>
    <row r="356" spans="1:7">
      <c r="A356" s="44">
        <v>200.7</v>
      </c>
      <c r="B356" s="44">
        <v>205.77</v>
      </c>
      <c r="C356" s="44">
        <v>198.3015</v>
      </c>
      <c r="D356" s="44">
        <v>204.4</v>
      </c>
      <c r="E356" s="44">
        <v>49863755</v>
      </c>
      <c r="F356" s="44" t="s">
        <v>284</v>
      </c>
      <c r="G356" s="25">
        <f t="shared" si="3"/>
        <v>-1.8101761252446225E-2</v>
      </c>
    </row>
    <row r="357" spans="1:7">
      <c r="A357" s="44">
        <v>208.36</v>
      </c>
      <c r="B357" s="44">
        <v>209.98</v>
      </c>
      <c r="C357" s="44">
        <v>203.26</v>
      </c>
      <c r="D357" s="44">
        <v>204.8</v>
      </c>
      <c r="E357" s="44">
        <v>38610085</v>
      </c>
      <c r="F357" s="44" t="s">
        <v>285</v>
      </c>
      <c r="G357" s="25">
        <f t="shared" si="3"/>
        <v>1.7382812499999956E-2</v>
      </c>
    </row>
    <row r="358" spans="1:7">
      <c r="A358" s="44">
        <v>203.8</v>
      </c>
      <c r="B358" s="44">
        <v>206.8</v>
      </c>
      <c r="C358" s="44">
        <v>197.43199999999999</v>
      </c>
      <c r="D358" s="44">
        <v>200.11</v>
      </c>
      <c r="E358" s="44">
        <v>60853084</v>
      </c>
      <c r="F358" s="44" t="s">
        <v>286</v>
      </c>
      <c r="G358" s="25">
        <f t="shared" si="3"/>
        <v>1.8439858078057147E-2</v>
      </c>
    </row>
    <row r="359" spans="1:7">
      <c r="A359" s="44">
        <v>205.02</v>
      </c>
      <c r="B359" s="44">
        <v>214.01</v>
      </c>
      <c r="C359" s="44">
        <v>202.55</v>
      </c>
      <c r="D359" s="44">
        <v>213.352</v>
      </c>
      <c r="E359" s="44">
        <v>42948447</v>
      </c>
      <c r="F359" s="44" t="s">
        <v>287</v>
      </c>
      <c r="G359" s="25">
        <f t="shared" si="3"/>
        <v>-3.9052832877123245E-2</v>
      </c>
    </row>
    <row r="360" spans="1:7">
      <c r="A360" s="44">
        <v>212.28</v>
      </c>
      <c r="B360" s="44">
        <v>212.62</v>
      </c>
      <c r="C360" s="44">
        <v>206.99</v>
      </c>
      <c r="D360" s="44">
        <v>208.65</v>
      </c>
      <c r="E360" s="44">
        <v>51771737</v>
      </c>
      <c r="F360" s="44" t="s">
        <v>288</v>
      </c>
      <c r="G360" s="25">
        <f t="shared" si="3"/>
        <v>1.7397555715312762E-2</v>
      </c>
    </row>
    <row r="361" spans="1:7">
      <c r="A361" s="44">
        <v>208.74</v>
      </c>
      <c r="B361" s="44">
        <v>219.97</v>
      </c>
      <c r="C361" s="44">
        <v>208.37</v>
      </c>
      <c r="D361" s="44">
        <v>218.35</v>
      </c>
      <c r="E361" s="44">
        <v>40548571</v>
      </c>
      <c r="F361" s="44" t="s">
        <v>289</v>
      </c>
      <c r="G361" s="25">
        <f t="shared" si="3"/>
        <v>-4.4011907487977897E-2</v>
      </c>
    </row>
    <row r="362" spans="1:7">
      <c r="A362" s="44">
        <v>214.35</v>
      </c>
      <c r="B362" s="44">
        <v>218.16</v>
      </c>
      <c r="C362" s="44">
        <v>213.09</v>
      </c>
      <c r="D362" s="44">
        <v>214.94</v>
      </c>
      <c r="E362" s="44">
        <v>39120603</v>
      </c>
      <c r="F362" s="44" t="s">
        <v>290</v>
      </c>
      <c r="G362" s="25">
        <f t="shared" si="3"/>
        <v>-2.7449520796501981E-3</v>
      </c>
    </row>
    <row r="363" spans="1:7">
      <c r="A363" s="44">
        <v>212.8</v>
      </c>
      <c r="B363" s="44">
        <v>213.34</v>
      </c>
      <c r="C363" s="44">
        <v>204.16</v>
      </c>
      <c r="D363" s="44">
        <v>211.63</v>
      </c>
      <c r="E363" s="44">
        <v>58957977</v>
      </c>
      <c r="F363" s="44" t="s">
        <v>291</v>
      </c>
      <c r="G363" s="25">
        <f t="shared" si="3"/>
        <v>5.5285167509333544E-3</v>
      </c>
    </row>
    <row r="364" spans="1:7">
      <c r="A364" s="44">
        <v>212.71</v>
      </c>
      <c r="B364" s="44">
        <v>217.715</v>
      </c>
      <c r="C364" s="44">
        <v>212.42</v>
      </c>
      <c r="D364" s="44">
        <v>217.45</v>
      </c>
      <c r="E364" s="44">
        <v>42387585</v>
      </c>
      <c r="F364" s="44" t="s">
        <v>292</v>
      </c>
      <c r="G364" s="25">
        <f t="shared" si="3"/>
        <v>-2.1798114509082422E-2</v>
      </c>
    </row>
    <row r="365" spans="1:7">
      <c r="A365" s="44">
        <v>216.58</v>
      </c>
      <c r="B365" s="44">
        <v>223.31</v>
      </c>
      <c r="C365" s="44">
        <v>214.74</v>
      </c>
      <c r="D365" s="44">
        <v>223.28</v>
      </c>
      <c r="E365" s="44">
        <v>55323850</v>
      </c>
      <c r="F365" s="44" t="s">
        <v>293</v>
      </c>
      <c r="G365" s="25">
        <f t="shared" si="3"/>
        <v>-3.0007165890361787E-2</v>
      </c>
    </row>
    <row r="366" spans="1:7">
      <c r="A366" s="44">
        <v>222.88</v>
      </c>
      <c r="B366" s="44">
        <v>225.13</v>
      </c>
      <c r="C366" s="44">
        <v>221.81</v>
      </c>
      <c r="D366" s="44">
        <v>224.77500000000001</v>
      </c>
      <c r="E366" s="44">
        <v>30001665</v>
      </c>
      <c r="F366" s="44" t="s">
        <v>294</v>
      </c>
      <c r="G366" s="25">
        <f t="shared" si="3"/>
        <v>-8.4306528750973664E-3</v>
      </c>
    </row>
    <row r="367" spans="1:7">
      <c r="A367" s="44">
        <v>226.63</v>
      </c>
      <c r="B367" s="44">
        <v>226.83</v>
      </c>
      <c r="C367" s="44">
        <v>223.71</v>
      </c>
      <c r="D367" s="44">
        <v>225.52</v>
      </c>
      <c r="E367" s="44">
        <v>28566709</v>
      </c>
      <c r="F367" s="44" t="s">
        <v>295</v>
      </c>
      <c r="G367" s="25">
        <f t="shared" si="3"/>
        <v>4.9219581411847901E-3</v>
      </c>
    </row>
    <row r="368" spans="1:7">
      <c r="A368" s="44">
        <v>226.65</v>
      </c>
      <c r="B368" s="44">
        <v>229.3</v>
      </c>
      <c r="C368" s="44">
        <v>223.72</v>
      </c>
      <c r="D368" s="44">
        <v>228.82</v>
      </c>
      <c r="E368" s="44">
        <v>42975133</v>
      </c>
      <c r="F368" s="44" t="s">
        <v>296</v>
      </c>
      <c r="G368" s="25">
        <f t="shared" si="3"/>
        <v>-9.483436762520725E-3</v>
      </c>
    </row>
    <row r="369" spans="1:7">
      <c r="A369" s="44">
        <v>228.68</v>
      </c>
      <c r="B369" s="44">
        <v>229.89</v>
      </c>
      <c r="C369" s="44">
        <v>227.23</v>
      </c>
      <c r="D369" s="44">
        <v>229.2</v>
      </c>
      <c r="E369" s="44">
        <v>27031084</v>
      </c>
      <c r="F369" s="44" t="s">
        <v>297</v>
      </c>
      <c r="G369" s="25">
        <f t="shared" si="3"/>
        <v>-2.2687609075042747E-3</v>
      </c>
    </row>
    <row r="370" spans="1:7">
      <c r="A370" s="44">
        <v>230.37</v>
      </c>
      <c r="B370" s="44">
        <v>230.42</v>
      </c>
      <c r="C370" s="44">
        <v>227.52</v>
      </c>
      <c r="D370" s="44">
        <v>228.85</v>
      </c>
      <c r="E370" s="44">
        <v>31346512</v>
      </c>
      <c r="F370" s="44" t="s">
        <v>298</v>
      </c>
      <c r="G370" s="25">
        <f t="shared" si="3"/>
        <v>6.641905178064178E-3</v>
      </c>
    </row>
    <row r="371" spans="1:7">
      <c r="A371" s="44">
        <v>228.93</v>
      </c>
      <c r="B371" s="44">
        <v>231.18</v>
      </c>
      <c r="C371" s="44">
        <v>228.16</v>
      </c>
      <c r="D371" s="44">
        <v>230.46</v>
      </c>
      <c r="E371" s="44">
        <v>32285249</v>
      </c>
      <c r="F371" s="44" t="s">
        <v>299</v>
      </c>
      <c r="G371" s="25">
        <f t="shared" ref="G371:G434" si="4">A371/D371-1</f>
        <v>-6.6388961208019293E-3</v>
      </c>
    </row>
    <row r="372" spans="1:7">
      <c r="A372" s="44">
        <v>232.76</v>
      </c>
      <c r="B372" s="44">
        <v>233.44</v>
      </c>
      <c r="C372" s="44">
        <v>230.13</v>
      </c>
      <c r="D372" s="44">
        <v>231.92</v>
      </c>
      <c r="E372" s="44">
        <v>23713726</v>
      </c>
      <c r="F372" s="44" t="s">
        <v>300</v>
      </c>
      <c r="G372" s="25">
        <f t="shared" si="4"/>
        <v>3.6219385995170938E-3</v>
      </c>
    </row>
    <row r="373" spans="1:7">
      <c r="A373" s="44">
        <v>233.14</v>
      </c>
      <c r="B373" s="44">
        <v>233.92</v>
      </c>
      <c r="C373" s="44">
        <v>229.2</v>
      </c>
      <c r="D373" s="44">
        <v>230.54499999999999</v>
      </c>
      <c r="E373" s="44">
        <v>35419926</v>
      </c>
      <c r="F373" s="44" t="s">
        <v>301</v>
      </c>
      <c r="G373" s="25">
        <f t="shared" si="4"/>
        <v>1.125593701880323E-2</v>
      </c>
    </row>
    <row r="374" spans="1:7">
      <c r="A374" s="44">
        <v>229.15</v>
      </c>
      <c r="B374" s="44">
        <v>234.81</v>
      </c>
      <c r="C374" s="44">
        <v>228.06</v>
      </c>
      <c r="D374" s="44">
        <v>232.5</v>
      </c>
      <c r="E374" s="44">
        <v>77539276</v>
      </c>
      <c r="F374" s="44" t="s">
        <v>302</v>
      </c>
      <c r="G374" s="25">
        <f t="shared" si="4"/>
        <v>-1.440860215053763E-2</v>
      </c>
    </row>
    <row r="375" spans="1:7">
      <c r="A375" s="44">
        <v>238.83</v>
      </c>
      <c r="B375" s="44">
        <v>239.65989999999999</v>
      </c>
      <c r="C375" s="44">
        <v>236.01</v>
      </c>
      <c r="D375" s="44">
        <v>238.01</v>
      </c>
      <c r="E375" s="44">
        <v>60897095</v>
      </c>
      <c r="F375" s="44" t="s">
        <v>303</v>
      </c>
      <c r="G375" s="25">
        <f t="shared" si="4"/>
        <v>3.4452333935550694E-3</v>
      </c>
    </row>
    <row r="376" spans="1:7">
      <c r="A376" s="44">
        <v>236.17</v>
      </c>
      <c r="B376" s="44">
        <v>238.32</v>
      </c>
      <c r="C376" s="44">
        <v>235.2</v>
      </c>
      <c r="D376" s="44">
        <v>237.02</v>
      </c>
      <c r="E376" s="44">
        <v>38832042</v>
      </c>
      <c r="F376" s="44" t="s">
        <v>304</v>
      </c>
      <c r="G376" s="25">
        <f t="shared" si="4"/>
        <v>-3.5861952577842526E-3</v>
      </c>
    </row>
    <row r="377" spans="1:7">
      <c r="A377" s="44">
        <v>242.06</v>
      </c>
      <c r="B377" s="44">
        <v>242.52</v>
      </c>
      <c r="C377" s="44">
        <v>238.03</v>
      </c>
      <c r="D377" s="44">
        <v>239.01</v>
      </c>
      <c r="E377" s="44">
        <v>29713812</v>
      </c>
      <c r="F377" s="44" t="s">
        <v>305</v>
      </c>
      <c r="G377" s="25">
        <f t="shared" si="4"/>
        <v>1.2760972344253441E-2</v>
      </c>
    </row>
    <row r="378" spans="1:7">
      <c r="A378" s="44">
        <v>237.42</v>
      </c>
      <c r="B378" s="44">
        <v>239.25</v>
      </c>
      <c r="C378" s="44">
        <v>232.9</v>
      </c>
      <c r="D378" s="44">
        <v>234.06</v>
      </c>
      <c r="E378" s="44">
        <v>37285868</v>
      </c>
      <c r="F378" s="44" t="s">
        <v>306</v>
      </c>
      <c r="G378" s="25">
        <f t="shared" si="4"/>
        <v>1.4355293514483503E-2</v>
      </c>
    </row>
    <row r="379" spans="1:7">
      <c r="A379" s="44">
        <v>237.68</v>
      </c>
      <c r="B379" s="44">
        <v>240.29</v>
      </c>
      <c r="C379" s="44">
        <v>236.41</v>
      </c>
      <c r="D379" s="44">
        <v>236.5</v>
      </c>
      <c r="E379" s="44">
        <v>36162377</v>
      </c>
      <c r="F379" s="44" t="s">
        <v>307</v>
      </c>
      <c r="G379" s="25">
        <f t="shared" si="4"/>
        <v>4.9894291754757347E-3</v>
      </c>
    </row>
    <row r="380" spans="1:7">
      <c r="A380" s="44">
        <v>234.64</v>
      </c>
      <c r="B380" s="44">
        <v>237.95</v>
      </c>
      <c r="C380" s="44">
        <v>232.22</v>
      </c>
      <c r="D380" s="44">
        <v>237.14</v>
      </c>
      <c r="E380" s="44">
        <v>32020728</v>
      </c>
      <c r="F380" s="44" t="s">
        <v>308</v>
      </c>
      <c r="G380" s="25">
        <f t="shared" si="4"/>
        <v>-1.0542295690309511E-2</v>
      </c>
    </row>
    <row r="381" spans="1:7">
      <c r="A381" s="44">
        <v>237.07</v>
      </c>
      <c r="B381" s="44">
        <v>240.39</v>
      </c>
      <c r="C381" s="44">
        <v>236.15</v>
      </c>
      <c r="D381" s="44">
        <v>239.01499999999999</v>
      </c>
      <c r="E381" s="44">
        <v>26091716</v>
      </c>
      <c r="F381" s="44" t="s">
        <v>309</v>
      </c>
      <c r="G381" s="25">
        <f t="shared" si="4"/>
        <v>-8.1375645879965264E-3</v>
      </c>
    </row>
    <row r="382" spans="1:7">
      <c r="A382" s="44">
        <v>238.15</v>
      </c>
      <c r="B382" s="44">
        <v>241.77</v>
      </c>
      <c r="C382" s="44">
        <v>233.98</v>
      </c>
      <c r="D382" s="44">
        <v>234.29</v>
      </c>
      <c r="E382" s="44">
        <v>41587188</v>
      </c>
      <c r="F382" s="44" t="s">
        <v>310</v>
      </c>
      <c r="G382" s="25">
        <f t="shared" si="4"/>
        <v>1.6475308378505416E-2</v>
      </c>
    </row>
    <row r="383" spans="1:7">
      <c r="A383" s="44">
        <v>235.42</v>
      </c>
      <c r="B383" s="44">
        <v>235.61</v>
      </c>
      <c r="C383" s="44">
        <v>225.86</v>
      </c>
      <c r="D383" s="44">
        <v>226.21</v>
      </c>
      <c r="E383" s="44">
        <v>49428332</v>
      </c>
      <c r="F383" s="44" t="s">
        <v>311</v>
      </c>
      <c r="G383" s="25">
        <f t="shared" si="4"/>
        <v>4.0714380442951059E-2</v>
      </c>
    </row>
    <row r="384" spans="1:7">
      <c r="A384" s="44">
        <v>234.85</v>
      </c>
      <c r="B384" s="44">
        <v>236.4</v>
      </c>
      <c r="C384" s="44">
        <v>232.93</v>
      </c>
      <c r="D384" s="44">
        <v>234.5</v>
      </c>
      <c r="E384" s="44">
        <v>25890738</v>
      </c>
      <c r="F384" s="44" t="s">
        <v>312</v>
      </c>
      <c r="G384" s="25">
        <f t="shared" si="4"/>
        <v>1.4925373134329067E-3</v>
      </c>
    </row>
    <row r="385" spans="1:7">
      <c r="A385" s="44">
        <v>235.42</v>
      </c>
      <c r="B385" s="44">
        <v>235.52</v>
      </c>
      <c r="C385" s="44">
        <v>231.51</v>
      </c>
      <c r="D385" s="44">
        <v>234.1</v>
      </c>
      <c r="E385" s="44">
        <v>26404364</v>
      </c>
      <c r="F385" s="44" t="s">
        <v>313</v>
      </c>
      <c r="G385" s="25">
        <f t="shared" si="4"/>
        <v>5.6386159760786203E-3</v>
      </c>
    </row>
    <row r="386" spans="1:7">
      <c r="A386" s="44">
        <v>235.01</v>
      </c>
      <c r="B386" s="44">
        <v>235.44</v>
      </c>
      <c r="C386" s="44">
        <v>231.19</v>
      </c>
      <c r="D386" s="44">
        <v>232.02</v>
      </c>
      <c r="E386" s="44">
        <v>41448217</v>
      </c>
      <c r="F386" s="44" t="s">
        <v>314</v>
      </c>
      <c r="G386" s="25">
        <f t="shared" si="4"/>
        <v>1.2886820101715379E-2</v>
      </c>
    </row>
    <row r="387" spans="1:7">
      <c r="A387" s="44">
        <v>230.71</v>
      </c>
      <c r="B387" s="44">
        <v>231.78</v>
      </c>
      <c r="C387" s="44">
        <v>226.94</v>
      </c>
      <c r="D387" s="44">
        <v>228.9</v>
      </c>
      <c r="E387" s="44">
        <v>39951456</v>
      </c>
      <c r="F387" s="44" t="s">
        <v>315</v>
      </c>
      <c r="G387" s="25">
        <f t="shared" si="4"/>
        <v>7.9073831367408864E-3</v>
      </c>
    </row>
    <row r="388" spans="1:7">
      <c r="A388" s="44">
        <v>225.94</v>
      </c>
      <c r="B388" s="44">
        <v>226.51</v>
      </c>
      <c r="C388" s="44">
        <v>223.08</v>
      </c>
      <c r="D388" s="44">
        <v>225.84</v>
      </c>
      <c r="E388" s="44">
        <v>42370123</v>
      </c>
      <c r="F388" s="44" t="s">
        <v>316</v>
      </c>
      <c r="G388" s="25">
        <f t="shared" si="4"/>
        <v>4.4279135671265735E-4</v>
      </c>
    </row>
    <row r="389" spans="1:7">
      <c r="A389" s="44">
        <v>220.66</v>
      </c>
      <c r="B389" s="44">
        <v>224.65</v>
      </c>
      <c r="C389" s="44">
        <v>220.31</v>
      </c>
      <c r="D389" s="44">
        <v>224.42</v>
      </c>
      <c r="E389" s="44">
        <v>24757276</v>
      </c>
      <c r="F389" s="44" t="s">
        <v>317</v>
      </c>
      <c r="G389" s="25">
        <f t="shared" si="4"/>
        <v>-1.6754299973264386E-2</v>
      </c>
    </row>
    <row r="390" spans="1:7">
      <c r="A390" s="44">
        <v>223.35</v>
      </c>
      <c r="B390" s="44">
        <v>223.57</v>
      </c>
      <c r="C390" s="44">
        <v>220.75</v>
      </c>
      <c r="D390" s="44">
        <v>222.83</v>
      </c>
      <c r="E390" s="44">
        <v>31291257</v>
      </c>
      <c r="F390" s="44" t="s">
        <v>318</v>
      </c>
      <c r="G390" s="25">
        <f t="shared" si="4"/>
        <v>2.3336175559842687E-3</v>
      </c>
    </row>
    <row r="391" spans="1:7">
      <c r="A391" s="44">
        <v>217.76</v>
      </c>
      <c r="B391" s="44">
        <v>221.82</v>
      </c>
      <c r="C391" s="44">
        <v>216.2</v>
      </c>
      <c r="D391" s="44">
        <v>220.44</v>
      </c>
      <c r="E391" s="44">
        <v>24711650</v>
      </c>
      <c r="F391" s="44" t="s">
        <v>319</v>
      </c>
      <c r="G391" s="25">
        <f t="shared" si="4"/>
        <v>-1.2157503175467266E-2</v>
      </c>
    </row>
    <row r="392" spans="1:7">
      <c r="A392" s="44">
        <v>218.46</v>
      </c>
      <c r="B392" s="44">
        <v>219.4</v>
      </c>
      <c r="C392" s="44">
        <v>216.47</v>
      </c>
      <c r="D392" s="44">
        <v>218.06</v>
      </c>
      <c r="E392" s="44">
        <v>27262655</v>
      </c>
      <c r="F392" s="44" t="s">
        <v>320</v>
      </c>
      <c r="G392" s="25">
        <f t="shared" si="4"/>
        <v>1.8343575162800274E-3</v>
      </c>
    </row>
    <row r="393" spans="1:7">
      <c r="A393" s="44">
        <v>218.94</v>
      </c>
      <c r="B393" s="44">
        <v>221.71</v>
      </c>
      <c r="C393" s="44">
        <v>216.5</v>
      </c>
      <c r="D393" s="44">
        <v>221.46</v>
      </c>
      <c r="E393" s="44">
        <v>36811525</v>
      </c>
      <c r="F393" s="44" t="s">
        <v>321</v>
      </c>
      <c r="G393" s="25">
        <f t="shared" si="4"/>
        <v>-1.1379030073150997E-2</v>
      </c>
    </row>
    <row r="394" spans="1:7">
      <c r="A394" s="44">
        <v>222.13</v>
      </c>
      <c r="B394" s="44">
        <v>223.52</v>
      </c>
      <c r="C394" s="44">
        <v>220.2</v>
      </c>
      <c r="D394" s="44">
        <v>223.185</v>
      </c>
      <c r="E394" s="44">
        <v>25033292</v>
      </c>
      <c r="F394" s="44" t="s">
        <v>322</v>
      </c>
      <c r="G394" s="25">
        <f t="shared" si="4"/>
        <v>-4.7270201850483362E-3</v>
      </c>
    </row>
    <row r="395" spans="1:7">
      <c r="A395" s="44">
        <v>222.11</v>
      </c>
      <c r="B395" s="44">
        <v>228.381</v>
      </c>
      <c r="C395" s="44">
        <v>221.46</v>
      </c>
      <c r="D395" s="44">
        <v>227.9</v>
      </c>
      <c r="E395" s="44">
        <v>28084164</v>
      </c>
      <c r="F395" s="44" t="s">
        <v>323</v>
      </c>
      <c r="G395" s="25">
        <f t="shared" si="4"/>
        <v>-2.5405879771829731E-2</v>
      </c>
    </row>
    <row r="396" spans="1:7">
      <c r="A396" s="44">
        <v>227.61</v>
      </c>
      <c r="B396" s="44">
        <v>228.83500000000001</v>
      </c>
      <c r="C396" s="44">
        <v>224.84</v>
      </c>
      <c r="D396" s="44">
        <v>226.78</v>
      </c>
      <c r="E396" s="44">
        <v>31849831</v>
      </c>
      <c r="F396" s="44" t="s">
        <v>324</v>
      </c>
      <c r="G396" s="25">
        <f t="shared" si="4"/>
        <v>3.6599347385131153E-3</v>
      </c>
    </row>
    <row r="397" spans="1:7">
      <c r="A397" s="44">
        <v>224.19</v>
      </c>
      <c r="B397" s="44">
        <v>225.36</v>
      </c>
      <c r="C397" s="44">
        <v>221.62</v>
      </c>
      <c r="D397" s="44">
        <v>222.505</v>
      </c>
      <c r="E397" s="44">
        <v>27515606</v>
      </c>
      <c r="F397" s="44" t="s">
        <v>325</v>
      </c>
      <c r="G397" s="25">
        <f t="shared" si="4"/>
        <v>7.572863531156715E-3</v>
      </c>
    </row>
    <row r="398" spans="1:7">
      <c r="A398" s="44">
        <v>220.22</v>
      </c>
      <c r="B398" s="44">
        <v>225.15</v>
      </c>
      <c r="C398" s="44">
        <v>218.19</v>
      </c>
      <c r="D398" s="44">
        <v>222.03</v>
      </c>
      <c r="E398" s="44">
        <v>33956579</v>
      </c>
      <c r="F398" s="44" t="s">
        <v>326</v>
      </c>
      <c r="G398" s="25">
        <f t="shared" si="4"/>
        <v>-8.1520515245687708E-3</v>
      </c>
    </row>
    <row r="399" spans="1:7">
      <c r="A399" s="44">
        <v>219.39</v>
      </c>
      <c r="B399" s="44">
        <v>223.22989999999999</v>
      </c>
      <c r="C399" s="44">
        <v>218.94</v>
      </c>
      <c r="D399" s="44">
        <v>222.965</v>
      </c>
      <c r="E399" s="44">
        <v>24819655</v>
      </c>
      <c r="F399" s="44" t="s">
        <v>327</v>
      </c>
      <c r="G399" s="25">
        <f t="shared" si="4"/>
        <v>-1.6033906666965692E-2</v>
      </c>
    </row>
    <row r="400" spans="1:7">
      <c r="A400" s="44">
        <v>221.3</v>
      </c>
      <c r="B400" s="44">
        <v>222.99719999999999</v>
      </c>
      <c r="C400" s="44">
        <v>218.43</v>
      </c>
      <c r="D400" s="44">
        <v>220.06</v>
      </c>
      <c r="E400" s="44">
        <v>28321240</v>
      </c>
      <c r="F400" s="44" t="s">
        <v>328</v>
      </c>
      <c r="G400" s="25">
        <f t="shared" si="4"/>
        <v>5.6348268654002887E-3</v>
      </c>
    </row>
    <row r="401" spans="1:7">
      <c r="A401" s="44">
        <v>223.75</v>
      </c>
      <c r="B401" s="44">
        <v>226.03</v>
      </c>
      <c r="C401" s="44">
        <v>220.9</v>
      </c>
      <c r="D401" s="44">
        <v>225.6</v>
      </c>
      <c r="E401" s="44">
        <v>27367147</v>
      </c>
      <c r="F401" s="44" t="s">
        <v>329</v>
      </c>
      <c r="G401" s="25">
        <f t="shared" si="4"/>
        <v>-8.2003546099290725E-3</v>
      </c>
    </row>
    <row r="402" spans="1:7">
      <c r="A402" s="44">
        <v>227.05</v>
      </c>
      <c r="B402" s="44">
        <v>228.5</v>
      </c>
      <c r="C402" s="44">
        <v>226.67060000000001</v>
      </c>
      <c r="D402" s="44">
        <v>228.5</v>
      </c>
      <c r="E402" s="44">
        <v>16174500</v>
      </c>
      <c r="F402" s="44" t="s">
        <v>330</v>
      </c>
      <c r="G402" s="25">
        <f t="shared" si="4"/>
        <v>-6.3457330415754853E-3</v>
      </c>
    </row>
    <row r="403" spans="1:7">
      <c r="A403" s="44">
        <v>229.05</v>
      </c>
      <c r="B403" s="44">
        <v>229.14</v>
      </c>
      <c r="C403" s="44">
        <v>226.13</v>
      </c>
      <c r="D403" s="44">
        <v>226.94</v>
      </c>
      <c r="E403" s="44">
        <v>15007497</v>
      </c>
      <c r="F403" s="44" t="s">
        <v>331</v>
      </c>
      <c r="G403" s="25">
        <f t="shared" si="4"/>
        <v>9.2976117035339367E-3</v>
      </c>
    </row>
    <row r="404" spans="1:7">
      <c r="A404" s="44">
        <v>225.06</v>
      </c>
      <c r="B404" s="44">
        <v>226.88</v>
      </c>
      <c r="C404" s="44">
        <v>223.9</v>
      </c>
      <c r="D404" s="44">
        <v>225.01</v>
      </c>
      <c r="E404" s="44">
        <v>28070007</v>
      </c>
      <c r="F404" s="44" t="s">
        <v>332</v>
      </c>
      <c r="G404" s="25">
        <f t="shared" si="4"/>
        <v>2.2221234611796703E-4</v>
      </c>
    </row>
    <row r="405" spans="1:7">
      <c r="A405" s="44">
        <v>224.92</v>
      </c>
      <c r="B405" s="44">
        <v>226.21</v>
      </c>
      <c r="C405" s="44">
        <v>218.73</v>
      </c>
      <c r="D405" s="44">
        <v>219.84</v>
      </c>
      <c r="E405" s="44">
        <v>88279184</v>
      </c>
      <c r="F405" s="44" t="s">
        <v>333</v>
      </c>
      <c r="G405" s="25">
        <f t="shared" si="4"/>
        <v>2.3107714701601001E-2</v>
      </c>
    </row>
    <row r="406" spans="1:7">
      <c r="A406" s="44">
        <v>223.29</v>
      </c>
      <c r="B406" s="44">
        <v>226.09</v>
      </c>
      <c r="C406" s="44">
        <v>222.92</v>
      </c>
      <c r="D406" s="44">
        <v>224.91</v>
      </c>
      <c r="E406" s="44">
        <v>39918739</v>
      </c>
      <c r="F406" s="44" t="s">
        <v>334</v>
      </c>
      <c r="G406" s="25">
        <f t="shared" si="4"/>
        <v>-7.2028811524610381E-3</v>
      </c>
    </row>
    <row r="407" spans="1:7">
      <c r="A407" s="44">
        <v>220.52</v>
      </c>
      <c r="B407" s="44">
        <v>231.3999</v>
      </c>
      <c r="C407" s="44">
        <v>220.11</v>
      </c>
      <c r="D407" s="44">
        <v>230.77</v>
      </c>
      <c r="E407" s="44">
        <v>43281443</v>
      </c>
      <c r="F407" s="44" t="s">
        <v>335</v>
      </c>
      <c r="G407" s="25">
        <f t="shared" si="4"/>
        <v>-4.4416518611604672E-2</v>
      </c>
    </row>
    <row r="408" spans="1:7">
      <c r="A408" s="44">
        <v>231.15</v>
      </c>
      <c r="B408" s="44">
        <v>232.73</v>
      </c>
      <c r="C408" s="44">
        <v>227.85</v>
      </c>
      <c r="D408" s="44">
        <v>232.39</v>
      </c>
      <c r="E408" s="44">
        <v>35948131</v>
      </c>
      <c r="F408" s="44" t="s">
        <v>336</v>
      </c>
      <c r="G408" s="25">
        <f t="shared" si="4"/>
        <v>-5.3358578252075128E-3</v>
      </c>
    </row>
    <row r="409" spans="1:7">
      <c r="A409" s="44">
        <v>232.93</v>
      </c>
      <c r="B409" s="44">
        <v>233</v>
      </c>
      <c r="C409" s="44">
        <v>228.01</v>
      </c>
      <c r="D409" s="44">
        <v>230.23</v>
      </c>
      <c r="E409" s="44">
        <v>37552096</v>
      </c>
      <c r="F409" s="44" t="s">
        <v>337</v>
      </c>
      <c r="G409" s="25">
        <f t="shared" si="4"/>
        <v>1.1727403031750905E-2</v>
      </c>
    </row>
    <row r="410" spans="1:7">
      <c r="A410" s="44">
        <v>227.46</v>
      </c>
      <c r="B410" s="44">
        <v>230.2</v>
      </c>
      <c r="C410" s="44">
        <v>225.86080000000001</v>
      </c>
      <c r="D410" s="44">
        <v>228.4</v>
      </c>
      <c r="E410" s="44">
        <v>28768080</v>
      </c>
      <c r="F410" s="44" t="s">
        <v>338</v>
      </c>
      <c r="G410" s="25">
        <f t="shared" si="4"/>
        <v>-4.1155866900175475E-3</v>
      </c>
    </row>
    <row r="411" spans="1:7">
      <c r="A411" s="44">
        <v>228.97</v>
      </c>
      <c r="B411" s="44">
        <v>231.09</v>
      </c>
      <c r="C411" s="44">
        <v>227.63</v>
      </c>
      <c r="D411" s="44">
        <v>229.83</v>
      </c>
      <c r="E411" s="44">
        <v>28204084</v>
      </c>
      <c r="F411" s="44" t="s">
        <v>339</v>
      </c>
      <c r="G411" s="25">
        <f t="shared" si="4"/>
        <v>-3.7418961841361176E-3</v>
      </c>
    </row>
    <row r="412" spans="1:7">
      <c r="A412" s="44">
        <v>230.26</v>
      </c>
      <c r="B412" s="44">
        <v>231.2</v>
      </c>
      <c r="C412" s="44">
        <v>226.26</v>
      </c>
      <c r="D412" s="44">
        <v>226.41</v>
      </c>
      <c r="E412" s="44">
        <v>35385785</v>
      </c>
      <c r="F412" s="44" t="s">
        <v>340</v>
      </c>
      <c r="G412" s="25">
        <f t="shared" si="4"/>
        <v>1.7004549269025171E-2</v>
      </c>
    </row>
    <row r="413" spans="1:7">
      <c r="A413" s="44">
        <v>225.04</v>
      </c>
      <c r="B413" s="44">
        <v>229.06</v>
      </c>
      <c r="C413" s="44">
        <v>224.2002</v>
      </c>
      <c r="D413" s="44">
        <v>226.09</v>
      </c>
      <c r="E413" s="44">
        <v>31199864</v>
      </c>
      <c r="F413" s="44" t="s">
        <v>341</v>
      </c>
      <c r="G413" s="25">
        <f t="shared" si="4"/>
        <v>-4.6441682515813154E-3</v>
      </c>
    </row>
    <row r="414" spans="1:7">
      <c r="A414" s="44">
        <v>226.09</v>
      </c>
      <c r="B414" s="44">
        <v>230.08</v>
      </c>
      <c r="C414" s="44">
        <v>225.67</v>
      </c>
      <c r="D414" s="44">
        <v>227.21</v>
      </c>
      <c r="E414" s="44">
        <v>46819363</v>
      </c>
      <c r="F414" s="44" t="s">
        <v>342</v>
      </c>
      <c r="G414" s="25">
        <f t="shared" si="4"/>
        <v>-4.929360503499014E-3</v>
      </c>
    </row>
    <row r="415" spans="1:7">
      <c r="A415" s="44">
        <v>227.03</v>
      </c>
      <c r="B415" s="44">
        <v>227.15</v>
      </c>
      <c r="C415" s="44">
        <v>220.6</v>
      </c>
      <c r="D415" s="44">
        <v>220.75</v>
      </c>
      <c r="E415" s="44">
        <v>44178069</v>
      </c>
      <c r="F415" s="44" t="s">
        <v>343</v>
      </c>
      <c r="G415" s="25">
        <f t="shared" si="4"/>
        <v>2.8448471121177876E-2</v>
      </c>
    </row>
    <row r="416" spans="1:7">
      <c r="A416" s="44">
        <v>220.55</v>
      </c>
      <c r="B416" s="44">
        <v>222.15</v>
      </c>
      <c r="C416" s="44">
        <v>217.3</v>
      </c>
      <c r="D416" s="44">
        <v>218.03</v>
      </c>
      <c r="E416" s="44">
        <v>41140220</v>
      </c>
      <c r="F416" s="44" t="s">
        <v>344</v>
      </c>
      <c r="G416" s="25">
        <f t="shared" si="4"/>
        <v>1.1558042471219609E-2</v>
      </c>
    </row>
    <row r="417" spans="1:7">
      <c r="A417" s="44">
        <v>218.16</v>
      </c>
      <c r="B417" s="44">
        <v>220</v>
      </c>
      <c r="C417" s="44">
        <v>215.75</v>
      </c>
      <c r="D417" s="44">
        <v>215.96</v>
      </c>
      <c r="E417" s="44">
        <v>48745716</v>
      </c>
      <c r="F417" s="44" t="s">
        <v>345</v>
      </c>
      <c r="G417" s="25">
        <f t="shared" si="4"/>
        <v>1.0187071679940596E-2</v>
      </c>
    </row>
    <row r="418" spans="1:7">
      <c r="A418" s="44">
        <v>213.44</v>
      </c>
      <c r="B418" s="44">
        <v>214.02</v>
      </c>
      <c r="C418" s="44">
        <v>209.65</v>
      </c>
      <c r="D418" s="44">
        <v>210.31</v>
      </c>
      <c r="E418" s="44">
        <v>32214828</v>
      </c>
      <c r="F418" s="44" t="s">
        <v>346</v>
      </c>
      <c r="G418" s="25">
        <f t="shared" si="4"/>
        <v>1.4882792068850792E-2</v>
      </c>
    </row>
    <row r="419" spans="1:7">
      <c r="A419" s="44">
        <v>210.71</v>
      </c>
      <c r="B419" s="44">
        <v>212.99</v>
      </c>
      <c r="C419" s="44">
        <v>209.51009999999999</v>
      </c>
      <c r="D419" s="44">
        <v>209.96</v>
      </c>
      <c r="E419" s="44">
        <v>39523185</v>
      </c>
      <c r="F419" s="44" t="s">
        <v>347</v>
      </c>
      <c r="G419" s="25">
        <f t="shared" si="4"/>
        <v>3.5721089731377553E-3</v>
      </c>
    </row>
    <row r="420" spans="1:7">
      <c r="A420" s="44">
        <v>207.89</v>
      </c>
      <c r="B420" s="44">
        <v>208.2</v>
      </c>
      <c r="C420" s="44">
        <v>204.59</v>
      </c>
      <c r="D420" s="44">
        <v>205.83</v>
      </c>
      <c r="E420" s="44">
        <v>24892447</v>
      </c>
      <c r="F420" s="44" t="s">
        <v>348</v>
      </c>
      <c r="G420" s="25">
        <f t="shared" si="4"/>
        <v>1.0008259243064588E-2</v>
      </c>
    </row>
    <row r="421" spans="1:7">
      <c r="A421" s="44">
        <v>205.74</v>
      </c>
      <c r="B421" s="44">
        <v>207.64</v>
      </c>
      <c r="C421" s="44">
        <v>205.05</v>
      </c>
      <c r="D421" s="44">
        <v>206.98</v>
      </c>
      <c r="E421" s="44">
        <v>28061638</v>
      </c>
      <c r="F421" s="44" t="s">
        <v>349</v>
      </c>
      <c r="G421" s="25">
        <f t="shared" si="4"/>
        <v>-5.9909169968112019E-3</v>
      </c>
    </row>
    <row r="422" spans="1:7">
      <c r="A422" s="44">
        <v>207.86</v>
      </c>
      <c r="B422" s="44">
        <v>208</v>
      </c>
      <c r="C422" s="44">
        <v>201.79</v>
      </c>
      <c r="D422" s="44">
        <v>201.9</v>
      </c>
      <c r="E422" s="44">
        <v>41673737</v>
      </c>
      <c r="F422" s="44" t="s">
        <v>350</v>
      </c>
      <c r="G422" s="25">
        <f t="shared" si="4"/>
        <v>2.9519564140663812E-2</v>
      </c>
    </row>
    <row r="423" spans="1:7">
      <c r="A423" s="44">
        <v>201.45</v>
      </c>
      <c r="B423" s="44">
        <v>201.94990000000001</v>
      </c>
      <c r="C423" s="44">
        <v>199</v>
      </c>
      <c r="D423" s="44">
        <v>199.28</v>
      </c>
      <c r="E423" s="44">
        <v>40685672</v>
      </c>
      <c r="F423" s="44" t="s">
        <v>351</v>
      </c>
      <c r="G423" s="25">
        <f t="shared" si="4"/>
        <v>1.0889201124046455E-2</v>
      </c>
    </row>
    <row r="424" spans="1:7">
      <c r="A424" s="44">
        <v>197.12</v>
      </c>
      <c r="B424" s="44">
        <v>199.25989999999999</v>
      </c>
      <c r="C424" s="44">
        <v>196.75</v>
      </c>
      <c r="D424" s="44">
        <v>198.25</v>
      </c>
      <c r="E424" s="44">
        <v>31530844</v>
      </c>
      <c r="F424" s="44" t="s">
        <v>352</v>
      </c>
      <c r="G424" s="25">
        <f t="shared" si="4"/>
        <v>-5.6998738965952089E-3</v>
      </c>
    </row>
    <row r="425" spans="1:7">
      <c r="A425" s="44">
        <v>198.38</v>
      </c>
      <c r="B425" s="44">
        <v>203.49</v>
      </c>
      <c r="C425" s="44">
        <v>195.75</v>
      </c>
      <c r="D425" s="44">
        <v>203.49</v>
      </c>
      <c r="E425" s="44">
        <v>58800042</v>
      </c>
      <c r="F425" s="44" t="s">
        <v>353</v>
      </c>
      <c r="G425" s="25">
        <f t="shared" si="4"/>
        <v>-2.5111799105607235E-2</v>
      </c>
    </row>
    <row r="426" spans="1:7">
      <c r="A426" s="44">
        <v>202.88</v>
      </c>
      <c r="B426" s="44">
        <v>203.13</v>
      </c>
      <c r="C426" s="44">
        <v>199.45</v>
      </c>
      <c r="D426" s="44">
        <v>202.98</v>
      </c>
      <c r="E426" s="44">
        <v>32768989</v>
      </c>
      <c r="F426" s="44" t="s">
        <v>354</v>
      </c>
      <c r="G426" s="25">
        <f t="shared" si="4"/>
        <v>-4.9265937530784676E-4</v>
      </c>
    </row>
    <row r="427" spans="1:7">
      <c r="A427" s="44">
        <v>204.61</v>
      </c>
      <c r="B427" s="44">
        <v>205.3</v>
      </c>
      <c r="C427" s="44">
        <v>198.78</v>
      </c>
      <c r="D427" s="44">
        <v>199.33</v>
      </c>
      <c r="E427" s="44">
        <v>31197867</v>
      </c>
      <c r="F427" s="44" t="s">
        <v>355</v>
      </c>
      <c r="G427" s="25">
        <f t="shared" si="4"/>
        <v>2.6488737269854123E-2</v>
      </c>
    </row>
    <row r="428" spans="1:7">
      <c r="A428" s="44">
        <v>201.7</v>
      </c>
      <c r="B428" s="44">
        <v>204.67</v>
      </c>
      <c r="C428" s="44">
        <v>200.95</v>
      </c>
      <c r="D428" s="44">
        <v>204.15</v>
      </c>
      <c r="E428" s="44">
        <v>36512465</v>
      </c>
      <c r="F428" s="44" t="s">
        <v>356</v>
      </c>
      <c r="G428" s="25">
        <f t="shared" si="4"/>
        <v>-1.2000979671810019E-2</v>
      </c>
    </row>
    <row r="429" spans="1:7">
      <c r="A429" s="44">
        <v>202.61</v>
      </c>
      <c r="B429" s="44">
        <v>207.34</v>
      </c>
      <c r="C429" s="44">
        <v>199.61</v>
      </c>
      <c r="D429" s="44">
        <v>206.76</v>
      </c>
      <c r="E429" s="44">
        <v>86591144</v>
      </c>
      <c r="F429" s="44" t="s">
        <v>357</v>
      </c>
      <c r="G429" s="25">
        <f t="shared" si="4"/>
        <v>-2.0071580576513703E-2</v>
      </c>
    </row>
    <row r="430" spans="1:7">
      <c r="A430" s="44">
        <v>211.48</v>
      </c>
      <c r="B430" s="44">
        <v>215.9</v>
      </c>
      <c r="C430" s="44">
        <v>210.88</v>
      </c>
      <c r="D430" s="44">
        <v>214.16</v>
      </c>
      <c r="E430" s="44">
        <v>42620309</v>
      </c>
      <c r="F430" s="44" t="s">
        <v>358</v>
      </c>
      <c r="G430" s="25">
        <f t="shared" si="4"/>
        <v>-1.2514008218154737E-2</v>
      </c>
    </row>
    <row r="431" spans="1:7">
      <c r="A431" s="44">
        <v>214.1</v>
      </c>
      <c r="B431" s="44">
        <v>215.09</v>
      </c>
      <c r="C431" s="44">
        <v>209.14</v>
      </c>
      <c r="D431" s="44">
        <v>209.4</v>
      </c>
      <c r="E431" s="44">
        <v>46212943</v>
      </c>
      <c r="F431" s="44" t="s">
        <v>359</v>
      </c>
      <c r="G431" s="25">
        <f t="shared" si="4"/>
        <v>2.2445081184336191E-2</v>
      </c>
    </row>
    <row r="432" spans="1:7">
      <c r="A432" s="44">
        <v>208.91</v>
      </c>
      <c r="B432" s="44">
        <v>209.54</v>
      </c>
      <c r="C432" s="44">
        <v>206.01</v>
      </c>
      <c r="D432" s="44">
        <v>208.37</v>
      </c>
      <c r="E432" s="44">
        <v>38942918</v>
      </c>
      <c r="F432" s="44" t="s">
        <v>360</v>
      </c>
      <c r="G432" s="25">
        <f t="shared" si="4"/>
        <v>2.5915438882755382E-3</v>
      </c>
    </row>
    <row r="433" spans="1:7">
      <c r="A433" s="44">
        <v>206.84</v>
      </c>
      <c r="B433" s="44">
        <v>209.65</v>
      </c>
      <c r="C433" s="44">
        <v>205.59</v>
      </c>
      <c r="D433" s="44">
        <v>208.5</v>
      </c>
      <c r="E433" s="44">
        <v>35456012</v>
      </c>
      <c r="F433" s="44" t="s">
        <v>361</v>
      </c>
      <c r="G433" s="25">
        <f t="shared" si="4"/>
        <v>-7.9616306954436444E-3</v>
      </c>
    </row>
    <row r="434" spans="1:7">
      <c r="A434" s="44">
        <v>208.18</v>
      </c>
      <c r="B434" s="44">
        <v>209.9633</v>
      </c>
      <c r="C434" s="44">
        <v>207.44</v>
      </c>
      <c r="D434" s="44">
        <v>209.72</v>
      </c>
      <c r="E434" s="44">
        <v>36075846</v>
      </c>
      <c r="F434" s="44" t="s">
        <v>362</v>
      </c>
      <c r="G434" s="25">
        <f t="shared" si="4"/>
        <v>-7.3431241655540491E-3</v>
      </c>
    </row>
    <row r="435" spans="1:7">
      <c r="A435" s="44">
        <v>210.05</v>
      </c>
      <c r="B435" s="44">
        <v>212.25</v>
      </c>
      <c r="C435" s="44">
        <v>207.19</v>
      </c>
      <c r="D435" s="44">
        <v>207.44</v>
      </c>
      <c r="E435" s="44">
        <v>52878383</v>
      </c>
      <c r="F435" s="44" t="s">
        <v>363</v>
      </c>
      <c r="G435" s="25">
        <f t="shared" ref="G435:G498" si="5">A435/D435-1</f>
        <v>1.2581951407635961E-2</v>
      </c>
    </row>
    <row r="436" spans="1:7">
      <c r="A436" s="44">
        <v>207.09</v>
      </c>
      <c r="B436" s="44">
        <v>207.55</v>
      </c>
      <c r="C436" s="44">
        <v>199.14</v>
      </c>
      <c r="D436" s="44">
        <v>200.01</v>
      </c>
      <c r="E436" s="44">
        <v>72292167</v>
      </c>
      <c r="F436" s="44" t="s">
        <v>364</v>
      </c>
      <c r="G436" s="25">
        <f t="shared" si="5"/>
        <v>3.539823008849563E-2</v>
      </c>
    </row>
    <row r="437" spans="1:7">
      <c r="A437" s="44">
        <v>199.5</v>
      </c>
      <c r="B437" s="44">
        <v>199.82</v>
      </c>
      <c r="C437" s="44">
        <v>195.99</v>
      </c>
      <c r="D437" s="44">
        <v>196.04</v>
      </c>
      <c r="E437" s="44">
        <v>30564784</v>
      </c>
      <c r="F437" s="44" t="s">
        <v>365</v>
      </c>
      <c r="G437" s="25">
        <f t="shared" si="5"/>
        <v>1.764945929402173E-2</v>
      </c>
    </row>
    <row r="438" spans="1:7">
      <c r="A438" s="44">
        <v>195.78</v>
      </c>
      <c r="B438" s="44">
        <v>197.33</v>
      </c>
      <c r="C438" s="44">
        <v>194.31010000000001</v>
      </c>
      <c r="D438" s="44">
        <v>196.45</v>
      </c>
      <c r="E438" s="44">
        <v>38492062</v>
      </c>
      <c r="F438" s="44" t="s">
        <v>366</v>
      </c>
      <c r="G438" s="25">
        <f t="shared" si="5"/>
        <v>-3.410537032323635E-3</v>
      </c>
    </row>
    <row r="439" spans="1:7">
      <c r="A439" s="44">
        <v>197.93</v>
      </c>
      <c r="B439" s="44">
        <v>200.5</v>
      </c>
      <c r="C439" s="44">
        <v>197.02</v>
      </c>
      <c r="D439" s="44">
        <v>199</v>
      </c>
      <c r="E439" s="44">
        <v>99687847</v>
      </c>
      <c r="F439" s="44" t="s">
        <v>367</v>
      </c>
      <c r="G439" s="25">
        <f t="shared" si="5"/>
        <v>-5.3768844221104839E-3</v>
      </c>
    </row>
    <row r="440" spans="1:7">
      <c r="A440" s="44">
        <v>186.4</v>
      </c>
      <c r="B440" s="44">
        <v>190.6</v>
      </c>
      <c r="C440" s="44">
        <v>185.23</v>
      </c>
      <c r="D440" s="44">
        <v>190.51</v>
      </c>
      <c r="E440" s="44">
        <v>75146759</v>
      </c>
      <c r="F440" s="44" t="s">
        <v>368</v>
      </c>
      <c r="G440" s="25">
        <f t="shared" si="5"/>
        <v>-2.1573670673455392E-2</v>
      </c>
    </row>
    <row r="441" spans="1:7">
      <c r="A441" s="44">
        <v>192.73</v>
      </c>
      <c r="B441" s="44">
        <v>195.61</v>
      </c>
      <c r="C441" s="44">
        <v>192.42</v>
      </c>
      <c r="D441" s="44">
        <v>194.69499999999999</v>
      </c>
      <c r="E441" s="44">
        <v>37707550</v>
      </c>
      <c r="F441" s="44" t="s">
        <v>369</v>
      </c>
      <c r="G441" s="25">
        <f t="shared" si="5"/>
        <v>-1.0092709109119413E-2</v>
      </c>
    </row>
    <row r="442" spans="1:7">
      <c r="A442" s="44">
        <v>190.83</v>
      </c>
      <c r="B442" s="44">
        <v>191.4599</v>
      </c>
      <c r="C442" s="44">
        <v>187.815</v>
      </c>
      <c r="D442" s="44">
        <v>188.58</v>
      </c>
      <c r="E442" s="44">
        <v>35690158</v>
      </c>
      <c r="F442" s="44" t="s">
        <v>370</v>
      </c>
      <c r="G442" s="25">
        <f t="shared" si="5"/>
        <v>1.1931275851097656E-2</v>
      </c>
    </row>
    <row r="443" spans="1:7">
      <c r="A443" s="44">
        <v>188.39</v>
      </c>
      <c r="B443" s="44">
        <v>190.21</v>
      </c>
      <c r="C443" s="44">
        <v>188.21</v>
      </c>
      <c r="D443" s="44">
        <v>189.565</v>
      </c>
      <c r="E443" s="44">
        <v>27930836</v>
      </c>
      <c r="F443" s="44" t="s">
        <v>371</v>
      </c>
      <c r="G443" s="25">
        <f t="shared" si="5"/>
        <v>-6.1984016036715772E-3</v>
      </c>
    </row>
    <row r="444" spans="1:7">
      <c r="A444" s="44">
        <v>187.83</v>
      </c>
      <c r="B444" s="44">
        <v>190.45</v>
      </c>
      <c r="C444" s="44">
        <v>187.53</v>
      </c>
      <c r="D444" s="44">
        <v>187.85</v>
      </c>
      <c r="E444" s="44">
        <v>29362060</v>
      </c>
      <c r="F444" s="44" t="s">
        <v>372</v>
      </c>
      <c r="G444" s="25">
        <f t="shared" si="5"/>
        <v>-1.0646792653701276E-4</v>
      </c>
    </row>
    <row r="445" spans="1:7">
      <c r="A445" s="44">
        <v>186.38</v>
      </c>
      <c r="B445" s="44">
        <v>187.11</v>
      </c>
      <c r="C445" s="44">
        <v>183.86</v>
      </c>
      <c r="D445" s="44">
        <v>185.25</v>
      </c>
      <c r="E445" s="44">
        <v>21647395</v>
      </c>
      <c r="F445" s="44" t="s">
        <v>373</v>
      </c>
      <c r="G445" s="25">
        <f t="shared" si="5"/>
        <v>6.099865047233477E-3</v>
      </c>
    </row>
    <row r="446" spans="1:7">
      <c r="A446" s="44">
        <v>184.71</v>
      </c>
      <c r="B446" s="44">
        <v>189.16</v>
      </c>
      <c r="C446" s="44">
        <v>183.69</v>
      </c>
      <c r="D446" s="44">
        <v>188.85</v>
      </c>
      <c r="E446" s="44">
        <v>31937089</v>
      </c>
      <c r="F446" s="44" t="s">
        <v>374</v>
      </c>
      <c r="G446" s="25">
        <f t="shared" si="5"/>
        <v>-2.1922160444797334E-2</v>
      </c>
    </row>
    <row r="447" spans="1:7">
      <c r="A447" s="44">
        <v>189.7</v>
      </c>
      <c r="B447" s="44">
        <v>191.52010000000001</v>
      </c>
      <c r="C447" s="44">
        <v>186.97499999999999</v>
      </c>
      <c r="D447" s="44">
        <v>188.35</v>
      </c>
      <c r="E447" s="44">
        <v>29650593</v>
      </c>
      <c r="F447" s="44" t="s">
        <v>375</v>
      </c>
      <c r="G447" s="25">
        <f t="shared" si="5"/>
        <v>7.1675073002388512E-3</v>
      </c>
    </row>
    <row r="448" spans="1:7">
      <c r="A448" s="44">
        <v>189.07</v>
      </c>
      <c r="B448" s="44">
        <v>189.46</v>
      </c>
      <c r="C448" s="44">
        <v>186.4</v>
      </c>
      <c r="D448" s="44">
        <v>188.05</v>
      </c>
      <c r="E448" s="44">
        <v>24639393</v>
      </c>
      <c r="F448" s="44" t="s">
        <v>376</v>
      </c>
      <c r="G448" s="25">
        <f t="shared" si="5"/>
        <v>5.4240893379420285E-3</v>
      </c>
    </row>
    <row r="449" spans="1:7">
      <c r="A449" s="44">
        <v>188.99</v>
      </c>
      <c r="B449" s="44">
        <v>190.74</v>
      </c>
      <c r="C449" s="44">
        <v>186.28</v>
      </c>
      <c r="D449" s="44">
        <v>187.15</v>
      </c>
      <c r="E449" s="44">
        <v>37417670</v>
      </c>
      <c r="F449" s="44" t="s">
        <v>377</v>
      </c>
      <c r="G449" s="25">
        <f t="shared" si="5"/>
        <v>9.8316858135185647E-3</v>
      </c>
    </row>
    <row r="450" spans="1:7">
      <c r="A450" s="44">
        <v>187.53</v>
      </c>
      <c r="B450" s="44">
        <v>188.94</v>
      </c>
      <c r="C450" s="44">
        <v>186</v>
      </c>
      <c r="D450" s="44">
        <v>188.22</v>
      </c>
      <c r="E450" s="44">
        <v>25039414</v>
      </c>
      <c r="F450" s="44" t="s">
        <v>378</v>
      </c>
      <c r="G450" s="25">
        <f t="shared" si="5"/>
        <v>-3.6659228562320179E-3</v>
      </c>
    </row>
    <row r="451" spans="1:7">
      <c r="A451" s="44">
        <v>186.89</v>
      </c>
      <c r="B451" s="44">
        <v>187.78</v>
      </c>
      <c r="C451" s="44">
        <v>185.61</v>
      </c>
      <c r="D451" s="44">
        <v>187.05</v>
      </c>
      <c r="E451" s="44">
        <v>23456812</v>
      </c>
      <c r="F451" s="44" t="s">
        <v>379</v>
      </c>
      <c r="G451" s="25">
        <f t="shared" si="5"/>
        <v>-8.5538626035830401E-4</v>
      </c>
    </row>
    <row r="452" spans="1:7">
      <c r="A452" s="44">
        <v>187.69</v>
      </c>
      <c r="B452" s="44">
        <v>188.41</v>
      </c>
      <c r="C452" s="44">
        <v>184.58</v>
      </c>
      <c r="D452" s="44">
        <v>187.63</v>
      </c>
      <c r="E452" s="44">
        <v>32178925</v>
      </c>
      <c r="F452" s="44" t="s">
        <v>380</v>
      </c>
      <c r="G452" s="25">
        <f t="shared" si="5"/>
        <v>3.1977828705431754E-4</v>
      </c>
    </row>
    <row r="453" spans="1:7">
      <c r="A453" s="44">
        <v>187.54</v>
      </c>
      <c r="B453" s="44">
        <v>189.83</v>
      </c>
      <c r="C453" s="44">
        <v>187.36</v>
      </c>
      <c r="D453" s="44">
        <v>189.78</v>
      </c>
      <c r="E453" s="44">
        <v>22614407</v>
      </c>
      <c r="F453" s="44" t="s">
        <v>381</v>
      </c>
      <c r="G453" s="25">
        <f t="shared" si="5"/>
        <v>-1.180314047844877E-2</v>
      </c>
    </row>
    <row r="454" spans="1:7">
      <c r="A454" s="44">
        <v>188.82</v>
      </c>
      <c r="B454" s="44">
        <v>189.92840000000001</v>
      </c>
      <c r="C454" s="44">
        <v>186.3</v>
      </c>
      <c r="D454" s="44">
        <v>186.63</v>
      </c>
      <c r="E454" s="44">
        <v>25751557</v>
      </c>
      <c r="F454" s="44" t="s">
        <v>382</v>
      </c>
      <c r="G454" s="25">
        <f t="shared" si="5"/>
        <v>1.1734447837968176E-2</v>
      </c>
    </row>
    <row r="455" spans="1:7">
      <c r="A455" s="44">
        <v>186.65</v>
      </c>
      <c r="B455" s="44">
        <v>188.13399999999999</v>
      </c>
      <c r="C455" s="44">
        <v>185.83</v>
      </c>
      <c r="D455" s="44">
        <v>187.13</v>
      </c>
      <c r="E455" s="44">
        <v>27785043</v>
      </c>
      <c r="F455" s="44" t="s">
        <v>383</v>
      </c>
      <c r="G455" s="25">
        <f t="shared" si="5"/>
        <v>-2.5650617217976013E-3</v>
      </c>
    </row>
    <row r="456" spans="1:7">
      <c r="A456" s="44">
        <v>185.17</v>
      </c>
      <c r="B456" s="44">
        <v>185.845</v>
      </c>
      <c r="C456" s="44">
        <v>182.05</v>
      </c>
      <c r="D456" s="44">
        <v>182.82</v>
      </c>
      <c r="E456" s="44">
        <v>26343117</v>
      </c>
      <c r="F456" s="44" t="s">
        <v>384</v>
      </c>
      <c r="G456" s="25">
        <f t="shared" si="5"/>
        <v>1.2854173503992872E-2</v>
      </c>
    </row>
    <row r="457" spans="1:7">
      <c r="A457" s="44">
        <v>182.72</v>
      </c>
      <c r="B457" s="44">
        <v>183.09</v>
      </c>
      <c r="C457" s="44">
        <v>180.92</v>
      </c>
      <c r="D457" s="44">
        <v>181.91499999999999</v>
      </c>
      <c r="E457" s="44">
        <v>26372086</v>
      </c>
      <c r="F457" s="44" t="s">
        <v>385</v>
      </c>
      <c r="G457" s="25">
        <f t="shared" si="5"/>
        <v>4.4251436110271936E-3</v>
      </c>
    </row>
    <row r="458" spans="1:7">
      <c r="A458" s="44">
        <v>180.8</v>
      </c>
      <c r="B458" s="44">
        <v>183.6</v>
      </c>
      <c r="C458" s="44">
        <v>180.25</v>
      </c>
      <c r="D458" s="44">
        <v>182.95</v>
      </c>
      <c r="E458" s="44">
        <v>42364201</v>
      </c>
      <c r="F458" s="44" t="s">
        <v>386</v>
      </c>
      <c r="G458" s="25">
        <f t="shared" si="5"/>
        <v>-1.1751844766329511E-2</v>
      </c>
    </row>
    <row r="459" spans="1:7">
      <c r="A459" s="44">
        <v>186.51</v>
      </c>
      <c r="B459" s="44">
        <v>187.6</v>
      </c>
      <c r="C459" s="44">
        <v>183.6</v>
      </c>
      <c r="D459" s="44">
        <v>185.75</v>
      </c>
      <c r="E459" s="44">
        <v>41079011</v>
      </c>
      <c r="F459" s="44" t="s">
        <v>387</v>
      </c>
      <c r="G459" s="25">
        <f t="shared" si="5"/>
        <v>4.091520861372766E-3</v>
      </c>
    </row>
    <row r="460" spans="1:7">
      <c r="A460" s="44">
        <v>181.96</v>
      </c>
      <c r="B460" s="44">
        <v>183.44</v>
      </c>
      <c r="C460" s="44">
        <v>180.875</v>
      </c>
      <c r="D460" s="44">
        <v>183.04499999999999</v>
      </c>
      <c r="E460" s="44">
        <v>30204302</v>
      </c>
      <c r="F460" s="44" t="s">
        <v>388</v>
      </c>
      <c r="G460" s="25">
        <f t="shared" si="5"/>
        <v>-5.92750416564225E-3</v>
      </c>
    </row>
    <row r="461" spans="1:7">
      <c r="A461" s="44">
        <v>184.76</v>
      </c>
      <c r="B461" s="44">
        <v>186.6</v>
      </c>
      <c r="C461" s="44">
        <v>184.04</v>
      </c>
      <c r="D461" s="44">
        <v>184.44</v>
      </c>
      <c r="E461" s="44">
        <v>23704056</v>
      </c>
      <c r="F461" s="44" t="s">
        <v>389</v>
      </c>
      <c r="G461" s="25">
        <f t="shared" si="5"/>
        <v>1.7349815658207479E-3</v>
      </c>
    </row>
    <row r="462" spans="1:7">
      <c r="A462" s="44">
        <v>185.13</v>
      </c>
      <c r="B462" s="44">
        <v>186.19</v>
      </c>
      <c r="C462" s="44">
        <v>183.45189999999999</v>
      </c>
      <c r="D462" s="44">
        <v>184.9</v>
      </c>
      <c r="E462" s="44">
        <v>36044906</v>
      </c>
      <c r="F462" s="44" t="s">
        <v>390</v>
      </c>
      <c r="G462" s="25">
        <f t="shared" si="5"/>
        <v>1.2439156300703136E-3</v>
      </c>
    </row>
    <row r="463" spans="1:7">
      <c r="A463" s="44">
        <v>186.33</v>
      </c>
      <c r="B463" s="44">
        <v>188.49</v>
      </c>
      <c r="C463" s="44">
        <v>184.65</v>
      </c>
      <c r="D463" s="44">
        <v>187.14</v>
      </c>
      <c r="E463" s="44">
        <v>41680400</v>
      </c>
      <c r="F463" s="44" t="s">
        <v>391</v>
      </c>
      <c r="G463" s="25">
        <f t="shared" si="5"/>
        <v>-4.3283103558831026E-3</v>
      </c>
    </row>
    <row r="464" spans="1:7">
      <c r="A464" s="44">
        <v>187.97</v>
      </c>
      <c r="B464" s="44">
        <v>190.9</v>
      </c>
      <c r="C464" s="44">
        <v>187.34</v>
      </c>
      <c r="D464" s="44">
        <v>190.68</v>
      </c>
      <c r="E464" s="44">
        <v>36002316</v>
      </c>
      <c r="F464" s="44" t="s">
        <v>392</v>
      </c>
      <c r="G464" s="25">
        <f t="shared" si="5"/>
        <v>-1.4212292846654151E-2</v>
      </c>
    </row>
    <row r="465" spans="1:7">
      <c r="A465" s="44">
        <v>191.16</v>
      </c>
      <c r="B465" s="44">
        <v>194.53</v>
      </c>
      <c r="C465" s="44">
        <v>189.54</v>
      </c>
      <c r="D465" s="44">
        <v>194.31</v>
      </c>
      <c r="E465" s="44">
        <v>36334854</v>
      </c>
      <c r="F465" s="44" t="s">
        <v>393</v>
      </c>
      <c r="G465" s="25">
        <f t="shared" si="5"/>
        <v>-1.621120889300609E-2</v>
      </c>
    </row>
    <row r="466" spans="1:7">
      <c r="A466" s="44">
        <v>192.53</v>
      </c>
      <c r="B466" s="44">
        <v>193.94980000000001</v>
      </c>
      <c r="C466" s="44">
        <v>192.16</v>
      </c>
      <c r="D466" s="44">
        <v>193.75</v>
      </c>
      <c r="E466" s="44">
        <v>26391144</v>
      </c>
      <c r="F466" s="44" t="s">
        <v>394</v>
      </c>
      <c r="G466" s="25">
        <f t="shared" si="5"/>
        <v>-6.296774193548349E-3</v>
      </c>
    </row>
    <row r="467" spans="1:7">
      <c r="A467" s="44">
        <v>193.96</v>
      </c>
      <c r="B467" s="44">
        <v>195.37</v>
      </c>
      <c r="C467" s="44">
        <v>190.13</v>
      </c>
      <c r="D467" s="44">
        <v>194.27</v>
      </c>
      <c r="E467" s="44">
        <v>43478926</v>
      </c>
      <c r="F467" s="44" t="s">
        <v>395</v>
      </c>
      <c r="G467" s="25">
        <f t="shared" si="5"/>
        <v>-1.5957173006639902E-3</v>
      </c>
    </row>
    <row r="468" spans="1:7">
      <c r="A468" s="44">
        <v>193.88</v>
      </c>
      <c r="B468" s="44">
        <v>194.45</v>
      </c>
      <c r="C468" s="44">
        <v>190.57</v>
      </c>
      <c r="D468" s="44">
        <v>191.64</v>
      </c>
      <c r="E468" s="44">
        <v>36993111</v>
      </c>
      <c r="F468" s="44" t="s">
        <v>396</v>
      </c>
      <c r="G468" s="25">
        <f t="shared" si="5"/>
        <v>1.1688582759340482E-2</v>
      </c>
    </row>
    <row r="469" spans="1:7">
      <c r="A469" s="44">
        <v>191.6</v>
      </c>
      <c r="B469" s="44">
        <v>191.84</v>
      </c>
      <c r="C469" s="44">
        <v>187.41</v>
      </c>
      <c r="D469" s="44">
        <v>190.23</v>
      </c>
      <c r="E469" s="44">
        <v>100378553</v>
      </c>
      <c r="F469" s="44" t="s">
        <v>397</v>
      </c>
      <c r="G469" s="25">
        <f t="shared" si="5"/>
        <v>7.2018083372760167E-3</v>
      </c>
    </row>
    <row r="470" spans="1:7">
      <c r="A470" s="44">
        <v>189.87</v>
      </c>
      <c r="B470" s="44">
        <v>190.99</v>
      </c>
      <c r="C470" s="44">
        <v>188.47</v>
      </c>
      <c r="D470" s="44">
        <v>190.04</v>
      </c>
      <c r="E470" s="44">
        <v>39543168</v>
      </c>
      <c r="F470" s="44" t="s">
        <v>398</v>
      </c>
      <c r="G470" s="25">
        <f t="shared" si="5"/>
        <v>-8.9454851610182295E-4</v>
      </c>
    </row>
    <row r="471" spans="1:7">
      <c r="A471" s="44">
        <v>186.43</v>
      </c>
      <c r="B471" s="44">
        <v>188.8</v>
      </c>
      <c r="C471" s="44">
        <v>185.06</v>
      </c>
      <c r="D471" s="44">
        <v>186.45</v>
      </c>
      <c r="E471" s="44">
        <v>34448130</v>
      </c>
      <c r="F471" s="44" t="s">
        <v>399</v>
      </c>
      <c r="G471" s="25">
        <f t="shared" si="5"/>
        <v>-1.0726736390442859E-4</v>
      </c>
    </row>
    <row r="472" spans="1:7">
      <c r="A472" s="44">
        <v>186.88</v>
      </c>
      <c r="B472" s="44">
        <v>189.45</v>
      </c>
      <c r="C472" s="44">
        <v>186.14</v>
      </c>
      <c r="D472" s="44">
        <v>186.85</v>
      </c>
      <c r="E472" s="44">
        <v>26091682</v>
      </c>
      <c r="F472" s="44" t="s">
        <v>400</v>
      </c>
      <c r="G472" s="25">
        <f t="shared" si="5"/>
        <v>1.605565962001787E-4</v>
      </c>
    </row>
    <row r="473" spans="1:7">
      <c r="A473" s="44">
        <v>184.89</v>
      </c>
      <c r="B473" s="44">
        <v>185.81</v>
      </c>
      <c r="C473" s="44">
        <v>183.36</v>
      </c>
      <c r="D473" s="44">
        <v>185.29</v>
      </c>
      <c r="E473" s="44">
        <v>26065485</v>
      </c>
      <c r="F473" s="44" t="s">
        <v>401</v>
      </c>
      <c r="G473" s="25">
        <f t="shared" si="5"/>
        <v>-2.15877813157761E-3</v>
      </c>
    </row>
    <row r="474" spans="1:7">
      <c r="A474" s="44">
        <v>186.49</v>
      </c>
      <c r="B474" s="44">
        <v>188.5</v>
      </c>
      <c r="C474" s="44">
        <v>185.91</v>
      </c>
      <c r="D474" s="44">
        <v>187</v>
      </c>
      <c r="E474" s="44">
        <v>26495351</v>
      </c>
      <c r="F474" s="44" t="s">
        <v>402</v>
      </c>
      <c r="G474" s="25">
        <f t="shared" si="5"/>
        <v>-2.7272727272726893E-3</v>
      </c>
    </row>
    <row r="475" spans="1:7">
      <c r="A475" s="44">
        <v>187</v>
      </c>
      <c r="B475" s="44">
        <v>187.41</v>
      </c>
      <c r="C475" s="44">
        <v>183.54</v>
      </c>
      <c r="D475" s="44">
        <v>184.8</v>
      </c>
      <c r="E475" s="44">
        <v>33622483</v>
      </c>
      <c r="F475" s="44" t="s">
        <v>403</v>
      </c>
      <c r="G475" s="25">
        <f t="shared" si="5"/>
        <v>1.1904761904761862E-2</v>
      </c>
    </row>
    <row r="476" spans="1:7">
      <c r="A476" s="44">
        <v>184.52</v>
      </c>
      <c r="B476" s="44">
        <v>184.99</v>
      </c>
      <c r="C476" s="44">
        <v>175.73</v>
      </c>
      <c r="D476" s="44">
        <v>180.095</v>
      </c>
      <c r="E476" s="44">
        <v>42564698</v>
      </c>
      <c r="F476" s="44" t="s">
        <v>404</v>
      </c>
      <c r="G476" s="25">
        <f t="shared" si="5"/>
        <v>2.457036564035664E-2</v>
      </c>
    </row>
    <row r="477" spans="1:7">
      <c r="A477" s="44">
        <v>179.55</v>
      </c>
      <c r="B477" s="44">
        <v>180.5</v>
      </c>
      <c r="C477" s="44">
        <v>176.79</v>
      </c>
      <c r="D477" s="44">
        <v>177.49</v>
      </c>
      <c r="E477" s="44">
        <v>36233796</v>
      </c>
      <c r="F477" s="44" t="s">
        <v>405</v>
      </c>
      <c r="G477" s="25">
        <f t="shared" si="5"/>
        <v>1.1606287678179061E-2</v>
      </c>
    </row>
    <row r="478" spans="1:7">
      <c r="A478" s="44">
        <v>175.4</v>
      </c>
      <c r="B478" s="44">
        <v>175.85</v>
      </c>
      <c r="C478" s="44">
        <v>173.51</v>
      </c>
      <c r="D478" s="44">
        <v>174.53</v>
      </c>
      <c r="E478" s="44">
        <v>29037362</v>
      </c>
      <c r="F478" s="44" t="s">
        <v>406</v>
      </c>
      <c r="G478" s="25">
        <f t="shared" si="5"/>
        <v>4.9848163639489851E-3</v>
      </c>
    </row>
    <row r="479" spans="1:7">
      <c r="A479" s="44">
        <v>171.39</v>
      </c>
      <c r="B479" s="44">
        <v>178.38</v>
      </c>
      <c r="C479" s="44">
        <v>171.16</v>
      </c>
      <c r="D479" s="44">
        <v>177.24</v>
      </c>
      <c r="E479" s="44">
        <v>41466537</v>
      </c>
      <c r="F479" s="44" t="s">
        <v>407</v>
      </c>
      <c r="G479" s="25">
        <f t="shared" si="5"/>
        <v>-3.3006093432633832E-2</v>
      </c>
    </row>
    <row r="480" spans="1:7">
      <c r="A480" s="44">
        <v>177.89</v>
      </c>
      <c r="B480" s="44">
        <v>179.875</v>
      </c>
      <c r="C480" s="44">
        <v>174.995</v>
      </c>
      <c r="D480" s="44">
        <v>175</v>
      </c>
      <c r="E480" s="44">
        <v>40170526</v>
      </c>
      <c r="F480" s="44" t="s">
        <v>408</v>
      </c>
      <c r="G480" s="25">
        <f t="shared" si="5"/>
        <v>1.6514285714285704E-2</v>
      </c>
    </row>
    <row r="481" spans="1:7">
      <c r="A481" s="44">
        <v>173.33</v>
      </c>
      <c r="B481" s="44">
        <v>175.98</v>
      </c>
      <c r="C481" s="44">
        <v>172.54</v>
      </c>
      <c r="D481" s="44">
        <v>174.48</v>
      </c>
      <c r="E481" s="44">
        <v>30309225</v>
      </c>
      <c r="F481" s="44" t="s">
        <v>409</v>
      </c>
      <c r="G481" s="25">
        <f t="shared" si="5"/>
        <v>-6.5910132966527923E-3</v>
      </c>
    </row>
    <row r="482" spans="1:7">
      <c r="A482" s="44">
        <v>176.25</v>
      </c>
      <c r="B482" s="44">
        <v>178.26</v>
      </c>
      <c r="C482" s="44">
        <v>175.26</v>
      </c>
      <c r="D482" s="44">
        <v>177.55</v>
      </c>
      <c r="E482" s="44">
        <v>37817511</v>
      </c>
      <c r="F482" s="44" t="s">
        <v>410</v>
      </c>
      <c r="G482" s="25">
        <f t="shared" si="5"/>
        <v>-7.3218811602365763E-3</v>
      </c>
    </row>
    <row r="483" spans="1:7">
      <c r="A483" s="44">
        <v>178.5</v>
      </c>
      <c r="B483" s="44">
        <v>178.9</v>
      </c>
      <c r="C483" s="44">
        <v>172.6</v>
      </c>
      <c r="D483" s="44">
        <v>172.78</v>
      </c>
      <c r="E483" s="44">
        <v>43429355</v>
      </c>
      <c r="F483" s="44" t="s">
        <v>411</v>
      </c>
      <c r="G483" s="25">
        <f t="shared" si="5"/>
        <v>3.3105683528186214E-2</v>
      </c>
    </row>
    <row r="484" spans="1:7">
      <c r="A484" s="44">
        <v>172.12</v>
      </c>
      <c r="B484" s="44">
        <v>174.29</v>
      </c>
      <c r="C484" s="44">
        <v>170.81</v>
      </c>
      <c r="D484" s="44">
        <v>173.22</v>
      </c>
      <c r="E484" s="44">
        <v>26407815</v>
      </c>
      <c r="F484" s="44" t="s">
        <v>412</v>
      </c>
      <c r="G484" s="25">
        <f t="shared" si="5"/>
        <v>-6.3503059692875397E-3</v>
      </c>
    </row>
    <row r="485" spans="1:7">
      <c r="A485" s="44">
        <v>170.8</v>
      </c>
      <c r="B485" s="44">
        <v>173.69</v>
      </c>
      <c r="C485" s="44">
        <v>168.92</v>
      </c>
      <c r="D485" s="44">
        <v>173.69</v>
      </c>
      <c r="E485" s="44">
        <v>29045025</v>
      </c>
      <c r="F485" s="44" t="s">
        <v>413</v>
      </c>
      <c r="G485" s="25">
        <f t="shared" si="5"/>
        <v>-1.6638839311416853E-2</v>
      </c>
    </row>
    <row r="486" spans="1:7">
      <c r="A486" s="44">
        <v>173.12</v>
      </c>
      <c r="B486" s="44">
        <v>174.89</v>
      </c>
      <c r="C486" s="44">
        <v>172.25</v>
      </c>
      <c r="D486" s="44">
        <v>174.15</v>
      </c>
      <c r="E486" s="44">
        <v>29841979</v>
      </c>
      <c r="F486" s="44" t="s">
        <v>414</v>
      </c>
      <c r="G486" s="25">
        <f t="shared" si="5"/>
        <v>-5.9144415733562994E-3</v>
      </c>
    </row>
    <row r="487" spans="1:7">
      <c r="A487" s="44">
        <v>175.5</v>
      </c>
      <c r="B487" s="44">
        <v>177.4682</v>
      </c>
      <c r="C487" s="44">
        <v>174.3</v>
      </c>
      <c r="D487" s="44">
        <v>176.7</v>
      </c>
      <c r="E487" s="44">
        <v>22366236</v>
      </c>
      <c r="F487" s="44" t="s">
        <v>415</v>
      </c>
      <c r="G487" s="25">
        <f t="shared" si="5"/>
        <v>-6.7911714770797493E-3</v>
      </c>
    </row>
    <row r="488" spans="1:7">
      <c r="A488" s="44">
        <v>177.04</v>
      </c>
      <c r="B488" s="44">
        <v>178.9699</v>
      </c>
      <c r="C488" s="44">
        <v>175.24</v>
      </c>
      <c r="D488" s="44">
        <v>177.34</v>
      </c>
      <c r="E488" s="44">
        <v>29150091</v>
      </c>
      <c r="F488" s="44" t="s">
        <v>416</v>
      </c>
      <c r="G488" s="25">
        <f t="shared" si="5"/>
        <v>-1.6916657268524204E-3</v>
      </c>
    </row>
    <row r="489" spans="1:7">
      <c r="A489" s="44">
        <v>176.13</v>
      </c>
      <c r="B489" s="44">
        <v>181.47</v>
      </c>
      <c r="C489" s="44">
        <v>175.68</v>
      </c>
      <c r="D489" s="44">
        <v>181.38</v>
      </c>
      <c r="E489" s="44">
        <v>32047482</v>
      </c>
      <c r="F489" s="44" t="s">
        <v>417</v>
      </c>
      <c r="G489" s="25">
        <f t="shared" si="5"/>
        <v>-2.8944756864042298E-2</v>
      </c>
    </row>
    <row r="490" spans="1:7">
      <c r="A490" s="44">
        <v>180.11</v>
      </c>
      <c r="B490" s="44">
        <v>182.38499999999999</v>
      </c>
      <c r="C490" s="44">
        <v>178.8937</v>
      </c>
      <c r="D490" s="44">
        <v>179.92</v>
      </c>
      <c r="E490" s="44">
        <v>35599120</v>
      </c>
      <c r="F490" s="44" t="s">
        <v>418</v>
      </c>
      <c r="G490" s="25">
        <f t="shared" si="5"/>
        <v>1.0560248999555988E-3</v>
      </c>
    </row>
    <row r="491" spans="1:7">
      <c r="A491" s="44">
        <v>178.88</v>
      </c>
      <c r="B491" s="44">
        <v>179.01</v>
      </c>
      <c r="C491" s="44">
        <v>177.4308</v>
      </c>
      <c r="D491" s="44">
        <v>177.92</v>
      </c>
      <c r="E491" s="44">
        <v>26255204</v>
      </c>
      <c r="F491" s="44" t="s">
        <v>419</v>
      </c>
      <c r="G491" s="25">
        <f t="shared" si="5"/>
        <v>5.3956834532373765E-3</v>
      </c>
    </row>
    <row r="492" spans="1:7">
      <c r="A492" s="44">
        <v>178.22</v>
      </c>
      <c r="B492" s="44">
        <v>178.3</v>
      </c>
      <c r="C492" s="44">
        <v>176.16</v>
      </c>
      <c r="D492" s="44">
        <v>177.64</v>
      </c>
      <c r="E492" s="44">
        <v>31129807</v>
      </c>
      <c r="F492" s="44" t="s">
        <v>420</v>
      </c>
      <c r="G492" s="25">
        <f t="shared" si="5"/>
        <v>3.2650303985588547E-3</v>
      </c>
    </row>
    <row r="493" spans="1:7">
      <c r="A493" s="44">
        <v>177.06</v>
      </c>
      <c r="B493" s="44">
        <v>178.34</v>
      </c>
      <c r="C493" s="44">
        <v>176.26009999999999</v>
      </c>
      <c r="D493" s="44">
        <v>177.04</v>
      </c>
      <c r="E493" s="44">
        <v>31489175</v>
      </c>
      <c r="F493" s="44" t="s">
        <v>421</v>
      </c>
      <c r="G493" s="25">
        <f t="shared" si="5"/>
        <v>1.1296882060563007E-4</v>
      </c>
    </row>
    <row r="494" spans="1:7">
      <c r="A494" s="44">
        <v>177.59</v>
      </c>
      <c r="B494" s="44">
        <v>177.91</v>
      </c>
      <c r="C494" s="44">
        <v>173.99</v>
      </c>
      <c r="D494" s="44">
        <v>174.86</v>
      </c>
      <c r="E494" s="44">
        <v>51698513</v>
      </c>
      <c r="F494" s="44" t="s">
        <v>422</v>
      </c>
      <c r="G494" s="25">
        <f t="shared" si="5"/>
        <v>1.5612489991993606E-2</v>
      </c>
    </row>
    <row r="495" spans="1:7">
      <c r="A495" s="44">
        <v>170.1</v>
      </c>
      <c r="B495" s="44">
        <v>172.28</v>
      </c>
      <c r="C495" s="44">
        <v>168.86</v>
      </c>
      <c r="D495" s="44">
        <v>172.11</v>
      </c>
      <c r="E495" s="44">
        <v>28843804</v>
      </c>
      <c r="F495" s="44" t="s">
        <v>423</v>
      </c>
      <c r="G495" s="25">
        <f t="shared" si="5"/>
        <v>-1.1678577653826183E-2</v>
      </c>
    </row>
    <row r="496" spans="1:7">
      <c r="A496" s="44">
        <v>170.23</v>
      </c>
      <c r="B496" s="44">
        <v>171.04</v>
      </c>
      <c r="C496" s="44">
        <v>167.1</v>
      </c>
      <c r="D496" s="44">
        <v>167.81</v>
      </c>
      <c r="E496" s="44">
        <v>39237915</v>
      </c>
      <c r="F496" s="44" t="s">
        <v>424</v>
      </c>
      <c r="G496" s="25">
        <f t="shared" si="5"/>
        <v>1.4421071449853828E-2</v>
      </c>
    </row>
    <row r="497" spans="1:7">
      <c r="A497" s="44">
        <v>166.8</v>
      </c>
      <c r="B497" s="44">
        <v>168.55</v>
      </c>
      <c r="C497" s="44">
        <v>166.11009999999999</v>
      </c>
      <c r="D497" s="44">
        <v>168.14</v>
      </c>
      <c r="E497" s="44">
        <v>30072788</v>
      </c>
      <c r="F497" s="44" t="s">
        <v>425</v>
      </c>
      <c r="G497" s="25">
        <f t="shared" si="5"/>
        <v>-7.9695491852026512E-3</v>
      </c>
    </row>
    <row r="498" spans="1:7">
      <c r="A498" s="44">
        <v>166.94</v>
      </c>
      <c r="B498" s="44">
        <v>168.55</v>
      </c>
      <c r="C498" s="44">
        <v>165.85</v>
      </c>
      <c r="D498" s="44">
        <v>166.4</v>
      </c>
      <c r="E498" s="44">
        <v>36401049</v>
      </c>
      <c r="F498" s="44" t="s">
        <v>426</v>
      </c>
      <c r="G498" s="25">
        <f t="shared" si="5"/>
        <v>3.2451923076921574E-3</v>
      </c>
    </row>
    <row r="499" spans="1:7">
      <c r="A499" s="44">
        <v>165.8</v>
      </c>
      <c r="B499" s="44">
        <v>166.68989999999999</v>
      </c>
      <c r="C499" s="44">
        <v>162.55000000000001</v>
      </c>
      <c r="D499" s="44">
        <v>165.16499999999999</v>
      </c>
      <c r="E499" s="44">
        <v>44616206</v>
      </c>
      <c r="F499" s="44" t="s">
        <v>427</v>
      </c>
      <c r="G499" s="25">
        <f t="shared" ref="G499:G562" si="6">A499/D499-1</f>
        <v>3.844640208276795E-3</v>
      </c>
    </row>
    <row r="500" spans="1:7">
      <c r="A500" s="44">
        <v>162.77000000000001</v>
      </c>
      <c r="B500" s="44">
        <v>167.58</v>
      </c>
      <c r="C500" s="44">
        <v>161.43</v>
      </c>
      <c r="D500" s="44">
        <v>166.55</v>
      </c>
      <c r="E500" s="44">
        <v>48408240</v>
      </c>
      <c r="F500" s="44" t="s">
        <v>428</v>
      </c>
      <c r="G500" s="25">
        <f t="shared" si="6"/>
        <v>-2.2695887120984692E-2</v>
      </c>
    </row>
    <row r="501" spans="1:7">
      <c r="A501" s="44">
        <v>161.93</v>
      </c>
      <c r="B501" s="44">
        <v>165.08</v>
      </c>
      <c r="C501" s="44">
        <v>158.54040000000001</v>
      </c>
      <c r="D501" s="44">
        <v>161.71</v>
      </c>
      <c r="E501" s="44">
        <v>59950830</v>
      </c>
      <c r="F501" s="44" t="s">
        <v>429</v>
      </c>
      <c r="G501" s="25">
        <f t="shared" si="6"/>
        <v>1.3604600828642788E-3</v>
      </c>
    </row>
    <row r="502" spans="1:7">
      <c r="A502" s="44">
        <v>161.02000000000001</v>
      </c>
      <c r="B502" s="44">
        <v>162.96</v>
      </c>
      <c r="C502" s="44">
        <v>151.61000000000001</v>
      </c>
      <c r="D502" s="44">
        <v>154.21</v>
      </c>
      <c r="E502" s="44">
        <v>83149437</v>
      </c>
      <c r="F502" s="44" t="s">
        <v>430</v>
      </c>
      <c r="G502" s="25">
        <f t="shared" si="6"/>
        <v>4.4160560274949745E-2</v>
      </c>
    </row>
    <row r="503" spans="1:7">
      <c r="A503" s="44">
        <v>167.9</v>
      </c>
      <c r="B503" s="44">
        <v>168.77</v>
      </c>
      <c r="C503" s="44">
        <v>160.55000000000001</v>
      </c>
      <c r="D503" s="44">
        <v>166.75</v>
      </c>
      <c r="E503" s="44">
        <v>141448365</v>
      </c>
      <c r="F503" s="44" t="s">
        <v>431</v>
      </c>
      <c r="G503" s="25">
        <f t="shared" si="6"/>
        <v>6.8965517241379448E-3</v>
      </c>
    </row>
    <row r="504" spans="1:7">
      <c r="A504" s="44">
        <v>184.07</v>
      </c>
      <c r="B504" s="44">
        <v>190.6</v>
      </c>
      <c r="C504" s="44">
        <v>181.87</v>
      </c>
      <c r="D504" s="44">
        <v>189.285</v>
      </c>
      <c r="E504" s="44">
        <v>70435635</v>
      </c>
      <c r="F504" s="44" t="s">
        <v>432</v>
      </c>
      <c r="G504" s="25">
        <f t="shared" si="6"/>
        <v>-2.7551047362442849E-2</v>
      </c>
    </row>
    <row r="505" spans="1:7">
      <c r="A505" s="44">
        <v>186.98</v>
      </c>
      <c r="B505" s="44">
        <v>187.94</v>
      </c>
      <c r="C505" s="44">
        <v>184.46</v>
      </c>
      <c r="D505" s="44">
        <v>185.05</v>
      </c>
      <c r="E505" s="44">
        <v>41667326</v>
      </c>
      <c r="F505" s="44" t="s">
        <v>433</v>
      </c>
      <c r="G505" s="25">
        <f t="shared" si="6"/>
        <v>1.0429613617940925E-2</v>
      </c>
    </row>
    <row r="506" spans="1:7">
      <c r="A506" s="44">
        <v>181.71</v>
      </c>
      <c r="B506" s="44">
        <v>185.86</v>
      </c>
      <c r="C506" s="44">
        <v>179.38</v>
      </c>
      <c r="D506" s="44">
        <v>184.72</v>
      </c>
      <c r="E506" s="44">
        <v>39508574</v>
      </c>
      <c r="F506" s="44" t="s">
        <v>434</v>
      </c>
      <c r="G506" s="25">
        <f t="shared" si="6"/>
        <v>-1.6294932871372847E-2</v>
      </c>
    </row>
    <row r="507" spans="1:7">
      <c r="A507" s="44">
        <v>183.2</v>
      </c>
      <c r="B507" s="44">
        <v>184.75</v>
      </c>
      <c r="C507" s="44">
        <v>182.38</v>
      </c>
      <c r="D507" s="44">
        <v>183.84</v>
      </c>
      <c r="E507" s="44">
        <v>33270123</v>
      </c>
      <c r="F507" s="44" t="s">
        <v>435</v>
      </c>
      <c r="G507" s="25">
        <f t="shared" si="6"/>
        <v>-3.4812880765884291E-3</v>
      </c>
    </row>
    <row r="508" spans="1:7">
      <c r="A508" s="44">
        <v>182.5</v>
      </c>
      <c r="B508" s="44">
        <v>183.19</v>
      </c>
      <c r="C508" s="44">
        <v>180.24</v>
      </c>
      <c r="D508" s="44">
        <v>180.39</v>
      </c>
      <c r="E508" s="44">
        <v>29505964</v>
      </c>
      <c r="F508" s="44" t="s">
        <v>436</v>
      </c>
      <c r="G508" s="25">
        <f t="shared" si="6"/>
        <v>1.1696878984422732E-2</v>
      </c>
    </row>
    <row r="509" spans="1:7">
      <c r="A509" s="44">
        <v>179.85</v>
      </c>
      <c r="B509" s="44">
        <v>183.89580000000001</v>
      </c>
      <c r="C509" s="44">
        <v>176.8</v>
      </c>
      <c r="D509" s="44">
        <v>182.91</v>
      </c>
      <c r="E509" s="44">
        <v>44464163</v>
      </c>
      <c r="F509" s="44" t="s">
        <v>437</v>
      </c>
      <c r="G509" s="25">
        <f t="shared" si="6"/>
        <v>-1.672953911759878E-2</v>
      </c>
    </row>
    <row r="510" spans="1:7">
      <c r="A510" s="44">
        <v>180.83</v>
      </c>
      <c r="B510" s="44">
        <v>185.45</v>
      </c>
      <c r="C510" s="44">
        <v>180.41</v>
      </c>
      <c r="D510" s="44">
        <v>183.2</v>
      </c>
      <c r="E510" s="44">
        <v>41532360</v>
      </c>
      <c r="F510" s="44" t="s">
        <v>438</v>
      </c>
      <c r="G510" s="25">
        <f t="shared" si="6"/>
        <v>-1.2936681222707302E-2</v>
      </c>
    </row>
    <row r="511" spans="1:7">
      <c r="A511" s="44">
        <v>186.41</v>
      </c>
      <c r="B511" s="44">
        <v>189.39</v>
      </c>
      <c r="C511" s="44">
        <v>183.56</v>
      </c>
      <c r="D511" s="44">
        <v>184.1</v>
      </c>
      <c r="E511" s="44">
        <v>47537670</v>
      </c>
      <c r="F511" s="44" t="s">
        <v>439</v>
      </c>
      <c r="G511" s="25">
        <f t="shared" si="6"/>
        <v>1.2547528517110385E-2</v>
      </c>
    </row>
    <row r="512" spans="1:7">
      <c r="A512" s="44">
        <v>182.55</v>
      </c>
      <c r="B512" s="44">
        <v>185.06</v>
      </c>
      <c r="C512" s="44">
        <v>182.48</v>
      </c>
      <c r="D512" s="44">
        <v>185</v>
      </c>
      <c r="E512" s="44">
        <v>39931923</v>
      </c>
      <c r="F512" s="44" t="s">
        <v>440</v>
      </c>
      <c r="G512" s="25">
        <f t="shared" si="6"/>
        <v>-1.3243243243243219E-2</v>
      </c>
    </row>
    <row r="513" spans="1:7">
      <c r="A513" s="44">
        <v>183.13</v>
      </c>
      <c r="B513" s="44">
        <v>184.93</v>
      </c>
      <c r="C513" s="44">
        <v>180.11</v>
      </c>
      <c r="D513" s="44">
        <v>181.14</v>
      </c>
      <c r="E513" s="44">
        <v>43081829</v>
      </c>
      <c r="F513" s="44" t="s">
        <v>441</v>
      </c>
      <c r="G513" s="25">
        <f t="shared" si="6"/>
        <v>1.0985977696809091E-2</v>
      </c>
    </row>
    <row r="514" spans="1:7">
      <c r="A514" s="44">
        <v>183.75</v>
      </c>
      <c r="B514" s="44">
        <v>189.68</v>
      </c>
      <c r="C514" s="44">
        <v>181.44800000000001</v>
      </c>
      <c r="D514" s="44">
        <v>189.59</v>
      </c>
      <c r="E514" s="44">
        <v>51043626</v>
      </c>
      <c r="F514" s="44" t="s">
        <v>442</v>
      </c>
      <c r="G514" s="25">
        <f t="shared" si="6"/>
        <v>-3.0803312410992212E-2</v>
      </c>
    </row>
    <row r="515" spans="1:7">
      <c r="A515" s="44">
        <v>187.93</v>
      </c>
      <c r="B515" s="44">
        <v>191.58</v>
      </c>
      <c r="C515" s="44">
        <v>185.99</v>
      </c>
      <c r="D515" s="44">
        <v>191.35</v>
      </c>
      <c r="E515" s="44">
        <v>48076139</v>
      </c>
      <c r="F515" s="44" t="s">
        <v>443</v>
      </c>
      <c r="G515" s="25">
        <f t="shared" si="6"/>
        <v>-1.7873007577737021E-2</v>
      </c>
    </row>
    <row r="516" spans="1:7">
      <c r="A516" s="44">
        <v>193.02</v>
      </c>
      <c r="B516" s="44">
        <v>196.62</v>
      </c>
      <c r="C516" s="44">
        <v>192.24</v>
      </c>
      <c r="D516" s="44">
        <v>195.59</v>
      </c>
      <c r="E516" s="44">
        <v>33994714</v>
      </c>
      <c r="F516" s="44" t="s">
        <v>444</v>
      </c>
      <c r="G516" s="25">
        <f t="shared" si="6"/>
        <v>-1.3139731070095584E-2</v>
      </c>
    </row>
    <row r="517" spans="1:7">
      <c r="A517" s="44">
        <v>192.72</v>
      </c>
      <c r="B517" s="44">
        <v>196.19</v>
      </c>
      <c r="C517" s="44">
        <v>190.83</v>
      </c>
      <c r="D517" s="44">
        <v>194.56</v>
      </c>
      <c r="E517" s="44">
        <v>40683227</v>
      </c>
      <c r="F517" s="44" t="s">
        <v>445</v>
      </c>
      <c r="G517" s="25">
        <f t="shared" si="6"/>
        <v>-9.4572368421053099E-3</v>
      </c>
    </row>
    <row r="518" spans="1:7">
      <c r="A518" s="44">
        <v>194.49</v>
      </c>
      <c r="B518" s="44">
        <v>196.47</v>
      </c>
      <c r="C518" s="44">
        <v>193.83009999999999</v>
      </c>
      <c r="D518" s="44">
        <v>194.8</v>
      </c>
      <c r="E518" s="44">
        <v>30598525</v>
      </c>
      <c r="F518" s="44" t="s">
        <v>446</v>
      </c>
      <c r="G518" s="25">
        <f t="shared" si="6"/>
        <v>-1.5913757700205533E-3</v>
      </c>
    </row>
    <row r="519" spans="1:7">
      <c r="A519" s="44">
        <v>195.05</v>
      </c>
      <c r="B519" s="44">
        <v>200.26990000000001</v>
      </c>
      <c r="C519" s="44">
        <v>192.86</v>
      </c>
      <c r="D519" s="44">
        <v>200.09</v>
      </c>
      <c r="E519" s="44">
        <v>44565041</v>
      </c>
      <c r="F519" s="44" t="s">
        <v>447</v>
      </c>
      <c r="G519" s="25">
        <f t="shared" si="6"/>
        <v>-2.518866510070461E-2</v>
      </c>
    </row>
    <row r="520" spans="1:7">
      <c r="A520" s="44">
        <v>199.79</v>
      </c>
      <c r="B520" s="44">
        <v>200.11</v>
      </c>
      <c r="C520" s="44">
        <v>197.69</v>
      </c>
      <c r="D520" s="44">
        <v>199.995</v>
      </c>
      <c r="E520" s="44">
        <v>32883753</v>
      </c>
      <c r="F520" s="44" t="s">
        <v>448</v>
      </c>
      <c r="G520" s="25">
        <f t="shared" si="6"/>
        <v>-1.0250256256406631E-3</v>
      </c>
    </row>
    <row r="521" spans="1:7">
      <c r="A521" s="44">
        <v>199.34</v>
      </c>
      <c r="B521" s="44">
        <v>200.57</v>
      </c>
      <c r="C521" s="44">
        <v>199.04499999999999</v>
      </c>
      <c r="D521" s="44">
        <v>199.4</v>
      </c>
      <c r="E521" s="44">
        <v>32756736</v>
      </c>
      <c r="F521" s="44" t="s">
        <v>449</v>
      </c>
      <c r="G521" s="25">
        <f t="shared" si="6"/>
        <v>-3.0090270812443976E-4</v>
      </c>
    </row>
    <row r="522" spans="1:7">
      <c r="A522" s="44">
        <v>199.29</v>
      </c>
      <c r="B522" s="44">
        <v>201.2</v>
      </c>
      <c r="C522" s="44">
        <v>197.96</v>
      </c>
      <c r="D522" s="44">
        <v>200.04</v>
      </c>
      <c r="E522" s="44">
        <v>34767261</v>
      </c>
      <c r="F522" s="44" t="s">
        <v>450</v>
      </c>
      <c r="G522" s="25">
        <f t="shared" si="6"/>
        <v>-3.7492501499699626E-3</v>
      </c>
    </row>
    <row r="523" spans="1:7">
      <c r="A523" s="44">
        <v>200</v>
      </c>
      <c r="B523" s="44">
        <v>200.55</v>
      </c>
      <c r="C523" s="44">
        <v>198.17</v>
      </c>
      <c r="D523" s="44">
        <v>198.65</v>
      </c>
      <c r="E523" s="44">
        <v>39858885</v>
      </c>
      <c r="F523" s="44" t="s">
        <v>451</v>
      </c>
      <c r="G523" s="25">
        <f t="shared" si="6"/>
        <v>6.7958721369241193E-3</v>
      </c>
    </row>
    <row r="524" spans="1:7">
      <c r="A524" s="44">
        <v>197.59</v>
      </c>
      <c r="B524" s="44">
        <v>200.029</v>
      </c>
      <c r="C524" s="44">
        <v>196.76009999999999</v>
      </c>
      <c r="D524" s="44">
        <v>199.94</v>
      </c>
      <c r="E524" s="44">
        <v>31597926</v>
      </c>
      <c r="F524" s="44" t="s">
        <v>452</v>
      </c>
      <c r="G524" s="25">
        <f t="shared" si="6"/>
        <v>-1.1753526057817321E-2</v>
      </c>
    </row>
    <row r="525" spans="1:7">
      <c r="A525" s="44">
        <v>200</v>
      </c>
      <c r="B525" s="44">
        <v>200.43</v>
      </c>
      <c r="C525" s="44">
        <v>195.93</v>
      </c>
      <c r="D525" s="44">
        <v>197.28</v>
      </c>
      <c r="E525" s="44">
        <v>45600013</v>
      </c>
      <c r="F525" s="44" t="s">
        <v>453</v>
      </c>
      <c r="G525" s="25">
        <f t="shared" si="6"/>
        <v>1.3787510137875048E-2</v>
      </c>
    </row>
    <row r="526" spans="1:7">
      <c r="A526" s="44">
        <v>197.2</v>
      </c>
      <c r="B526" s="44">
        <v>198.29570000000001</v>
      </c>
      <c r="C526" s="44">
        <v>192.82</v>
      </c>
      <c r="D526" s="44">
        <v>193.49</v>
      </c>
      <c r="E526" s="44">
        <v>41192011</v>
      </c>
      <c r="F526" s="44" t="s">
        <v>454</v>
      </c>
      <c r="G526" s="25">
        <f t="shared" si="6"/>
        <v>1.9174117525453394E-2</v>
      </c>
    </row>
    <row r="527" spans="1:7">
      <c r="A527" s="44">
        <v>193.25</v>
      </c>
      <c r="B527" s="44">
        <v>198.85</v>
      </c>
      <c r="C527" s="44">
        <v>192.5</v>
      </c>
      <c r="D527" s="44">
        <v>197.73</v>
      </c>
      <c r="E527" s="44">
        <v>76930192</v>
      </c>
      <c r="F527" s="44" t="s">
        <v>455</v>
      </c>
      <c r="G527" s="25">
        <f t="shared" si="6"/>
        <v>-2.2657158751833273E-2</v>
      </c>
    </row>
    <row r="528" spans="1:7">
      <c r="A528" s="44">
        <v>197.85</v>
      </c>
      <c r="B528" s="44">
        <v>199.84</v>
      </c>
      <c r="C528" s="44">
        <v>194.2</v>
      </c>
      <c r="D528" s="44">
        <v>195.005</v>
      </c>
      <c r="E528" s="44">
        <v>74397491</v>
      </c>
      <c r="F528" s="44" t="s">
        <v>456</v>
      </c>
      <c r="G528" s="25">
        <f t="shared" si="6"/>
        <v>1.4589369503346106E-2</v>
      </c>
    </row>
    <row r="529" spans="1:7">
      <c r="A529" s="44">
        <v>193.61</v>
      </c>
      <c r="B529" s="44">
        <v>194.8</v>
      </c>
      <c r="C529" s="44">
        <v>186.26</v>
      </c>
      <c r="D529" s="44">
        <v>186.92</v>
      </c>
      <c r="E529" s="44">
        <v>65103893</v>
      </c>
      <c r="F529" s="44" t="s">
        <v>457</v>
      </c>
      <c r="G529" s="25">
        <f t="shared" si="6"/>
        <v>3.5790712604322872E-2</v>
      </c>
    </row>
    <row r="530" spans="1:7">
      <c r="A530" s="44">
        <v>186.34</v>
      </c>
      <c r="B530" s="44">
        <v>188.84</v>
      </c>
      <c r="C530" s="44">
        <v>185.42</v>
      </c>
      <c r="D530" s="44">
        <v>186.81</v>
      </c>
      <c r="E530" s="44">
        <v>45898475</v>
      </c>
      <c r="F530" s="44" t="s">
        <v>458</v>
      </c>
      <c r="G530" s="25">
        <f t="shared" si="6"/>
        <v>-2.5159252716664415E-3</v>
      </c>
    </row>
    <row r="531" spans="1:7">
      <c r="A531" s="44">
        <v>185.57</v>
      </c>
      <c r="B531" s="44">
        <v>191</v>
      </c>
      <c r="C531" s="44">
        <v>185.33</v>
      </c>
      <c r="D531" s="44">
        <v>189.33</v>
      </c>
      <c r="E531" s="44">
        <v>50610379</v>
      </c>
      <c r="F531" s="44" t="s">
        <v>459</v>
      </c>
      <c r="G531" s="25">
        <f t="shared" si="6"/>
        <v>-1.9859504568742525E-2</v>
      </c>
    </row>
    <row r="532" spans="1:7">
      <c r="A532" s="44">
        <v>189.08</v>
      </c>
      <c r="B532" s="44">
        <v>189.27500000000001</v>
      </c>
      <c r="C532" s="44">
        <v>185.86</v>
      </c>
      <c r="D532" s="44">
        <v>187.8</v>
      </c>
      <c r="E532" s="44">
        <v>72931754</v>
      </c>
      <c r="F532" s="44" t="s">
        <v>460</v>
      </c>
      <c r="G532" s="25">
        <f t="shared" si="6"/>
        <v>6.8157614483492779E-3</v>
      </c>
    </row>
    <row r="533" spans="1:7">
      <c r="A533" s="44">
        <v>186.1</v>
      </c>
      <c r="B533" s="44">
        <v>186.51</v>
      </c>
      <c r="C533" s="44">
        <v>182.72</v>
      </c>
      <c r="D533" s="44">
        <v>182.91</v>
      </c>
      <c r="E533" s="44">
        <v>44726779</v>
      </c>
      <c r="F533" s="44" t="s">
        <v>461</v>
      </c>
      <c r="G533" s="25">
        <f t="shared" si="6"/>
        <v>1.7440271171614397E-2</v>
      </c>
    </row>
    <row r="534" spans="1:7">
      <c r="A534" s="44">
        <v>182.81</v>
      </c>
      <c r="B534" s="44">
        <v>184.29</v>
      </c>
      <c r="C534" s="44">
        <v>181.43</v>
      </c>
      <c r="D534" s="44">
        <v>183.73500000000001</v>
      </c>
      <c r="E534" s="44">
        <v>36659157</v>
      </c>
      <c r="F534" s="44" t="s">
        <v>462</v>
      </c>
      <c r="G534" s="25">
        <f t="shared" si="6"/>
        <v>-5.0344245788772612E-3</v>
      </c>
    </row>
    <row r="535" spans="1:7">
      <c r="A535" s="44">
        <v>184.06</v>
      </c>
      <c r="B535" s="44">
        <v>185</v>
      </c>
      <c r="C535" s="44">
        <v>181.22</v>
      </c>
      <c r="D535" s="44">
        <v>182.52</v>
      </c>
      <c r="E535" s="44">
        <v>35601907</v>
      </c>
      <c r="F535" s="44" t="s">
        <v>463</v>
      </c>
      <c r="G535" s="25">
        <f t="shared" si="6"/>
        <v>8.4374315143544987E-3</v>
      </c>
    </row>
    <row r="536" spans="1:7">
      <c r="A536" s="44">
        <v>183.66</v>
      </c>
      <c r="B536" s="44">
        <v>183.72</v>
      </c>
      <c r="C536" s="44">
        <v>182.23</v>
      </c>
      <c r="D536" s="44">
        <v>183.08</v>
      </c>
      <c r="E536" s="44">
        <v>25456410</v>
      </c>
      <c r="F536" s="44" t="s">
        <v>464</v>
      </c>
      <c r="G536" s="25">
        <f t="shared" si="6"/>
        <v>3.1680139829581844E-3</v>
      </c>
    </row>
    <row r="537" spans="1:7">
      <c r="A537" s="44">
        <v>183.83</v>
      </c>
      <c r="B537" s="44">
        <v>187.67</v>
      </c>
      <c r="C537" s="44">
        <v>182.666</v>
      </c>
      <c r="D537" s="44">
        <v>186.09</v>
      </c>
      <c r="E537" s="44">
        <v>39721545</v>
      </c>
      <c r="F537" s="44" t="s">
        <v>465</v>
      </c>
      <c r="G537" s="25">
        <f t="shared" si="6"/>
        <v>-1.214466118544788E-2</v>
      </c>
    </row>
    <row r="538" spans="1:7">
      <c r="A538" s="44">
        <v>186.89</v>
      </c>
      <c r="B538" s="44">
        <v>188.35</v>
      </c>
      <c r="C538" s="44">
        <v>185.43</v>
      </c>
      <c r="D538" s="44">
        <v>188.01499999999999</v>
      </c>
      <c r="E538" s="44">
        <v>33984216</v>
      </c>
      <c r="F538" s="44" t="s">
        <v>466</v>
      </c>
      <c r="G538" s="25">
        <f t="shared" si="6"/>
        <v>-5.9835651410791169E-3</v>
      </c>
    </row>
    <row r="539" spans="1:7">
      <c r="A539" s="44">
        <v>187.23</v>
      </c>
      <c r="B539" s="44">
        <v>187.77</v>
      </c>
      <c r="C539" s="44">
        <v>184.53729999999999</v>
      </c>
      <c r="D539" s="44">
        <v>187.06</v>
      </c>
      <c r="E539" s="44">
        <v>27265108</v>
      </c>
      <c r="F539" s="44" t="s">
        <v>467</v>
      </c>
      <c r="G539" s="25">
        <f t="shared" si="6"/>
        <v>9.0879931572751538E-4</v>
      </c>
    </row>
    <row r="540" spans="1:7">
      <c r="A540" s="44">
        <v>187.06</v>
      </c>
      <c r="B540" s="44">
        <v>187.23</v>
      </c>
      <c r="C540" s="44">
        <v>183.79</v>
      </c>
      <c r="D540" s="44">
        <v>184.07</v>
      </c>
      <c r="E540" s="44">
        <v>34494498</v>
      </c>
      <c r="F540" s="44" t="s">
        <v>468</v>
      </c>
      <c r="G540" s="25">
        <f t="shared" si="6"/>
        <v>1.6243820285760879E-2</v>
      </c>
    </row>
    <row r="541" spans="1:7">
      <c r="A541" s="44">
        <v>184.3</v>
      </c>
      <c r="B541" s="44">
        <v>186.28880000000001</v>
      </c>
      <c r="C541" s="44">
        <v>183.36</v>
      </c>
      <c r="D541" s="44">
        <v>184.9</v>
      </c>
      <c r="E541" s="44">
        <v>28021473</v>
      </c>
      <c r="F541" s="44" t="s">
        <v>469</v>
      </c>
      <c r="G541" s="25">
        <f t="shared" si="6"/>
        <v>-3.2449972958356055E-3</v>
      </c>
    </row>
    <row r="542" spans="1:7">
      <c r="A542" s="44">
        <v>185</v>
      </c>
      <c r="B542" s="44">
        <v>185</v>
      </c>
      <c r="C542" s="44">
        <v>181.49</v>
      </c>
      <c r="D542" s="44">
        <v>181.745</v>
      </c>
      <c r="E542" s="44">
        <v>31371151</v>
      </c>
      <c r="F542" s="44" t="s">
        <v>470</v>
      </c>
      <c r="G542" s="25">
        <f t="shared" si="6"/>
        <v>1.7909708657734669E-2</v>
      </c>
    </row>
    <row r="543" spans="1:7">
      <c r="A543" s="44">
        <v>181.28</v>
      </c>
      <c r="B543" s="44">
        <v>181.5</v>
      </c>
      <c r="C543" s="44">
        <v>178.75</v>
      </c>
      <c r="D543" s="44">
        <v>180.1</v>
      </c>
      <c r="E543" s="44">
        <v>32116394</v>
      </c>
      <c r="F543" s="44" t="s">
        <v>471</v>
      </c>
      <c r="G543" s="25">
        <f t="shared" si="6"/>
        <v>6.5519156024431702E-3</v>
      </c>
    </row>
    <row r="544" spans="1:7">
      <c r="A544" s="44">
        <v>179.34</v>
      </c>
      <c r="B544" s="44">
        <v>179.82</v>
      </c>
      <c r="C544" s="44">
        <v>176.44</v>
      </c>
      <c r="D544" s="44">
        <v>177.64</v>
      </c>
      <c r="E544" s="44">
        <v>27198388</v>
      </c>
      <c r="F544" s="44" t="s">
        <v>472</v>
      </c>
      <c r="G544" s="25">
        <f t="shared" si="6"/>
        <v>9.5699166854312789E-3</v>
      </c>
    </row>
    <row r="545" spans="1:7">
      <c r="A545" s="44">
        <v>178.34</v>
      </c>
      <c r="B545" s="44">
        <v>178.7</v>
      </c>
      <c r="C545" s="44">
        <v>175.92</v>
      </c>
      <c r="D545" s="44">
        <v>177.7</v>
      </c>
      <c r="E545" s="44">
        <v>30786640</v>
      </c>
      <c r="F545" s="44" t="s">
        <v>473</v>
      </c>
      <c r="G545" s="25">
        <f t="shared" si="6"/>
        <v>3.6015756893641448E-3</v>
      </c>
    </row>
    <row r="546" spans="1:7">
      <c r="A546" s="44">
        <v>176.44</v>
      </c>
      <c r="B546" s="44">
        <v>179.21</v>
      </c>
      <c r="C546" s="44">
        <v>173.87</v>
      </c>
      <c r="D546" s="44">
        <v>178.3</v>
      </c>
      <c r="E546" s="44">
        <v>58903939</v>
      </c>
      <c r="F546" s="44" t="s">
        <v>474</v>
      </c>
      <c r="G546" s="25">
        <f t="shared" si="6"/>
        <v>-1.0431856421761143E-2</v>
      </c>
    </row>
    <row r="547" spans="1:7">
      <c r="A547" s="44">
        <v>179.32</v>
      </c>
      <c r="B547" s="44">
        <v>181.34</v>
      </c>
      <c r="C547" s="44">
        <v>178.35499999999999</v>
      </c>
      <c r="D547" s="44">
        <v>181.31</v>
      </c>
      <c r="E547" s="44">
        <v>29249229</v>
      </c>
      <c r="F547" s="44" t="s">
        <v>475</v>
      </c>
      <c r="G547" s="25">
        <f t="shared" si="6"/>
        <v>-1.0975677017263319E-2</v>
      </c>
    </row>
    <row r="548" spans="1:7">
      <c r="A548" s="44">
        <v>182.02</v>
      </c>
      <c r="B548" s="44">
        <v>184.08</v>
      </c>
      <c r="C548" s="44">
        <v>181.55</v>
      </c>
      <c r="D548" s="44">
        <v>181.7</v>
      </c>
      <c r="E548" s="44">
        <v>32009294</v>
      </c>
      <c r="F548" s="44" t="s">
        <v>476</v>
      </c>
      <c r="G548" s="25">
        <f t="shared" si="6"/>
        <v>1.7611447440837313E-3</v>
      </c>
    </row>
    <row r="549" spans="1:7">
      <c r="A549" s="44">
        <v>182.15</v>
      </c>
      <c r="B549" s="44">
        <v>182.24</v>
      </c>
      <c r="C549" s="44">
        <v>179.49</v>
      </c>
      <c r="D549" s="44">
        <v>179.93</v>
      </c>
      <c r="E549" s="44">
        <v>29926963</v>
      </c>
      <c r="F549" s="44" t="s">
        <v>477</v>
      </c>
      <c r="G549" s="25">
        <f t="shared" si="6"/>
        <v>1.2338131495581717E-2</v>
      </c>
    </row>
    <row r="550" spans="1:7">
      <c r="A550" s="44">
        <v>180.75</v>
      </c>
      <c r="B550" s="44">
        <v>182.435</v>
      </c>
      <c r="C550" s="44">
        <v>180.3</v>
      </c>
      <c r="D550" s="44">
        <v>181.65</v>
      </c>
      <c r="E550" s="44">
        <v>27471640</v>
      </c>
      <c r="F550" s="44" t="s">
        <v>478</v>
      </c>
      <c r="G550" s="25">
        <f t="shared" si="6"/>
        <v>-4.9545829892650994E-3</v>
      </c>
    </row>
    <row r="551" spans="1:7">
      <c r="A551" s="44">
        <v>181.05</v>
      </c>
      <c r="B551" s="44">
        <v>184.76</v>
      </c>
      <c r="C551" s="44">
        <v>180.08</v>
      </c>
      <c r="D551" s="44">
        <v>183.66</v>
      </c>
      <c r="E551" s="44">
        <v>33670173</v>
      </c>
      <c r="F551" s="44" t="s">
        <v>479</v>
      </c>
      <c r="G551" s="25">
        <f t="shared" si="6"/>
        <v>-1.4211042143090435E-2</v>
      </c>
    </row>
    <row r="552" spans="1:7">
      <c r="A552" s="44">
        <v>183.13</v>
      </c>
      <c r="B552" s="44">
        <v>185.22</v>
      </c>
      <c r="C552" s="44">
        <v>181.97149999999999</v>
      </c>
      <c r="D552" s="44">
        <v>183.88</v>
      </c>
      <c r="E552" s="44">
        <v>28148784</v>
      </c>
      <c r="F552" s="44" t="s">
        <v>480</v>
      </c>
      <c r="G552" s="25">
        <f t="shared" si="6"/>
        <v>-4.0787470089188593E-3</v>
      </c>
    </row>
    <row r="553" spans="1:7">
      <c r="A553" s="44">
        <v>183.15</v>
      </c>
      <c r="B553" s="44">
        <v>183.26</v>
      </c>
      <c r="C553" s="44">
        <v>180.75</v>
      </c>
      <c r="D553" s="44">
        <v>182.3</v>
      </c>
      <c r="E553" s="44">
        <v>50839129</v>
      </c>
      <c r="F553" s="44" t="s">
        <v>481</v>
      </c>
      <c r="G553" s="25">
        <f t="shared" si="6"/>
        <v>4.6626439934174257E-3</v>
      </c>
    </row>
    <row r="554" spans="1:7">
      <c r="A554" s="44">
        <v>183.54</v>
      </c>
      <c r="B554" s="44">
        <v>186.66499999999999</v>
      </c>
      <c r="C554" s="44">
        <v>183.28</v>
      </c>
      <c r="D554" s="44">
        <v>184.34</v>
      </c>
      <c r="E554" s="44">
        <v>30511768</v>
      </c>
      <c r="F554" s="44" t="s">
        <v>482</v>
      </c>
      <c r="G554" s="25">
        <f t="shared" si="6"/>
        <v>-4.3398068785939214E-3</v>
      </c>
    </row>
    <row r="555" spans="1:7">
      <c r="A555" s="44">
        <v>184.7</v>
      </c>
      <c r="B555" s="44">
        <v>185.3</v>
      </c>
      <c r="C555" s="44">
        <v>183.35</v>
      </c>
      <c r="D555" s="44">
        <v>183.76</v>
      </c>
      <c r="E555" s="44">
        <v>33175655</v>
      </c>
      <c r="F555" s="44" t="s">
        <v>483</v>
      </c>
      <c r="G555" s="25">
        <f t="shared" si="6"/>
        <v>5.1153678711362005E-3</v>
      </c>
    </row>
    <row r="556" spans="1:7">
      <c r="A556" s="44">
        <v>183.63</v>
      </c>
      <c r="B556" s="44">
        <v>187.31</v>
      </c>
      <c r="C556" s="44">
        <v>183.46</v>
      </c>
      <c r="D556" s="44">
        <v>185.6</v>
      </c>
      <c r="E556" s="44">
        <v>38834450</v>
      </c>
      <c r="F556" s="44" t="s">
        <v>484</v>
      </c>
      <c r="G556" s="25">
        <f t="shared" si="6"/>
        <v>-1.0614224137931005E-2</v>
      </c>
    </row>
    <row r="557" spans="1:7">
      <c r="A557" s="44">
        <v>185.99</v>
      </c>
      <c r="B557" s="44">
        <v>186.7193</v>
      </c>
      <c r="C557" s="44">
        <v>182.73</v>
      </c>
      <c r="D557" s="44">
        <v>185.97</v>
      </c>
      <c r="E557" s="44">
        <v>75459927</v>
      </c>
      <c r="F557" s="44" t="s">
        <v>485</v>
      </c>
      <c r="G557" s="25">
        <f t="shared" si="6"/>
        <v>1.0754422756353854E-4</v>
      </c>
    </row>
    <row r="558" spans="1:7">
      <c r="A558" s="44">
        <v>187.07</v>
      </c>
      <c r="B558" s="44">
        <v>187.72</v>
      </c>
      <c r="C558" s="44">
        <v>183.45</v>
      </c>
      <c r="D558" s="44">
        <v>183.82</v>
      </c>
      <c r="E558" s="44">
        <v>38698155</v>
      </c>
      <c r="F558" s="44" t="s">
        <v>486</v>
      </c>
      <c r="G558" s="25">
        <f t="shared" si="6"/>
        <v>1.7680339462517791E-2</v>
      </c>
    </row>
    <row r="559" spans="1:7">
      <c r="A559" s="44">
        <v>186.57</v>
      </c>
      <c r="B559" s="44">
        <v>188.31</v>
      </c>
      <c r="C559" s="44">
        <v>185.36</v>
      </c>
      <c r="D559" s="44">
        <v>188</v>
      </c>
      <c r="E559" s="44">
        <v>24898613</v>
      </c>
      <c r="F559" s="44" t="s">
        <v>487</v>
      </c>
      <c r="G559" s="25">
        <f t="shared" si="6"/>
        <v>-7.6063829787234027E-3</v>
      </c>
    </row>
    <row r="560" spans="1:7">
      <c r="A560" s="44">
        <v>187.48</v>
      </c>
      <c r="B560" s="44">
        <v>189.892</v>
      </c>
      <c r="C560" s="44">
        <v>186.93</v>
      </c>
      <c r="D560" s="44">
        <v>189.16</v>
      </c>
      <c r="E560" s="44">
        <v>34141771</v>
      </c>
      <c r="F560" s="44" t="s">
        <v>488</v>
      </c>
      <c r="G560" s="25">
        <f t="shared" si="6"/>
        <v>-8.8813702685557327E-3</v>
      </c>
    </row>
    <row r="561" spans="1:7">
      <c r="A561" s="44">
        <v>189.5</v>
      </c>
      <c r="B561" s="44">
        <v>191.7</v>
      </c>
      <c r="C561" s="44">
        <v>187.44</v>
      </c>
      <c r="D561" s="44">
        <v>188.88</v>
      </c>
      <c r="E561" s="44">
        <v>43368377</v>
      </c>
      <c r="F561" s="44" t="s">
        <v>489</v>
      </c>
      <c r="G561" s="25">
        <f t="shared" si="6"/>
        <v>3.2825074121134445E-3</v>
      </c>
    </row>
    <row r="562" spans="1:7">
      <c r="A562" s="44">
        <v>188</v>
      </c>
      <c r="B562" s="44">
        <v>188.43</v>
      </c>
      <c r="C562" s="44">
        <v>186.38499999999999</v>
      </c>
      <c r="D562" s="44">
        <v>187.44</v>
      </c>
      <c r="E562" s="44">
        <v>26136350</v>
      </c>
      <c r="F562" s="44" t="s">
        <v>490</v>
      </c>
      <c r="G562" s="25">
        <f t="shared" si="6"/>
        <v>2.9876227059326688E-3</v>
      </c>
    </row>
    <row r="563" spans="1:7">
      <c r="A563" s="44">
        <v>188.76</v>
      </c>
      <c r="B563" s="44">
        <v>189.94</v>
      </c>
      <c r="C563" s="44">
        <v>187.30500000000001</v>
      </c>
      <c r="D563" s="44">
        <v>188.92</v>
      </c>
      <c r="E563" s="44">
        <v>34048902</v>
      </c>
      <c r="F563" s="44" t="s">
        <v>491</v>
      </c>
      <c r="G563" s="25">
        <f t="shared" ref="G563:G626" si="7">A563/D563-1</f>
        <v>-8.469193309337264E-4</v>
      </c>
    </row>
    <row r="564" spans="1:7">
      <c r="A564" s="44">
        <v>188.7</v>
      </c>
      <c r="B564" s="44">
        <v>188.745</v>
      </c>
      <c r="C564" s="44">
        <v>184.8</v>
      </c>
      <c r="D564" s="44">
        <v>186.28</v>
      </c>
      <c r="E564" s="44">
        <v>34725295</v>
      </c>
      <c r="F564" s="44" t="s">
        <v>492</v>
      </c>
      <c r="G564" s="25">
        <f t="shared" si="7"/>
        <v>1.2991196048958598E-2</v>
      </c>
    </row>
    <row r="565" spans="1:7">
      <c r="A565" s="44">
        <v>186.21</v>
      </c>
      <c r="B565" s="44">
        <v>187.87</v>
      </c>
      <c r="C565" s="44">
        <v>185.42</v>
      </c>
      <c r="D565" s="44">
        <v>186.99</v>
      </c>
      <c r="E565" s="44">
        <v>39172004</v>
      </c>
      <c r="F565" s="44" t="s">
        <v>493</v>
      </c>
      <c r="G565" s="25">
        <f t="shared" si="7"/>
        <v>-4.1713460612866626E-3</v>
      </c>
    </row>
    <row r="566" spans="1:7">
      <c r="A566" s="44">
        <v>184.72</v>
      </c>
      <c r="B566" s="44">
        <v>185.1</v>
      </c>
      <c r="C566" s="44">
        <v>179.91</v>
      </c>
      <c r="D566" s="44">
        <v>180.85</v>
      </c>
      <c r="E566" s="44">
        <v>54303510</v>
      </c>
      <c r="F566" s="44" t="s">
        <v>494</v>
      </c>
      <c r="G566" s="25">
        <f t="shared" si="7"/>
        <v>2.1398949405584844E-2</v>
      </c>
    </row>
    <row r="567" spans="1:7">
      <c r="A567" s="44">
        <v>179</v>
      </c>
      <c r="B567" s="44">
        <v>185.15</v>
      </c>
      <c r="C567" s="44">
        <v>176.56</v>
      </c>
      <c r="D567" s="44">
        <v>181.63499999999999</v>
      </c>
      <c r="E567" s="44">
        <v>94645148</v>
      </c>
      <c r="F567" s="44" t="s">
        <v>495</v>
      </c>
      <c r="G567" s="25">
        <f t="shared" si="7"/>
        <v>-1.450711591928866E-2</v>
      </c>
    </row>
    <row r="568" spans="1:7">
      <c r="A568" s="44">
        <v>175</v>
      </c>
      <c r="B568" s="44">
        <v>182.99</v>
      </c>
      <c r="C568" s="44">
        <v>174.8</v>
      </c>
      <c r="D568" s="44">
        <v>181.09</v>
      </c>
      <c r="E568" s="44">
        <v>94639786</v>
      </c>
      <c r="F568" s="44" t="s">
        <v>496</v>
      </c>
      <c r="G568" s="25">
        <f t="shared" si="7"/>
        <v>-3.3629686896018529E-2</v>
      </c>
    </row>
    <row r="569" spans="1:7">
      <c r="A569" s="44">
        <v>180.96</v>
      </c>
      <c r="B569" s="44">
        <v>183.53</v>
      </c>
      <c r="C569" s="44">
        <v>179.39</v>
      </c>
      <c r="D569" s="44">
        <v>182.75</v>
      </c>
      <c r="E569" s="44">
        <v>54063937</v>
      </c>
      <c r="F569" s="44" t="s">
        <v>497</v>
      </c>
      <c r="G569" s="25">
        <f t="shared" si="7"/>
        <v>-9.7948016415868588E-3</v>
      </c>
    </row>
    <row r="570" spans="1:7">
      <c r="A570" s="44">
        <v>179.62</v>
      </c>
      <c r="B570" s="44">
        <v>180.82</v>
      </c>
      <c r="C570" s="44">
        <v>176.13</v>
      </c>
      <c r="D570" s="44">
        <v>177.79499999999999</v>
      </c>
      <c r="E570" s="44">
        <v>43919765</v>
      </c>
      <c r="F570" s="44" t="s">
        <v>498</v>
      </c>
      <c r="G570" s="25">
        <f t="shared" si="7"/>
        <v>1.0264630613909365E-2</v>
      </c>
    </row>
    <row r="571" spans="1:7">
      <c r="A571" s="44">
        <v>173.67</v>
      </c>
      <c r="B571" s="44">
        <v>173.92</v>
      </c>
      <c r="C571" s="44">
        <v>166.32</v>
      </c>
      <c r="D571" s="44">
        <v>169.68</v>
      </c>
      <c r="E571" s="44">
        <v>49249390</v>
      </c>
      <c r="F571" s="44" t="s">
        <v>499</v>
      </c>
      <c r="G571" s="25">
        <f t="shared" si="7"/>
        <v>2.3514851485148425E-2</v>
      </c>
    </row>
    <row r="572" spans="1:7">
      <c r="A572" s="44">
        <v>176.59</v>
      </c>
      <c r="B572" s="44">
        <v>180.32300000000001</v>
      </c>
      <c r="C572" s="44">
        <v>176.18</v>
      </c>
      <c r="D572" s="44">
        <v>179.94</v>
      </c>
      <c r="E572" s="44">
        <v>34185109</v>
      </c>
      <c r="F572" s="44" t="s">
        <v>500</v>
      </c>
      <c r="G572" s="25">
        <f t="shared" si="7"/>
        <v>-1.861731688340551E-2</v>
      </c>
    </row>
    <row r="573" spans="1:7">
      <c r="A573" s="44">
        <v>179.54</v>
      </c>
      <c r="B573" s="44">
        <v>179.93</v>
      </c>
      <c r="C573" s="44">
        <v>175.97499999999999</v>
      </c>
      <c r="D573" s="44">
        <v>178.08</v>
      </c>
      <c r="E573" s="44">
        <v>37046519</v>
      </c>
      <c r="F573" s="44" t="s">
        <v>501</v>
      </c>
      <c r="G573" s="25">
        <f t="shared" si="7"/>
        <v>8.1985624438454252E-3</v>
      </c>
    </row>
    <row r="574" spans="1:7">
      <c r="A574" s="44">
        <v>177.23</v>
      </c>
      <c r="B574" s="44">
        <v>178.87</v>
      </c>
      <c r="C574" s="44">
        <v>174.56</v>
      </c>
      <c r="D574" s="44">
        <v>176.94</v>
      </c>
      <c r="E574" s="44">
        <v>37924890</v>
      </c>
      <c r="F574" s="44" t="s">
        <v>502</v>
      </c>
      <c r="G574" s="25">
        <f t="shared" si="7"/>
        <v>1.6389736633886098E-3</v>
      </c>
    </row>
    <row r="575" spans="1:7">
      <c r="A575" s="44">
        <v>174.63</v>
      </c>
      <c r="B575" s="44">
        <v>179</v>
      </c>
      <c r="C575" s="44">
        <v>173.44</v>
      </c>
      <c r="D575" s="44">
        <v>178.74</v>
      </c>
      <c r="E575" s="44">
        <v>56000729</v>
      </c>
      <c r="F575" s="44" t="s">
        <v>503</v>
      </c>
      <c r="G575" s="25">
        <f t="shared" si="7"/>
        <v>-2.299429338704273E-2</v>
      </c>
    </row>
    <row r="576" spans="1:7">
      <c r="A576" s="44">
        <v>179.22</v>
      </c>
      <c r="B576" s="44">
        <v>182.39</v>
      </c>
      <c r="C576" s="44">
        <v>178.65</v>
      </c>
      <c r="D576" s="44">
        <v>181.47</v>
      </c>
      <c r="E576" s="44">
        <v>30723793</v>
      </c>
      <c r="F576" s="44" t="s">
        <v>504</v>
      </c>
      <c r="G576" s="25">
        <f t="shared" si="7"/>
        <v>-1.239874359398252E-2</v>
      </c>
    </row>
    <row r="577" spans="1:7">
      <c r="A577" s="44">
        <v>181.28</v>
      </c>
      <c r="B577" s="44">
        <v>184.57</v>
      </c>
      <c r="C577" s="44">
        <v>179.82</v>
      </c>
      <c r="D577" s="44">
        <v>184.31</v>
      </c>
      <c r="E577" s="44">
        <v>31359673</v>
      </c>
      <c r="F577" s="44" t="s">
        <v>505</v>
      </c>
      <c r="G577" s="25">
        <f t="shared" si="7"/>
        <v>-1.643969399381473E-2</v>
      </c>
    </row>
    <row r="578" spans="1:7">
      <c r="A578" s="44">
        <v>183.32</v>
      </c>
      <c r="B578" s="44">
        <v>184.83</v>
      </c>
      <c r="C578" s="44">
        <v>182.26</v>
      </c>
      <c r="D578" s="44">
        <v>183.27</v>
      </c>
      <c r="E578" s="44">
        <v>32891265</v>
      </c>
      <c r="F578" s="44" t="s">
        <v>506</v>
      </c>
      <c r="G578" s="25">
        <f t="shared" si="7"/>
        <v>2.7282152016150363E-4</v>
      </c>
    </row>
    <row r="579" spans="1:7">
      <c r="A579" s="44">
        <v>183.62</v>
      </c>
      <c r="B579" s="44">
        <v>188.69</v>
      </c>
      <c r="C579" s="44">
        <v>183</v>
      </c>
      <c r="D579" s="44">
        <v>187.42500000000001</v>
      </c>
      <c r="E579" s="44">
        <v>48052395</v>
      </c>
      <c r="F579" s="44" t="s">
        <v>507</v>
      </c>
      <c r="G579" s="25">
        <f t="shared" si="7"/>
        <v>-2.0301453914899348E-2</v>
      </c>
    </row>
    <row r="580" spans="1:7">
      <c r="A580" s="44">
        <v>186.13</v>
      </c>
      <c r="B580" s="44">
        <v>188.38</v>
      </c>
      <c r="C580" s="44">
        <v>185.08</v>
      </c>
      <c r="D580" s="44">
        <v>187.72</v>
      </c>
      <c r="E580" s="44">
        <v>38608849</v>
      </c>
      <c r="F580" s="44" t="s">
        <v>508</v>
      </c>
      <c r="G580" s="25">
        <f t="shared" si="7"/>
        <v>-8.470061794161543E-3</v>
      </c>
    </row>
    <row r="581" spans="1:7">
      <c r="A581" s="44">
        <v>189.05</v>
      </c>
      <c r="B581" s="44">
        <v>189.77</v>
      </c>
      <c r="C581" s="44">
        <v>185.51</v>
      </c>
      <c r="D581" s="44">
        <v>186.74</v>
      </c>
      <c r="E581" s="44">
        <v>40020742</v>
      </c>
      <c r="F581" s="44" t="s">
        <v>509</v>
      </c>
      <c r="G581" s="25">
        <f t="shared" si="7"/>
        <v>1.2370140302024213E-2</v>
      </c>
    </row>
    <row r="582" spans="1:7">
      <c r="A582" s="44">
        <v>185.95</v>
      </c>
      <c r="B582" s="44">
        <v>186.26990000000001</v>
      </c>
      <c r="C582" s="44">
        <v>182.67</v>
      </c>
      <c r="D582" s="44">
        <v>182.76499999999999</v>
      </c>
      <c r="E582" s="44">
        <v>35879151</v>
      </c>
      <c r="F582" s="44" t="s">
        <v>510</v>
      </c>
      <c r="G582" s="25">
        <f t="shared" si="7"/>
        <v>1.7426750198342056E-2</v>
      </c>
    </row>
    <row r="583" spans="1:7">
      <c r="A583" s="44">
        <v>185.67</v>
      </c>
      <c r="B583" s="44">
        <v>187.34</v>
      </c>
      <c r="C583" s="44">
        <v>184.2</v>
      </c>
      <c r="D583" s="44">
        <v>187.24</v>
      </c>
      <c r="E583" s="44">
        <v>36546946</v>
      </c>
      <c r="F583" s="44" t="s">
        <v>511</v>
      </c>
      <c r="G583" s="25">
        <f t="shared" si="7"/>
        <v>-8.3849604785303233E-3</v>
      </c>
    </row>
    <row r="584" spans="1:7">
      <c r="A584" s="44">
        <v>185.19</v>
      </c>
      <c r="B584" s="44">
        <v>187.29</v>
      </c>
      <c r="C584" s="44">
        <v>184.81</v>
      </c>
      <c r="D584" s="44">
        <v>186.9</v>
      </c>
      <c r="E584" s="44">
        <v>39221282</v>
      </c>
      <c r="F584" s="44" t="s">
        <v>512</v>
      </c>
      <c r="G584" s="25">
        <f t="shared" si="7"/>
        <v>-9.1492776886035188E-3</v>
      </c>
    </row>
    <row r="585" spans="1:7">
      <c r="A585" s="44">
        <v>185.07</v>
      </c>
      <c r="B585" s="44">
        <v>186.27</v>
      </c>
      <c r="C585" s="44">
        <v>181.97</v>
      </c>
      <c r="D585" s="44">
        <v>182.38</v>
      </c>
      <c r="E585" s="44">
        <v>42373992</v>
      </c>
      <c r="F585" s="44" t="s">
        <v>513</v>
      </c>
      <c r="G585" s="25">
        <f t="shared" si="7"/>
        <v>1.4749424278977852E-2</v>
      </c>
    </row>
    <row r="586" spans="1:7">
      <c r="A586" s="44">
        <v>180</v>
      </c>
      <c r="B586" s="44">
        <v>185.1</v>
      </c>
      <c r="C586" s="44">
        <v>180</v>
      </c>
      <c r="D586" s="44">
        <v>184</v>
      </c>
      <c r="E586" s="44">
        <v>41624261</v>
      </c>
      <c r="F586" s="44" t="s">
        <v>514</v>
      </c>
      <c r="G586" s="25">
        <f t="shared" si="7"/>
        <v>-2.1739130434782594E-2</v>
      </c>
    </row>
    <row r="587" spans="1:7">
      <c r="A587" s="44">
        <v>182.41</v>
      </c>
      <c r="B587" s="44">
        <v>182.87</v>
      </c>
      <c r="C587" s="44">
        <v>179.8</v>
      </c>
      <c r="D587" s="44">
        <v>179.9</v>
      </c>
      <c r="E587" s="44">
        <v>31046638</v>
      </c>
      <c r="F587" s="44" t="s">
        <v>515</v>
      </c>
      <c r="G587" s="25">
        <f t="shared" si="7"/>
        <v>1.3952195664257871E-2</v>
      </c>
    </row>
    <row r="588" spans="1:7">
      <c r="A588" s="44">
        <v>180.69</v>
      </c>
      <c r="B588" s="44">
        <v>180.79</v>
      </c>
      <c r="C588" s="44">
        <v>178.37620000000001</v>
      </c>
      <c r="D588" s="44">
        <v>179.07</v>
      </c>
      <c r="E588" s="44">
        <v>32611546</v>
      </c>
      <c r="F588" s="44" t="s">
        <v>516</v>
      </c>
      <c r="G588" s="25">
        <f t="shared" si="7"/>
        <v>9.0467414977384308E-3</v>
      </c>
    </row>
    <row r="589" spans="1:7">
      <c r="A589" s="44">
        <v>180.97</v>
      </c>
      <c r="B589" s="44">
        <v>183</v>
      </c>
      <c r="C589" s="44">
        <v>179.95</v>
      </c>
      <c r="D589" s="44">
        <v>180.79</v>
      </c>
      <c r="E589" s="44">
        <v>29174521</v>
      </c>
      <c r="F589" s="44" t="s">
        <v>517</v>
      </c>
      <c r="G589" s="25">
        <f t="shared" si="7"/>
        <v>9.9563028928595365E-4</v>
      </c>
    </row>
    <row r="590" spans="1:7">
      <c r="A590" s="44">
        <v>180.38</v>
      </c>
      <c r="B590" s="44">
        <v>181.7</v>
      </c>
      <c r="C590" s="44">
        <v>179.26</v>
      </c>
      <c r="D590" s="44">
        <v>180.17</v>
      </c>
      <c r="E590" s="44">
        <v>38051588</v>
      </c>
      <c r="F590" s="44" t="s">
        <v>518</v>
      </c>
      <c r="G590" s="25">
        <f t="shared" si="7"/>
        <v>1.165565854470918E-3</v>
      </c>
    </row>
    <row r="591" spans="1:7">
      <c r="A591" s="44">
        <v>179.83</v>
      </c>
      <c r="B591" s="44">
        <v>180</v>
      </c>
      <c r="C591" s="44">
        <v>177.3099</v>
      </c>
      <c r="D591" s="44">
        <v>179.88</v>
      </c>
      <c r="E591" s="44">
        <v>33272551</v>
      </c>
      <c r="F591" s="44" t="s">
        <v>519</v>
      </c>
      <c r="G591" s="25">
        <f t="shared" si="7"/>
        <v>-2.7796308650196444E-4</v>
      </c>
    </row>
    <row r="592" spans="1:7">
      <c r="A592" s="44">
        <v>178.3</v>
      </c>
      <c r="B592" s="44">
        <v>180.45</v>
      </c>
      <c r="C592" s="44">
        <v>177.95</v>
      </c>
      <c r="D592" s="44">
        <v>180.15</v>
      </c>
      <c r="E592" s="44">
        <v>29658982</v>
      </c>
      <c r="F592" s="44" t="s">
        <v>520</v>
      </c>
      <c r="G592" s="25">
        <f t="shared" si="7"/>
        <v>-1.0269220094365816E-2</v>
      </c>
    </row>
    <row r="593" spans="1:7">
      <c r="A593" s="44">
        <v>179.71</v>
      </c>
      <c r="B593" s="44">
        <v>180.99</v>
      </c>
      <c r="C593" s="44">
        <v>177.24</v>
      </c>
      <c r="D593" s="44">
        <v>178.01</v>
      </c>
      <c r="E593" s="44">
        <v>29815464</v>
      </c>
      <c r="F593" s="44" t="s">
        <v>521</v>
      </c>
      <c r="G593" s="25">
        <f t="shared" si="7"/>
        <v>9.55002527947868E-3</v>
      </c>
    </row>
    <row r="594" spans="1:7">
      <c r="A594" s="44">
        <v>178.87</v>
      </c>
      <c r="B594" s="44">
        <v>179.255</v>
      </c>
      <c r="C594" s="44">
        <v>176.75</v>
      </c>
      <c r="D594" s="44">
        <v>177.75200000000001</v>
      </c>
      <c r="E594" s="44">
        <v>27995378</v>
      </c>
      <c r="F594" s="44" t="s">
        <v>522</v>
      </c>
      <c r="G594" s="25">
        <f t="shared" si="7"/>
        <v>6.289662000990015E-3</v>
      </c>
    </row>
    <row r="595" spans="1:7">
      <c r="A595" s="44">
        <v>178.15</v>
      </c>
      <c r="B595" s="44">
        <v>181.41499999999999</v>
      </c>
      <c r="C595" s="44">
        <v>178.15</v>
      </c>
      <c r="D595" s="44">
        <v>179.988</v>
      </c>
      <c r="E595" s="44">
        <v>32824320</v>
      </c>
      <c r="F595" s="44" t="s">
        <v>523</v>
      </c>
      <c r="G595" s="25">
        <f t="shared" si="7"/>
        <v>-1.0211791897237532E-2</v>
      </c>
    </row>
    <row r="596" spans="1:7">
      <c r="A596" s="44">
        <v>178.15</v>
      </c>
      <c r="B596" s="44">
        <v>178.53</v>
      </c>
      <c r="C596" s="44">
        <v>174.64</v>
      </c>
      <c r="D596" s="44">
        <v>176.14</v>
      </c>
      <c r="E596" s="44">
        <v>29947150</v>
      </c>
      <c r="F596" s="44" t="s">
        <v>524</v>
      </c>
      <c r="G596" s="25">
        <f t="shared" si="7"/>
        <v>1.1411377313500726E-2</v>
      </c>
    </row>
    <row r="597" spans="1:7">
      <c r="A597" s="44">
        <v>175.9</v>
      </c>
      <c r="B597" s="44">
        <v>176.09</v>
      </c>
      <c r="C597" s="44">
        <v>173.52</v>
      </c>
      <c r="D597" s="44">
        <v>174.215</v>
      </c>
      <c r="E597" s="44">
        <v>26880893</v>
      </c>
      <c r="F597" s="44" t="s">
        <v>525</v>
      </c>
      <c r="G597" s="25">
        <f t="shared" si="7"/>
        <v>9.6719570645467101E-3</v>
      </c>
    </row>
    <row r="598" spans="1:7">
      <c r="A598" s="44">
        <v>174.48</v>
      </c>
      <c r="B598" s="44">
        <v>176.69</v>
      </c>
      <c r="C598" s="44">
        <v>174.28</v>
      </c>
      <c r="D598" s="44">
        <v>175.8</v>
      </c>
      <c r="E598" s="44">
        <v>31250688</v>
      </c>
      <c r="F598" s="44" t="s">
        <v>526</v>
      </c>
      <c r="G598" s="25">
        <f t="shared" si="7"/>
        <v>-7.5085324232082584E-3</v>
      </c>
    </row>
    <row r="599" spans="1:7">
      <c r="A599" s="44">
        <v>174.42</v>
      </c>
      <c r="B599" s="44">
        <v>177.93</v>
      </c>
      <c r="C599" s="44">
        <v>173.9</v>
      </c>
      <c r="D599" s="44">
        <v>176.64</v>
      </c>
      <c r="E599" s="44">
        <v>72147390</v>
      </c>
      <c r="F599" s="44" t="s">
        <v>527</v>
      </c>
      <c r="G599" s="25">
        <f t="shared" si="7"/>
        <v>-1.2567934782608647E-2</v>
      </c>
    </row>
    <row r="600" spans="1:7">
      <c r="A600" s="44">
        <v>178.75</v>
      </c>
      <c r="B600" s="44">
        <v>179.53</v>
      </c>
      <c r="C600" s="44">
        <v>176.465</v>
      </c>
      <c r="D600" s="44">
        <v>177.69</v>
      </c>
      <c r="E600" s="44">
        <v>43705840</v>
      </c>
      <c r="F600" s="44" t="s">
        <v>528</v>
      </c>
      <c r="G600" s="25">
        <f t="shared" si="7"/>
        <v>5.9654454386852684E-3</v>
      </c>
    </row>
    <row r="601" spans="1:7">
      <c r="A601" s="44">
        <v>176.55500000000001</v>
      </c>
      <c r="B601" s="44">
        <v>177.62</v>
      </c>
      <c r="C601" s="44">
        <v>175.55</v>
      </c>
      <c r="D601" s="44">
        <v>175.9</v>
      </c>
      <c r="E601" s="44">
        <v>30772600</v>
      </c>
      <c r="F601" s="44" t="s">
        <v>529</v>
      </c>
      <c r="G601" s="25">
        <f t="shared" si="7"/>
        <v>3.7237066515065642E-3</v>
      </c>
    </row>
    <row r="602" spans="1:7">
      <c r="A602" s="44">
        <v>175.39</v>
      </c>
      <c r="B602" s="44">
        <v>176.76</v>
      </c>
      <c r="C602" s="44">
        <v>171.98</v>
      </c>
      <c r="D602" s="44">
        <v>173.5</v>
      </c>
      <c r="E602" s="44">
        <v>36610604</v>
      </c>
      <c r="F602" s="44" t="s">
        <v>530</v>
      </c>
      <c r="G602" s="25">
        <f t="shared" si="7"/>
        <v>1.089337175792493E-2</v>
      </c>
    </row>
    <row r="603" spans="1:7">
      <c r="A603" s="44">
        <v>171.96</v>
      </c>
      <c r="B603" s="44">
        <v>174.47</v>
      </c>
      <c r="C603" s="44">
        <v>171.47</v>
      </c>
      <c r="D603" s="44">
        <v>174.31</v>
      </c>
      <c r="E603" s="44">
        <v>28484777</v>
      </c>
      <c r="F603" s="44" t="s">
        <v>531</v>
      </c>
      <c r="G603" s="25">
        <f t="shared" si="7"/>
        <v>-1.3481727955940492E-2</v>
      </c>
    </row>
    <row r="604" spans="1:7">
      <c r="A604" s="44">
        <v>175.35</v>
      </c>
      <c r="B604" s="44">
        <v>178.785</v>
      </c>
      <c r="C604" s="44">
        <v>174.33</v>
      </c>
      <c r="D604" s="44">
        <v>176.44</v>
      </c>
      <c r="E604" s="44">
        <v>37893242</v>
      </c>
      <c r="F604" s="44" t="s">
        <v>532</v>
      </c>
      <c r="G604" s="25">
        <f t="shared" si="7"/>
        <v>-6.1777374744955704E-3</v>
      </c>
    </row>
    <row r="605" spans="1:7">
      <c r="A605" s="44">
        <v>176.82</v>
      </c>
      <c r="B605" s="44">
        <v>177.99</v>
      </c>
      <c r="C605" s="44">
        <v>173.72</v>
      </c>
      <c r="D605" s="44">
        <v>174.83</v>
      </c>
      <c r="E605" s="44">
        <v>34063283</v>
      </c>
      <c r="F605" s="44" t="s">
        <v>533</v>
      </c>
      <c r="G605" s="25">
        <f t="shared" si="7"/>
        <v>1.1382485843390633E-2</v>
      </c>
    </row>
    <row r="606" spans="1:7">
      <c r="A606" s="44">
        <v>173.51</v>
      </c>
      <c r="B606" s="44">
        <v>176.46</v>
      </c>
      <c r="C606" s="44">
        <v>173.26</v>
      </c>
      <c r="D606" s="44">
        <v>175.54</v>
      </c>
      <c r="E606" s="44">
        <v>32090926</v>
      </c>
      <c r="F606" s="44" t="s">
        <v>534</v>
      </c>
      <c r="G606" s="25">
        <f t="shared" si="7"/>
        <v>-1.156431582545292E-2</v>
      </c>
    </row>
    <row r="607" spans="1:7">
      <c r="A607" s="44">
        <v>174.12</v>
      </c>
      <c r="B607" s="44">
        <v>176.93</v>
      </c>
      <c r="C607" s="44">
        <v>173.303</v>
      </c>
      <c r="D607" s="44">
        <v>176.93</v>
      </c>
      <c r="E607" s="44">
        <v>37228343</v>
      </c>
      <c r="F607" s="44" t="s">
        <v>535</v>
      </c>
      <c r="G607" s="25">
        <f t="shared" si="7"/>
        <v>-1.5881987226586847E-2</v>
      </c>
    </row>
    <row r="608" spans="1:7">
      <c r="A608" s="44">
        <v>177.58</v>
      </c>
      <c r="B608" s="44">
        <v>180.14</v>
      </c>
      <c r="C608" s="44">
        <v>177.49</v>
      </c>
      <c r="D608" s="44">
        <v>177.53</v>
      </c>
      <c r="E608" s="44">
        <v>37381520</v>
      </c>
      <c r="F608" s="44" t="s">
        <v>536</v>
      </c>
      <c r="G608" s="25">
        <f t="shared" si="7"/>
        <v>2.8164253928930627E-4</v>
      </c>
    </row>
    <row r="609" spans="1:7">
      <c r="A609" s="44">
        <v>178.22</v>
      </c>
      <c r="B609" s="44">
        <v>178.72499999999999</v>
      </c>
      <c r="C609" s="44">
        <v>176.07</v>
      </c>
      <c r="D609" s="44">
        <v>176.75</v>
      </c>
      <c r="E609" s="44">
        <v>31981152</v>
      </c>
      <c r="F609" s="44" t="s">
        <v>537</v>
      </c>
      <c r="G609" s="25">
        <f t="shared" si="7"/>
        <v>8.3168316831683242E-3</v>
      </c>
    </row>
    <row r="610" spans="1:7">
      <c r="A610" s="44">
        <v>176.76</v>
      </c>
      <c r="B610" s="44">
        <v>177.22</v>
      </c>
      <c r="C610" s="44">
        <v>172.85</v>
      </c>
      <c r="D610" s="44">
        <v>173.01</v>
      </c>
      <c r="E610" s="44">
        <v>53805359</v>
      </c>
      <c r="F610" s="44" t="s">
        <v>538</v>
      </c>
      <c r="G610" s="25">
        <f t="shared" si="7"/>
        <v>2.1675047685104865E-2</v>
      </c>
    </row>
    <row r="611" spans="1:7">
      <c r="A611" s="44">
        <v>173.16</v>
      </c>
      <c r="B611" s="44">
        <v>174.05</v>
      </c>
      <c r="C611" s="44">
        <v>172.27</v>
      </c>
      <c r="D611" s="44">
        <v>172.44</v>
      </c>
      <c r="E611" s="44">
        <v>28180482</v>
      </c>
      <c r="F611" s="44" t="s">
        <v>539</v>
      </c>
      <c r="G611" s="25">
        <f t="shared" si="7"/>
        <v>4.1753653444676075E-3</v>
      </c>
    </row>
    <row r="612" spans="1:7">
      <c r="A612" s="44">
        <v>173.54</v>
      </c>
      <c r="B612" s="44">
        <v>174.62</v>
      </c>
      <c r="C612" s="44">
        <v>172.86</v>
      </c>
      <c r="D612" s="44">
        <v>174.07499999999999</v>
      </c>
      <c r="E612" s="44">
        <v>31141732</v>
      </c>
      <c r="F612" s="44" t="s">
        <v>540</v>
      </c>
      <c r="G612" s="25">
        <f t="shared" si="7"/>
        <v>-3.0733879075111048E-3</v>
      </c>
    </row>
    <row r="613" spans="1:7">
      <c r="A613" s="44">
        <v>174.73</v>
      </c>
      <c r="B613" s="44">
        <v>176.37</v>
      </c>
      <c r="C613" s="44">
        <v>174.26</v>
      </c>
      <c r="D613" s="44">
        <v>175.7</v>
      </c>
      <c r="E613" s="44">
        <v>44368614</v>
      </c>
      <c r="F613" s="44" t="s">
        <v>541</v>
      </c>
      <c r="G613" s="25">
        <f t="shared" si="7"/>
        <v>-5.5207740466705069E-3</v>
      </c>
    </row>
    <row r="614" spans="1:7">
      <c r="A614" s="44">
        <v>174.99</v>
      </c>
      <c r="B614" s="44">
        <v>175.75</v>
      </c>
      <c r="C614" s="44">
        <v>173.7</v>
      </c>
      <c r="D614" s="44">
        <v>174.28</v>
      </c>
      <c r="E614" s="44">
        <v>59715243</v>
      </c>
      <c r="F614" s="44" t="s">
        <v>542</v>
      </c>
      <c r="G614" s="25">
        <f t="shared" si="7"/>
        <v>4.0739040624282463E-3</v>
      </c>
    </row>
    <row r="615" spans="1:7">
      <c r="A615" s="44">
        <v>174.58</v>
      </c>
      <c r="B615" s="44">
        <v>174.8</v>
      </c>
      <c r="C615" s="44">
        <v>171.77</v>
      </c>
      <c r="D615" s="44">
        <v>173.1</v>
      </c>
      <c r="E615" s="44">
        <v>55392354</v>
      </c>
      <c r="F615" s="44" t="s">
        <v>543</v>
      </c>
      <c r="G615" s="25">
        <f t="shared" si="7"/>
        <v>8.5499711149625846E-3</v>
      </c>
    </row>
    <row r="616" spans="1:7">
      <c r="A616" s="44">
        <v>168.59</v>
      </c>
      <c r="B616" s="44">
        <v>170.23</v>
      </c>
      <c r="C616" s="44">
        <v>167.14</v>
      </c>
      <c r="D616" s="44">
        <v>168.94</v>
      </c>
      <c r="E616" s="44">
        <v>44575623</v>
      </c>
      <c r="F616" s="44" t="s">
        <v>544</v>
      </c>
      <c r="G616" s="25">
        <f t="shared" si="7"/>
        <v>-2.0717414466674411E-3</v>
      </c>
    </row>
    <row r="617" spans="1:7">
      <c r="A617" s="44">
        <v>167.08</v>
      </c>
      <c r="B617" s="44">
        <v>168.71</v>
      </c>
      <c r="C617" s="44">
        <v>165.74</v>
      </c>
      <c r="D617" s="44">
        <v>167.83</v>
      </c>
      <c r="E617" s="44">
        <v>41980326</v>
      </c>
      <c r="F617" s="44" t="s">
        <v>545</v>
      </c>
      <c r="G617" s="25">
        <f t="shared" si="7"/>
        <v>-4.4688077220997879E-3</v>
      </c>
    </row>
    <row r="618" spans="1:7">
      <c r="A618" s="44">
        <v>169.51</v>
      </c>
      <c r="B618" s="44">
        <v>170.42</v>
      </c>
      <c r="C618" s="44">
        <v>167.17</v>
      </c>
      <c r="D618" s="44">
        <v>168.74</v>
      </c>
      <c r="E618" s="44">
        <v>48107744</v>
      </c>
      <c r="F618" s="44" t="s">
        <v>546</v>
      </c>
      <c r="G618" s="25">
        <f t="shared" si="7"/>
        <v>4.5632333767926525E-3</v>
      </c>
    </row>
    <row r="619" spans="1:7">
      <c r="A619" s="44">
        <v>169.8</v>
      </c>
      <c r="B619" s="44">
        <v>171.17</v>
      </c>
      <c r="C619" s="44">
        <v>167.59</v>
      </c>
      <c r="D619" s="44">
        <v>170.58</v>
      </c>
      <c r="E619" s="44">
        <v>49855196</v>
      </c>
      <c r="F619" s="44" t="s">
        <v>547</v>
      </c>
      <c r="G619" s="25">
        <f t="shared" si="7"/>
        <v>-4.5726345409778935E-3</v>
      </c>
    </row>
    <row r="620" spans="1:7">
      <c r="A620" s="44">
        <v>170.98</v>
      </c>
      <c r="B620" s="44">
        <v>171.21</v>
      </c>
      <c r="C620" s="44">
        <v>168.28</v>
      </c>
      <c r="D620" s="44">
        <v>169.21</v>
      </c>
      <c r="E620" s="44">
        <v>42815544</v>
      </c>
      <c r="F620" s="44" t="s">
        <v>548</v>
      </c>
      <c r="G620" s="25">
        <f t="shared" si="7"/>
        <v>1.0460374682347284E-2</v>
      </c>
    </row>
    <row r="621" spans="1:7">
      <c r="A621" s="44">
        <v>168.64</v>
      </c>
      <c r="B621" s="44">
        <v>170.95</v>
      </c>
      <c r="C621" s="44">
        <v>165.75</v>
      </c>
      <c r="D621" s="44">
        <v>167.73</v>
      </c>
      <c r="E621" s="44">
        <v>56345122</v>
      </c>
      <c r="F621" s="44" t="s">
        <v>549</v>
      </c>
      <c r="G621" s="25">
        <f t="shared" si="7"/>
        <v>5.4253860370834239E-3</v>
      </c>
    </row>
    <row r="622" spans="1:7">
      <c r="A622" s="44">
        <v>172.34</v>
      </c>
      <c r="B622" s="44">
        <v>175.39</v>
      </c>
      <c r="C622" s="44">
        <v>171.54</v>
      </c>
      <c r="D622" s="44">
        <v>174.8</v>
      </c>
      <c r="E622" s="44">
        <v>51050440</v>
      </c>
      <c r="F622" s="44" t="s">
        <v>550</v>
      </c>
      <c r="G622" s="25">
        <f t="shared" si="7"/>
        <v>-1.4073226544622508E-2</v>
      </c>
    </row>
    <row r="623" spans="1:7">
      <c r="A623" s="44">
        <v>174.45</v>
      </c>
      <c r="B623" s="44">
        <v>175</v>
      </c>
      <c r="C623" s="44">
        <v>170.58029999999999</v>
      </c>
      <c r="D623" s="44">
        <v>170.9</v>
      </c>
      <c r="E623" s="44">
        <v>56985986</v>
      </c>
      <c r="F623" s="44" t="s">
        <v>551</v>
      </c>
      <c r="G623" s="25">
        <f t="shared" si="7"/>
        <v>2.0772381509654769E-2</v>
      </c>
    </row>
    <row r="624" spans="1:7">
      <c r="A624" s="44">
        <v>169.84</v>
      </c>
      <c r="B624" s="44">
        <v>171.43</v>
      </c>
      <c r="C624" s="44">
        <v>168.88</v>
      </c>
      <c r="D624" s="44">
        <v>169.65</v>
      </c>
      <c r="E624" s="44">
        <v>42316454</v>
      </c>
      <c r="F624" s="44" t="s">
        <v>552</v>
      </c>
      <c r="G624" s="25">
        <f t="shared" si="7"/>
        <v>1.1199528440908324E-3</v>
      </c>
    </row>
    <row r="625" spans="1:7">
      <c r="A625" s="44">
        <v>170.53</v>
      </c>
      <c r="B625" s="44">
        <v>170.88</v>
      </c>
      <c r="C625" s="44">
        <v>168.94</v>
      </c>
      <c r="D625" s="44">
        <v>169.48</v>
      </c>
      <c r="E625" s="44">
        <v>47174060</v>
      </c>
      <c r="F625" s="44" t="s">
        <v>553</v>
      </c>
      <c r="G625" s="25">
        <f t="shared" si="7"/>
        <v>6.1954212886476956E-3</v>
      </c>
    </row>
    <row r="626" spans="1:7">
      <c r="A626" s="44">
        <v>169.15</v>
      </c>
      <c r="B626" s="44">
        <v>170.71</v>
      </c>
      <c r="C626" s="44">
        <v>167.65</v>
      </c>
      <c r="D626" s="44">
        <v>169.39</v>
      </c>
      <c r="E626" s="44">
        <v>42505518</v>
      </c>
      <c r="F626" s="44" t="s">
        <v>554</v>
      </c>
      <c r="G626" s="25">
        <f t="shared" si="7"/>
        <v>-1.4168486923665791E-3</v>
      </c>
    </row>
    <row r="627" spans="1:7">
      <c r="A627" s="44">
        <v>170.31</v>
      </c>
      <c r="B627" s="44">
        <v>170.55</v>
      </c>
      <c r="C627" s="44">
        <v>167.7</v>
      </c>
      <c r="D627" s="44">
        <v>170.2</v>
      </c>
      <c r="E627" s="44">
        <v>55081297</v>
      </c>
      <c r="F627" s="44" t="s">
        <v>555</v>
      </c>
      <c r="G627" s="25">
        <f t="shared" ref="G627:G690" si="8">A627/D627-1</f>
        <v>6.4629847238539817E-4</v>
      </c>
    </row>
    <row r="628" spans="1:7">
      <c r="A628" s="44">
        <v>171.81</v>
      </c>
      <c r="B628" s="44">
        <v>172.5</v>
      </c>
      <c r="C628" s="44">
        <v>167.33</v>
      </c>
      <c r="D628" s="44">
        <v>169.19</v>
      </c>
      <c r="E628" s="44">
        <v>117218313</v>
      </c>
      <c r="F628" s="44" t="s">
        <v>556</v>
      </c>
      <c r="G628" s="25">
        <f t="shared" si="8"/>
        <v>1.5485548791299708E-2</v>
      </c>
    </row>
    <row r="629" spans="1:7">
      <c r="A629" s="44">
        <v>159.28</v>
      </c>
      <c r="B629" s="44">
        <v>159.76</v>
      </c>
      <c r="C629" s="44">
        <v>155.62</v>
      </c>
      <c r="D629" s="44">
        <v>155.87</v>
      </c>
      <c r="E629" s="44">
        <v>76542419</v>
      </c>
      <c r="F629" s="44" t="s">
        <v>557</v>
      </c>
      <c r="G629" s="25">
        <f t="shared" si="8"/>
        <v>2.1877205363443952E-2</v>
      </c>
    </row>
    <row r="630" spans="1:7">
      <c r="A630" s="44">
        <v>155.19999999999999</v>
      </c>
      <c r="B630" s="44">
        <v>159.01</v>
      </c>
      <c r="C630" s="44">
        <v>154.81</v>
      </c>
      <c r="D630" s="44">
        <v>157</v>
      </c>
      <c r="E630" s="44">
        <v>50284371</v>
      </c>
      <c r="F630" s="44" t="s">
        <v>558</v>
      </c>
      <c r="G630" s="25">
        <f t="shared" si="8"/>
        <v>-1.1464968152866351E-2</v>
      </c>
    </row>
    <row r="631" spans="1:7">
      <c r="A631" s="44">
        <v>159</v>
      </c>
      <c r="B631" s="44">
        <v>161.72999999999999</v>
      </c>
      <c r="C631" s="44">
        <v>158.49</v>
      </c>
      <c r="D631" s="44">
        <v>160.69999999999999</v>
      </c>
      <c r="E631" s="44">
        <v>45207430</v>
      </c>
      <c r="F631" s="44" t="s">
        <v>559</v>
      </c>
      <c r="G631" s="25">
        <f t="shared" si="8"/>
        <v>-1.0578718108276264E-2</v>
      </c>
    </row>
    <row r="632" spans="1:7">
      <c r="A632" s="44">
        <v>161.26</v>
      </c>
      <c r="B632" s="44">
        <v>161.29</v>
      </c>
      <c r="C632" s="44">
        <v>158.9</v>
      </c>
      <c r="D632" s="44">
        <v>159.34</v>
      </c>
      <c r="E632" s="44">
        <v>45270385</v>
      </c>
      <c r="F632" s="44" t="s">
        <v>560</v>
      </c>
      <c r="G632" s="25">
        <f t="shared" si="8"/>
        <v>1.2049705033262192E-2</v>
      </c>
    </row>
    <row r="633" spans="1:7">
      <c r="A633" s="44">
        <v>159.12</v>
      </c>
      <c r="B633" s="44">
        <v>160.72</v>
      </c>
      <c r="C633" s="44">
        <v>157.91</v>
      </c>
      <c r="D633" s="44">
        <v>158.41999999999999</v>
      </c>
      <c r="E633" s="44">
        <v>51047353</v>
      </c>
      <c r="F633" s="44" t="s">
        <v>561</v>
      </c>
      <c r="G633" s="25">
        <f t="shared" si="8"/>
        <v>4.4186340108574029E-3</v>
      </c>
    </row>
    <row r="634" spans="1:7">
      <c r="A634" s="44">
        <v>157.75</v>
      </c>
      <c r="B634" s="44">
        <v>158.505</v>
      </c>
      <c r="C634" s="44">
        <v>154.55009999999999</v>
      </c>
      <c r="D634" s="44">
        <v>156.94999999999999</v>
      </c>
      <c r="E634" s="44">
        <v>43638592</v>
      </c>
      <c r="F634" s="44" t="s">
        <v>562</v>
      </c>
      <c r="G634" s="25">
        <f t="shared" si="8"/>
        <v>5.0971647021345046E-3</v>
      </c>
    </row>
    <row r="635" spans="1:7">
      <c r="A635" s="44">
        <v>156.87</v>
      </c>
      <c r="B635" s="44">
        <v>158.51</v>
      </c>
      <c r="C635" s="44">
        <v>156.47999999999999</v>
      </c>
      <c r="D635" s="44">
        <v>157.80000000000001</v>
      </c>
      <c r="E635" s="44">
        <v>48547315</v>
      </c>
      <c r="F635" s="44" t="s">
        <v>563</v>
      </c>
      <c r="G635" s="25">
        <f t="shared" si="8"/>
        <v>-5.893536121673093E-3</v>
      </c>
    </row>
    <row r="636" spans="1:7">
      <c r="A636" s="44">
        <v>156.02000000000001</v>
      </c>
      <c r="B636" s="44">
        <v>156.21</v>
      </c>
      <c r="C636" s="44">
        <v>153.93</v>
      </c>
      <c r="D636" s="44">
        <v>154.85</v>
      </c>
      <c r="E636" s="44">
        <v>37986039</v>
      </c>
      <c r="F636" s="44" t="s">
        <v>564</v>
      </c>
      <c r="G636" s="25">
        <f t="shared" si="8"/>
        <v>7.5556990636100885E-3</v>
      </c>
    </row>
    <row r="637" spans="1:7">
      <c r="A637" s="44">
        <v>154.78</v>
      </c>
      <c r="B637" s="44">
        <v>157.05000000000001</v>
      </c>
      <c r="C637" s="44">
        <v>153.9</v>
      </c>
      <c r="D637" s="44">
        <v>156.88999999999999</v>
      </c>
      <c r="E637" s="44">
        <v>43687468</v>
      </c>
      <c r="F637" s="44" t="s">
        <v>565</v>
      </c>
      <c r="G637" s="25">
        <f t="shared" si="8"/>
        <v>-1.344891325132247E-2</v>
      </c>
    </row>
    <row r="638" spans="1:7">
      <c r="A638" s="44">
        <v>155.34</v>
      </c>
      <c r="B638" s="44">
        <v>155.76</v>
      </c>
      <c r="C638" s="44">
        <v>152.74</v>
      </c>
      <c r="D638" s="44">
        <v>153.83000000000001</v>
      </c>
      <c r="E638" s="44">
        <v>51651628</v>
      </c>
      <c r="F638" s="44" t="s">
        <v>566</v>
      </c>
      <c r="G638" s="25">
        <f t="shared" si="8"/>
        <v>9.8160306832217881E-3</v>
      </c>
    </row>
    <row r="639" spans="1:7">
      <c r="A639" s="44">
        <v>153.5</v>
      </c>
      <c r="B639" s="44">
        <v>153.77500000000001</v>
      </c>
      <c r="C639" s="44">
        <v>151.82</v>
      </c>
      <c r="D639" s="44">
        <v>152.77000000000001</v>
      </c>
      <c r="E639" s="44">
        <v>37850245</v>
      </c>
      <c r="F639" s="44" t="s">
        <v>567</v>
      </c>
      <c r="G639" s="25">
        <f t="shared" si="8"/>
        <v>4.778425083458826E-3</v>
      </c>
    </row>
    <row r="640" spans="1:7">
      <c r="A640" s="44">
        <v>151.71</v>
      </c>
      <c r="B640" s="44">
        <v>152.15</v>
      </c>
      <c r="C640" s="44">
        <v>149.91</v>
      </c>
      <c r="D640" s="44">
        <v>151.49</v>
      </c>
      <c r="E640" s="44">
        <v>34953363</v>
      </c>
      <c r="F640" s="44" t="s">
        <v>568</v>
      </c>
      <c r="G640" s="25">
        <f t="shared" si="8"/>
        <v>1.4522410720179124E-3</v>
      </c>
    </row>
    <row r="641" spans="1:7">
      <c r="A641" s="44">
        <v>153.16</v>
      </c>
      <c r="B641" s="44">
        <v>154.99</v>
      </c>
      <c r="C641" s="44">
        <v>152.15</v>
      </c>
      <c r="D641" s="44">
        <v>153.53</v>
      </c>
      <c r="E641" s="44">
        <v>41384636</v>
      </c>
      <c r="F641" s="44" t="s">
        <v>569</v>
      </c>
      <c r="G641" s="25">
        <f t="shared" si="8"/>
        <v>-2.4099524522894766E-3</v>
      </c>
    </row>
    <row r="642" spans="1:7">
      <c r="A642" s="44">
        <v>154.62</v>
      </c>
      <c r="B642" s="44">
        <v>156.19999999999999</v>
      </c>
      <c r="C642" s="44">
        <v>154.01</v>
      </c>
      <c r="D642" s="44">
        <v>155.38999999999999</v>
      </c>
      <c r="E642" s="44">
        <v>40484155</v>
      </c>
      <c r="F642" s="44" t="s">
        <v>570</v>
      </c>
      <c r="G642" s="25">
        <f t="shared" si="8"/>
        <v>-4.9552738271444463E-3</v>
      </c>
    </row>
    <row r="643" spans="1:7">
      <c r="A643" s="44">
        <v>155.18</v>
      </c>
      <c r="B643" s="44">
        <v>157.16999999999999</v>
      </c>
      <c r="C643" s="44">
        <v>153.12</v>
      </c>
      <c r="D643" s="44">
        <v>155.04</v>
      </c>
      <c r="E643" s="44">
        <v>49072691</v>
      </c>
      <c r="F643" s="44" t="s">
        <v>571</v>
      </c>
      <c r="G643" s="25">
        <f t="shared" si="8"/>
        <v>9.02992776057987E-4</v>
      </c>
    </row>
    <row r="644" spans="1:7">
      <c r="A644" s="44">
        <v>153.72999999999999</v>
      </c>
      <c r="B644" s="44">
        <v>154.41999999999999</v>
      </c>
      <c r="C644" s="44">
        <v>151.881</v>
      </c>
      <c r="D644" s="44">
        <v>152.06</v>
      </c>
      <c r="E644" s="44">
        <v>44421830</v>
      </c>
      <c r="F644" s="44" t="s">
        <v>572</v>
      </c>
      <c r="G644" s="25">
        <f t="shared" si="8"/>
        <v>1.0982506905168998E-2</v>
      </c>
    </row>
    <row r="645" spans="1:7">
      <c r="A645" s="44">
        <v>151.37</v>
      </c>
      <c r="B645" s="44">
        <v>151.71</v>
      </c>
      <c r="C645" s="44">
        <v>148.21</v>
      </c>
      <c r="D645" s="44">
        <v>148.33000000000001</v>
      </c>
      <c r="E645" s="44">
        <v>43812567</v>
      </c>
      <c r="F645" s="44" t="s">
        <v>573</v>
      </c>
      <c r="G645" s="25">
        <f t="shared" si="8"/>
        <v>2.0494842580732087E-2</v>
      </c>
    </row>
    <row r="646" spans="1:7">
      <c r="A646" s="44">
        <v>149.1</v>
      </c>
      <c r="B646" s="44">
        <v>149.4</v>
      </c>
      <c r="C646" s="44">
        <v>146.15</v>
      </c>
      <c r="D646" s="44">
        <v>146.74</v>
      </c>
      <c r="E646" s="44">
        <v>46757053</v>
      </c>
      <c r="F646" s="44" t="s">
        <v>574</v>
      </c>
      <c r="G646" s="25">
        <f t="shared" si="8"/>
        <v>1.6082867657080557E-2</v>
      </c>
    </row>
    <row r="647" spans="1:7">
      <c r="A647" s="44">
        <v>145.24</v>
      </c>
      <c r="B647" s="44">
        <v>146.59</v>
      </c>
      <c r="C647" s="44">
        <v>144.53</v>
      </c>
      <c r="D647" s="44">
        <v>144.69</v>
      </c>
      <c r="E647" s="44">
        <v>45153147</v>
      </c>
      <c r="F647" s="44" t="s">
        <v>575</v>
      </c>
      <c r="G647" s="25">
        <f t="shared" si="8"/>
        <v>3.8012302163246137E-3</v>
      </c>
    </row>
    <row r="648" spans="1:7">
      <c r="A648" s="44">
        <v>144.57</v>
      </c>
      <c r="B648" s="44">
        <v>147.38</v>
      </c>
      <c r="C648" s="44">
        <v>144.05000000000001</v>
      </c>
      <c r="D648" s="44">
        <v>145.59</v>
      </c>
      <c r="E648" s="44">
        <v>56039807</v>
      </c>
      <c r="F648" s="44" t="s">
        <v>576</v>
      </c>
      <c r="G648" s="25">
        <f t="shared" si="8"/>
        <v>-7.0059756851432731E-3</v>
      </c>
    </row>
    <row r="649" spans="1:7">
      <c r="A649" s="44">
        <v>148.47</v>
      </c>
      <c r="B649" s="44">
        <v>151.05000000000001</v>
      </c>
      <c r="C649" s="44">
        <v>148.33000000000001</v>
      </c>
      <c r="D649" s="44">
        <v>149.19999999999999</v>
      </c>
      <c r="E649" s="44">
        <v>49425495</v>
      </c>
      <c r="F649" s="44" t="s">
        <v>577</v>
      </c>
      <c r="G649" s="25">
        <f t="shared" si="8"/>
        <v>-4.8927613941017745E-3</v>
      </c>
    </row>
    <row r="650" spans="1:7">
      <c r="A650" s="44">
        <v>149.93</v>
      </c>
      <c r="B650" s="44">
        <v>152.38</v>
      </c>
      <c r="C650" s="44">
        <v>148.38999999999999</v>
      </c>
      <c r="D650" s="44">
        <v>151.54</v>
      </c>
      <c r="E650" s="44">
        <v>47339424</v>
      </c>
      <c r="F650" s="44" t="s">
        <v>578</v>
      </c>
      <c r="G650" s="25">
        <f t="shared" si="8"/>
        <v>-1.06242576217499E-2</v>
      </c>
    </row>
    <row r="651" spans="1:7">
      <c r="A651" s="44">
        <v>151.94</v>
      </c>
      <c r="B651" s="44">
        <v>153.88999999999999</v>
      </c>
      <c r="C651" s="44">
        <v>151.03</v>
      </c>
      <c r="D651" s="44">
        <v>153.1</v>
      </c>
      <c r="E651" s="44">
        <v>39823204</v>
      </c>
      <c r="F651" s="44" t="s">
        <v>579</v>
      </c>
      <c r="G651" s="25">
        <f t="shared" si="8"/>
        <v>-7.5767472240365619E-3</v>
      </c>
    </row>
    <row r="652" spans="1:7">
      <c r="A652" s="44">
        <v>153.38</v>
      </c>
      <c r="B652" s="44">
        <v>154.08000000000001</v>
      </c>
      <c r="C652" s="44">
        <v>152.94999999999999</v>
      </c>
      <c r="D652" s="44">
        <v>153.72</v>
      </c>
      <c r="E652" s="44">
        <v>27057002</v>
      </c>
      <c r="F652" s="44" t="s">
        <v>580</v>
      </c>
      <c r="G652" s="25">
        <f t="shared" si="8"/>
        <v>-2.2118136872235628E-3</v>
      </c>
    </row>
    <row r="653" spans="1:7">
      <c r="A653" s="44">
        <v>153.34</v>
      </c>
      <c r="B653" s="44">
        <v>154.78</v>
      </c>
      <c r="C653" s="44">
        <v>153.12</v>
      </c>
      <c r="D653" s="44">
        <v>153.56</v>
      </c>
      <c r="E653" s="44">
        <v>31434733</v>
      </c>
      <c r="F653" s="44" t="s">
        <v>581</v>
      </c>
      <c r="G653" s="25">
        <f t="shared" si="8"/>
        <v>-1.4326647564469885E-3</v>
      </c>
    </row>
    <row r="654" spans="1:7">
      <c r="A654" s="44">
        <v>153.41</v>
      </c>
      <c r="B654" s="44">
        <v>153.97499999999999</v>
      </c>
      <c r="C654" s="44">
        <v>153.03</v>
      </c>
      <c r="D654" s="44">
        <v>153.56</v>
      </c>
      <c r="E654" s="44">
        <v>25067222</v>
      </c>
      <c r="F654" s="44" t="s">
        <v>582</v>
      </c>
      <c r="G654" s="25">
        <f t="shared" si="8"/>
        <v>-9.7681687939565887E-4</v>
      </c>
    </row>
    <row r="655" spans="1:7">
      <c r="A655" s="44">
        <v>153.41999999999999</v>
      </c>
      <c r="B655" s="44">
        <v>154.35</v>
      </c>
      <c r="C655" s="44">
        <v>152.71</v>
      </c>
      <c r="D655" s="44">
        <v>153.77000000000001</v>
      </c>
      <c r="E655" s="44">
        <v>29514093</v>
      </c>
      <c r="F655" s="44" t="s">
        <v>583</v>
      </c>
      <c r="G655" s="25">
        <f t="shared" si="8"/>
        <v>-2.2761266827080462E-3</v>
      </c>
    </row>
    <row r="656" spans="1:7">
      <c r="A656" s="44">
        <v>153.84</v>
      </c>
      <c r="B656" s="44">
        <v>153.97</v>
      </c>
      <c r="C656" s="44">
        <v>152.1</v>
      </c>
      <c r="D656" s="44">
        <v>153.30000000000001</v>
      </c>
      <c r="E656" s="44">
        <v>36305733</v>
      </c>
      <c r="F656" s="44" t="s">
        <v>584</v>
      </c>
      <c r="G656" s="25">
        <f t="shared" si="8"/>
        <v>3.5225048923679392E-3</v>
      </c>
    </row>
    <row r="657" spans="1:7">
      <c r="A657" s="44">
        <v>152.12</v>
      </c>
      <c r="B657" s="44">
        <v>155.63</v>
      </c>
      <c r="C657" s="44">
        <v>151.56</v>
      </c>
      <c r="D657" s="44">
        <v>152.9</v>
      </c>
      <c r="E657" s="44">
        <v>50322106</v>
      </c>
      <c r="F657" s="44" t="s">
        <v>585</v>
      </c>
      <c r="G657" s="25">
        <f t="shared" si="8"/>
        <v>-5.1013734466971439E-3</v>
      </c>
    </row>
    <row r="658" spans="1:7">
      <c r="A658" s="44">
        <v>153.79</v>
      </c>
      <c r="B658" s="44">
        <v>155.12</v>
      </c>
      <c r="C658" s="44">
        <v>152.69</v>
      </c>
      <c r="D658" s="44">
        <v>154.4</v>
      </c>
      <c r="E658" s="44">
        <v>43171292</v>
      </c>
      <c r="F658" s="44" t="s">
        <v>586</v>
      </c>
      <c r="G658" s="25">
        <f t="shared" si="8"/>
        <v>-3.9507772020725973E-3</v>
      </c>
    </row>
    <row r="659" spans="1:7">
      <c r="A659" s="44">
        <v>154.07</v>
      </c>
      <c r="B659" s="44">
        <v>154.85499999999999</v>
      </c>
      <c r="C659" s="44">
        <v>150.05000000000001</v>
      </c>
      <c r="D659" s="44">
        <v>150.56</v>
      </c>
      <c r="E659" s="44">
        <v>62512828</v>
      </c>
      <c r="F659" s="44" t="s">
        <v>587</v>
      </c>
      <c r="G659" s="25">
        <f t="shared" si="8"/>
        <v>2.3312964930924496E-2</v>
      </c>
    </row>
    <row r="660" spans="1:7">
      <c r="A660" s="44">
        <v>149.97</v>
      </c>
      <c r="B660" s="44">
        <v>150.57</v>
      </c>
      <c r="C660" s="44">
        <v>147.88</v>
      </c>
      <c r="D660" s="44">
        <v>148.38</v>
      </c>
      <c r="E660" s="44">
        <v>110089342</v>
      </c>
      <c r="F660" s="44" t="s">
        <v>588</v>
      </c>
      <c r="G660" s="25">
        <f t="shared" si="8"/>
        <v>1.0715729882733616E-2</v>
      </c>
    </row>
    <row r="661" spans="1:7">
      <c r="A661" s="44">
        <v>147.41999999999999</v>
      </c>
      <c r="B661" s="44">
        <v>150.54</v>
      </c>
      <c r="C661" s="44">
        <v>145.52000000000001</v>
      </c>
      <c r="D661" s="44">
        <v>149.93</v>
      </c>
      <c r="E661" s="44">
        <v>58400848</v>
      </c>
      <c r="F661" s="44" t="s">
        <v>589</v>
      </c>
      <c r="G661" s="25">
        <f t="shared" si="8"/>
        <v>-1.6741145868071849E-2</v>
      </c>
    </row>
    <row r="662" spans="1:7">
      <c r="A662" s="44">
        <v>148.84</v>
      </c>
      <c r="B662" s="44">
        <v>149.46</v>
      </c>
      <c r="C662" s="44">
        <v>146.82</v>
      </c>
      <c r="D662" s="44">
        <v>148.12</v>
      </c>
      <c r="E662" s="44">
        <v>52766196</v>
      </c>
      <c r="F662" s="44" t="s">
        <v>590</v>
      </c>
      <c r="G662" s="25">
        <f t="shared" si="8"/>
        <v>4.8609235754792923E-3</v>
      </c>
    </row>
    <row r="663" spans="1:7">
      <c r="A663" s="44">
        <v>147.47999999999999</v>
      </c>
      <c r="B663" s="44">
        <v>147.5</v>
      </c>
      <c r="C663" s="44">
        <v>145.30000000000001</v>
      </c>
      <c r="D663" s="44">
        <v>145.52000000000001</v>
      </c>
      <c r="E663" s="44">
        <v>44944264</v>
      </c>
      <c r="F663" s="44" t="s">
        <v>591</v>
      </c>
      <c r="G663" s="25">
        <f t="shared" si="8"/>
        <v>1.3468938977460043E-2</v>
      </c>
    </row>
    <row r="664" spans="1:7">
      <c r="A664" s="44">
        <v>145.88999999999999</v>
      </c>
      <c r="B664" s="44">
        <v>146.19</v>
      </c>
      <c r="C664" s="44">
        <v>143.63999999999999</v>
      </c>
      <c r="D664" s="44">
        <v>145.66</v>
      </c>
      <c r="E664" s="44">
        <v>50907288</v>
      </c>
      <c r="F664" s="44" t="s">
        <v>592</v>
      </c>
      <c r="G664" s="25">
        <f t="shared" si="8"/>
        <v>1.5790196347658103E-3</v>
      </c>
    </row>
    <row r="665" spans="1:7">
      <c r="A665" s="44">
        <v>147.41999999999999</v>
      </c>
      <c r="B665" s="44">
        <v>147.84</v>
      </c>
      <c r="C665" s="44">
        <v>145.4</v>
      </c>
      <c r="D665" s="44">
        <v>145.47999999999999</v>
      </c>
      <c r="E665" s="44">
        <v>41905965</v>
      </c>
      <c r="F665" s="44" t="s">
        <v>593</v>
      </c>
      <c r="G665" s="25">
        <f t="shared" si="8"/>
        <v>1.3335166345889382E-2</v>
      </c>
    </row>
    <row r="666" spans="1:7">
      <c r="A666" s="44">
        <v>146.88</v>
      </c>
      <c r="B666" s="44">
        <v>147.91999999999999</v>
      </c>
      <c r="C666" s="44">
        <v>145.34</v>
      </c>
      <c r="D666" s="44">
        <v>146.15</v>
      </c>
      <c r="E666" s="44">
        <v>52352830</v>
      </c>
      <c r="F666" s="44" t="s">
        <v>594</v>
      </c>
      <c r="G666" s="25">
        <f t="shared" si="8"/>
        <v>4.9948682860074811E-3</v>
      </c>
    </row>
    <row r="667" spans="1:7">
      <c r="A667" s="44">
        <v>144.52000000000001</v>
      </c>
      <c r="B667" s="44">
        <v>147.85</v>
      </c>
      <c r="C667" s="44">
        <v>144.28</v>
      </c>
      <c r="D667" s="44">
        <v>147.58000000000001</v>
      </c>
      <c r="E667" s="44">
        <v>39678960</v>
      </c>
      <c r="F667" s="44" t="s">
        <v>595</v>
      </c>
      <c r="G667" s="25">
        <f t="shared" si="8"/>
        <v>-2.0734516872204956E-2</v>
      </c>
    </row>
    <row r="668" spans="1:7">
      <c r="A668" s="44">
        <v>146.88</v>
      </c>
      <c r="B668" s="44">
        <v>148.57</v>
      </c>
      <c r="C668" s="44">
        <v>143.13</v>
      </c>
      <c r="D668" s="44">
        <v>143.55000000000001</v>
      </c>
      <c r="E668" s="44">
        <v>46822411</v>
      </c>
      <c r="F668" s="44" t="s">
        <v>596</v>
      </c>
      <c r="G668" s="25">
        <f t="shared" si="8"/>
        <v>2.319749216300937E-2</v>
      </c>
    </row>
    <row r="669" spans="1:7">
      <c r="A669" s="44">
        <v>144.84</v>
      </c>
      <c r="B669" s="44">
        <v>145.35</v>
      </c>
      <c r="C669" s="44">
        <v>142.81</v>
      </c>
      <c r="D669" s="44">
        <v>145.25</v>
      </c>
      <c r="E669" s="44">
        <v>48294244</v>
      </c>
      <c r="F669" s="44" t="s">
        <v>597</v>
      </c>
      <c r="G669" s="25">
        <f t="shared" si="8"/>
        <v>-2.8227194492254082E-3</v>
      </c>
    </row>
    <row r="670" spans="1:7">
      <c r="A670" s="44">
        <v>147.03</v>
      </c>
      <c r="B670" s="44">
        <v>147.245</v>
      </c>
      <c r="C670" s="44">
        <v>145.55000000000001</v>
      </c>
      <c r="D670" s="44">
        <v>146</v>
      </c>
      <c r="E670" s="44">
        <v>39951833</v>
      </c>
      <c r="F670" s="44" t="s">
        <v>598</v>
      </c>
      <c r="G670" s="25">
        <f t="shared" si="8"/>
        <v>7.0547945205479135E-3</v>
      </c>
    </row>
    <row r="671" spans="1:7">
      <c r="A671" s="44">
        <v>146.09</v>
      </c>
      <c r="B671" s="44">
        <v>146.93</v>
      </c>
      <c r="C671" s="44">
        <v>144.33199999999999</v>
      </c>
      <c r="D671" s="44">
        <v>144.76</v>
      </c>
      <c r="E671" s="44">
        <v>65814022</v>
      </c>
      <c r="F671" s="44" t="s">
        <v>599</v>
      </c>
      <c r="G671" s="25">
        <f t="shared" si="8"/>
        <v>9.1876208897485601E-3</v>
      </c>
    </row>
    <row r="672" spans="1:7">
      <c r="A672" s="44">
        <v>146.32</v>
      </c>
      <c r="B672" s="44">
        <v>148.54</v>
      </c>
      <c r="C672" s="44">
        <v>145.97</v>
      </c>
      <c r="D672" s="44">
        <v>147.85</v>
      </c>
      <c r="E672" s="44">
        <v>40610907</v>
      </c>
      <c r="F672" s="44" t="s">
        <v>600</v>
      </c>
      <c r="G672" s="25">
        <f t="shared" si="8"/>
        <v>-1.0348326006087261E-2</v>
      </c>
    </row>
    <row r="673" spans="1:7">
      <c r="A673" s="44">
        <v>147.03</v>
      </c>
      <c r="B673" s="44">
        <v>147.59989999999999</v>
      </c>
      <c r="C673" s="44">
        <v>145.53</v>
      </c>
      <c r="D673" s="44">
        <v>146.97999999999999</v>
      </c>
      <c r="E673" s="44">
        <v>42711682</v>
      </c>
      <c r="F673" s="44" t="s">
        <v>601</v>
      </c>
      <c r="G673" s="25">
        <f t="shared" si="8"/>
        <v>3.4018233773314144E-4</v>
      </c>
    </row>
    <row r="674" spans="1:7">
      <c r="A674" s="44">
        <v>147.72999999999999</v>
      </c>
      <c r="B674" s="44">
        <v>149.26</v>
      </c>
      <c r="C674" s="44">
        <v>146.88</v>
      </c>
      <c r="D674" s="44">
        <v>147.53</v>
      </c>
      <c r="E674" s="44">
        <v>53762428</v>
      </c>
      <c r="F674" s="44" t="s">
        <v>602</v>
      </c>
      <c r="G674" s="25">
        <f t="shared" si="8"/>
        <v>1.3556564766488144E-3</v>
      </c>
    </row>
    <row r="675" spans="1:7">
      <c r="A675" s="44">
        <v>146.74</v>
      </c>
      <c r="B675" s="44">
        <v>147.19999999999999</v>
      </c>
      <c r="C675" s="44">
        <v>145.32</v>
      </c>
      <c r="D675" s="44">
        <v>146.69999999999999</v>
      </c>
      <c r="E675" s="44">
        <v>22378379</v>
      </c>
      <c r="F675" s="44" t="s">
        <v>603</v>
      </c>
      <c r="G675" s="25">
        <f t="shared" si="8"/>
        <v>2.7266530334024708E-4</v>
      </c>
    </row>
    <row r="676" spans="1:7">
      <c r="A676" s="44">
        <v>146.71</v>
      </c>
      <c r="B676" s="44">
        <v>147.74</v>
      </c>
      <c r="C676" s="44">
        <v>144.57</v>
      </c>
      <c r="D676" s="44">
        <v>144.57</v>
      </c>
      <c r="E676" s="44">
        <v>45700002</v>
      </c>
      <c r="F676" s="44" t="s">
        <v>604</v>
      </c>
      <c r="G676" s="25">
        <f t="shared" si="8"/>
        <v>1.4802517811440818E-2</v>
      </c>
    </row>
    <row r="677" spans="1:7">
      <c r="A677" s="44">
        <v>143.9</v>
      </c>
      <c r="B677" s="44">
        <v>144.05000000000001</v>
      </c>
      <c r="C677" s="44">
        <v>141.5</v>
      </c>
      <c r="D677" s="44">
        <v>143.91</v>
      </c>
      <c r="E677" s="44">
        <v>71225992</v>
      </c>
      <c r="F677" s="44" t="s">
        <v>605</v>
      </c>
      <c r="G677" s="25">
        <f t="shared" si="8"/>
        <v>-6.948787436589221E-5</v>
      </c>
    </row>
    <row r="678" spans="1:7">
      <c r="A678" s="44">
        <v>146.13</v>
      </c>
      <c r="B678" s="44">
        <v>146.63</v>
      </c>
      <c r="C678" s="44">
        <v>144.72499999999999</v>
      </c>
      <c r="D678" s="44">
        <v>145.13</v>
      </c>
      <c r="E678" s="44">
        <v>41978766</v>
      </c>
      <c r="F678" s="44" t="s">
        <v>606</v>
      </c>
      <c r="G678" s="25">
        <f t="shared" si="8"/>
        <v>6.8903741473163027E-3</v>
      </c>
    </row>
    <row r="679" spans="1:7">
      <c r="A679" s="44">
        <v>145.18</v>
      </c>
      <c r="B679" s="44">
        <v>145.22999999999999</v>
      </c>
      <c r="C679" s="44">
        <v>142.54499999999999</v>
      </c>
      <c r="D679" s="44">
        <v>142.66</v>
      </c>
      <c r="E679" s="44">
        <v>49678437</v>
      </c>
      <c r="F679" s="44" t="s">
        <v>607</v>
      </c>
      <c r="G679" s="25">
        <f t="shared" si="8"/>
        <v>1.7664376840039298E-2</v>
      </c>
    </row>
    <row r="680" spans="1:7">
      <c r="A680" s="44">
        <v>142.83000000000001</v>
      </c>
      <c r="B680" s="44">
        <v>143.32</v>
      </c>
      <c r="C680" s="44">
        <v>139.52000000000001</v>
      </c>
      <c r="D680" s="44">
        <v>140.91</v>
      </c>
      <c r="E680" s="44">
        <v>49653512</v>
      </c>
      <c r="F680" s="44" t="s">
        <v>608</v>
      </c>
      <c r="G680" s="25">
        <f t="shared" si="8"/>
        <v>1.3625718543751386E-2</v>
      </c>
    </row>
    <row r="681" spans="1:7">
      <c r="A681" s="44">
        <v>143.19999999999999</v>
      </c>
      <c r="B681" s="44">
        <v>147.29</v>
      </c>
      <c r="C681" s="44">
        <v>142.59</v>
      </c>
      <c r="D681" s="44">
        <v>147.06</v>
      </c>
      <c r="E681" s="44">
        <v>63875720</v>
      </c>
      <c r="F681" s="44" t="s">
        <v>609</v>
      </c>
      <c r="G681" s="25">
        <f t="shared" si="8"/>
        <v>-2.6247790017679962E-2</v>
      </c>
    </row>
    <row r="682" spans="1:7">
      <c r="A682" s="44">
        <v>145.80000000000001</v>
      </c>
      <c r="B682" s="44">
        <v>147.26</v>
      </c>
      <c r="C682" s="44">
        <v>144.68</v>
      </c>
      <c r="D682" s="44">
        <v>145</v>
      </c>
      <c r="E682" s="44">
        <v>56674551</v>
      </c>
      <c r="F682" s="44" t="s">
        <v>610</v>
      </c>
      <c r="G682" s="25">
        <f t="shared" si="8"/>
        <v>5.5172413793105335E-3</v>
      </c>
    </row>
    <row r="683" spans="1:7">
      <c r="A683" s="44">
        <v>142.59</v>
      </c>
      <c r="B683" s="44">
        <v>143.22999999999999</v>
      </c>
      <c r="C683" s="44">
        <v>140.66999999999999</v>
      </c>
      <c r="D683" s="44">
        <v>142.08000000000001</v>
      </c>
      <c r="E683" s="44">
        <v>35680570</v>
      </c>
      <c r="F683" s="44" t="s">
        <v>611</v>
      </c>
      <c r="G683" s="25">
        <f t="shared" si="8"/>
        <v>3.589527027026973E-3</v>
      </c>
    </row>
    <row r="684" spans="1:7">
      <c r="A684" s="44">
        <v>143.56</v>
      </c>
      <c r="B684" s="44">
        <v>143.65</v>
      </c>
      <c r="C684" s="44">
        <v>139.91</v>
      </c>
      <c r="D684" s="44">
        <v>140.46</v>
      </c>
      <c r="E684" s="44">
        <v>49349937</v>
      </c>
      <c r="F684" s="44" t="s">
        <v>612</v>
      </c>
      <c r="G684" s="25">
        <f t="shared" si="8"/>
        <v>2.2070340310408554E-2</v>
      </c>
    </row>
    <row r="685" spans="1:7">
      <c r="A685" s="44">
        <v>140.6</v>
      </c>
      <c r="B685" s="44">
        <v>142.65</v>
      </c>
      <c r="C685" s="44">
        <v>139.84</v>
      </c>
      <c r="D685" s="44">
        <v>142.02000000000001</v>
      </c>
      <c r="E685" s="44">
        <v>36235367</v>
      </c>
      <c r="F685" s="44" t="s">
        <v>613</v>
      </c>
      <c r="G685" s="25">
        <f t="shared" si="8"/>
        <v>-9.9985917476412833E-3</v>
      </c>
    </row>
    <row r="686" spans="1:7">
      <c r="A686" s="44">
        <v>142.08000000000001</v>
      </c>
      <c r="B686" s="44">
        <v>143.12</v>
      </c>
      <c r="C686" s="44">
        <v>141.2183</v>
      </c>
      <c r="D686" s="44">
        <v>142.97</v>
      </c>
      <c r="E686" s="44">
        <v>44521658</v>
      </c>
      <c r="F686" s="44" t="s">
        <v>614</v>
      </c>
      <c r="G686" s="25">
        <f t="shared" si="8"/>
        <v>-6.2250821850736715E-3</v>
      </c>
    </row>
    <row r="687" spans="1:7">
      <c r="A687" s="44">
        <v>142.71</v>
      </c>
      <c r="B687" s="44">
        <v>143.37</v>
      </c>
      <c r="C687" s="44">
        <v>140.5</v>
      </c>
      <c r="D687" s="44">
        <v>140.55000000000001</v>
      </c>
      <c r="E687" s="44">
        <v>53553537</v>
      </c>
      <c r="F687" s="44" t="s">
        <v>615</v>
      </c>
      <c r="G687" s="25">
        <f t="shared" si="8"/>
        <v>1.536819637139808E-2</v>
      </c>
    </row>
    <row r="688" spans="1:7">
      <c r="A688" s="44">
        <v>139.74</v>
      </c>
      <c r="B688" s="44">
        <v>140.72999999999999</v>
      </c>
      <c r="C688" s="44">
        <v>138.36000000000001</v>
      </c>
      <c r="D688" s="44">
        <v>138.76</v>
      </c>
      <c r="E688" s="44">
        <v>44970417</v>
      </c>
      <c r="F688" s="44" t="s">
        <v>616</v>
      </c>
      <c r="G688" s="25">
        <f t="shared" si="8"/>
        <v>7.0625540501587647E-3</v>
      </c>
    </row>
    <row r="689" spans="1:7">
      <c r="A689" s="44">
        <v>138.6</v>
      </c>
      <c r="B689" s="44">
        <v>139.49</v>
      </c>
      <c r="C689" s="44">
        <v>137.44999999999999</v>
      </c>
      <c r="D689" s="44">
        <v>138.99</v>
      </c>
      <c r="E689" s="44">
        <v>44059805</v>
      </c>
      <c r="F689" s="44" t="s">
        <v>617</v>
      </c>
      <c r="G689" s="25">
        <f t="shared" si="8"/>
        <v>-2.8059572631126128E-3</v>
      </c>
    </row>
    <row r="690" spans="1:7">
      <c r="A690" s="44">
        <v>138.07</v>
      </c>
      <c r="B690" s="44">
        <v>138.81</v>
      </c>
      <c r="C690" s="44">
        <v>136.47</v>
      </c>
      <c r="D690" s="44">
        <v>138.72999999999999</v>
      </c>
      <c r="E690" s="44">
        <v>52236693</v>
      </c>
      <c r="F690" s="44" t="s">
        <v>618</v>
      </c>
      <c r="G690" s="25">
        <f t="shared" si="8"/>
        <v>-4.7574425142362653E-3</v>
      </c>
    </row>
    <row r="691" spans="1:7">
      <c r="A691" s="44">
        <v>137</v>
      </c>
      <c r="B691" s="44">
        <v>137.35</v>
      </c>
      <c r="C691" s="44">
        <v>133.71</v>
      </c>
      <c r="D691" s="44">
        <v>133.96</v>
      </c>
      <c r="E691" s="44">
        <v>61529409</v>
      </c>
      <c r="F691" s="44" t="s">
        <v>619</v>
      </c>
      <c r="G691" s="25">
        <f t="shared" ref="G691:G754" si="9">A691/D691-1</f>
        <v>2.2693341295909164E-2</v>
      </c>
    </row>
    <row r="692" spans="1:7">
      <c r="A692" s="44">
        <v>133.09</v>
      </c>
      <c r="B692" s="44">
        <v>133.57</v>
      </c>
      <c r="C692" s="44">
        <v>131.71</v>
      </c>
      <c r="D692" s="44">
        <v>132.75</v>
      </c>
      <c r="E692" s="44">
        <v>51589380</v>
      </c>
      <c r="F692" s="44" t="s">
        <v>620</v>
      </c>
      <c r="G692" s="25">
        <f t="shared" si="9"/>
        <v>2.5612052730696888E-3</v>
      </c>
    </row>
    <row r="693" spans="1:7">
      <c r="A693" s="44">
        <v>132.71</v>
      </c>
      <c r="B693" s="44">
        <v>133</v>
      </c>
      <c r="C693" s="44">
        <v>128.56</v>
      </c>
      <c r="D693" s="44">
        <v>129.72</v>
      </c>
      <c r="E693" s="44">
        <v>72485542</v>
      </c>
      <c r="F693" s="44" t="s">
        <v>621</v>
      </c>
      <c r="G693" s="25">
        <f t="shared" si="9"/>
        <v>2.3049645390071039E-2</v>
      </c>
    </row>
    <row r="694" spans="1:7">
      <c r="A694" s="44">
        <v>127.74</v>
      </c>
      <c r="B694" s="44">
        <v>130.02000000000001</v>
      </c>
      <c r="C694" s="44">
        <v>125.52</v>
      </c>
      <c r="D694" s="44">
        <v>126.2</v>
      </c>
      <c r="E694" s="44">
        <v>125309313</v>
      </c>
      <c r="F694" s="44" t="s">
        <v>622</v>
      </c>
      <c r="G694" s="25">
        <f t="shared" si="9"/>
        <v>1.2202852614896953E-2</v>
      </c>
    </row>
    <row r="695" spans="1:7">
      <c r="A695" s="44">
        <v>119.57</v>
      </c>
      <c r="B695" s="44">
        <v>121.63930000000001</v>
      </c>
      <c r="C695" s="44">
        <v>118.35</v>
      </c>
      <c r="D695" s="44">
        <v>120.63</v>
      </c>
      <c r="E695" s="44">
        <v>100419516</v>
      </c>
      <c r="F695" s="44" t="s">
        <v>623</v>
      </c>
      <c r="G695" s="25">
        <f t="shared" si="9"/>
        <v>-8.7872005305479339E-3</v>
      </c>
    </row>
    <row r="696" spans="1:7">
      <c r="A696" s="44">
        <v>121.39</v>
      </c>
      <c r="B696" s="44">
        <v>126.34</v>
      </c>
      <c r="C696" s="44">
        <v>120.79</v>
      </c>
      <c r="D696" s="44">
        <v>126.04</v>
      </c>
      <c r="E696" s="44">
        <v>74577544</v>
      </c>
      <c r="F696" s="44" t="s">
        <v>624</v>
      </c>
      <c r="G696" s="25">
        <f t="shared" si="9"/>
        <v>-3.6893049825452273E-2</v>
      </c>
    </row>
    <row r="697" spans="1:7">
      <c r="A697" s="44">
        <v>128.56</v>
      </c>
      <c r="B697" s="44">
        <v>128.80000000000001</v>
      </c>
      <c r="C697" s="44">
        <v>126.34</v>
      </c>
      <c r="D697" s="44">
        <v>127.74</v>
      </c>
      <c r="E697" s="44">
        <v>46477355</v>
      </c>
      <c r="F697" s="44" t="s">
        <v>625</v>
      </c>
      <c r="G697" s="25">
        <f t="shared" si="9"/>
        <v>6.4192891811492014E-3</v>
      </c>
    </row>
    <row r="698" spans="1:7">
      <c r="A698" s="44">
        <v>126.56</v>
      </c>
      <c r="B698" s="44">
        <v>127.88</v>
      </c>
      <c r="C698" s="44">
        <v>123.98</v>
      </c>
      <c r="D698" s="44">
        <v>124.63</v>
      </c>
      <c r="E698" s="44">
        <v>48259953</v>
      </c>
      <c r="F698" s="44" t="s">
        <v>626</v>
      </c>
      <c r="G698" s="25">
        <f t="shared" si="9"/>
        <v>1.5485838080719017E-2</v>
      </c>
    </row>
    <row r="699" spans="1:7">
      <c r="A699" s="44">
        <v>125.17</v>
      </c>
      <c r="B699" s="44">
        <v>128.16999999999999</v>
      </c>
      <c r="C699" s="44">
        <v>124.97</v>
      </c>
      <c r="D699" s="44">
        <v>128.05000000000001</v>
      </c>
      <c r="E699" s="44">
        <v>56406410</v>
      </c>
      <c r="F699" s="44" t="s">
        <v>627</v>
      </c>
      <c r="G699" s="25">
        <f t="shared" si="9"/>
        <v>-2.2491214369387058E-2</v>
      </c>
    </row>
    <row r="700" spans="1:7">
      <c r="A700" s="44">
        <v>128.4</v>
      </c>
      <c r="B700" s="44">
        <v>132.24</v>
      </c>
      <c r="C700" s="44">
        <v>127.47</v>
      </c>
      <c r="D700" s="44">
        <v>130.565</v>
      </c>
      <c r="E700" s="44">
        <v>60961355</v>
      </c>
      <c r="F700" s="44" t="s">
        <v>628</v>
      </c>
      <c r="G700" s="25">
        <f t="shared" si="9"/>
        <v>-1.6581779190441459E-2</v>
      </c>
    </row>
    <row r="701" spans="1:7">
      <c r="A701" s="44">
        <v>128.13</v>
      </c>
      <c r="B701" s="44">
        <v>130.66990000000001</v>
      </c>
      <c r="C701" s="44">
        <v>127.51</v>
      </c>
      <c r="D701" s="44">
        <v>129.9</v>
      </c>
      <c r="E701" s="44">
        <v>42699479</v>
      </c>
      <c r="F701" s="44" t="s">
        <v>629</v>
      </c>
      <c r="G701" s="25">
        <f t="shared" si="9"/>
        <v>-1.36258660508084E-2</v>
      </c>
    </row>
    <row r="702" spans="1:7">
      <c r="A702" s="44">
        <v>131.47</v>
      </c>
      <c r="B702" s="44">
        <v>132.58000000000001</v>
      </c>
      <c r="C702" s="44">
        <v>128.71</v>
      </c>
      <c r="D702" s="44">
        <v>130.38999999999999</v>
      </c>
      <c r="E702" s="44">
        <v>49344550</v>
      </c>
      <c r="F702" s="44" t="s">
        <v>630</v>
      </c>
      <c r="G702" s="25">
        <f t="shared" si="9"/>
        <v>8.2828437763633467E-3</v>
      </c>
    </row>
    <row r="703" spans="1:7">
      <c r="A703" s="44">
        <v>132.55000000000001</v>
      </c>
      <c r="B703" s="44">
        <v>133.07</v>
      </c>
      <c r="C703" s="44">
        <v>130.42500000000001</v>
      </c>
      <c r="D703" s="44">
        <v>130.69</v>
      </c>
      <c r="E703" s="44">
        <v>42832918</v>
      </c>
      <c r="F703" s="44" t="s">
        <v>631</v>
      </c>
      <c r="G703" s="25">
        <f t="shared" si="9"/>
        <v>1.4232152421761457E-2</v>
      </c>
    </row>
    <row r="704" spans="1:7">
      <c r="A704" s="44">
        <v>129.79</v>
      </c>
      <c r="B704" s="44">
        <v>133.31450000000001</v>
      </c>
      <c r="C704" s="44">
        <v>128.94999999999999</v>
      </c>
      <c r="D704" s="44">
        <v>132.97999999999999</v>
      </c>
      <c r="E704" s="44">
        <v>45824685</v>
      </c>
      <c r="F704" s="44" t="s">
        <v>632</v>
      </c>
      <c r="G704" s="25">
        <f t="shared" si="9"/>
        <v>-2.3988569709730734E-2</v>
      </c>
    </row>
    <row r="705" spans="1:7">
      <c r="A705" s="44">
        <v>132.33000000000001</v>
      </c>
      <c r="B705" s="44">
        <v>134.47999999999999</v>
      </c>
      <c r="C705" s="44">
        <v>131.22999999999999</v>
      </c>
      <c r="D705" s="44">
        <v>132.16999999999999</v>
      </c>
      <c r="E705" s="44">
        <v>55528581</v>
      </c>
      <c r="F705" s="44" t="s">
        <v>633</v>
      </c>
      <c r="G705" s="25">
        <f t="shared" si="9"/>
        <v>1.2105621548008649E-3</v>
      </c>
    </row>
    <row r="706" spans="1:7">
      <c r="A706" s="44">
        <v>131.83000000000001</v>
      </c>
      <c r="B706" s="44">
        <v>132.05000000000001</v>
      </c>
      <c r="C706" s="44">
        <v>129.61000000000001</v>
      </c>
      <c r="D706" s="44">
        <v>129.74</v>
      </c>
      <c r="E706" s="44">
        <v>40741842</v>
      </c>
      <c r="F706" s="44" t="s">
        <v>634</v>
      </c>
      <c r="G706" s="25">
        <f t="shared" si="9"/>
        <v>1.6109141359642365E-2</v>
      </c>
    </row>
    <row r="707" spans="1:7">
      <c r="A707" s="44">
        <v>129.47999999999999</v>
      </c>
      <c r="B707" s="44">
        <v>130.74</v>
      </c>
      <c r="C707" s="44">
        <v>128.05000000000001</v>
      </c>
      <c r="D707" s="44">
        <v>128.82</v>
      </c>
      <c r="E707" s="44">
        <v>42178619</v>
      </c>
      <c r="F707" s="44" t="s">
        <v>635</v>
      </c>
      <c r="G707" s="25">
        <f t="shared" si="9"/>
        <v>5.1234280391243558E-3</v>
      </c>
    </row>
    <row r="708" spans="1:7">
      <c r="A708" s="44">
        <v>128.26</v>
      </c>
      <c r="B708" s="44">
        <v>128.79</v>
      </c>
      <c r="C708" s="44">
        <v>124.76</v>
      </c>
      <c r="D708" s="44">
        <v>126.22</v>
      </c>
      <c r="E708" s="44">
        <v>38773738</v>
      </c>
      <c r="F708" s="44" t="s">
        <v>636</v>
      </c>
      <c r="G708" s="25">
        <f t="shared" si="9"/>
        <v>1.6162256377753037E-2</v>
      </c>
    </row>
    <row r="709" spans="1:7">
      <c r="A709" s="44">
        <v>127.96</v>
      </c>
      <c r="B709" s="44">
        <v>128.44999999999999</v>
      </c>
      <c r="C709" s="44">
        <v>124.13</v>
      </c>
      <c r="D709" s="44">
        <v>124.16</v>
      </c>
      <c r="E709" s="44">
        <v>46836698</v>
      </c>
      <c r="F709" s="44" t="s">
        <v>637</v>
      </c>
      <c r="G709" s="25">
        <f t="shared" si="9"/>
        <v>3.0605670103092786E-2</v>
      </c>
    </row>
    <row r="710" spans="1:7">
      <c r="A710" s="44">
        <v>125.96</v>
      </c>
      <c r="B710" s="44">
        <v>126.73</v>
      </c>
      <c r="C710" s="44">
        <v>124.33</v>
      </c>
      <c r="D710" s="44">
        <v>126.71</v>
      </c>
      <c r="E710" s="44">
        <v>39660643</v>
      </c>
      <c r="F710" s="44" t="s">
        <v>638</v>
      </c>
      <c r="G710" s="25">
        <f t="shared" si="9"/>
        <v>-5.9190277010496839E-3</v>
      </c>
    </row>
    <row r="711" spans="1:7">
      <c r="A711" s="44">
        <v>127</v>
      </c>
      <c r="B711" s="44">
        <v>127.36</v>
      </c>
      <c r="C711" s="44">
        <v>125.68</v>
      </c>
      <c r="D711" s="44">
        <v>126.06</v>
      </c>
      <c r="E711" s="44">
        <v>44203870</v>
      </c>
      <c r="F711" s="44" t="s">
        <v>639</v>
      </c>
      <c r="G711" s="25">
        <f t="shared" si="9"/>
        <v>7.4567666190703541E-3</v>
      </c>
    </row>
    <row r="712" spans="1:7">
      <c r="A712" s="44">
        <v>124.72</v>
      </c>
      <c r="B712" s="44">
        <v>128.52000000000001</v>
      </c>
      <c r="C712" s="44">
        <v>124.2544</v>
      </c>
      <c r="D712" s="44">
        <v>128.06</v>
      </c>
      <c r="E712" s="44">
        <v>51564991</v>
      </c>
      <c r="F712" s="44" t="s">
        <v>640</v>
      </c>
      <c r="G712" s="25">
        <f t="shared" si="9"/>
        <v>-2.6081524285491153E-2</v>
      </c>
    </row>
    <row r="713" spans="1:7">
      <c r="A713" s="44">
        <v>129.46</v>
      </c>
      <c r="B713" s="44">
        <v>130.47</v>
      </c>
      <c r="C713" s="44">
        <v>126.54</v>
      </c>
      <c r="D713" s="44">
        <v>127.28</v>
      </c>
      <c r="E713" s="44">
        <v>48029744</v>
      </c>
      <c r="F713" s="44" t="s">
        <v>641</v>
      </c>
      <c r="G713" s="25">
        <f t="shared" si="9"/>
        <v>1.7127592708988004E-2</v>
      </c>
    </row>
    <row r="714" spans="1:7">
      <c r="A714" s="44">
        <v>127.12</v>
      </c>
      <c r="B714" s="44">
        <v>129.15</v>
      </c>
      <c r="C714" s="44">
        <v>126.32</v>
      </c>
      <c r="D714" s="44">
        <v>128.19999999999999</v>
      </c>
      <c r="E714" s="44">
        <v>62411730</v>
      </c>
      <c r="F714" s="44" t="s">
        <v>642</v>
      </c>
      <c r="G714" s="25">
        <f t="shared" si="9"/>
        <v>-8.4243369734787743E-3</v>
      </c>
    </row>
    <row r="715" spans="1:7">
      <c r="A715" s="44">
        <v>125.98</v>
      </c>
      <c r="B715" s="44">
        <v>126.5801</v>
      </c>
      <c r="C715" s="44">
        <v>123.04</v>
      </c>
      <c r="D715" s="44">
        <v>124.04</v>
      </c>
      <c r="E715" s="44">
        <v>54554968</v>
      </c>
      <c r="F715" s="44" t="s">
        <v>643</v>
      </c>
      <c r="G715" s="25">
        <f t="shared" si="9"/>
        <v>1.5640116091583334E-2</v>
      </c>
    </row>
    <row r="716" spans="1:7">
      <c r="A716" s="44">
        <v>125.98</v>
      </c>
      <c r="B716" s="44">
        <v>127.48</v>
      </c>
      <c r="C716" s="44">
        <v>124.13</v>
      </c>
      <c r="D716" s="44">
        <v>125.76</v>
      </c>
      <c r="E716" s="44">
        <v>66553449</v>
      </c>
      <c r="F716" s="44" t="s">
        <v>644</v>
      </c>
      <c r="G716" s="25">
        <f t="shared" si="9"/>
        <v>1.7493638676844281E-3</v>
      </c>
    </row>
    <row r="717" spans="1:7">
      <c r="A717" s="44">
        <v>125.98</v>
      </c>
      <c r="B717" s="44">
        <v>130.38999999999999</v>
      </c>
      <c r="C717" s="44">
        <v>125.28</v>
      </c>
      <c r="D717" s="44">
        <v>130.12</v>
      </c>
      <c r="E717" s="44">
        <v>73048207</v>
      </c>
      <c r="F717" s="44" t="s">
        <v>645</v>
      </c>
      <c r="G717" s="25">
        <f t="shared" si="9"/>
        <v>-3.1816784506609297E-2</v>
      </c>
    </row>
    <row r="718" spans="1:7">
      <c r="A718" s="44">
        <v>131.27000000000001</v>
      </c>
      <c r="B718" s="44">
        <v>131.78</v>
      </c>
      <c r="C718" s="44">
        <v>128.77000000000001</v>
      </c>
      <c r="D718" s="44">
        <v>129.36000000000001</v>
      </c>
      <c r="E718" s="44">
        <v>46017825</v>
      </c>
      <c r="F718" s="44" t="s">
        <v>646</v>
      </c>
      <c r="G718" s="25">
        <f t="shared" si="9"/>
        <v>1.4764996907854044E-2</v>
      </c>
    </row>
    <row r="719" spans="1:7">
      <c r="A719" s="44">
        <v>129.12</v>
      </c>
      <c r="B719" s="44">
        <v>132.03</v>
      </c>
      <c r="C719" s="44">
        <v>128.52000000000001</v>
      </c>
      <c r="D719" s="44">
        <v>131.11000000000001</v>
      </c>
      <c r="E719" s="44">
        <v>59904348</v>
      </c>
      <c r="F719" s="44" t="s">
        <v>647</v>
      </c>
      <c r="G719" s="25">
        <f t="shared" si="9"/>
        <v>-1.5178094729616398E-2</v>
      </c>
    </row>
    <row r="720" spans="1:7">
      <c r="A720" s="44">
        <v>129.33000000000001</v>
      </c>
      <c r="B720" s="44">
        <v>132.24</v>
      </c>
      <c r="C720" s="44">
        <v>129.31</v>
      </c>
      <c r="D720" s="44">
        <v>131.94</v>
      </c>
      <c r="E720" s="44">
        <v>70343342</v>
      </c>
      <c r="F720" s="44" t="s">
        <v>648</v>
      </c>
      <c r="G720" s="25">
        <f t="shared" si="9"/>
        <v>-1.978171896316494E-2</v>
      </c>
    </row>
    <row r="721" spans="1:7">
      <c r="A721" s="44">
        <v>135.29</v>
      </c>
      <c r="B721" s="44">
        <v>139.37</v>
      </c>
      <c r="C721" s="44">
        <v>135.19999999999999</v>
      </c>
      <c r="D721" s="44">
        <v>138.55000000000001</v>
      </c>
      <c r="E721" s="44">
        <v>46263716</v>
      </c>
      <c r="F721" s="44" t="s">
        <v>649</v>
      </c>
      <c r="G721" s="25">
        <f t="shared" si="9"/>
        <v>-2.3529411764706021E-2</v>
      </c>
    </row>
    <row r="722" spans="1:7">
      <c r="A722" s="44">
        <v>137.63</v>
      </c>
      <c r="B722" s="44">
        <v>138.84</v>
      </c>
      <c r="C722" s="44">
        <v>135.56</v>
      </c>
      <c r="D722" s="44">
        <v>138.69999999999999</v>
      </c>
      <c r="E722" s="44">
        <v>61482470</v>
      </c>
      <c r="F722" s="44" t="s">
        <v>650</v>
      </c>
      <c r="G722" s="25">
        <f t="shared" si="9"/>
        <v>-7.7144917087238474E-3</v>
      </c>
    </row>
    <row r="723" spans="1:7">
      <c r="A723" s="44">
        <v>139.97999999999999</v>
      </c>
      <c r="B723" s="44">
        <v>141.75</v>
      </c>
      <c r="C723" s="44">
        <v>139.22</v>
      </c>
      <c r="D723" s="44">
        <v>140.47999999999999</v>
      </c>
      <c r="E723" s="44">
        <v>42823480</v>
      </c>
      <c r="F723" s="44" t="s">
        <v>651</v>
      </c>
      <c r="G723" s="25">
        <f t="shared" si="9"/>
        <v>-3.5592255125285188E-3</v>
      </c>
    </row>
    <row r="724" spans="1:7">
      <c r="A724" s="44">
        <v>140.38999999999999</v>
      </c>
      <c r="B724" s="44">
        <v>143.57</v>
      </c>
      <c r="C724" s="44">
        <v>140.09</v>
      </c>
      <c r="D724" s="44">
        <v>142.69</v>
      </c>
      <c r="E724" s="44">
        <v>102909327</v>
      </c>
      <c r="F724" s="44" t="s">
        <v>652</v>
      </c>
      <c r="G724" s="25">
        <f t="shared" si="9"/>
        <v>-1.6118859065106239E-2</v>
      </c>
    </row>
    <row r="725" spans="1:7">
      <c r="A725" s="44">
        <v>144.72</v>
      </c>
      <c r="B725" s="44">
        <v>145.86000000000001</v>
      </c>
      <c r="C725" s="44">
        <v>142.94999999999999</v>
      </c>
      <c r="D725" s="44">
        <v>145.08000000000001</v>
      </c>
      <c r="E725" s="44">
        <v>64033607</v>
      </c>
      <c r="F725" s="44" t="s">
        <v>653</v>
      </c>
      <c r="G725" s="25">
        <f t="shared" si="9"/>
        <v>-2.4813895781639062E-3</v>
      </c>
    </row>
    <row r="726" spans="1:7">
      <c r="A726" s="44">
        <v>144.85</v>
      </c>
      <c r="B726" s="44">
        <v>144.97999999999999</v>
      </c>
      <c r="C726" s="44">
        <v>140.86500000000001</v>
      </c>
      <c r="D726" s="44">
        <v>140.94999999999999</v>
      </c>
      <c r="E726" s="44">
        <v>60465175</v>
      </c>
      <c r="F726" s="44" t="s">
        <v>654</v>
      </c>
      <c r="G726" s="25">
        <f t="shared" si="9"/>
        <v>2.7669386307201282E-2</v>
      </c>
    </row>
    <row r="727" spans="1:7">
      <c r="A727" s="44">
        <v>141.22999999999999</v>
      </c>
      <c r="B727" s="44">
        <v>143</v>
      </c>
      <c r="C727" s="44">
        <v>140.61000000000001</v>
      </c>
      <c r="D727" s="44">
        <v>142.32</v>
      </c>
      <c r="E727" s="44">
        <v>42668452</v>
      </c>
      <c r="F727" s="44" t="s">
        <v>655</v>
      </c>
      <c r="G727" s="25">
        <f t="shared" si="9"/>
        <v>-7.6587970770095604E-3</v>
      </c>
    </row>
    <row r="728" spans="1:7">
      <c r="A728" s="44">
        <v>143.1</v>
      </c>
      <c r="B728" s="44">
        <v>143.62</v>
      </c>
      <c r="C728" s="44">
        <v>138.63999999999999</v>
      </c>
      <c r="D728" s="44">
        <v>138.75</v>
      </c>
      <c r="E728" s="44">
        <v>56764525</v>
      </c>
      <c r="F728" s="44" t="s">
        <v>656</v>
      </c>
      <c r="G728" s="25">
        <f t="shared" si="9"/>
        <v>3.1351351351351253E-2</v>
      </c>
    </row>
    <row r="729" spans="1:7">
      <c r="A729" s="44">
        <v>138.22999999999999</v>
      </c>
      <c r="B729" s="44">
        <v>138.8519</v>
      </c>
      <c r="C729" s="44">
        <v>136.75</v>
      </c>
      <c r="D729" s="44">
        <v>136.86000000000001</v>
      </c>
      <c r="E729" s="44">
        <v>38365929</v>
      </c>
      <c r="F729" s="44" t="s">
        <v>657</v>
      </c>
      <c r="G729" s="25">
        <f t="shared" si="9"/>
        <v>1.0010229431535622E-2</v>
      </c>
    </row>
    <row r="730" spans="1:7">
      <c r="A730" s="44">
        <v>137.85</v>
      </c>
      <c r="B730" s="44">
        <v>138.03</v>
      </c>
      <c r="C730" s="44">
        <v>133.16</v>
      </c>
      <c r="D730" s="44">
        <v>133.9</v>
      </c>
      <c r="E730" s="44">
        <v>48498912</v>
      </c>
      <c r="F730" s="44" t="s">
        <v>658</v>
      </c>
      <c r="G730" s="25">
        <f t="shared" si="9"/>
        <v>2.9499626587005112E-2</v>
      </c>
    </row>
    <row r="731" spans="1:7">
      <c r="A731" s="44">
        <v>135.36000000000001</v>
      </c>
      <c r="B731" s="44">
        <v>137.44999999999999</v>
      </c>
      <c r="C731" s="44">
        <v>134.61000000000001</v>
      </c>
      <c r="D731" s="44">
        <v>136.32</v>
      </c>
      <c r="E731" s="44">
        <v>41785507</v>
      </c>
      <c r="F731" s="44" t="s">
        <v>659</v>
      </c>
      <c r="G731" s="25">
        <f t="shared" si="9"/>
        <v>-7.0422535211266402E-3</v>
      </c>
    </row>
    <row r="732" spans="1:7">
      <c r="A732" s="44">
        <v>137.27000000000001</v>
      </c>
      <c r="B732" s="44">
        <v>137.80000000000001</v>
      </c>
      <c r="C732" s="44">
        <v>135.82</v>
      </c>
      <c r="D732" s="44">
        <v>137.72999999999999</v>
      </c>
      <c r="E732" s="44">
        <v>40636738</v>
      </c>
      <c r="F732" s="44" t="s">
        <v>660</v>
      </c>
      <c r="G732" s="25">
        <f t="shared" si="9"/>
        <v>-3.3398678574020346E-3</v>
      </c>
    </row>
    <row r="733" spans="1:7">
      <c r="A733" s="44">
        <v>138.12</v>
      </c>
      <c r="B733" s="44">
        <v>139.96</v>
      </c>
      <c r="C733" s="44">
        <v>136.875</v>
      </c>
      <c r="D733" s="44">
        <v>139.45500000000001</v>
      </c>
      <c r="E733" s="44">
        <v>40991536</v>
      </c>
      <c r="F733" s="44" t="s">
        <v>661</v>
      </c>
      <c r="G733" s="25">
        <f t="shared" si="9"/>
        <v>-9.5729805313542471E-3</v>
      </c>
    </row>
    <row r="734" spans="1:7">
      <c r="A734" s="44">
        <v>138.01</v>
      </c>
      <c r="B734" s="44">
        <v>138.7885</v>
      </c>
      <c r="C734" s="44">
        <v>135</v>
      </c>
      <c r="D734" s="44">
        <v>135.06</v>
      </c>
      <c r="E734" s="44">
        <v>58781314</v>
      </c>
      <c r="F734" s="44" t="s">
        <v>662</v>
      </c>
      <c r="G734" s="25">
        <f t="shared" si="9"/>
        <v>2.1842144232192995E-2</v>
      </c>
    </row>
    <row r="735" spans="1:7">
      <c r="A735" s="44">
        <v>135.07</v>
      </c>
      <c r="B735" s="44">
        <v>135.68</v>
      </c>
      <c r="C735" s="44">
        <v>133.91999999999999</v>
      </c>
      <c r="D735" s="44">
        <v>134.93</v>
      </c>
      <c r="E735" s="44">
        <v>36137015</v>
      </c>
      <c r="F735" s="44" t="s">
        <v>663</v>
      </c>
      <c r="G735" s="25">
        <f t="shared" si="9"/>
        <v>1.0375750389088889E-3</v>
      </c>
    </row>
    <row r="736" spans="1:7">
      <c r="A736" s="44">
        <v>134.91</v>
      </c>
      <c r="B736" s="44">
        <v>135.13999999999999</v>
      </c>
      <c r="C736" s="44">
        <v>133.25</v>
      </c>
      <c r="D736" s="44">
        <v>133.38</v>
      </c>
      <c r="E736" s="44">
        <v>38646093</v>
      </c>
      <c r="F736" s="44" t="s">
        <v>664</v>
      </c>
      <c r="G736" s="25">
        <f t="shared" si="9"/>
        <v>1.1470985155195734E-2</v>
      </c>
    </row>
    <row r="737" spans="1:7">
      <c r="A737" s="44">
        <v>133.13999999999999</v>
      </c>
      <c r="B737" s="44">
        <v>133.94999999999999</v>
      </c>
      <c r="C737" s="44">
        <v>131.85</v>
      </c>
      <c r="D737" s="44">
        <v>133.78</v>
      </c>
      <c r="E737" s="44">
        <v>34108410</v>
      </c>
      <c r="F737" s="44" t="s">
        <v>665</v>
      </c>
      <c r="G737" s="25">
        <f t="shared" si="9"/>
        <v>-4.7839736881448713E-3</v>
      </c>
    </row>
    <row r="738" spans="1:7">
      <c r="A738" s="44">
        <v>133.26</v>
      </c>
      <c r="B738" s="44">
        <v>133.87</v>
      </c>
      <c r="C738" s="44">
        <v>130.58000000000001</v>
      </c>
      <c r="D738" s="44">
        <v>132.47</v>
      </c>
      <c r="E738" s="44">
        <v>44147451</v>
      </c>
      <c r="F738" s="44" t="s">
        <v>666</v>
      </c>
      <c r="G738" s="25">
        <f t="shared" si="9"/>
        <v>5.9636144032610972E-3</v>
      </c>
    </row>
    <row r="739" spans="1:7">
      <c r="A739" s="44">
        <v>131.84</v>
      </c>
      <c r="B739" s="44">
        <v>136.77500000000001</v>
      </c>
      <c r="C739" s="44">
        <v>131.83000000000001</v>
      </c>
      <c r="D739" s="44">
        <v>136.4</v>
      </c>
      <c r="E739" s="44">
        <v>43646250</v>
      </c>
      <c r="F739" s="44" t="s">
        <v>667</v>
      </c>
      <c r="G739" s="25">
        <f t="shared" si="9"/>
        <v>-3.3431085043988285E-2</v>
      </c>
    </row>
    <row r="740" spans="1:7">
      <c r="A740" s="44">
        <v>135.52000000000001</v>
      </c>
      <c r="B740" s="44">
        <v>135.94999999999999</v>
      </c>
      <c r="C740" s="44">
        <v>133.22</v>
      </c>
      <c r="D740" s="44">
        <v>134.5</v>
      </c>
      <c r="E740" s="44">
        <v>42801043</v>
      </c>
      <c r="F740" s="44" t="s">
        <v>668</v>
      </c>
      <c r="G740" s="25">
        <f t="shared" si="9"/>
        <v>7.5836431226765644E-3</v>
      </c>
    </row>
    <row r="741" spans="1:7">
      <c r="A741" s="44">
        <v>134.25</v>
      </c>
      <c r="B741" s="44">
        <v>135.65</v>
      </c>
      <c r="C741" s="44">
        <v>133.72999999999999</v>
      </c>
      <c r="D741" s="44">
        <v>135.08000000000001</v>
      </c>
      <c r="E741" s="44">
        <v>32935104</v>
      </c>
      <c r="F741" s="44" t="s">
        <v>669</v>
      </c>
      <c r="G741" s="25">
        <f t="shared" si="9"/>
        <v>-6.1445069588392798E-3</v>
      </c>
    </row>
    <row r="742" spans="1:7">
      <c r="A742" s="44">
        <v>134.68</v>
      </c>
      <c r="B742" s="44">
        <v>135.185</v>
      </c>
      <c r="C742" s="44">
        <v>132.71</v>
      </c>
      <c r="D742" s="44">
        <v>133.74</v>
      </c>
      <c r="E742" s="44">
        <v>41442483</v>
      </c>
      <c r="F742" s="44" t="s">
        <v>670</v>
      </c>
      <c r="G742" s="25">
        <f t="shared" si="9"/>
        <v>7.0285628832063018E-3</v>
      </c>
    </row>
    <row r="743" spans="1:7">
      <c r="A743" s="44">
        <v>133.22</v>
      </c>
      <c r="B743" s="44">
        <v>134.065</v>
      </c>
      <c r="C743" s="44">
        <v>131.15</v>
      </c>
      <c r="D743" s="44">
        <v>131.62</v>
      </c>
      <c r="E743" s="44">
        <v>48497698</v>
      </c>
      <c r="F743" s="44" t="s">
        <v>671</v>
      </c>
      <c r="G743" s="25">
        <f t="shared" si="9"/>
        <v>1.2156207263333885E-2</v>
      </c>
    </row>
    <row r="744" spans="1:7">
      <c r="A744" s="44">
        <v>133.97999999999999</v>
      </c>
      <c r="B744" s="44">
        <v>136.08500000000001</v>
      </c>
      <c r="C744" s="44">
        <v>133.53</v>
      </c>
      <c r="D744" s="44">
        <v>135.46</v>
      </c>
      <c r="E744" s="44">
        <v>48354085</v>
      </c>
      <c r="F744" s="44" t="s">
        <v>672</v>
      </c>
      <c r="G744" s="25">
        <f t="shared" si="9"/>
        <v>-1.0925734534179998E-2</v>
      </c>
    </row>
    <row r="745" spans="1:7">
      <c r="A745" s="44">
        <v>135.07</v>
      </c>
      <c r="B745" s="44">
        <v>137.27000000000001</v>
      </c>
      <c r="C745" s="44">
        <v>135.01</v>
      </c>
      <c r="D745" s="44">
        <v>137.19</v>
      </c>
      <c r="E745" s="44">
        <v>41675903</v>
      </c>
      <c r="F745" s="44" t="s">
        <v>673</v>
      </c>
      <c r="G745" s="25">
        <f t="shared" si="9"/>
        <v>-1.5453021357241803E-2</v>
      </c>
    </row>
    <row r="746" spans="1:7">
      <c r="A746" s="44">
        <v>137.66999999999999</v>
      </c>
      <c r="B746" s="44">
        <v>141.27780000000001</v>
      </c>
      <c r="C746" s="44">
        <v>137.22999999999999</v>
      </c>
      <c r="D746" s="44">
        <v>140.05000000000001</v>
      </c>
      <c r="E746" s="44">
        <v>42781521</v>
      </c>
      <c r="F746" s="44" t="s">
        <v>674</v>
      </c>
      <c r="G746" s="25">
        <f t="shared" si="9"/>
        <v>-1.6993930739022001E-2</v>
      </c>
    </row>
    <row r="747" spans="1:7">
      <c r="A747" s="44">
        <v>140.57</v>
      </c>
      <c r="B747" s="44">
        <v>140.59</v>
      </c>
      <c r="C747" s="44">
        <v>137.75</v>
      </c>
      <c r="D747" s="44">
        <v>138.30000000000001</v>
      </c>
      <c r="E747" s="44">
        <v>47148699</v>
      </c>
      <c r="F747" s="44" t="s">
        <v>675</v>
      </c>
      <c r="G747" s="25">
        <f t="shared" si="9"/>
        <v>1.6413593637020885E-2</v>
      </c>
    </row>
    <row r="748" spans="1:7">
      <c r="A748" s="44">
        <v>138.41</v>
      </c>
      <c r="B748" s="44">
        <v>139.33000000000001</v>
      </c>
      <c r="C748" s="44">
        <v>137</v>
      </c>
      <c r="D748" s="44">
        <v>137.4</v>
      </c>
      <c r="E748" s="44">
        <v>42905833</v>
      </c>
      <c r="F748" s="44" t="s">
        <v>676</v>
      </c>
      <c r="G748" s="25">
        <f t="shared" si="9"/>
        <v>7.350800582241579E-3</v>
      </c>
    </row>
    <row r="749" spans="1:7">
      <c r="A749" s="44">
        <v>138.56</v>
      </c>
      <c r="B749" s="44">
        <v>140.41</v>
      </c>
      <c r="C749" s="44">
        <v>137.49</v>
      </c>
      <c r="D749" s="44">
        <v>139.07499999999999</v>
      </c>
      <c r="E749" s="44">
        <v>58928402</v>
      </c>
      <c r="F749" s="44" t="s">
        <v>677</v>
      </c>
      <c r="G749" s="25">
        <f t="shared" si="9"/>
        <v>-3.7030379291748128E-3</v>
      </c>
    </row>
    <row r="750" spans="1:7">
      <c r="A750" s="44">
        <v>137.85</v>
      </c>
      <c r="B750" s="44">
        <v>140.32</v>
      </c>
      <c r="C750" s="44">
        <v>137.1</v>
      </c>
      <c r="D750" s="44">
        <v>139.97</v>
      </c>
      <c r="E750" s="44">
        <v>50017349</v>
      </c>
      <c r="F750" s="44" t="s">
        <v>678</v>
      </c>
      <c r="G750" s="25">
        <f t="shared" si="9"/>
        <v>-1.5146102736300682E-2</v>
      </c>
    </row>
    <row r="751" spans="1:7">
      <c r="A751" s="44">
        <v>139.94</v>
      </c>
      <c r="B751" s="44">
        <v>140.84</v>
      </c>
      <c r="C751" s="44">
        <v>138.41999999999999</v>
      </c>
      <c r="D751" s="44">
        <v>140.62</v>
      </c>
      <c r="E751" s="44">
        <v>51710497</v>
      </c>
      <c r="F751" s="44" t="s">
        <v>679</v>
      </c>
      <c r="G751" s="25">
        <f t="shared" si="9"/>
        <v>-4.8357274925331373E-3</v>
      </c>
    </row>
    <row r="752" spans="1:7">
      <c r="A752" s="44">
        <v>142.22</v>
      </c>
      <c r="B752" s="44">
        <v>142.54</v>
      </c>
      <c r="C752" s="44">
        <v>138.94999999999999</v>
      </c>
      <c r="D752" s="44">
        <v>140.99</v>
      </c>
      <c r="E752" s="44">
        <v>71213112</v>
      </c>
      <c r="F752" s="44" t="s">
        <v>680</v>
      </c>
      <c r="G752" s="25">
        <f t="shared" si="9"/>
        <v>8.72402298035313E-3</v>
      </c>
    </row>
    <row r="753" spans="1:7">
      <c r="A753" s="44">
        <v>139.57</v>
      </c>
      <c r="B753" s="44">
        <v>143.63</v>
      </c>
      <c r="C753" s="44">
        <v>139.32</v>
      </c>
      <c r="D753" s="44">
        <v>141.06</v>
      </c>
      <c r="E753" s="44">
        <v>153128470</v>
      </c>
      <c r="F753" s="44" t="s">
        <v>681</v>
      </c>
      <c r="G753" s="25">
        <f t="shared" si="9"/>
        <v>-1.056288104352765E-2</v>
      </c>
    </row>
    <row r="754" spans="1:7">
      <c r="A754" s="44">
        <v>128.91</v>
      </c>
      <c r="B754" s="44">
        <v>129.84</v>
      </c>
      <c r="C754" s="44">
        <v>126.41</v>
      </c>
      <c r="D754" s="44">
        <v>127.48</v>
      </c>
      <c r="E754" s="44">
        <v>91163736</v>
      </c>
      <c r="F754" s="44" t="s">
        <v>682</v>
      </c>
      <c r="G754" s="25">
        <f t="shared" si="9"/>
        <v>1.121744587386253E-2</v>
      </c>
    </row>
    <row r="755" spans="1:7">
      <c r="A755" s="44">
        <v>128.21</v>
      </c>
      <c r="B755" s="44">
        <v>130.22999999999999</v>
      </c>
      <c r="C755" s="44">
        <v>126.82</v>
      </c>
      <c r="D755" s="44">
        <v>130.154</v>
      </c>
      <c r="E755" s="44">
        <v>51027614</v>
      </c>
      <c r="F755" s="44" t="s">
        <v>683</v>
      </c>
      <c r="G755" s="25">
        <f t="shared" ref="G755:G818" si="10">A755/D755-1</f>
        <v>-1.4936152557739169E-2</v>
      </c>
    </row>
    <row r="756" spans="1:7">
      <c r="A756" s="44">
        <v>131.69</v>
      </c>
      <c r="B756" s="44">
        <v>133.69</v>
      </c>
      <c r="C756" s="44">
        <v>131.6199</v>
      </c>
      <c r="D756" s="44">
        <v>133.55000000000001</v>
      </c>
      <c r="E756" s="44">
        <v>42298925</v>
      </c>
      <c r="F756" s="44" t="s">
        <v>684</v>
      </c>
      <c r="G756" s="25">
        <f t="shared" si="10"/>
        <v>-1.3927368026956266E-2</v>
      </c>
    </row>
    <row r="757" spans="1:7">
      <c r="A757" s="44">
        <v>133.68</v>
      </c>
      <c r="B757" s="44">
        <v>133.87</v>
      </c>
      <c r="C757" s="44">
        <v>132.38</v>
      </c>
      <c r="D757" s="44">
        <v>133.19999999999999</v>
      </c>
      <c r="E757" s="44">
        <v>41901516</v>
      </c>
      <c r="F757" s="44" t="s">
        <v>685</v>
      </c>
      <c r="G757" s="25">
        <f t="shared" si="10"/>
        <v>3.6036036036037888E-3</v>
      </c>
    </row>
    <row r="758" spans="1:7">
      <c r="A758" s="44">
        <v>132.21</v>
      </c>
      <c r="B758" s="44">
        <v>133.01</v>
      </c>
      <c r="C758" s="44">
        <v>129.33000000000001</v>
      </c>
      <c r="D758" s="44">
        <v>129.69</v>
      </c>
      <c r="E758" s="44">
        <v>46317381</v>
      </c>
      <c r="F758" s="44" t="s">
        <v>686</v>
      </c>
      <c r="G758" s="25">
        <f t="shared" si="10"/>
        <v>1.9430950728660745E-2</v>
      </c>
    </row>
    <row r="759" spans="1:7">
      <c r="A759" s="44">
        <v>128.25</v>
      </c>
      <c r="B759" s="44">
        <v>132.63</v>
      </c>
      <c r="C759" s="44">
        <v>127.79</v>
      </c>
      <c r="D759" s="44">
        <v>131</v>
      </c>
      <c r="E759" s="44">
        <v>52610661</v>
      </c>
      <c r="F759" s="44" t="s">
        <v>687</v>
      </c>
      <c r="G759" s="25">
        <f t="shared" si="10"/>
        <v>-2.0992366412213692E-2</v>
      </c>
    </row>
    <row r="760" spans="1:7">
      <c r="A760" s="44">
        <v>128.15</v>
      </c>
      <c r="B760" s="44">
        <v>129.08000000000001</v>
      </c>
      <c r="C760" s="44">
        <v>126.11</v>
      </c>
      <c r="D760" s="44">
        <v>126.51</v>
      </c>
      <c r="E760" s="44">
        <v>53910087</v>
      </c>
      <c r="F760" s="44" t="s">
        <v>688</v>
      </c>
      <c r="G760" s="25">
        <f t="shared" si="10"/>
        <v>1.2963402102600607E-2</v>
      </c>
    </row>
    <row r="761" spans="1:7">
      <c r="A761" s="44">
        <v>129.13</v>
      </c>
      <c r="B761" s="44">
        <v>129.58000000000001</v>
      </c>
      <c r="C761" s="44">
        <v>128.53</v>
      </c>
      <c r="D761" s="44">
        <v>129.31</v>
      </c>
      <c r="E761" s="44">
        <v>39236663</v>
      </c>
      <c r="F761" s="44" t="s">
        <v>689</v>
      </c>
      <c r="G761" s="25">
        <f t="shared" si="10"/>
        <v>-1.3920037120099815E-3</v>
      </c>
    </row>
    <row r="762" spans="1:7">
      <c r="A762" s="44">
        <v>128.80000000000001</v>
      </c>
      <c r="B762" s="44">
        <v>131.66</v>
      </c>
      <c r="C762" s="44">
        <v>128.35</v>
      </c>
      <c r="D762" s="44">
        <v>130.30500000000001</v>
      </c>
      <c r="E762" s="44">
        <v>45671535</v>
      </c>
      <c r="F762" s="44" t="s">
        <v>690</v>
      </c>
      <c r="G762" s="25">
        <f t="shared" si="10"/>
        <v>-1.154982540961591E-2</v>
      </c>
    </row>
    <row r="763" spans="1:7">
      <c r="A763" s="44">
        <v>130</v>
      </c>
      <c r="B763" s="44">
        <v>131.37</v>
      </c>
      <c r="C763" s="44">
        <v>128.41499999999999</v>
      </c>
      <c r="D763" s="44">
        <v>131.34</v>
      </c>
      <c r="E763" s="44">
        <v>133307294</v>
      </c>
      <c r="F763" s="44" t="s">
        <v>691</v>
      </c>
      <c r="G763" s="25">
        <f t="shared" si="10"/>
        <v>-1.0202527790467486E-2</v>
      </c>
    </row>
    <row r="764" spans="1:7">
      <c r="A764" s="44">
        <v>129.96</v>
      </c>
      <c r="B764" s="44">
        <v>134.79150000000001</v>
      </c>
      <c r="C764" s="44">
        <v>129.33000000000001</v>
      </c>
      <c r="D764" s="44">
        <v>134.07</v>
      </c>
      <c r="E764" s="44">
        <v>59820579</v>
      </c>
      <c r="F764" s="44" t="s">
        <v>692</v>
      </c>
      <c r="G764" s="25">
        <f t="shared" si="10"/>
        <v>-3.0655627657193874E-2</v>
      </c>
    </row>
    <row r="765" spans="1:7">
      <c r="A765" s="44">
        <v>135.36000000000001</v>
      </c>
      <c r="B765" s="44">
        <v>135.99</v>
      </c>
      <c r="C765" s="44">
        <v>132.53</v>
      </c>
      <c r="D765" s="44">
        <v>133.38999999999999</v>
      </c>
      <c r="E765" s="44">
        <v>54531037</v>
      </c>
      <c r="F765" s="44" t="s">
        <v>693</v>
      </c>
      <c r="G765" s="25">
        <f t="shared" si="10"/>
        <v>1.4768723292600816E-2</v>
      </c>
    </row>
    <row r="766" spans="1:7">
      <c r="A766" s="44">
        <v>132.83000000000001</v>
      </c>
      <c r="B766" s="44">
        <v>133.86000000000001</v>
      </c>
      <c r="C766" s="44">
        <v>131.35499999999999</v>
      </c>
      <c r="D766" s="44">
        <v>132.71</v>
      </c>
      <c r="E766" s="44">
        <v>54969133</v>
      </c>
      <c r="F766" s="44" t="s">
        <v>694</v>
      </c>
      <c r="G766" s="25">
        <f t="shared" si="10"/>
        <v>9.0422726245198426E-4</v>
      </c>
    </row>
    <row r="767" spans="1:7">
      <c r="A767" s="44">
        <v>133.56</v>
      </c>
      <c r="B767" s="44">
        <v>135.62</v>
      </c>
      <c r="C767" s="44">
        <v>133.21</v>
      </c>
      <c r="D767" s="44">
        <v>134.56</v>
      </c>
      <c r="E767" s="44">
        <v>48450198</v>
      </c>
      <c r="F767" s="44" t="s">
        <v>695</v>
      </c>
      <c r="G767" s="25">
        <f t="shared" si="10"/>
        <v>-7.4316290130796991E-3</v>
      </c>
    </row>
    <row r="768" spans="1:7">
      <c r="A768" s="44">
        <v>134.68</v>
      </c>
      <c r="B768" s="44">
        <v>136.65</v>
      </c>
      <c r="C768" s="44">
        <v>134.06</v>
      </c>
      <c r="D768" s="44">
        <v>134.06</v>
      </c>
      <c r="E768" s="44">
        <v>54487090</v>
      </c>
      <c r="F768" s="44" t="s">
        <v>696</v>
      </c>
      <c r="G768" s="25">
        <f t="shared" si="10"/>
        <v>4.6247948679696282E-3</v>
      </c>
    </row>
    <row r="769" spans="1:7">
      <c r="A769" s="44">
        <v>134.30000000000001</v>
      </c>
      <c r="B769" s="44">
        <v>134.66999999999999</v>
      </c>
      <c r="C769" s="44">
        <v>132.71</v>
      </c>
      <c r="D769" s="44">
        <v>134.04</v>
      </c>
      <c r="E769" s="44">
        <v>61170883</v>
      </c>
      <c r="F769" s="44" t="s">
        <v>697</v>
      </c>
      <c r="G769" s="25">
        <f t="shared" si="10"/>
        <v>1.9397194867205592E-3</v>
      </c>
    </row>
    <row r="770" spans="1:7">
      <c r="A770" s="44">
        <v>130.80000000000001</v>
      </c>
      <c r="B770" s="44">
        <v>131.26</v>
      </c>
      <c r="C770" s="44">
        <v>128.83000000000001</v>
      </c>
      <c r="D770" s="44">
        <v>130.31</v>
      </c>
      <c r="E770" s="44">
        <v>54022847</v>
      </c>
      <c r="F770" s="44" t="s">
        <v>698</v>
      </c>
      <c r="G770" s="25">
        <f t="shared" si="10"/>
        <v>3.7602639858798081E-3</v>
      </c>
    </row>
    <row r="771" spans="1:7">
      <c r="A771" s="44">
        <v>128.78</v>
      </c>
      <c r="B771" s="44">
        <v>129.77000000000001</v>
      </c>
      <c r="C771" s="44">
        <v>127.35</v>
      </c>
      <c r="D771" s="44">
        <v>127.75</v>
      </c>
      <c r="E771" s="44">
        <v>49951460</v>
      </c>
      <c r="F771" s="44" t="s">
        <v>699</v>
      </c>
      <c r="G771" s="25">
        <f t="shared" si="10"/>
        <v>8.0626223091977423E-3</v>
      </c>
    </row>
    <row r="772" spans="1:7">
      <c r="A772" s="44">
        <v>127.13</v>
      </c>
      <c r="B772" s="44">
        <v>129.28</v>
      </c>
      <c r="C772" s="44">
        <v>125.91500000000001</v>
      </c>
      <c r="D772" s="44">
        <v>129.07</v>
      </c>
      <c r="E772" s="44">
        <v>61889289</v>
      </c>
      <c r="F772" s="44" t="s">
        <v>700</v>
      </c>
      <c r="G772" s="25">
        <f t="shared" si="10"/>
        <v>-1.5030603548462085E-2</v>
      </c>
    </row>
    <row r="773" spans="1:7">
      <c r="A773" s="44">
        <v>129.78</v>
      </c>
      <c r="B773" s="44">
        <v>130.97</v>
      </c>
      <c r="C773" s="44">
        <v>128.1294</v>
      </c>
      <c r="D773" s="44">
        <v>128.59</v>
      </c>
      <c r="E773" s="44">
        <v>41992251</v>
      </c>
      <c r="F773" s="44" t="s">
        <v>701</v>
      </c>
      <c r="G773" s="25">
        <f t="shared" si="10"/>
        <v>9.2542188350570598E-3</v>
      </c>
    </row>
    <row r="774" spans="1:7">
      <c r="A774" s="44">
        <v>128.36000000000001</v>
      </c>
      <c r="B774" s="44">
        <v>128.72999999999999</v>
      </c>
      <c r="C774" s="44">
        <v>127.37</v>
      </c>
      <c r="D774" s="44">
        <v>128.25</v>
      </c>
      <c r="E774" s="44">
        <v>40697848</v>
      </c>
      <c r="F774" s="44" t="s">
        <v>702</v>
      </c>
      <c r="G774" s="25">
        <f t="shared" si="10"/>
        <v>8.5769980506822385E-4</v>
      </c>
    </row>
    <row r="775" spans="1:7">
      <c r="A775" s="44">
        <v>130.38</v>
      </c>
      <c r="B775" s="44">
        <v>131.4</v>
      </c>
      <c r="C775" s="44">
        <v>129.63999999999999</v>
      </c>
      <c r="D775" s="44">
        <v>130.24</v>
      </c>
      <c r="E775" s="44">
        <v>35895409</v>
      </c>
      <c r="F775" s="44" t="s">
        <v>703</v>
      </c>
      <c r="G775" s="25">
        <f t="shared" si="10"/>
        <v>1.0749385749384555E-3</v>
      </c>
    </row>
    <row r="776" spans="1:7">
      <c r="A776" s="44">
        <v>130.22</v>
      </c>
      <c r="B776" s="44">
        <v>131.85</v>
      </c>
      <c r="C776" s="44">
        <v>130.065</v>
      </c>
      <c r="D776" s="44">
        <v>130.82</v>
      </c>
      <c r="E776" s="44">
        <v>28264785</v>
      </c>
      <c r="F776" s="44" t="s">
        <v>704</v>
      </c>
      <c r="G776" s="25">
        <f t="shared" si="10"/>
        <v>-4.5864546705396414E-3</v>
      </c>
    </row>
    <row r="777" spans="1:7">
      <c r="A777" s="44">
        <v>130.36000000000001</v>
      </c>
      <c r="B777" s="44">
        <v>131.245</v>
      </c>
      <c r="C777" s="44">
        <v>128.94999999999999</v>
      </c>
      <c r="D777" s="44">
        <v>129.47</v>
      </c>
      <c r="E777" s="44">
        <v>54350684</v>
      </c>
      <c r="F777" s="44" t="s">
        <v>705</v>
      </c>
      <c r="G777" s="25">
        <f t="shared" si="10"/>
        <v>6.8741793465669776E-3</v>
      </c>
    </row>
    <row r="778" spans="1:7">
      <c r="A778" s="44">
        <v>127.9</v>
      </c>
      <c r="B778" s="44">
        <v>129.26</v>
      </c>
      <c r="C778" s="44">
        <v>127.255</v>
      </c>
      <c r="D778" s="44">
        <v>128.77000000000001</v>
      </c>
      <c r="E778" s="44">
        <v>40760959</v>
      </c>
      <c r="F778" s="44" t="s">
        <v>706</v>
      </c>
      <c r="G778" s="25">
        <f t="shared" si="10"/>
        <v>-6.7562320416246768E-3</v>
      </c>
    </row>
    <row r="779" spans="1:7">
      <c r="A779" s="44">
        <v>129.04</v>
      </c>
      <c r="B779" s="44">
        <v>131.47999999999999</v>
      </c>
      <c r="C779" s="44">
        <v>128.44</v>
      </c>
      <c r="D779" s="44">
        <v>128.94</v>
      </c>
      <c r="E779" s="44">
        <v>52149512</v>
      </c>
      <c r="F779" s="44" t="s">
        <v>707</v>
      </c>
      <c r="G779" s="25">
        <f t="shared" si="10"/>
        <v>7.7555452148292403E-4</v>
      </c>
    </row>
    <row r="780" spans="1:7">
      <c r="A780" s="44">
        <v>129.18</v>
      </c>
      <c r="B780" s="44">
        <v>130.08500000000001</v>
      </c>
      <c r="C780" s="44">
        <v>127.55</v>
      </c>
      <c r="D780" s="44">
        <v>128.63</v>
      </c>
      <c r="E780" s="44">
        <v>46801008</v>
      </c>
      <c r="F780" s="44" t="s">
        <v>708</v>
      </c>
      <c r="G780" s="25">
        <f t="shared" si="10"/>
        <v>4.2758298997125355E-3</v>
      </c>
    </row>
    <row r="781" spans="1:7">
      <c r="A781" s="44">
        <v>127.33</v>
      </c>
      <c r="B781" s="44">
        <v>131.49</v>
      </c>
      <c r="C781" s="44">
        <v>127.1</v>
      </c>
      <c r="D781" s="44">
        <v>129.33000000000001</v>
      </c>
      <c r="E781" s="44">
        <v>59989317</v>
      </c>
      <c r="F781" s="44" t="s">
        <v>709</v>
      </c>
      <c r="G781" s="25">
        <f t="shared" si="10"/>
        <v>-1.5464316090621044E-2</v>
      </c>
    </row>
    <row r="782" spans="1:7">
      <c r="A782" s="44">
        <v>129.33000000000001</v>
      </c>
      <c r="B782" s="44">
        <v>130.84</v>
      </c>
      <c r="C782" s="44">
        <v>128.28</v>
      </c>
      <c r="D782" s="44">
        <v>129.11000000000001</v>
      </c>
      <c r="E782" s="44">
        <v>71927776</v>
      </c>
      <c r="F782" s="44" t="s">
        <v>710</v>
      </c>
      <c r="G782" s="25">
        <f t="shared" si="10"/>
        <v>1.7039733560528791E-3</v>
      </c>
    </row>
    <row r="783" spans="1:7">
      <c r="A783" s="44">
        <v>130.15</v>
      </c>
      <c r="B783" s="44">
        <v>130.33000000000001</v>
      </c>
      <c r="C783" s="44">
        <v>125.14</v>
      </c>
      <c r="D783" s="44">
        <v>125.31</v>
      </c>
      <c r="E783" s="44">
        <v>90354572</v>
      </c>
      <c r="F783" s="44" t="s">
        <v>711</v>
      </c>
      <c r="G783" s="25">
        <f t="shared" si="10"/>
        <v>3.8624211954353171E-2</v>
      </c>
    </row>
    <row r="784" spans="1:7">
      <c r="A784" s="44">
        <v>124.83</v>
      </c>
      <c r="B784" s="44">
        <v>126.73</v>
      </c>
      <c r="C784" s="44">
        <v>123.85</v>
      </c>
      <c r="D784" s="44">
        <v>125.64</v>
      </c>
      <c r="E784" s="44">
        <v>52137670</v>
      </c>
      <c r="F784" s="44" t="s">
        <v>712</v>
      </c>
      <c r="G784" s="25">
        <f t="shared" si="10"/>
        <v>-6.4469914040115039E-3</v>
      </c>
    </row>
    <row r="785" spans="1:7">
      <c r="A785" s="44">
        <v>125.78</v>
      </c>
      <c r="B785" s="44">
        <v>127.25</v>
      </c>
      <c r="C785" s="44">
        <v>124.5</v>
      </c>
      <c r="D785" s="44">
        <v>124.97</v>
      </c>
      <c r="E785" s="44">
        <v>56930122</v>
      </c>
      <c r="F785" s="44" t="s">
        <v>713</v>
      </c>
      <c r="G785" s="25">
        <f t="shared" si="10"/>
        <v>6.4815555733375163E-3</v>
      </c>
    </row>
    <row r="786" spans="1:7">
      <c r="A786" s="44">
        <v>125.49</v>
      </c>
      <c r="B786" s="44">
        <v>127.9</v>
      </c>
      <c r="C786" s="44">
        <v>125.3</v>
      </c>
      <c r="D786" s="44">
        <v>127.71</v>
      </c>
      <c r="E786" s="44">
        <v>84247104</v>
      </c>
      <c r="F786" s="44" t="s">
        <v>714</v>
      </c>
      <c r="G786" s="25">
        <f t="shared" si="10"/>
        <v>-1.7383133662203454E-2</v>
      </c>
    </row>
    <row r="787" spans="1:7">
      <c r="A787" s="44">
        <v>127.11</v>
      </c>
      <c r="B787" s="44">
        <v>127.69</v>
      </c>
      <c r="C787" s="44">
        <v>124.32</v>
      </c>
      <c r="D787" s="44">
        <v>125.21</v>
      </c>
      <c r="E787" s="44">
        <v>60458471</v>
      </c>
      <c r="F787" s="44" t="s">
        <v>715</v>
      </c>
      <c r="G787" s="25">
        <f t="shared" si="10"/>
        <v>1.5174506828528056E-2</v>
      </c>
    </row>
    <row r="788" spans="1:7">
      <c r="A788" s="44">
        <v>126.42</v>
      </c>
      <c r="B788" s="44">
        <v>126.95</v>
      </c>
      <c r="C788" s="44">
        <v>124.12</v>
      </c>
      <c r="D788" s="44">
        <v>126.7</v>
      </c>
      <c r="E788" s="44">
        <v>52422463</v>
      </c>
      <c r="F788" s="44" t="s">
        <v>716</v>
      </c>
      <c r="G788" s="25">
        <f t="shared" si="10"/>
        <v>-2.2099447513812542E-3</v>
      </c>
    </row>
    <row r="789" spans="1:7">
      <c r="A789" s="44">
        <v>126.66</v>
      </c>
      <c r="B789" s="44">
        <v>128.41</v>
      </c>
      <c r="C789" s="44">
        <v>125.18</v>
      </c>
      <c r="D789" s="44">
        <v>128.12</v>
      </c>
      <c r="E789" s="44">
        <v>50564785</v>
      </c>
      <c r="F789" s="44" t="s">
        <v>717</v>
      </c>
      <c r="G789" s="25">
        <f t="shared" si="10"/>
        <v>-1.1395566656259848E-2</v>
      </c>
    </row>
    <row r="790" spans="1:7">
      <c r="A790" s="44">
        <v>126.57</v>
      </c>
      <c r="B790" s="44">
        <v>126.78</v>
      </c>
      <c r="C790" s="44">
        <v>123.53</v>
      </c>
      <c r="D790" s="44">
        <v>124.02</v>
      </c>
      <c r="E790" s="44">
        <v>51473376</v>
      </c>
      <c r="F790" s="44" t="s">
        <v>718</v>
      </c>
      <c r="G790" s="25">
        <f t="shared" si="10"/>
        <v>2.0561199806482744E-2</v>
      </c>
    </row>
    <row r="791" spans="1:7">
      <c r="A791" s="44">
        <v>123.43</v>
      </c>
      <c r="B791" s="44">
        <v>125.8</v>
      </c>
      <c r="C791" s="44">
        <v>123.19</v>
      </c>
      <c r="D791" s="44">
        <v>124.08</v>
      </c>
      <c r="E791" s="44">
        <v>51396018</v>
      </c>
      <c r="F791" s="44" t="s">
        <v>719</v>
      </c>
      <c r="G791" s="25">
        <f t="shared" si="10"/>
        <v>-5.2385557704706098E-3</v>
      </c>
    </row>
    <row r="792" spans="1:7">
      <c r="A792" s="44">
        <v>124.25</v>
      </c>
      <c r="B792" s="44">
        <v>125.625</v>
      </c>
      <c r="C792" s="44">
        <v>122.25790000000001</v>
      </c>
      <c r="D792" s="44">
        <v>123.01</v>
      </c>
      <c r="E792" s="44">
        <v>62159270</v>
      </c>
      <c r="F792" s="44" t="s">
        <v>720</v>
      </c>
      <c r="G792" s="25">
        <f t="shared" si="10"/>
        <v>1.0080481261685925E-2</v>
      </c>
    </row>
    <row r="793" spans="1:7">
      <c r="A793" s="44">
        <v>121.23</v>
      </c>
      <c r="B793" s="44">
        <v>127.36499999999999</v>
      </c>
      <c r="C793" s="44">
        <v>120.63</v>
      </c>
      <c r="D793" s="44">
        <v>127.01</v>
      </c>
      <c r="E793" s="44">
        <v>95663275</v>
      </c>
      <c r="F793" s="44" t="s">
        <v>721</v>
      </c>
      <c r="G793" s="25">
        <f t="shared" si="10"/>
        <v>-4.5508227698606407E-2</v>
      </c>
    </row>
    <row r="794" spans="1:7">
      <c r="A794" s="44">
        <v>126.61</v>
      </c>
      <c r="B794" s="44">
        <v>127.4</v>
      </c>
      <c r="C794" s="44">
        <v>125</v>
      </c>
      <c r="D794" s="44">
        <v>125.07</v>
      </c>
      <c r="E794" s="44">
        <v>45695212</v>
      </c>
      <c r="F794" s="44" t="s">
        <v>722</v>
      </c>
      <c r="G794" s="25">
        <f t="shared" si="10"/>
        <v>1.2313104661389573E-2</v>
      </c>
    </row>
    <row r="795" spans="1:7">
      <c r="A795" s="44">
        <v>125.3</v>
      </c>
      <c r="B795" s="44">
        <v>125.8</v>
      </c>
      <c r="C795" s="44">
        <v>123.03</v>
      </c>
      <c r="D795" s="44">
        <v>123.36</v>
      </c>
      <c r="E795" s="44">
        <v>47950128</v>
      </c>
      <c r="F795" s="44" t="s">
        <v>723</v>
      </c>
      <c r="G795" s="25">
        <f t="shared" si="10"/>
        <v>1.5726329442282694E-2</v>
      </c>
    </row>
    <row r="796" spans="1:7">
      <c r="A796" s="44">
        <v>124.25</v>
      </c>
      <c r="B796" s="44">
        <v>126.39</v>
      </c>
      <c r="C796" s="44">
        <v>124.015</v>
      </c>
      <c r="D796" s="44">
        <v>124.92</v>
      </c>
      <c r="E796" s="44">
        <v>61264414</v>
      </c>
      <c r="F796" s="44" t="s">
        <v>724</v>
      </c>
      <c r="G796" s="25">
        <f t="shared" si="10"/>
        <v>-5.3634325968620056E-3</v>
      </c>
    </row>
    <row r="797" spans="1:7">
      <c r="A797" s="44">
        <v>122.77</v>
      </c>
      <c r="B797" s="44">
        <v>123.49</v>
      </c>
      <c r="C797" s="44">
        <v>119.93</v>
      </c>
      <c r="D797" s="44">
        <v>120.69</v>
      </c>
      <c r="E797" s="44">
        <v>54375131</v>
      </c>
      <c r="F797" s="44" t="s">
        <v>725</v>
      </c>
      <c r="G797" s="25">
        <f t="shared" si="10"/>
        <v>1.7234236473609998E-2</v>
      </c>
    </row>
    <row r="798" spans="1:7">
      <c r="A798" s="44">
        <v>120.58</v>
      </c>
      <c r="B798" s="44">
        <v>122.04</v>
      </c>
      <c r="C798" s="44">
        <v>119.17</v>
      </c>
      <c r="D798" s="44">
        <v>121.45</v>
      </c>
      <c r="E798" s="44">
        <v>72800787</v>
      </c>
      <c r="F798" s="44" t="s">
        <v>726</v>
      </c>
      <c r="G798" s="25">
        <f t="shared" si="10"/>
        <v>-7.1634417455743726E-3</v>
      </c>
    </row>
    <row r="799" spans="1:7">
      <c r="A799" s="44">
        <v>121.66</v>
      </c>
      <c r="B799" s="44">
        <v>122.92</v>
      </c>
      <c r="C799" s="44">
        <v>119.855</v>
      </c>
      <c r="D799" s="44">
        <v>122.37</v>
      </c>
      <c r="E799" s="44">
        <v>64314808</v>
      </c>
      <c r="F799" s="44" t="s">
        <v>727</v>
      </c>
      <c r="G799" s="25">
        <f t="shared" si="10"/>
        <v>-5.8020756721419708E-3</v>
      </c>
    </row>
    <row r="800" spans="1:7">
      <c r="A800" s="44">
        <v>120.11</v>
      </c>
      <c r="B800" s="44">
        <v>121.5</v>
      </c>
      <c r="C800" s="44">
        <v>116.02</v>
      </c>
      <c r="D800" s="44">
        <v>116.04</v>
      </c>
      <c r="E800" s="44">
        <v>96779889</v>
      </c>
      <c r="F800" s="44" t="s">
        <v>728</v>
      </c>
      <c r="G800" s="25">
        <f t="shared" si="10"/>
        <v>3.5074112375043098E-2</v>
      </c>
    </row>
    <row r="801" spans="1:7">
      <c r="A801" s="44">
        <v>115</v>
      </c>
      <c r="B801" s="44">
        <v>116.87</v>
      </c>
      <c r="C801" s="44">
        <v>114.31</v>
      </c>
      <c r="D801" s="44">
        <v>116.63</v>
      </c>
      <c r="E801" s="44">
        <v>66496681</v>
      </c>
      <c r="F801" s="44" t="s">
        <v>729</v>
      </c>
      <c r="G801" s="25">
        <f t="shared" si="10"/>
        <v>-1.3975820972305542E-2</v>
      </c>
    </row>
    <row r="802" spans="1:7">
      <c r="A802" s="44">
        <v>116.75</v>
      </c>
      <c r="B802" s="44">
        <v>117.34</v>
      </c>
      <c r="C802" s="44">
        <v>115.02</v>
      </c>
      <c r="D802" s="44">
        <v>115.35</v>
      </c>
      <c r="E802" s="44">
        <v>63487938</v>
      </c>
      <c r="F802" s="44" t="s">
        <v>730</v>
      </c>
      <c r="G802" s="25">
        <f t="shared" si="10"/>
        <v>1.2136974425660974E-2</v>
      </c>
    </row>
    <row r="803" spans="1:7">
      <c r="A803" s="44">
        <v>114.99</v>
      </c>
      <c r="B803" s="44">
        <v>117.14</v>
      </c>
      <c r="C803" s="44">
        <v>113.78</v>
      </c>
      <c r="D803" s="44">
        <v>114.27</v>
      </c>
      <c r="E803" s="44">
        <v>67576262</v>
      </c>
      <c r="F803" s="44" t="s">
        <v>731</v>
      </c>
      <c r="G803" s="25">
        <f t="shared" si="10"/>
        <v>6.300866369125746E-3</v>
      </c>
    </row>
    <row r="804" spans="1:7">
      <c r="A804" s="44">
        <v>115.01</v>
      </c>
      <c r="B804" s="44">
        <v>116.77</v>
      </c>
      <c r="C804" s="44">
        <v>114.25</v>
      </c>
      <c r="D804" s="44">
        <v>116.77</v>
      </c>
      <c r="E804" s="44">
        <v>70741123</v>
      </c>
      <c r="F804" s="44" t="s">
        <v>732</v>
      </c>
      <c r="G804" s="25">
        <f t="shared" si="10"/>
        <v>-1.5072364477177302E-2</v>
      </c>
    </row>
    <row r="805" spans="1:7">
      <c r="A805" s="44">
        <v>116.25</v>
      </c>
      <c r="B805" s="44">
        <v>118.31</v>
      </c>
      <c r="C805" s="44">
        <v>115.7</v>
      </c>
      <c r="D805" s="44">
        <v>118.16</v>
      </c>
      <c r="E805" s="44">
        <v>55056307</v>
      </c>
      <c r="F805" s="44" t="s">
        <v>733</v>
      </c>
      <c r="G805" s="25">
        <f t="shared" si="10"/>
        <v>-1.6164522681110349E-2</v>
      </c>
    </row>
    <row r="806" spans="1:7">
      <c r="A806" s="44">
        <v>118.15</v>
      </c>
      <c r="B806" s="44">
        <v>118.6</v>
      </c>
      <c r="C806" s="44">
        <v>116.33499999999999</v>
      </c>
      <c r="D806" s="44">
        <v>116.69</v>
      </c>
      <c r="E806" s="44">
        <v>73174087</v>
      </c>
      <c r="F806" s="44" t="s">
        <v>734</v>
      </c>
      <c r="G806" s="25">
        <f t="shared" si="10"/>
        <v>1.251178335761427E-2</v>
      </c>
    </row>
    <row r="807" spans="1:7">
      <c r="A807" s="44">
        <v>115.5</v>
      </c>
      <c r="B807" s="44">
        <v>115.83</v>
      </c>
      <c r="C807" s="44">
        <v>114.22</v>
      </c>
      <c r="D807" s="44">
        <v>114.89</v>
      </c>
      <c r="E807" s="44">
        <v>65655177</v>
      </c>
      <c r="F807" s="44" t="s">
        <v>735</v>
      </c>
      <c r="G807" s="25">
        <f t="shared" si="10"/>
        <v>5.3094264078683562E-3</v>
      </c>
    </row>
    <row r="808" spans="1:7">
      <c r="A808" s="44">
        <v>113.4</v>
      </c>
      <c r="B808" s="44">
        <v>114.7899</v>
      </c>
      <c r="C808" s="44">
        <v>111.05</v>
      </c>
      <c r="D808" s="44">
        <v>111.05</v>
      </c>
      <c r="E808" s="44">
        <v>71472908</v>
      </c>
      <c r="F808" s="44" t="s">
        <v>736</v>
      </c>
      <c r="G808" s="25">
        <f t="shared" si="10"/>
        <v>2.1161638901395774E-2</v>
      </c>
    </row>
    <row r="809" spans="1:7">
      <c r="A809" s="44">
        <v>111.2</v>
      </c>
      <c r="B809" s="44">
        <v>112.29</v>
      </c>
      <c r="C809" s="44">
        <v>109.25</v>
      </c>
      <c r="D809" s="44">
        <v>111.15</v>
      </c>
      <c r="E809" s="44">
        <v>53011145</v>
      </c>
      <c r="F809" s="44" t="s">
        <v>737</v>
      </c>
      <c r="G809" s="25">
        <f t="shared" si="10"/>
        <v>4.4984255510560622E-4</v>
      </c>
    </row>
    <row r="810" spans="1:7">
      <c r="A810" s="44">
        <v>110.26</v>
      </c>
      <c r="B810" s="44">
        <v>112.64</v>
      </c>
      <c r="C810" s="44">
        <v>109.3185</v>
      </c>
      <c r="D810" s="44">
        <v>112.16</v>
      </c>
      <c r="E810" s="44">
        <v>49852671</v>
      </c>
      <c r="F810" s="44" t="s">
        <v>738</v>
      </c>
      <c r="G810" s="25">
        <f t="shared" si="10"/>
        <v>-1.6940085592011322E-2</v>
      </c>
    </row>
    <row r="811" spans="1:7">
      <c r="A811" s="44">
        <v>112.18</v>
      </c>
      <c r="B811" s="44">
        <v>113.28</v>
      </c>
      <c r="C811" s="44">
        <v>110.49</v>
      </c>
      <c r="D811" s="44">
        <v>111.03</v>
      </c>
      <c r="E811" s="44">
        <v>74924841</v>
      </c>
      <c r="F811" s="44" t="s">
        <v>739</v>
      </c>
      <c r="G811" s="25">
        <f t="shared" si="10"/>
        <v>1.0357561019544326E-2</v>
      </c>
    </row>
    <row r="812" spans="1:7">
      <c r="A812" s="44">
        <v>110.19</v>
      </c>
      <c r="B812" s="44">
        <v>110.67</v>
      </c>
      <c r="C812" s="44">
        <v>108.05</v>
      </c>
      <c r="D812" s="44">
        <v>108.1</v>
      </c>
      <c r="E812" s="44">
        <v>78627616</v>
      </c>
      <c r="F812" s="44" t="s">
        <v>740</v>
      </c>
      <c r="G812" s="25">
        <f t="shared" si="10"/>
        <v>1.933395004625349E-2</v>
      </c>
    </row>
    <row r="813" spans="1:7">
      <c r="A813" s="44">
        <v>106.62</v>
      </c>
      <c r="B813" s="44">
        <v>106.79</v>
      </c>
      <c r="C813" s="44">
        <v>105.1567</v>
      </c>
      <c r="D813" s="44">
        <v>105.48</v>
      </c>
      <c r="E813" s="44">
        <v>44089359</v>
      </c>
      <c r="F813" s="44" t="s">
        <v>741</v>
      </c>
      <c r="G813" s="25">
        <f t="shared" si="10"/>
        <v>1.0807736063708662E-2</v>
      </c>
    </row>
    <row r="814" spans="1:7">
      <c r="A814" s="44">
        <v>105.83</v>
      </c>
      <c r="B814" s="44">
        <v>106.095</v>
      </c>
      <c r="C814" s="44">
        <v>104.70010000000001</v>
      </c>
      <c r="D814" s="44">
        <v>105.04</v>
      </c>
      <c r="E814" s="44">
        <v>49430909</v>
      </c>
      <c r="F814" s="44" t="s">
        <v>742</v>
      </c>
      <c r="G814" s="25">
        <f t="shared" si="10"/>
        <v>7.5209444021324678E-3</v>
      </c>
    </row>
    <row r="815" spans="1:7">
      <c r="A815" s="44">
        <v>105.655</v>
      </c>
      <c r="B815" s="44">
        <v>105.76</v>
      </c>
      <c r="C815" s="44">
        <v>103.55</v>
      </c>
      <c r="D815" s="44">
        <v>104.27</v>
      </c>
      <c r="E815" s="44">
        <v>56951744</v>
      </c>
      <c r="F815" s="44" t="s">
        <v>743</v>
      </c>
      <c r="G815" s="25">
        <f t="shared" si="10"/>
        <v>1.3282823439148439E-2</v>
      </c>
    </row>
    <row r="816" spans="1:7">
      <c r="A816" s="44">
        <v>104</v>
      </c>
      <c r="B816" s="44">
        <v>105.39</v>
      </c>
      <c r="C816" s="44">
        <v>103.3117</v>
      </c>
      <c r="D816" s="44">
        <v>104.04</v>
      </c>
      <c r="E816" s="44">
        <v>45345523</v>
      </c>
      <c r="F816" s="44" t="s">
        <v>744</v>
      </c>
      <c r="G816" s="25">
        <f t="shared" si="10"/>
        <v>-3.8446751249521238E-4</v>
      </c>
    </row>
    <row r="817" spans="1:7">
      <c r="A817" s="44">
        <v>103.65</v>
      </c>
      <c r="B817" s="44">
        <v>105.96</v>
      </c>
      <c r="C817" s="44">
        <v>103.28</v>
      </c>
      <c r="D817" s="44">
        <v>103.735</v>
      </c>
      <c r="E817" s="44">
        <v>65051925</v>
      </c>
      <c r="F817" s="44" t="s">
        <v>745</v>
      </c>
      <c r="G817" s="25">
        <f t="shared" si="10"/>
        <v>-8.1939557526378159E-4</v>
      </c>
    </row>
    <row r="818" spans="1:7">
      <c r="A818" s="44">
        <v>103.63</v>
      </c>
      <c r="B818" s="44">
        <v>103.9</v>
      </c>
      <c r="C818" s="44">
        <v>101.15</v>
      </c>
      <c r="D818" s="44">
        <v>101.47</v>
      </c>
      <c r="E818" s="44">
        <v>73469350</v>
      </c>
      <c r="F818" s="44" t="s">
        <v>746</v>
      </c>
      <c r="G818" s="25">
        <f t="shared" si="10"/>
        <v>2.1287079925101038E-2</v>
      </c>
    </row>
    <row r="819" spans="1:7">
      <c r="A819" s="44">
        <v>102.05</v>
      </c>
      <c r="B819" s="44">
        <v>105.23</v>
      </c>
      <c r="C819" s="44">
        <v>101.82</v>
      </c>
      <c r="D819" s="44">
        <v>104.95</v>
      </c>
      <c r="E819" s="44">
        <v>74728096</v>
      </c>
      <c r="F819" s="44" t="s">
        <v>747</v>
      </c>
      <c r="G819" s="25">
        <f t="shared" ref="G819:G882" si="11">A819/D819-1</f>
        <v>-2.7632205812291644E-2</v>
      </c>
    </row>
    <row r="820" spans="1:7">
      <c r="A820" s="44">
        <v>105.45</v>
      </c>
      <c r="B820" s="44">
        <v>109.48</v>
      </c>
      <c r="C820" s="44">
        <v>104.33</v>
      </c>
      <c r="D820" s="44">
        <v>107.73</v>
      </c>
      <c r="E820" s="44">
        <v>130715946</v>
      </c>
      <c r="F820" s="44" t="s">
        <v>748</v>
      </c>
      <c r="G820" s="25">
        <f t="shared" si="11"/>
        <v>-2.1164021164021163E-2</v>
      </c>
    </row>
    <row r="821" spans="1:7">
      <c r="A821" s="44">
        <v>109.82</v>
      </c>
      <c r="B821" s="44">
        <v>110.86</v>
      </c>
      <c r="C821" s="44">
        <v>106.8</v>
      </c>
      <c r="D821" s="44">
        <v>108.16</v>
      </c>
      <c r="E821" s="44">
        <v>149961167</v>
      </c>
      <c r="F821" s="44" t="s">
        <v>749</v>
      </c>
      <c r="G821" s="25">
        <f t="shared" si="11"/>
        <v>1.5347633136094663E-2</v>
      </c>
    </row>
    <row r="822" spans="1:7">
      <c r="A822" s="44">
        <v>104.98</v>
      </c>
      <c r="B822" s="44">
        <v>106.62</v>
      </c>
      <c r="C822" s="44">
        <v>104.1</v>
      </c>
      <c r="D822" s="44">
        <v>105.04</v>
      </c>
      <c r="E822" s="44">
        <v>73803790</v>
      </c>
      <c r="F822" s="44" t="s">
        <v>750</v>
      </c>
      <c r="G822" s="25">
        <f t="shared" si="11"/>
        <v>-5.712109672505461E-4</v>
      </c>
    </row>
    <row r="823" spans="1:7">
      <c r="A823" s="44">
        <v>102.57</v>
      </c>
      <c r="B823" s="44">
        <v>105.45</v>
      </c>
      <c r="C823" s="44">
        <v>102.45</v>
      </c>
      <c r="D823" s="44">
        <v>104.91</v>
      </c>
      <c r="E823" s="44">
        <v>65026818</v>
      </c>
      <c r="F823" s="44" t="s">
        <v>751</v>
      </c>
      <c r="G823" s="25">
        <f t="shared" si="11"/>
        <v>-2.2304832713754719E-2</v>
      </c>
    </row>
    <row r="824" spans="1:7">
      <c r="A824" s="44">
        <v>106.21</v>
      </c>
      <c r="B824" s="44">
        <v>109.23</v>
      </c>
      <c r="C824" s="44">
        <v>105.07</v>
      </c>
      <c r="D824" s="44">
        <v>107.655</v>
      </c>
      <c r="E824" s="44">
        <v>69575610</v>
      </c>
      <c r="F824" s="44" t="s">
        <v>752</v>
      </c>
      <c r="G824" s="25">
        <f t="shared" si="11"/>
        <v>-1.3422507082810897E-2</v>
      </c>
    </row>
    <row r="825" spans="1:7">
      <c r="A825" s="44">
        <v>106.96</v>
      </c>
      <c r="B825" s="44">
        <v>108.15</v>
      </c>
      <c r="C825" s="44">
        <v>105.08</v>
      </c>
      <c r="D825" s="44">
        <v>106.1</v>
      </c>
      <c r="E825" s="44">
        <v>86774185</v>
      </c>
      <c r="F825" s="44" t="s">
        <v>753</v>
      </c>
      <c r="G825" s="25">
        <f t="shared" si="11"/>
        <v>8.1055607917059902E-3</v>
      </c>
    </row>
    <row r="826" spans="1:7">
      <c r="A826" s="44">
        <v>103.81</v>
      </c>
      <c r="B826" s="44">
        <v>105.25</v>
      </c>
      <c r="C826" s="44">
        <v>103.21</v>
      </c>
      <c r="D826" s="44">
        <v>103.53</v>
      </c>
      <c r="E826" s="44">
        <v>57696866</v>
      </c>
      <c r="F826" s="44" t="s">
        <v>754</v>
      </c>
      <c r="G826" s="25">
        <f t="shared" si="11"/>
        <v>2.7045300878971723E-3</v>
      </c>
    </row>
    <row r="827" spans="1:7">
      <c r="A827" s="44">
        <v>104.3</v>
      </c>
      <c r="B827" s="44">
        <v>105.12</v>
      </c>
      <c r="C827" s="44">
        <v>101.39</v>
      </c>
      <c r="D827" s="44">
        <v>101.58</v>
      </c>
      <c r="E827" s="44">
        <v>58398890</v>
      </c>
      <c r="F827" s="44" t="s">
        <v>755</v>
      </c>
      <c r="G827" s="25">
        <f t="shared" si="11"/>
        <v>2.6776924591455087E-2</v>
      </c>
    </row>
    <row r="828" spans="1:7">
      <c r="A828" s="44">
        <v>102.3</v>
      </c>
      <c r="B828" s="44">
        <v>104.2</v>
      </c>
      <c r="C828" s="44">
        <v>101.52</v>
      </c>
      <c r="D828" s="44">
        <v>103.95</v>
      </c>
      <c r="E828" s="44">
        <v>39790518</v>
      </c>
      <c r="F828" s="44" t="s">
        <v>756</v>
      </c>
      <c r="G828" s="25">
        <f t="shared" si="11"/>
        <v>-1.5873015873015928E-2</v>
      </c>
    </row>
    <row r="829" spans="1:7">
      <c r="A829" s="44">
        <v>102.74</v>
      </c>
      <c r="B829" s="44">
        <v>103.73</v>
      </c>
      <c r="C829" s="44">
        <v>101.59</v>
      </c>
      <c r="D829" s="44">
        <v>103.16</v>
      </c>
      <c r="E829" s="44">
        <v>39919457</v>
      </c>
      <c r="F829" s="44" t="s">
        <v>757</v>
      </c>
      <c r="G829" s="25">
        <f t="shared" si="11"/>
        <v>-4.0713454827452367E-3</v>
      </c>
    </row>
    <row r="830" spans="1:7">
      <c r="A830" s="44">
        <v>102.51</v>
      </c>
      <c r="B830" s="44">
        <v>103.2013</v>
      </c>
      <c r="C830" s="44">
        <v>101.11</v>
      </c>
      <c r="D830" s="44">
        <v>102.07</v>
      </c>
      <c r="E830" s="44">
        <v>51450522</v>
      </c>
      <c r="F830" s="44" t="s">
        <v>758</v>
      </c>
      <c r="G830" s="25">
        <f t="shared" si="11"/>
        <v>4.3107671206035203E-3</v>
      </c>
    </row>
    <row r="831" spans="1:7">
      <c r="A831" s="44">
        <v>102.4</v>
      </c>
      <c r="B831" s="44">
        <v>102.57</v>
      </c>
      <c r="C831" s="44">
        <v>98.71</v>
      </c>
      <c r="D831" s="44">
        <v>98.95</v>
      </c>
      <c r="E831" s="44">
        <v>67925138</v>
      </c>
      <c r="F831" s="44" t="s">
        <v>759</v>
      </c>
      <c r="G831" s="25">
        <f t="shared" si="11"/>
        <v>3.4866093986862134E-2</v>
      </c>
    </row>
    <row r="832" spans="1:7">
      <c r="A832" s="44">
        <v>97.83</v>
      </c>
      <c r="B832" s="44">
        <v>100.51</v>
      </c>
      <c r="C832" s="44">
        <v>97.704999999999998</v>
      </c>
      <c r="D832" s="44">
        <v>100.4</v>
      </c>
      <c r="E832" s="44">
        <v>56735007</v>
      </c>
      <c r="F832" s="44" t="s">
        <v>760</v>
      </c>
      <c r="G832" s="25">
        <f t="shared" si="11"/>
        <v>-2.5597609561753054E-2</v>
      </c>
    </row>
    <row r="833" spans="1:7">
      <c r="A833" s="44">
        <v>99.92</v>
      </c>
      <c r="B833" s="44">
        <v>101</v>
      </c>
      <c r="C833" s="44">
        <v>99.01</v>
      </c>
      <c r="D833" s="44">
        <v>100.8</v>
      </c>
      <c r="E833" s="44">
        <v>60417847</v>
      </c>
      <c r="F833" s="44" t="s">
        <v>761</v>
      </c>
      <c r="G833" s="25">
        <f t="shared" si="11"/>
        <v>-8.7301587301586991E-3</v>
      </c>
    </row>
    <row r="834" spans="1:7">
      <c r="A834" s="44">
        <v>102.17</v>
      </c>
      <c r="B834" s="44">
        <v>102.2</v>
      </c>
      <c r="C834" s="44">
        <v>99.57</v>
      </c>
      <c r="D834" s="44">
        <v>100.96</v>
      </c>
      <c r="E834" s="44">
        <v>37261185</v>
      </c>
      <c r="F834" s="44" t="s">
        <v>762</v>
      </c>
      <c r="G834" s="25">
        <f t="shared" si="11"/>
        <v>1.1984944532488218E-2</v>
      </c>
    </row>
    <row r="835" spans="1:7">
      <c r="A835" s="44">
        <v>102.06</v>
      </c>
      <c r="B835" s="44">
        <v>102.3817</v>
      </c>
      <c r="C835" s="44">
        <v>99.800799999999995</v>
      </c>
      <c r="D835" s="44">
        <v>100.75</v>
      </c>
      <c r="E835" s="44">
        <v>43808020</v>
      </c>
      <c r="F835" s="44" t="s">
        <v>763</v>
      </c>
      <c r="G835" s="25">
        <f t="shared" si="11"/>
        <v>1.3002481389578158E-2</v>
      </c>
    </row>
    <row r="836" spans="1:7">
      <c r="A836" s="44">
        <v>101.1</v>
      </c>
      <c r="B836" s="44">
        <v>103.91</v>
      </c>
      <c r="C836" s="44">
        <v>100.75060000000001</v>
      </c>
      <c r="D836" s="44">
        <v>103.91</v>
      </c>
      <c r="E836" s="44">
        <v>45175393</v>
      </c>
      <c r="F836" s="44" t="s">
        <v>764</v>
      </c>
      <c r="G836" s="25">
        <f t="shared" si="11"/>
        <v>-2.7042633047829834E-2</v>
      </c>
    </row>
    <row r="837" spans="1:7">
      <c r="A837" s="44">
        <v>103.95</v>
      </c>
      <c r="B837" s="44">
        <v>104.2</v>
      </c>
      <c r="C837" s="44">
        <v>102.11</v>
      </c>
      <c r="D837" s="44">
        <v>102.75</v>
      </c>
      <c r="E837" s="44">
        <v>48662496</v>
      </c>
      <c r="F837" s="44" t="s">
        <v>765</v>
      </c>
      <c r="G837" s="25">
        <f t="shared" si="11"/>
        <v>1.167883211678844E-2</v>
      </c>
    </row>
    <row r="838" spans="1:7">
      <c r="A838" s="44">
        <v>102.41</v>
      </c>
      <c r="B838" s="44">
        <v>103.29</v>
      </c>
      <c r="C838" s="44">
        <v>101.43</v>
      </c>
      <c r="D838" s="44">
        <v>102.3</v>
      </c>
      <c r="E838" s="44">
        <v>41135733</v>
      </c>
      <c r="F838" s="44" t="s">
        <v>766</v>
      </c>
      <c r="G838" s="25">
        <f t="shared" si="11"/>
        <v>1.0752688172042113E-3</v>
      </c>
    </row>
    <row r="839" spans="1:7">
      <c r="A839" s="44">
        <v>103.29</v>
      </c>
      <c r="B839" s="44">
        <v>103.49</v>
      </c>
      <c r="C839" s="44">
        <v>101.95</v>
      </c>
      <c r="D839" s="44">
        <v>102.16</v>
      </c>
      <c r="E839" s="44">
        <v>56750317</v>
      </c>
      <c r="F839" s="44" t="s">
        <v>767</v>
      </c>
      <c r="G839" s="25">
        <f t="shared" si="11"/>
        <v>1.1061080657791766E-2</v>
      </c>
    </row>
    <row r="840" spans="1:7">
      <c r="A840" s="44">
        <v>102</v>
      </c>
      <c r="B840" s="44">
        <v>103.04</v>
      </c>
      <c r="C840" s="44">
        <v>101.01</v>
      </c>
      <c r="D840" s="44">
        <v>101.55</v>
      </c>
      <c r="E840" s="44">
        <v>53633398</v>
      </c>
      <c r="F840" s="44" t="s">
        <v>768</v>
      </c>
      <c r="G840" s="25">
        <f t="shared" si="11"/>
        <v>4.4313146233383449E-3</v>
      </c>
    </row>
    <row r="841" spans="1:7">
      <c r="A841" s="44">
        <v>100.25</v>
      </c>
      <c r="B841" s="44">
        <v>100.4218</v>
      </c>
      <c r="C841" s="44">
        <v>98.56</v>
      </c>
      <c r="D841" s="44">
        <v>98.69</v>
      </c>
      <c r="E841" s="44">
        <v>49783279</v>
      </c>
      <c r="F841" s="44" t="s">
        <v>769</v>
      </c>
      <c r="G841" s="25">
        <f t="shared" si="11"/>
        <v>1.5807072651737863E-2</v>
      </c>
    </row>
    <row r="842" spans="1:7">
      <c r="A842" s="44">
        <v>97.24</v>
      </c>
      <c r="B842" s="44">
        <v>98.44</v>
      </c>
      <c r="C842" s="44">
        <v>96.29</v>
      </c>
      <c r="D842" s="44">
        <v>98.11</v>
      </c>
      <c r="E842" s="44">
        <v>38720050</v>
      </c>
      <c r="F842" s="44" t="s">
        <v>770</v>
      </c>
      <c r="G842" s="25">
        <f t="shared" si="11"/>
        <v>-8.8675975945368135E-3</v>
      </c>
    </row>
    <row r="843" spans="1:7">
      <c r="A843" s="44">
        <v>98.04</v>
      </c>
      <c r="B843" s="44">
        <v>99.34</v>
      </c>
      <c r="C843" s="44">
        <v>97.08</v>
      </c>
      <c r="D843" s="44">
        <v>99.07</v>
      </c>
      <c r="E843" s="44">
        <v>46721296</v>
      </c>
      <c r="F843" s="44" t="s">
        <v>771</v>
      </c>
      <c r="G843" s="25">
        <f t="shared" si="11"/>
        <v>-1.0396689209649645E-2</v>
      </c>
    </row>
    <row r="844" spans="1:7">
      <c r="A844" s="44">
        <v>98.13</v>
      </c>
      <c r="B844" s="44">
        <v>98.3</v>
      </c>
      <c r="C844" s="44">
        <v>96.4</v>
      </c>
      <c r="D844" s="44">
        <v>98.064999999999998</v>
      </c>
      <c r="E844" s="44">
        <v>56144801</v>
      </c>
      <c r="F844" s="44" t="s">
        <v>772</v>
      </c>
      <c r="G844" s="25">
        <f t="shared" si="11"/>
        <v>6.628256768470564E-4</v>
      </c>
    </row>
    <row r="845" spans="1:7">
      <c r="A845" s="44">
        <v>98.71</v>
      </c>
      <c r="B845" s="44">
        <v>101.06</v>
      </c>
      <c r="C845" s="44">
        <v>97.62</v>
      </c>
      <c r="D845" s="44">
        <v>100.43</v>
      </c>
      <c r="E845" s="44">
        <v>57559310</v>
      </c>
      <c r="F845" s="44" t="s">
        <v>773</v>
      </c>
      <c r="G845" s="25">
        <f t="shared" si="11"/>
        <v>-1.7126356666334885E-2</v>
      </c>
    </row>
    <row r="846" spans="1:7">
      <c r="A846" s="44">
        <v>98.7</v>
      </c>
      <c r="B846" s="44">
        <v>102.1</v>
      </c>
      <c r="C846" s="44">
        <v>98.61</v>
      </c>
      <c r="D846" s="44">
        <v>100.45</v>
      </c>
      <c r="E846" s="44">
        <v>57475365</v>
      </c>
      <c r="F846" s="44" t="s">
        <v>774</v>
      </c>
      <c r="G846" s="25">
        <f t="shared" si="11"/>
        <v>-1.7421602787456414E-2</v>
      </c>
    </row>
    <row r="847" spans="1:7">
      <c r="A847" s="44">
        <v>100.61</v>
      </c>
      <c r="B847" s="44">
        <v>100.845</v>
      </c>
      <c r="C847" s="44">
        <v>98</v>
      </c>
      <c r="D847" s="44">
        <v>98.14</v>
      </c>
      <c r="E847" s="44">
        <v>58597275</v>
      </c>
      <c r="F847" s="44" t="s">
        <v>775</v>
      </c>
      <c r="G847" s="25">
        <f t="shared" si="11"/>
        <v>2.5168127165274168E-2</v>
      </c>
    </row>
    <row r="848" spans="1:7">
      <c r="A848" s="44">
        <v>97.71</v>
      </c>
      <c r="B848" s="44">
        <v>98.48</v>
      </c>
      <c r="C848" s="44">
        <v>95.7</v>
      </c>
      <c r="D848" s="44">
        <v>98.41</v>
      </c>
      <c r="E848" s="44">
        <v>62388911</v>
      </c>
      <c r="F848" s="44" t="s">
        <v>776</v>
      </c>
      <c r="G848" s="25">
        <f t="shared" si="11"/>
        <v>-7.1130982623717198E-3</v>
      </c>
    </row>
    <row r="849" spans="1:7">
      <c r="A849" s="44">
        <v>98.95</v>
      </c>
      <c r="B849" s="44">
        <v>100.66</v>
      </c>
      <c r="C849" s="44">
        <v>97.454999999999998</v>
      </c>
      <c r="D849" s="44">
        <v>99.79</v>
      </c>
      <c r="E849" s="44">
        <v>87300242</v>
      </c>
      <c r="F849" s="44" t="s">
        <v>777</v>
      </c>
      <c r="G849" s="25">
        <f t="shared" si="11"/>
        <v>-8.4176771219561797E-3</v>
      </c>
    </row>
    <row r="850" spans="1:7">
      <c r="A850" s="44">
        <v>100.04</v>
      </c>
      <c r="B850" s="44">
        <v>100.99</v>
      </c>
      <c r="C850" s="44">
        <v>95.61</v>
      </c>
      <c r="D850" s="44">
        <v>95.75</v>
      </c>
      <c r="E850" s="44">
        <v>84558934</v>
      </c>
      <c r="F850" s="44" t="s">
        <v>778</v>
      </c>
      <c r="G850" s="25">
        <f t="shared" si="11"/>
        <v>4.4804177545691992E-2</v>
      </c>
    </row>
    <row r="851" spans="1:7">
      <c r="A851" s="44">
        <v>96.2</v>
      </c>
      <c r="B851" s="44">
        <v>96.67</v>
      </c>
      <c r="C851" s="44">
        <v>93.07</v>
      </c>
      <c r="D851" s="44">
        <v>93.22</v>
      </c>
      <c r="E851" s="44">
        <v>70731792</v>
      </c>
      <c r="F851" s="44" t="s">
        <v>779</v>
      </c>
      <c r="G851" s="25">
        <f t="shared" si="11"/>
        <v>3.196738897232354E-2</v>
      </c>
    </row>
    <row r="852" spans="1:7">
      <c r="A852" s="44">
        <v>94.88</v>
      </c>
      <c r="B852" s="44">
        <v>95.07</v>
      </c>
      <c r="C852" s="44">
        <v>92.71</v>
      </c>
      <c r="D852" s="44">
        <v>93.83</v>
      </c>
      <c r="E852" s="44">
        <v>60912674</v>
      </c>
      <c r="F852" s="44" t="s">
        <v>780</v>
      </c>
      <c r="G852" s="25">
        <f t="shared" si="11"/>
        <v>1.1190450815304231E-2</v>
      </c>
    </row>
    <row r="853" spans="1:7">
      <c r="A853" s="44">
        <v>92.43</v>
      </c>
      <c r="B853" s="44">
        <v>94.02</v>
      </c>
      <c r="C853" s="44">
        <v>88.12</v>
      </c>
      <c r="D853" s="44">
        <v>89.97</v>
      </c>
      <c r="E853" s="44">
        <v>72397053</v>
      </c>
      <c r="F853" s="44" t="s">
        <v>781</v>
      </c>
      <c r="G853" s="25">
        <f t="shared" si="11"/>
        <v>2.7342447482494148E-2</v>
      </c>
    </row>
    <row r="854" spans="1:7">
      <c r="A854" s="44">
        <v>90.73</v>
      </c>
      <c r="B854" s="44">
        <v>93.57</v>
      </c>
      <c r="C854" s="44">
        <v>90.245000000000005</v>
      </c>
      <c r="D854" s="44">
        <v>92.67</v>
      </c>
      <c r="E854" s="44">
        <v>69827490</v>
      </c>
      <c r="F854" s="44" t="s">
        <v>782</v>
      </c>
      <c r="G854" s="25">
        <f t="shared" si="11"/>
        <v>-2.0934498759037412E-2</v>
      </c>
    </row>
    <row r="855" spans="1:7">
      <c r="A855" s="44">
        <v>92.25</v>
      </c>
      <c r="B855" s="44">
        <v>96.21</v>
      </c>
      <c r="C855" s="44">
        <v>92.18</v>
      </c>
      <c r="D855" s="44">
        <v>93.68</v>
      </c>
      <c r="E855" s="44">
        <v>56218705</v>
      </c>
      <c r="F855" s="44" t="s">
        <v>783</v>
      </c>
      <c r="G855" s="25">
        <f t="shared" si="11"/>
        <v>-1.5264730999146048E-2</v>
      </c>
    </row>
    <row r="856" spans="1:7">
      <c r="A856" s="44">
        <v>93.92</v>
      </c>
      <c r="B856" s="44">
        <v>94.165000000000006</v>
      </c>
      <c r="C856" s="44">
        <v>92.18</v>
      </c>
      <c r="D856" s="44">
        <v>93.6</v>
      </c>
      <c r="E856" s="44">
        <v>44899128</v>
      </c>
      <c r="F856" s="44" t="s">
        <v>784</v>
      </c>
      <c r="G856" s="25">
        <f t="shared" si="11"/>
        <v>3.4188034188034067E-3</v>
      </c>
    </row>
    <row r="857" spans="1:7">
      <c r="A857" s="44">
        <v>93.55</v>
      </c>
      <c r="B857" s="44">
        <v>95.09</v>
      </c>
      <c r="C857" s="44">
        <v>92.78</v>
      </c>
      <c r="D857" s="44">
        <v>94.06</v>
      </c>
      <c r="E857" s="44">
        <v>49100668</v>
      </c>
      <c r="F857" s="44" t="s">
        <v>785</v>
      </c>
      <c r="G857" s="25">
        <f t="shared" si="11"/>
        <v>-5.4220710184988974E-3</v>
      </c>
    </row>
    <row r="858" spans="1:7">
      <c r="A858" s="44">
        <v>93.75</v>
      </c>
      <c r="B858" s="44">
        <v>96.545000000000002</v>
      </c>
      <c r="C858" s="44">
        <v>93.74</v>
      </c>
      <c r="D858" s="44">
        <v>95.19</v>
      </c>
      <c r="E858" s="44">
        <v>52112355</v>
      </c>
      <c r="F858" s="44" t="s">
        <v>786</v>
      </c>
      <c r="G858" s="25">
        <f t="shared" si="11"/>
        <v>-1.5127639457926279E-2</v>
      </c>
    </row>
    <row r="859" spans="1:7">
      <c r="A859" s="44">
        <v>94.9</v>
      </c>
      <c r="B859" s="44">
        <v>94.94</v>
      </c>
      <c r="C859" s="44">
        <v>92.66</v>
      </c>
      <c r="D859" s="44">
        <v>92.74</v>
      </c>
      <c r="E859" s="44">
        <v>55759609</v>
      </c>
      <c r="F859" s="44" t="s">
        <v>787</v>
      </c>
      <c r="G859" s="25">
        <f t="shared" si="11"/>
        <v>2.3290920854000641E-2</v>
      </c>
    </row>
    <row r="860" spans="1:7">
      <c r="A860" s="44">
        <v>92.13</v>
      </c>
      <c r="B860" s="44">
        <v>92.23</v>
      </c>
      <c r="C860" s="44">
        <v>90.39</v>
      </c>
      <c r="D860" s="44">
        <v>91.41</v>
      </c>
      <c r="E860" s="44">
        <v>55574820</v>
      </c>
      <c r="F860" s="44" t="s">
        <v>788</v>
      </c>
      <c r="G860" s="25">
        <f t="shared" si="11"/>
        <v>7.8765999343617388E-3</v>
      </c>
    </row>
    <row r="861" spans="1:7">
      <c r="A861" s="44">
        <v>92.17</v>
      </c>
      <c r="B861" s="44">
        <v>94.68</v>
      </c>
      <c r="C861" s="44">
        <v>91.59</v>
      </c>
      <c r="D861" s="44">
        <v>93.87</v>
      </c>
      <c r="E861" s="44">
        <v>52299524</v>
      </c>
      <c r="F861" s="44" t="s">
        <v>789</v>
      </c>
      <c r="G861" s="25">
        <f t="shared" si="11"/>
        <v>-1.8110152338340235E-2</v>
      </c>
    </row>
    <row r="862" spans="1:7">
      <c r="A862" s="44">
        <v>94.23</v>
      </c>
      <c r="B862" s="44">
        <v>94.69</v>
      </c>
      <c r="C862" s="44">
        <v>92.92</v>
      </c>
      <c r="D862" s="44">
        <v>93.14</v>
      </c>
      <c r="E862" s="44">
        <v>43959290</v>
      </c>
      <c r="F862" s="44" t="s">
        <v>790</v>
      </c>
      <c r="G862" s="25">
        <f t="shared" si="11"/>
        <v>1.1702812969722975E-2</v>
      </c>
    </row>
    <row r="863" spans="1:7">
      <c r="A863" s="44">
        <v>93.76</v>
      </c>
      <c r="B863" s="44">
        <v>94.78</v>
      </c>
      <c r="C863" s="44">
        <v>93.14</v>
      </c>
      <c r="D863" s="44">
        <v>94.28</v>
      </c>
      <c r="E863" s="44">
        <v>47470321</v>
      </c>
      <c r="F863" s="44" t="s">
        <v>791</v>
      </c>
      <c r="G863" s="25">
        <f t="shared" si="11"/>
        <v>-5.5154857870173268E-3</v>
      </c>
    </row>
    <row r="864" spans="1:7">
      <c r="A864" s="44">
        <v>93.5</v>
      </c>
      <c r="B864" s="44">
        <v>94.14</v>
      </c>
      <c r="C864" s="44">
        <v>92.318600000000004</v>
      </c>
      <c r="D864" s="44">
        <v>93.53</v>
      </c>
      <c r="E864" s="44">
        <v>57053812</v>
      </c>
      <c r="F864" s="44" t="s">
        <v>792</v>
      </c>
      <c r="G864" s="25">
        <f t="shared" si="11"/>
        <v>-3.2075269966858055E-4</v>
      </c>
    </row>
    <row r="865" spans="1:7">
      <c r="A865" s="44">
        <v>95.82</v>
      </c>
      <c r="B865" s="44">
        <v>96.43</v>
      </c>
      <c r="C865" s="44">
        <v>93.67</v>
      </c>
      <c r="D865" s="44">
        <v>96.12</v>
      </c>
      <c r="E865" s="44">
        <v>48466994</v>
      </c>
      <c r="F865" s="44" t="s">
        <v>793</v>
      </c>
      <c r="G865" s="25">
        <f t="shared" si="11"/>
        <v>-3.1210986267167229E-3</v>
      </c>
    </row>
    <row r="866" spans="1:7">
      <c r="A866" s="44">
        <v>95.79</v>
      </c>
      <c r="B866" s="44">
        <v>97.01</v>
      </c>
      <c r="C866" s="44">
        <v>94.8</v>
      </c>
      <c r="D866" s="44">
        <v>95.1</v>
      </c>
      <c r="E866" s="44">
        <v>59534094</v>
      </c>
      <c r="F866" s="44" t="s">
        <v>794</v>
      </c>
      <c r="G866" s="25">
        <f t="shared" si="11"/>
        <v>7.2555205047319937E-3</v>
      </c>
    </row>
    <row r="867" spans="1:7">
      <c r="A867" s="44">
        <v>94.58</v>
      </c>
      <c r="B867" s="44">
        <v>95.605000000000004</v>
      </c>
      <c r="C867" s="44">
        <v>94.27</v>
      </c>
      <c r="D867" s="44">
        <v>95.334999999999994</v>
      </c>
      <c r="E867" s="44">
        <v>56580360</v>
      </c>
      <c r="F867" s="44" t="s">
        <v>795</v>
      </c>
      <c r="G867" s="25">
        <f t="shared" si="11"/>
        <v>-7.9194419677977024E-3</v>
      </c>
    </row>
    <row r="868" spans="1:7">
      <c r="A868" s="44">
        <v>97.2</v>
      </c>
      <c r="B868" s="44">
        <v>97.94</v>
      </c>
      <c r="C868" s="44">
        <v>95.65</v>
      </c>
      <c r="D868" s="44">
        <v>97.8</v>
      </c>
      <c r="E868" s="44">
        <v>60029405</v>
      </c>
      <c r="F868" s="44" t="s">
        <v>796</v>
      </c>
      <c r="G868" s="25">
        <f t="shared" si="11"/>
        <v>-6.1349693251533388E-3</v>
      </c>
    </row>
    <row r="869" spans="1:7">
      <c r="A869" s="44">
        <v>98.15</v>
      </c>
      <c r="B869" s="44">
        <v>100.63</v>
      </c>
      <c r="C869" s="44">
        <v>98.1</v>
      </c>
      <c r="D869" s="44">
        <v>99.21</v>
      </c>
      <c r="E869" s="44">
        <v>56339173</v>
      </c>
      <c r="F869" s="44" t="s">
        <v>797</v>
      </c>
      <c r="G869" s="25">
        <f t="shared" si="11"/>
        <v>-1.0684406813829095E-2</v>
      </c>
    </row>
    <row r="870" spans="1:7">
      <c r="A870" s="44">
        <v>101.16</v>
      </c>
      <c r="B870" s="44">
        <v>101.17</v>
      </c>
      <c r="C870" s="44">
        <v>98.45</v>
      </c>
      <c r="D870" s="44">
        <v>99.09</v>
      </c>
      <c r="E870" s="44">
        <v>48053879</v>
      </c>
      <c r="F870" s="44" t="s">
        <v>798</v>
      </c>
      <c r="G870" s="25">
        <f t="shared" si="11"/>
        <v>2.0890099909173454E-2</v>
      </c>
    </row>
    <row r="871" spans="1:7">
      <c r="A871" s="44">
        <v>99.7</v>
      </c>
      <c r="B871" s="44">
        <v>100.9207</v>
      </c>
      <c r="C871" s="44">
        <v>97.52</v>
      </c>
      <c r="D871" s="44">
        <v>98.41</v>
      </c>
      <c r="E871" s="44">
        <v>56202898</v>
      </c>
      <c r="F871" s="44" t="s">
        <v>799</v>
      </c>
      <c r="G871" s="25">
        <f t="shared" si="11"/>
        <v>1.3108423940656477E-2</v>
      </c>
    </row>
    <row r="872" spans="1:7">
      <c r="A872" s="44">
        <v>99.54</v>
      </c>
      <c r="B872" s="44">
        <v>99.68</v>
      </c>
      <c r="C872" s="44">
        <v>96.91</v>
      </c>
      <c r="D872" s="44">
        <v>97.85</v>
      </c>
      <c r="E872" s="44">
        <v>52841464</v>
      </c>
      <c r="F872" s="44" t="s">
        <v>800</v>
      </c>
      <c r="G872" s="25">
        <f t="shared" si="11"/>
        <v>1.7271333673990918E-2</v>
      </c>
    </row>
    <row r="873" spans="1:7">
      <c r="A873" s="44">
        <v>97.61</v>
      </c>
      <c r="B873" s="44">
        <v>98.816299999999998</v>
      </c>
      <c r="C873" s="44">
        <v>96.23</v>
      </c>
      <c r="D873" s="44">
        <v>97.56</v>
      </c>
      <c r="E873" s="44">
        <v>52740133</v>
      </c>
      <c r="F873" s="44" t="s">
        <v>801</v>
      </c>
      <c r="G873" s="25">
        <f t="shared" si="11"/>
        <v>5.1250512505118806E-4</v>
      </c>
    </row>
    <row r="874" spans="1:7">
      <c r="A874" s="44">
        <v>98.24</v>
      </c>
      <c r="B874" s="44">
        <v>101.78</v>
      </c>
      <c r="C874" s="44">
        <v>97.57</v>
      </c>
      <c r="D874" s="44">
        <v>101.32</v>
      </c>
      <c r="E874" s="44">
        <v>64622489</v>
      </c>
      <c r="F874" s="44" t="s">
        <v>802</v>
      </c>
      <c r="G874" s="25">
        <f t="shared" si="11"/>
        <v>-3.0398736675878335E-2</v>
      </c>
    </row>
    <row r="875" spans="1:7">
      <c r="A875" s="44">
        <v>100.05</v>
      </c>
      <c r="B875" s="44">
        <v>102.6699</v>
      </c>
      <c r="C875" s="44">
        <v>98.775000000000006</v>
      </c>
      <c r="D875" s="44">
        <v>102.04</v>
      </c>
      <c r="E875" s="44">
        <v>75878304</v>
      </c>
      <c r="F875" s="44" t="s">
        <v>803</v>
      </c>
      <c r="G875" s="25">
        <f t="shared" si="11"/>
        <v>-1.9502156017248251E-2</v>
      </c>
    </row>
    <row r="876" spans="1:7">
      <c r="A876" s="44">
        <v>102.11</v>
      </c>
      <c r="B876" s="44">
        <v>102.41</v>
      </c>
      <c r="C876" s="44">
        <v>98.08</v>
      </c>
      <c r="D876" s="44">
        <v>101.17</v>
      </c>
      <c r="E876" s="44">
        <v>119501301</v>
      </c>
      <c r="F876" s="44" t="s">
        <v>804</v>
      </c>
      <c r="G876" s="25">
        <f t="shared" si="11"/>
        <v>9.2912918849461512E-3</v>
      </c>
    </row>
    <row r="877" spans="1:7">
      <c r="A877" s="44">
        <v>102.18</v>
      </c>
      <c r="B877" s="44">
        <v>103.94840000000001</v>
      </c>
      <c r="C877" s="44">
        <v>100.65</v>
      </c>
      <c r="D877" s="44">
        <v>102.925</v>
      </c>
      <c r="E877" s="44">
        <v>81945199</v>
      </c>
      <c r="F877" s="44" t="s">
        <v>805</v>
      </c>
      <c r="G877" s="25">
        <f t="shared" si="11"/>
        <v>-7.2382803011901142E-3</v>
      </c>
    </row>
    <row r="878" spans="1:7">
      <c r="A878" s="44">
        <v>103.39</v>
      </c>
      <c r="B878" s="44">
        <v>108.78</v>
      </c>
      <c r="C878" s="44">
        <v>102.52</v>
      </c>
      <c r="D878" s="44">
        <v>105.26</v>
      </c>
      <c r="E878" s="44">
        <v>144374828</v>
      </c>
      <c r="F878" s="44" t="s">
        <v>806</v>
      </c>
      <c r="G878" s="25">
        <f t="shared" si="11"/>
        <v>-1.7765532965989039E-2</v>
      </c>
    </row>
    <row r="879" spans="1:7">
      <c r="A879" s="44">
        <v>112.91</v>
      </c>
      <c r="B879" s="44">
        <v>114</v>
      </c>
      <c r="C879" s="44">
        <v>108.88</v>
      </c>
      <c r="D879" s="44">
        <v>110.245</v>
      </c>
      <c r="E879" s="44">
        <v>158154243</v>
      </c>
      <c r="F879" s="44" t="s">
        <v>807</v>
      </c>
      <c r="G879" s="25">
        <f t="shared" si="11"/>
        <v>2.4173431901673537E-2</v>
      </c>
    </row>
    <row r="880" spans="1:7">
      <c r="A880" s="44">
        <v>105.15</v>
      </c>
      <c r="B880" s="44">
        <v>106.24</v>
      </c>
      <c r="C880" s="44">
        <v>101.24</v>
      </c>
      <c r="D880" s="44">
        <v>102.53</v>
      </c>
      <c r="E880" s="44">
        <v>80450121</v>
      </c>
      <c r="F880" s="44" t="s">
        <v>808</v>
      </c>
      <c r="G880" s="25">
        <f t="shared" si="11"/>
        <v>2.5553496537598752E-2</v>
      </c>
    </row>
    <row r="881" spans="1:7">
      <c r="A881" s="44">
        <v>103.13</v>
      </c>
      <c r="B881" s="44">
        <v>103.3484</v>
      </c>
      <c r="C881" s="44">
        <v>101.14</v>
      </c>
      <c r="D881" s="44">
        <v>101.155</v>
      </c>
      <c r="E881" s="44">
        <v>66527253</v>
      </c>
      <c r="F881" s="44" t="s">
        <v>809</v>
      </c>
      <c r="G881" s="25">
        <f t="shared" si="11"/>
        <v>1.9524492116059555E-2</v>
      </c>
    </row>
    <row r="882" spans="1:7">
      <c r="A882" s="44">
        <v>100.55</v>
      </c>
      <c r="B882" s="44">
        <v>101.74</v>
      </c>
      <c r="C882" s="44">
        <v>99.01</v>
      </c>
      <c r="D882" s="44">
        <v>101.09</v>
      </c>
      <c r="E882" s="44">
        <v>70691860</v>
      </c>
      <c r="F882" s="44" t="s">
        <v>810</v>
      </c>
      <c r="G882" s="25">
        <f t="shared" si="11"/>
        <v>-5.341774656246967E-3</v>
      </c>
    </row>
    <row r="883" spans="1:7">
      <c r="A883" s="44">
        <v>102.24</v>
      </c>
      <c r="B883" s="44">
        <v>103.485</v>
      </c>
      <c r="C883" s="44">
        <v>99.53</v>
      </c>
      <c r="D883" s="44">
        <v>99.53</v>
      </c>
      <c r="E883" s="44">
        <v>87775614</v>
      </c>
      <c r="F883" s="44" t="s">
        <v>811</v>
      </c>
      <c r="G883" s="25">
        <f t="shared" ref="G883:G946" si="12">A883/D883-1</f>
        <v>2.7227971465889622E-2</v>
      </c>
    </row>
    <row r="884" spans="1:7">
      <c r="A884" s="44">
        <v>99.22</v>
      </c>
      <c r="B884" s="44">
        <v>99.49</v>
      </c>
      <c r="C884" s="44">
        <v>96.92</v>
      </c>
      <c r="D884" s="44">
        <v>98.234999999999999</v>
      </c>
      <c r="E884" s="44">
        <v>68523557</v>
      </c>
      <c r="F884" s="44" t="s">
        <v>812</v>
      </c>
      <c r="G884" s="25">
        <f t="shared" si="12"/>
        <v>1.0026976128671095E-2</v>
      </c>
    </row>
    <row r="885" spans="1:7">
      <c r="A885" s="44">
        <v>97.18</v>
      </c>
      <c r="B885" s="44">
        <v>97.24</v>
      </c>
      <c r="C885" s="44">
        <v>91.52</v>
      </c>
      <c r="D885" s="44">
        <v>92.56</v>
      </c>
      <c r="E885" s="44">
        <v>94261570</v>
      </c>
      <c r="F885" s="44" t="s">
        <v>813</v>
      </c>
      <c r="G885" s="25">
        <f t="shared" si="12"/>
        <v>4.9913569576490957E-2</v>
      </c>
    </row>
    <row r="886" spans="1:7">
      <c r="A886" s="44">
        <v>96.32</v>
      </c>
      <c r="B886" s="44">
        <v>98.09</v>
      </c>
      <c r="C886" s="44">
        <v>96</v>
      </c>
      <c r="D886" s="44">
        <v>96.93</v>
      </c>
      <c r="E886" s="44">
        <v>66929452</v>
      </c>
      <c r="F886" s="44" t="s">
        <v>814</v>
      </c>
      <c r="G886" s="25">
        <f t="shared" si="12"/>
        <v>-6.2932012792737968E-3</v>
      </c>
    </row>
    <row r="887" spans="1:7">
      <c r="A887" s="44">
        <v>97.52</v>
      </c>
      <c r="B887" s="44">
        <v>97.78</v>
      </c>
      <c r="C887" s="44">
        <v>95.86</v>
      </c>
      <c r="D887" s="44">
        <v>97.56</v>
      </c>
      <c r="E887" s="44">
        <v>76501103</v>
      </c>
      <c r="F887" s="44" t="s">
        <v>815</v>
      </c>
      <c r="G887" s="25">
        <f t="shared" si="12"/>
        <v>-4.1000410004110588E-4</v>
      </c>
    </row>
    <row r="888" spans="1:7">
      <c r="A888" s="44">
        <v>97.25</v>
      </c>
      <c r="B888" s="44">
        <v>97.353999999999999</v>
      </c>
      <c r="C888" s="44">
        <v>93.202500000000001</v>
      </c>
      <c r="D888" s="44">
        <v>93.86</v>
      </c>
      <c r="E888" s="44">
        <v>67481539</v>
      </c>
      <c r="F888" s="44" t="s">
        <v>816</v>
      </c>
      <c r="G888" s="25">
        <f t="shared" si="12"/>
        <v>3.611762199019819E-2</v>
      </c>
    </row>
    <row r="889" spans="1:7">
      <c r="A889" s="44">
        <v>93.68</v>
      </c>
      <c r="B889" s="44">
        <v>95.44</v>
      </c>
      <c r="C889" s="44">
        <v>92.86</v>
      </c>
      <c r="D889" s="44">
        <v>94.74</v>
      </c>
      <c r="E889" s="44">
        <v>69002663</v>
      </c>
      <c r="F889" s="44" t="s">
        <v>817</v>
      </c>
      <c r="G889" s="25">
        <f t="shared" si="12"/>
        <v>-1.1188515938357457E-2</v>
      </c>
    </row>
    <row r="890" spans="1:7">
      <c r="A890" s="44">
        <v>95.46</v>
      </c>
      <c r="B890" s="44">
        <v>99.32</v>
      </c>
      <c r="C890" s="44">
        <v>95.38</v>
      </c>
      <c r="D890" s="44">
        <v>97.25</v>
      </c>
      <c r="E890" s="44">
        <v>79570370</v>
      </c>
      <c r="F890" s="44" t="s">
        <v>818</v>
      </c>
      <c r="G890" s="25">
        <f t="shared" si="12"/>
        <v>-1.8406169665809879E-2</v>
      </c>
    </row>
    <row r="891" spans="1:7">
      <c r="A891" s="44">
        <v>96.05</v>
      </c>
      <c r="B891" s="44">
        <v>98.89</v>
      </c>
      <c r="C891" s="44">
        <v>95.73</v>
      </c>
      <c r="D891" s="44">
        <v>98.68</v>
      </c>
      <c r="E891" s="44">
        <v>72755001</v>
      </c>
      <c r="F891" s="44" t="s">
        <v>819</v>
      </c>
      <c r="G891" s="25">
        <f t="shared" si="12"/>
        <v>-2.6651803810295971E-2</v>
      </c>
    </row>
    <row r="892" spans="1:7">
      <c r="A892" s="44">
        <v>98.12</v>
      </c>
      <c r="B892" s="44">
        <v>98.37</v>
      </c>
      <c r="C892" s="44">
        <v>94.12</v>
      </c>
      <c r="D892" s="44">
        <v>94.18</v>
      </c>
      <c r="E892" s="44">
        <v>85549432</v>
      </c>
      <c r="F892" s="44" t="s">
        <v>820</v>
      </c>
      <c r="G892" s="25">
        <f t="shared" si="12"/>
        <v>4.1834784455298424E-2</v>
      </c>
    </row>
    <row r="893" spans="1:7">
      <c r="A893" s="44">
        <v>95.27</v>
      </c>
      <c r="B893" s="44">
        <v>97.19</v>
      </c>
      <c r="C893" s="44">
        <v>93.5</v>
      </c>
      <c r="D893" s="44">
        <v>96.93</v>
      </c>
      <c r="E893" s="44">
        <v>85254781</v>
      </c>
      <c r="F893" s="44" t="s">
        <v>821</v>
      </c>
      <c r="G893" s="25">
        <f t="shared" si="12"/>
        <v>-1.7125760858351491E-2</v>
      </c>
    </row>
    <row r="894" spans="1:7">
      <c r="A894" s="44">
        <v>95.09</v>
      </c>
      <c r="B894" s="44">
        <v>95.26</v>
      </c>
      <c r="C894" s="44">
        <v>90.93</v>
      </c>
      <c r="D894" s="44">
        <v>90.93</v>
      </c>
      <c r="E894" s="44">
        <v>103126183</v>
      </c>
      <c r="F894" s="44" t="s">
        <v>822</v>
      </c>
      <c r="G894" s="25">
        <f t="shared" si="12"/>
        <v>4.574947762014725E-2</v>
      </c>
    </row>
    <row r="895" spans="1:7">
      <c r="A895" s="44">
        <v>89.87</v>
      </c>
      <c r="B895" s="44">
        <v>90.185000000000002</v>
      </c>
      <c r="C895" s="44">
        <v>87.29</v>
      </c>
      <c r="D895" s="44">
        <v>87.57</v>
      </c>
      <c r="E895" s="44">
        <v>67756601</v>
      </c>
      <c r="F895" s="44" t="s">
        <v>823</v>
      </c>
      <c r="G895" s="25">
        <f t="shared" si="12"/>
        <v>2.6264702523695505E-2</v>
      </c>
    </row>
    <row r="896" spans="1:7">
      <c r="A896" s="44">
        <v>87.36</v>
      </c>
      <c r="B896" s="44">
        <v>89.48</v>
      </c>
      <c r="C896" s="44">
        <v>87.08</v>
      </c>
      <c r="D896" s="44">
        <v>87.46</v>
      </c>
      <c r="E896" s="44">
        <v>65266056</v>
      </c>
      <c r="F896" s="44" t="s">
        <v>824</v>
      </c>
      <c r="G896" s="25">
        <f t="shared" si="12"/>
        <v>-1.1433798307797227E-3</v>
      </c>
    </row>
    <row r="897" spans="1:7">
      <c r="A897" s="44">
        <v>86.08</v>
      </c>
      <c r="B897" s="44">
        <v>86.4</v>
      </c>
      <c r="C897" s="44">
        <v>81.430000000000007</v>
      </c>
      <c r="D897" s="44">
        <v>83.03</v>
      </c>
      <c r="E897" s="44">
        <v>83303361</v>
      </c>
      <c r="F897" s="44" t="s">
        <v>825</v>
      </c>
      <c r="G897" s="25">
        <f t="shared" si="12"/>
        <v>3.6733710706973399E-2</v>
      </c>
    </row>
    <row r="898" spans="1:7">
      <c r="A898" s="44">
        <v>83.12</v>
      </c>
      <c r="B898" s="44">
        <v>85.42</v>
      </c>
      <c r="C898" s="44">
        <v>83.07</v>
      </c>
      <c r="D898" s="44">
        <v>85.33</v>
      </c>
      <c r="E898" s="44">
        <v>67930825</v>
      </c>
      <c r="F898" s="44" t="s">
        <v>826</v>
      </c>
      <c r="G898" s="25">
        <f t="shared" si="12"/>
        <v>-2.5899449197234192E-2</v>
      </c>
    </row>
    <row r="899" spans="1:7">
      <c r="A899" s="44">
        <v>85.14</v>
      </c>
      <c r="B899" s="44">
        <v>86.98</v>
      </c>
      <c r="C899" s="44">
        <v>83.36</v>
      </c>
      <c r="D899" s="44">
        <v>86.55</v>
      </c>
      <c r="E899" s="44">
        <v>68885123</v>
      </c>
      <c r="F899" s="44" t="s">
        <v>827</v>
      </c>
      <c r="G899" s="25">
        <f t="shared" si="12"/>
        <v>-1.6291161178509483E-2</v>
      </c>
    </row>
    <row r="900" spans="1:7">
      <c r="A900" s="44">
        <v>85.82</v>
      </c>
      <c r="B900" s="44">
        <v>86.96</v>
      </c>
      <c r="C900" s="44">
        <v>84.204999999999998</v>
      </c>
      <c r="D900" s="44">
        <v>85.46</v>
      </c>
      <c r="E900" s="44">
        <v>76706040</v>
      </c>
      <c r="F900" s="44" t="s">
        <v>828</v>
      </c>
      <c r="G900" s="25">
        <f t="shared" si="12"/>
        <v>4.2124970746548751E-3</v>
      </c>
    </row>
    <row r="901" spans="1:7">
      <c r="A901" s="44">
        <v>84</v>
      </c>
      <c r="B901" s="44">
        <v>84.05</v>
      </c>
      <c r="C901" s="44">
        <v>82.47</v>
      </c>
      <c r="D901" s="44">
        <v>83.12</v>
      </c>
      <c r="E901" s="44">
        <v>62401194</v>
      </c>
      <c r="F901" s="44" t="s">
        <v>829</v>
      </c>
      <c r="G901" s="25">
        <f t="shared" si="12"/>
        <v>1.0587102983637964E-2</v>
      </c>
    </row>
    <row r="902" spans="1:7">
      <c r="A902" s="44">
        <v>84.18</v>
      </c>
      <c r="B902" s="44">
        <v>84.55</v>
      </c>
      <c r="C902" s="44">
        <v>82.55</v>
      </c>
      <c r="D902" s="44">
        <v>82.87</v>
      </c>
      <c r="E902" s="44">
        <v>54995895</v>
      </c>
      <c r="F902" s="44" t="s">
        <v>830</v>
      </c>
      <c r="G902" s="25">
        <f t="shared" si="12"/>
        <v>1.5807891878846458E-2</v>
      </c>
    </row>
    <row r="903" spans="1:7">
      <c r="A903" s="44">
        <v>81.819999999999993</v>
      </c>
      <c r="B903" s="44">
        <v>83.48</v>
      </c>
      <c r="C903" s="44">
        <v>81.69</v>
      </c>
      <c r="D903" s="44">
        <v>82.8</v>
      </c>
      <c r="E903" s="44">
        <v>58228575</v>
      </c>
      <c r="F903" s="44" t="s">
        <v>831</v>
      </c>
      <c r="G903" s="25">
        <f t="shared" si="12"/>
        <v>-1.1835748792270562E-2</v>
      </c>
    </row>
    <row r="904" spans="1:7">
      <c r="A904" s="44">
        <v>83.04</v>
      </c>
      <c r="B904" s="44">
        <v>85.35</v>
      </c>
      <c r="C904" s="44">
        <v>83</v>
      </c>
      <c r="D904" s="44">
        <v>84.97</v>
      </c>
      <c r="E904" s="44">
        <v>57284035</v>
      </c>
      <c r="F904" s="44" t="s">
        <v>832</v>
      </c>
      <c r="G904" s="25">
        <f t="shared" si="12"/>
        <v>-2.2713899023184547E-2</v>
      </c>
    </row>
    <row r="905" spans="1:7">
      <c r="A905" s="44">
        <v>85.25</v>
      </c>
      <c r="B905" s="44">
        <v>85.78</v>
      </c>
      <c r="C905" s="44">
        <v>82.934399999999997</v>
      </c>
      <c r="D905" s="44">
        <v>83.25</v>
      </c>
      <c r="E905" s="44">
        <v>57433655</v>
      </c>
      <c r="F905" s="44" t="s">
        <v>833</v>
      </c>
      <c r="G905" s="25">
        <f t="shared" si="12"/>
        <v>2.4024024024023927E-2</v>
      </c>
    </row>
    <row r="906" spans="1:7">
      <c r="A906" s="44">
        <v>83.79</v>
      </c>
      <c r="B906" s="44">
        <v>85.68</v>
      </c>
      <c r="C906" s="44">
        <v>82.25</v>
      </c>
      <c r="D906" s="44">
        <v>85.52</v>
      </c>
      <c r="E906" s="44">
        <v>81431314</v>
      </c>
      <c r="F906" s="44" t="s">
        <v>834</v>
      </c>
      <c r="G906" s="25">
        <f t="shared" si="12"/>
        <v>-2.0229186155285239E-2</v>
      </c>
    </row>
    <row r="907" spans="1:7">
      <c r="A907" s="44">
        <v>86.77</v>
      </c>
      <c r="B907" s="44">
        <v>87.224999999999994</v>
      </c>
      <c r="C907" s="44">
        <v>85.21</v>
      </c>
      <c r="D907" s="44">
        <v>86.174999999999997</v>
      </c>
      <c r="E907" s="44">
        <v>59267156</v>
      </c>
      <c r="F907" s="44" t="s">
        <v>835</v>
      </c>
      <c r="G907" s="25">
        <f t="shared" si="12"/>
        <v>6.9045546852335438E-3</v>
      </c>
    </row>
    <row r="908" spans="1:7">
      <c r="A908" s="44">
        <v>85.19</v>
      </c>
      <c r="B908" s="44">
        <v>86.61</v>
      </c>
      <c r="C908" s="44">
        <v>84.33</v>
      </c>
      <c r="D908" s="44">
        <v>85.33</v>
      </c>
      <c r="E908" s="44">
        <v>74348301</v>
      </c>
      <c r="F908" s="44" t="s">
        <v>836</v>
      </c>
      <c r="G908" s="25">
        <f t="shared" si="12"/>
        <v>-1.6406890894176129E-3</v>
      </c>
    </row>
    <row r="909" spans="1:7">
      <c r="A909" s="44">
        <v>84.92</v>
      </c>
      <c r="B909" s="44">
        <v>87.63</v>
      </c>
      <c r="C909" s="44">
        <v>84.51</v>
      </c>
      <c r="D909" s="44">
        <v>87.51</v>
      </c>
      <c r="E909" s="44">
        <v>83531460</v>
      </c>
      <c r="F909" s="44" t="s">
        <v>837</v>
      </c>
      <c r="G909" s="25">
        <f t="shared" si="12"/>
        <v>-2.9596617529425218E-2</v>
      </c>
    </row>
    <row r="910" spans="1:7">
      <c r="A910" s="44">
        <v>87.86</v>
      </c>
      <c r="B910" s="44">
        <v>89.35</v>
      </c>
      <c r="C910" s="44">
        <v>86.73</v>
      </c>
      <c r="D910" s="44">
        <v>88.265000000000001</v>
      </c>
      <c r="E910" s="44">
        <v>146144064</v>
      </c>
      <c r="F910" s="44" t="s">
        <v>838</v>
      </c>
      <c r="G910" s="25">
        <f t="shared" si="12"/>
        <v>-4.5884552200758932E-3</v>
      </c>
    </row>
    <row r="911" spans="1:7">
      <c r="A911" s="44">
        <v>88.45</v>
      </c>
      <c r="B911" s="44">
        <v>89.97</v>
      </c>
      <c r="C911" s="44">
        <v>87.47</v>
      </c>
      <c r="D911" s="44">
        <v>89.89</v>
      </c>
      <c r="E911" s="44">
        <v>84802877</v>
      </c>
      <c r="F911" s="44" t="s">
        <v>839</v>
      </c>
      <c r="G911" s="25">
        <f t="shared" si="12"/>
        <v>-1.6019579486038493E-2</v>
      </c>
    </row>
    <row r="912" spans="1:7">
      <c r="A912" s="44">
        <v>91.58</v>
      </c>
      <c r="B912" s="44">
        <v>93.458100000000002</v>
      </c>
      <c r="C912" s="44">
        <v>89.87</v>
      </c>
      <c r="D912" s="44">
        <v>92.501999999999995</v>
      </c>
      <c r="E912" s="44">
        <v>70298006</v>
      </c>
      <c r="F912" s="44" t="s">
        <v>840</v>
      </c>
      <c r="G912" s="25">
        <f t="shared" si="12"/>
        <v>-9.967352057252743E-3</v>
      </c>
    </row>
    <row r="913" spans="1:7">
      <c r="A913" s="44">
        <v>92.49</v>
      </c>
      <c r="B913" s="44">
        <v>96.25</v>
      </c>
      <c r="C913" s="44">
        <v>90.52</v>
      </c>
      <c r="D913" s="44">
        <v>95.23</v>
      </c>
      <c r="E913" s="44">
        <v>100212038</v>
      </c>
      <c r="F913" s="44" t="s">
        <v>841</v>
      </c>
      <c r="G913" s="25">
        <f t="shared" si="12"/>
        <v>-2.8772445657881063E-2</v>
      </c>
    </row>
    <row r="914" spans="1:7">
      <c r="A914" s="44">
        <v>90.55</v>
      </c>
      <c r="B914" s="44">
        <v>90.58</v>
      </c>
      <c r="C914" s="44">
        <v>87.87</v>
      </c>
      <c r="D914" s="44">
        <v>89.21</v>
      </c>
      <c r="E914" s="44">
        <v>61999762</v>
      </c>
      <c r="F914" s="44" t="s">
        <v>842</v>
      </c>
      <c r="G914" s="25">
        <f t="shared" si="12"/>
        <v>1.502073758547251E-2</v>
      </c>
    </row>
    <row r="915" spans="1:7">
      <c r="A915" s="44">
        <v>89.09</v>
      </c>
      <c r="B915" s="44">
        <v>90.3</v>
      </c>
      <c r="C915" s="44">
        <v>88.63</v>
      </c>
      <c r="D915" s="44">
        <v>88.9</v>
      </c>
      <c r="E915" s="44">
        <v>67398506</v>
      </c>
      <c r="F915" s="44" t="s">
        <v>843</v>
      </c>
      <c r="G915" s="25">
        <f t="shared" si="12"/>
        <v>2.1372328458941769E-3</v>
      </c>
    </row>
    <row r="916" spans="1:7">
      <c r="A916" s="44">
        <v>90.35</v>
      </c>
      <c r="B916" s="44">
        <v>90.86</v>
      </c>
      <c r="C916" s="44">
        <v>87.88</v>
      </c>
      <c r="D916" s="44">
        <v>89.24</v>
      </c>
      <c r="E916" s="44">
        <v>73305887</v>
      </c>
      <c r="F916" s="44" t="s">
        <v>844</v>
      </c>
      <c r="G916" s="25">
        <f t="shared" si="12"/>
        <v>1.2438368444643633E-2</v>
      </c>
    </row>
    <row r="917" spans="1:7">
      <c r="A917" s="44">
        <v>88.46</v>
      </c>
      <c r="B917" s="44">
        <v>89.89</v>
      </c>
      <c r="C917" s="44">
        <v>87.48</v>
      </c>
      <c r="D917" s="44">
        <v>88.34</v>
      </c>
      <c r="E917" s="44">
        <v>68086880</v>
      </c>
      <c r="F917" s="44" t="s">
        <v>845</v>
      </c>
      <c r="G917" s="25">
        <f t="shared" si="12"/>
        <v>1.358388046185155E-3</v>
      </c>
    </row>
    <row r="918" spans="1:7">
      <c r="A918" s="44">
        <v>88.25</v>
      </c>
      <c r="B918" s="44">
        <v>91.04</v>
      </c>
      <c r="C918" s="44">
        <v>87.9</v>
      </c>
      <c r="D918" s="44">
        <v>90.5</v>
      </c>
      <c r="E918" s="44">
        <v>75503628</v>
      </c>
      <c r="F918" s="44" t="s">
        <v>846</v>
      </c>
      <c r="G918" s="25">
        <f t="shared" si="12"/>
        <v>-2.4861878453038666E-2</v>
      </c>
    </row>
    <row r="919" spans="1:7">
      <c r="A919" s="44">
        <v>91.01</v>
      </c>
      <c r="B919" s="44">
        <v>94.06</v>
      </c>
      <c r="C919" s="44">
        <v>90.82</v>
      </c>
      <c r="D919" s="44">
        <v>93.05</v>
      </c>
      <c r="E919" s="44">
        <v>71535526</v>
      </c>
      <c r="F919" s="44" t="s">
        <v>847</v>
      </c>
      <c r="G919" s="25">
        <f t="shared" si="12"/>
        <v>-2.1923696937130477E-2</v>
      </c>
    </row>
    <row r="920" spans="1:7">
      <c r="A920" s="44">
        <v>94.13</v>
      </c>
      <c r="B920" s="44">
        <v>95.36</v>
      </c>
      <c r="C920" s="44">
        <v>93.78</v>
      </c>
      <c r="D920" s="44">
        <v>94.474999999999994</v>
      </c>
      <c r="E920" s="44">
        <v>72496388</v>
      </c>
      <c r="F920" s="44" t="s">
        <v>848</v>
      </c>
      <c r="G920" s="25">
        <f t="shared" si="12"/>
        <v>-3.6517597247949229E-3</v>
      </c>
    </row>
    <row r="921" spans="1:7">
      <c r="A921" s="44">
        <v>95.5</v>
      </c>
      <c r="B921" s="44">
        <v>97.23</v>
      </c>
      <c r="C921" s="44">
        <v>94.92</v>
      </c>
      <c r="D921" s="44">
        <v>96.99</v>
      </c>
      <c r="E921" s="44">
        <v>68487969</v>
      </c>
      <c r="F921" s="44" t="s">
        <v>849</v>
      </c>
      <c r="G921" s="25">
        <f t="shared" si="12"/>
        <v>-1.5362408495721125E-2</v>
      </c>
    </row>
    <row r="922" spans="1:7">
      <c r="A922" s="44">
        <v>96.54</v>
      </c>
      <c r="B922" s="44">
        <v>96.54</v>
      </c>
      <c r="C922" s="44">
        <v>91.525000000000006</v>
      </c>
      <c r="D922" s="44">
        <v>92.47</v>
      </c>
      <c r="E922" s="44">
        <v>102805806</v>
      </c>
      <c r="F922" s="44" t="s">
        <v>850</v>
      </c>
      <c r="G922" s="25">
        <f t="shared" si="12"/>
        <v>4.4014274899967676E-2</v>
      </c>
    </row>
    <row r="923" spans="1:7">
      <c r="A923" s="44">
        <v>92.42</v>
      </c>
      <c r="B923" s="44">
        <v>94.41</v>
      </c>
      <c r="C923" s="44">
        <v>91.44</v>
      </c>
      <c r="D923" s="44">
        <v>94.04</v>
      </c>
      <c r="E923" s="44">
        <v>65567286</v>
      </c>
      <c r="F923" s="44" t="s">
        <v>851</v>
      </c>
      <c r="G923" s="25">
        <f t="shared" si="12"/>
        <v>-1.722671203743098E-2</v>
      </c>
    </row>
    <row r="924" spans="1:7">
      <c r="A924" s="44">
        <v>93.95</v>
      </c>
      <c r="B924" s="44">
        <v>96.4</v>
      </c>
      <c r="C924" s="44">
        <v>93.43</v>
      </c>
      <c r="D924" s="44">
        <v>93.93</v>
      </c>
      <c r="E924" s="44">
        <v>75062316</v>
      </c>
      <c r="F924" s="44" t="s">
        <v>852</v>
      </c>
      <c r="G924" s="25">
        <f t="shared" si="12"/>
        <v>2.1292451825827285E-4</v>
      </c>
    </row>
    <row r="925" spans="1:7">
      <c r="A925" s="44">
        <v>93.41</v>
      </c>
      <c r="B925" s="44">
        <v>94.43</v>
      </c>
      <c r="C925" s="44">
        <v>93.064999999999998</v>
      </c>
      <c r="D925" s="44">
        <v>93.79</v>
      </c>
      <c r="E925" s="44">
        <v>35088609</v>
      </c>
      <c r="F925" s="44" t="s">
        <v>853</v>
      </c>
      <c r="G925" s="25">
        <f t="shared" si="12"/>
        <v>-4.0516046486833712E-3</v>
      </c>
    </row>
    <row r="926" spans="1:7">
      <c r="A926" s="44">
        <v>94.13</v>
      </c>
      <c r="B926" s="44">
        <v>94.58</v>
      </c>
      <c r="C926" s="44">
        <v>92.83</v>
      </c>
      <c r="D926" s="44">
        <v>93.24</v>
      </c>
      <c r="E926" s="44">
        <v>59414684</v>
      </c>
      <c r="F926" s="44" t="s">
        <v>854</v>
      </c>
      <c r="G926" s="25">
        <f t="shared" si="12"/>
        <v>9.5452595452596434E-3</v>
      </c>
    </row>
    <row r="927" spans="1:7">
      <c r="A927" s="44">
        <v>93.2</v>
      </c>
      <c r="B927" s="44">
        <v>93.35</v>
      </c>
      <c r="C927" s="44">
        <v>90.87</v>
      </c>
      <c r="D927" s="44">
        <v>92.62</v>
      </c>
      <c r="E927" s="44">
        <v>62191962</v>
      </c>
      <c r="F927" s="44" t="s">
        <v>855</v>
      </c>
      <c r="G927" s="25">
        <f t="shared" si="12"/>
        <v>6.2621464046641595E-3</v>
      </c>
    </row>
    <row r="928" spans="1:7">
      <c r="A928" s="44">
        <v>92.46</v>
      </c>
      <c r="B928" s="44">
        <v>95.02</v>
      </c>
      <c r="C928" s="44">
        <v>90.59</v>
      </c>
      <c r="D928" s="44">
        <v>93.97</v>
      </c>
      <c r="E928" s="44">
        <v>84330270</v>
      </c>
      <c r="F928" s="44" t="s">
        <v>856</v>
      </c>
      <c r="G928" s="25">
        <f t="shared" si="12"/>
        <v>-1.6068958178142023E-2</v>
      </c>
    </row>
    <row r="929" spans="1:7">
      <c r="A929" s="44">
        <v>94.14</v>
      </c>
      <c r="B929" s="44">
        <v>95.99</v>
      </c>
      <c r="C929" s="44">
        <v>92.48</v>
      </c>
      <c r="D929" s="44">
        <v>95.95</v>
      </c>
      <c r="E929" s="44">
        <v>72428185</v>
      </c>
      <c r="F929" s="44" t="s">
        <v>857</v>
      </c>
      <c r="G929" s="25">
        <f t="shared" si="12"/>
        <v>-1.8863991662324109E-2</v>
      </c>
    </row>
    <row r="930" spans="1:7">
      <c r="A930" s="44">
        <v>94.85</v>
      </c>
      <c r="B930" s="44">
        <v>96.97</v>
      </c>
      <c r="C930" s="44">
        <v>94.03</v>
      </c>
      <c r="D930" s="44">
        <v>95.37</v>
      </c>
      <c r="E930" s="44">
        <v>82617865</v>
      </c>
      <c r="F930" s="44" t="s">
        <v>858</v>
      </c>
      <c r="G930" s="25">
        <f t="shared" si="12"/>
        <v>-5.4524483590228101E-3</v>
      </c>
    </row>
    <row r="931" spans="1:7">
      <c r="A931" s="44">
        <v>97.12</v>
      </c>
      <c r="B931" s="44">
        <v>98.487899999999996</v>
      </c>
      <c r="C931" s="44">
        <v>95.54</v>
      </c>
      <c r="D931" s="44">
        <v>96.85</v>
      </c>
      <c r="E931" s="44">
        <v>87958828</v>
      </c>
      <c r="F931" s="44" t="s">
        <v>859</v>
      </c>
      <c r="G931" s="25">
        <f t="shared" si="12"/>
        <v>2.7878162106351745E-3</v>
      </c>
    </row>
    <row r="932" spans="1:7">
      <c r="A932" s="44">
        <v>98.94</v>
      </c>
      <c r="B932" s="44">
        <v>103.79</v>
      </c>
      <c r="C932" s="44">
        <v>97.34</v>
      </c>
      <c r="D932" s="44">
        <v>103.21</v>
      </c>
      <c r="E932" s="44">
        <v>111336317</v>
      </c>
      <c r="F932" s="44" t="s">
        <v>860</v>
      </c>
      <c r="G932" s="25">
        <f t="shared" si="12"/>
        <v>-4.1371960081387438E-2</v>
      </c>
    </row>
    <row r="933" spans="1:7">
      <c r="A933" s="44">
        <v>98.49</v>
      </c>
      <c r="B933" s="44">
        <v>100.1199</v>
      </c>
      <c r="C933" s="44">
        <v>97.29</v>
      </c>
      <c r="D933" s="44">
        <v>98.77</v>
      </c>
      <c r="E933" s="44">
        <v>99533072</v>
      </c>
      <c r="F933" s="44" t="s">
        <v>861</v>
      </c>
      <c r="G933" s="25">
        <f t="shared" si="12"/>
        <v>-2.8348688873139904E-3</v>
      </c>
    </row>
    <row r="934" spans="1:7">
      <c r="A934" s="44">
        <v>100.79</v>
      </c>
      <c r="B934" s="44">
        <v>101.19</v>
      </c>
      <c r="C934" s="44">
        <v>96.66</v>
      </c>
      <c r="D934" s="44">
        <v>97.88</v>
      </c>
      <c r="E934" s="44">
        <v>111590544</v>
      </c>
      <c r="F934" s="44" t="s">
        <v>862</v>
      </c>
      <c r="G934" s="25">
        <f t="shared" si="12"/>
        <v>2.9730281977932371E-2</v>
      </c>
    </row>
    <row r="935" spans="1:7">
      <c r="A935" s="44">
        <v>96.63</v>
      </c>
      <c r="B935" s="44">
        <v>98.69</v>
      </c>
      <c r="C935" s="44">
        <v>91.65</v>
      </c>
      <c r="D935" s="44">
        <v>92.935000000000002</v>
      </c>
      <c r="E935" s="44">
        <v>173414862</v>
      </c>
      <c r="F935" s="44" t="s">
        <v>863</v>
      </c>
      <c r="G935" s="25">
        <f t="shared" si="12"/>
        <v>3.9758971324043602E-2</v>
      </c>
    </row>
    <row r="936" spans="1:7">
      <c r="A936" s="44">
        <v>86.14</v>
      </c>
      <c r="B936" s="44">
        <v>89.48</v>
      </c>
      <c r="C936" s="44">
        <v>85.87</v>
      </c>
      <c r="D936" s="44">
        <v>89.47</v>
      </c>
      <c r="E936" s="44">
        <v>90796249</v>
      </c>
      <c r="F936" s="44" t="s">
        <v>864</v>
      </c>
      <c r="G936" s="25">
        <f t="shared" si="12"/>
        <v>-3.7219179613278142E-2</v>
      </c>
    </row>
    <row r="937" spans="1:7">
      <c r="A937" s="44">
        <v>89.98</v>
      </c>
      <c r="B937" s="44">
        <v>91.72</v>
      </c>
      <c r="C937" s="44">
        <v>88.23</v>
      </c>
      <c r="D937" s="44">
        <v>90.79</v>
      </c>
      <c r="E937" s="44">
        <v>88703370</v>
      </c>
      <c r="F937" s="44" t="s">
        <v>865</v>
      </c>
      <c r="G937" s="25">
        <f t="shared" si="12"/>
        <v>-8.9216874105078059E-3</v>
      </c>
    </row>
    <row r="938" spans="1:7">
      <c r="A938" s="44">
        <v>90.53</v>
      </c>
      <c r="B938" s="44">
        <v>92.1</v>
      </c>
      <c r="C938" s="44">
        <v>89.04</v>
      </c>
      <c r="D938" s="44">
        <v>91.95</v>
      </c>
      <c r="E938" s="44">
        <v>77495728</v>
      </c>
      <c r="F938" s="44" t="s">
        <v>866</v>
      </c>
      <c r="G938" s="25">
        <f t="shared" si="12"/>
        <v>-1.544317563893427E-2</v>
      </c>
    </row>
    <row r="939" spans="1:7">
      <c r="A939" s="44">
        <v>90.98</v>
      </c>
      <c r="B939" s="44">
        <v>92.44</v>
      </c>
      <c r="C939" s="44">
        <v>88.04</v>
      </c>
      <c r="D939" s="44">
        <v>91.49</v>
      </c>
      <c r="E939" s="44">
        <v>129101336</v>
      </c>
      <c r="F939" s="44" t="s">
        <v>867</v>
      </c>
      <c r="G939" s="25">
        <f t="shared" si="12"/>
        <v>-5.5743797136298401E-3</v>
      </c>
    </row>
    <row r="940" spans="1:7">
      <c r="A940" s="44">
        <v>89.3</v>
      </c>
      <c r="B940" s="44">
        <v>93.5</v>
      </c>
      <c r="C940" s="44">
        <v>89.02</v>
      </c>
      <c r="D940" s="44">
        <v>92.47</v>
      </c>
      <c r="E940" s="44">
        <v>136683303</v>
      </c>
      <c r="F940" s="44" t="s">
        <v>868</v>
      </c>
      <c r="G940" s="25">
        <f t="shared" si="12"/>
        <v>-3.428138855845142E-2</v>
      </c>
    </row>
    <row r="941" spans="1:7">
      <c r="A941" s="44">
        <v>92.12</v>
      </c>
      <c r="B941" s="44">
        <v>97.74</v>
      </c>
      <c r="C941" s="44">
        <v>92.01</v>
      </c>
      <c r="D941" s="44">
        <v>97.314999999999998</v>
      </c>
      <c r="E941" s="44">
        <v>135761798</v>
      </c>
      <c r="F941" s="44" t="s">
        <v>869</v>
      </c>
      <c r="G941" s="25">
        <f t="shared" si="12"/>
        <v>-5.3383342752915675E-2</v>
      </c>
    </row>
    <row r="942" spans="1:7">
      <c r="A942" s="44">
        <v>96.79</v>
      </c>
      <c r="B942" s="44">
        <v>104.58</v>
      </c>
      <c r="C942" s="44">
        <v>96.06</v>
      </c>
      <c r="D942" s="44">
        <v>103.99</v>
      </c>
      <c r="E942" s="44">
        <v>153370032</v>
      </c>
      <c r="F942" s="44" t="s">
        <v>870</v>
      </c>
      <c r="G942" s="25">
        <f t="shared" si="12"/>
        <v>-6.9237426675641811E-2</v>
      </c>
    </row>
    <row r="943" spans="1:7">
      <c r="A943" s="44">
        <v>102.44</v>
      </c>
      <c r="B943" s="44">
        <v>104.87</v>
      </c>
      <c r="C943" s="44">
        <v>100.74</v>
      </c>
      <c r="D943" s="44">
        <v>103.56</v>
      </c>
      <c r="E943" s="44">
        <v>99251395</v>
      </c>
      <c r="F943" s="44" t="s">
        <v>871</v>
      </c>
      <c r="G943" s="25">
        <f t="shared" si="12"/>
        <v>-1.0814986481266997E-2</v>
      </c>
    </row>
    <row r="944" spans="1:7">
      <c r="A944" s="44">
        <v>103.41</v>
      </c>
      <c r="B944" s="44">
        <v>103.96</v>
      </c>
      <c r="C944" s="44">
        <v>97.66</v>
      </c>
      <c r="D944" s="44">
        <v>97.905000000000001</v>
      </c>
      <c r="E944" s="44">
        <v>223133398</v>
      </c>
      <c r="F944" s="44" t="s">
        <v>872</v>
      </c>
      <c r="G944" s="25">
        <f t="shared" si="12"/>
        <v>5.6227976099279875E-2</v>
      </c>
    </row>
    <row r="945" spans="1:7">
      <c r="A945" s="44">
        <v>110.96</v>
      </c>
      <c r="B945" s="44">
        <v>114.12</v>
      </c>
      <c r="C945" s="44">
        <v>109.77</v>
      </c>
      <c r="D945" s="44">
        <v>113.92</v>
      </c>
      <c r="E945" s="44">
        <v>129605362</v>
      </c>
      <c r="F945" s="44" t="s">
        <v>873</v>
      </c>
      <c r="G945" s="25">
        <f t="shared" si="12"/>
        <v>-2.5983146067415808E-2</v>
      </c>
    </row>
    <row r="946" spans="1:7">
      <c r="A946" s="44">
        <v>115.66</v>
      </c>
      <c r="B946" s="44">
        <v>119.34569999999999</v>
      </c>
      <c r="C946" s="44">
        <v>114.76</v>
      </c>
      <c r="D946" s="44">
        <v>116</v>
      </c>
      <c r="E946" s="44">
        <v>69002457</v>
      </c>
      <c r="F946" s="44" t="s">
        <v>874</v>
      </c>
      <c r="G946" s="25">
        <f t="shared" si="12"/>
        <v>-2.9310344827586654E-3</v>
      </c>
    </row>
    <row r="947" spans="1:7">
      <c r="A947" s="44">
        <v>120.6</v>
      </c>
      <c r="B947" s="44">
        <v>121.3152</v>
      </c>
      <c r="C947" s="44">
        <v>118.95</v>
      </c>
      <c r="D947" s="44">
        <v>119.65</v>
      </c>
      <c r="E947" s="44">
        <v>50934609</v>
      </c>
      <c r="F947" s="44" t="s">
        <v>875</v>
      </c>
      <c r="G947" s="25">
        <f t="shared" ref="G947:G1010" si="13">A947/D947-1</f>
        <v>7.9398244880901636E-3</v>
      </c>
    </row>
    <row r="948" spans="1:7">
      <c r="A948" s="44">
        <v>119.82</v>
      </c>
      <c r="B948" s="44">
        <v>120.39</v>
      </c>
      <c r="C948" s="44">
        <v>116.57</v>
      </c>
      <c r="D948" s="44">
        <v>119.98</v>
      </c>
      <c r="E948" s="44">
        <v>49531523</v>
      </c>
      <c r="F948" s="44" t="s">
        <v>876</v>
      </c>
      <c r="G948" s="25">
        <f t="shared" si="13"/>
        <v>-1.3335555925988452E-3</v>
      </c>
    </row>
    <row r="949" spans="1:7">
      <c r="A949" s="44">
        <v>119.32</v>
      </c>
      <c r="B949" s="44">
        <v>119.59</v>
      </c>
      <c r="C949" s="44">
        <v>114.5</v>
      </c>
      <c r="D949" s="44">
        <v>114.792</v>
      </c>
      <c r="E949" s="44">
        <v>55660485</v>
      </c>
      <c r="F949" s="44" t="s">
        <v>877</v>
      </c>
      <c r="G949" s="25">
        <f t="shared" si="13"/>
        <v>3.9445257509234111E-2</v>
      </c>
    </row>
    <row r="950" spans="1:7">
      <c r="A950" s="44">
        <v>115.25</v>
      </c>
      <c r="B950" s="44">
        <v>118.24</v>
      </c>
      <c r="C950" s="44">
        <v>113.51</v>
      </c>
      <c r="D950" s="44">
        <v>113.83</v>
      </c>
      <c r="E950" s="44">
        <v>48795104</v>
      </c>
      <c r="F950" s="44" t="s">
        <v>878</v>
      </c>
      <c r="G950" s="25">
        <f t="shared" si="13"/>
        <v>1.2474743037863556E-2</v>
      </c>
    </row>
    <row r="951" spans="1:7">
      <c r="A951" s="44">
        <v>115.07</v>
      </c>
      <c r="B951" s="44">
        <v>116.5932</v>
      </c>
      <c r="C951" s="44">
        <v>113.22</v>
      </c>
      <c r="D951" s="44">
        <v>114.71</v>
      </c>
      <c r="E951" s="44">
        <v>47198122</v>
      </c>
      <c r="F951" s="44" t="s">
        <v>879</v>
      </c>
      <c r="G951" s="25">
        <f t="shared" si="13"/>
        <v>3.1383488797838144E-3</v>
      </c>
    </row>
    <row r="952" spans="1:7">
      <c r="A952" s="44">
        <v>116.36</v>
      </c>
      <c r="B952" s="44">
        <v>119.52</v>
      </c>
      <c r="C952" s="44">
        <v>114.79</v>
      </c>
      <c r="D952" s="44">
        <v>119.06</v>
      </c>
      <c r="E952" s="44">
        <v>65607448</v>
      </c>
      <c r="F952" s="44" t="s">
        <v>880</v>
      </c>
      <c r="G952" s="25">
        <f t="shared" si="13"/>
        <v>-2.26776415252814E-2</v>
      </c>
    </row>
    <row r="953" spans="1:7">
      <c r="A953" s="44">
        <v>113.79</v>
      </c>
      <c r="B953" s="44">
        <v>114.19</v>
      </c>
      <c r="C953" s="44">
        <v>110.09</v>
      </c>
      <c r="D953" s="44">
        <v>110.11</v>
      </c>
      <c r="E953" s="44">
        <v>62781985</v>
      </c>
      <c r="F953" s="44" t="s">
        <v>881</v>
      </c>
      <c r="G953" s="25">
        <f t="shared" si="13"/>
        <v>3.3421124330215379E-2</v>
      </c>
    </row>
    <row r="954" spans="1:7">
      <c r="A954" s="44">
        <v>106.9</v>
      </c>
      <c r="B954" s="44">
        <v>114.96</v>
      </c>
      <c r="C954" s="44">
        <v>106.6</v>
      </c>
      <c r="D954" s="44">
        <v>114.1</v>
      </c>
      <c r="E954" s="44">
        <v>67737344</v>
      </c>
      <c r="F954" s="44" t="s">
        <v>882</v>
      </c>
      <c r="G954" s="25">
        <f t="shared" si="13"/>
        <v>-6.3102541630148945E-2</v>
      </c>
    </row>
    <row r="955" spans="1:7">
      <c r="A955" s="44">
        <v>112.53</v>
      </c>
      <c r="B955" s="44">
        <v>113.44</v>
      </c>
      <c r="C955" s="44">
        <v>105.345</v>
      </c>
      <c r="D955" s="44">
        <v>107.88</v>
      </c>
      <c r="E955" s="44">
        <v>86868103</v>
      </c>
      <c r="F955" s="44" t="s">
        <v>883</v>
      </c>
      <c r="G955" s="25">
        <f t="shared" si="13"/>
        <v>4.31034482758621E-2</v>
      </c>
    </row>
    <row r="956" spans="1:7">
      <c r="A956" s="44">
        <v>112.9</v>
      </c>
      <c r="B956" s="44">
        <v>113.83</v>
      </c>
      <c r="C956" s="44">
        <v>111.4</v>
      </c>
      <c r="D956" s="44">
        <v>112.49</v>
      </c>
      <c r="E956" s="44">
        <v>45728660</v>
      </c>
      <c r="F956" s="44" t="s">
        <v>884</v>
      </c>
      <c r="G956" s="25">
        <f t="shared" si="13"/>
        <v>3.6447684238600786E-3</v>
      </c>
    </row>
    <row r="957" spans="1:7">
      <c r="A957" s="44">
        <v>112.21</v>
      </c>
      <c r="B957" s="44">
        <v>115.48</v>
      </c>
      <c r="C957" s="44">
        <v>110.39</v>
      </c>
      <c r="D957" s="44">
        <v>112.71</v>
      </c>
      <c r="E957" s="44">
        <v>56432233</v>
      </c>
      <c r="F957" s="44" t="s">
        <v>885</v>
      </c>
      <c r="G957" s="25">
        <f t="shared" si="13"/>
        <v>-4.4361636057137499E-3</v>
      </c>
    </row>
    <row r="958" spans="1:7">
      <c r="A958" s="44">
        <v>113.67</v>
      </c>
      <c r="B958" s="44">
        <v>116.25</v>
      </c>
      <c r="C958" s="44">
        <v>112.43</v>
      </c>
      <c r="D958" s="44">
        <v>115.1</v>
      </c>
      <c r="E958" s="44">
        <v>42339675</v>
      </c>
      <c r="F958" s="44" t="s">
        <v>886</v>
      </c>
      <c r="G958" s="25">
        <f t="shared" si="13"/>
        <v>-1.2423979148566411E-2</v>
      </c>
    </row>
    <row r="959" spans="1:7">
      <c r="A959" s="44">
        <v>114.56</v>
      </c>
      <c r="B959" s="44">
        <v>118.17</v>
      </c>
      <c r="C959" s="44">
        <v>113.88</v>
      </c>
      <c r="D959" s="44">
        <v>118</v>
      </c>
      <c r="E959" s="44">
        <v>54677980</v>
      </c>
      <c r="F959" s="44" t="s">
        <v>887</v>
      </c>
      <c r="G959" s="25">
        <f t="shared" si="13"/>
        <v>-2.915254237288134E-2</v>
      </c>
    </row>
    <row r="960" spans="1:7">
      <c r="A960" s="44">
        <v>120.3</v>
      </c>
      <c r="B960" s="44">
        <v>121.53</v>
      </c>
      <c r="C960" s="44">
        <v>119.5</v>
      </c>
      <c r="D960" s="44">
        <v>120.77</v>
      </c>
      <c r="E960" s="44">
        <v>42253755</v>
      </c>
      <c r="F960" s="44" t="s">
        <v>888</v>
      </c>
      <c r="G960" s="25">
        <f t="shared" si="13"/>
        <v>-3.8916949573569726E-3</v>
      </c>
    </row>
    <row r="961" spans="1:7">
      <c r="A961" s="44">
        <v>120.95</v>
      </c>
      <c r="B961" s="44">
        <v>121.75</v>
      </c>
      <c r="C961" s="44">
        <v>117.69</v>
      </c>
      <c r="D961" s="44">
        <v>118.58</v>
      </c>
      <c r="E961" s="44">
        <v>48217535</v>
      </c>
      <c r="F961" s="44" t="s">
        <v>889</v>
      </c>
      <c r="G961" s="25">
        <f t="shared" si="13"/>
        <v>1.9986506999494003E-2</v>
      </c>
    </row>
    <row r="962" spans="1:7">
      <c r="A962" s="44">
        <v>121.09</v>
      </c>
      <c r="B962" s="44">
        <v>123</v>
      </c>
      <c r="C962" s="44">
        <v>119.79</v>
      </c>
      <c r="D962" s="44">
        <v>119.89</v>
      </c>
      <c r="E962" s="44">
        <v>62812564</v>
      </c>
      <c r="F962" s="44" t="s">
        <v>890</v>
      </c>
      <c r="G962" s="25">
        <f t="shared" si="13"/>
        <v>1.0009175077154042E-2</v>
      </c>
    </row>
    <row r="963" spans="1:7">
      <c r="A963" s="44">
        <v>115.88</v>
      </c>
      <c r="B963" s="44">
        <v>116.91</v>
      </c>
      <c r="C963" s="44">
        <v>112.45</v>
      </c>
      <c r="D963" s="44">
        <v>113.58</v>
      </c>
      <c r="E963" s="44">
        <v>50941854</v>
      </c>
      <c r="F963" s="44" t="s">
        <v>891</v>
      </c>
      <c r="G963" s="25">
        <f t="shared" si="13"/>
        <v>2.0250044021834723E-2</v>
      </c>
    </row>
    <row r="964" spans="1:7">
      <c r="A964" s="44">
        <v>113</v>
      </c>
      <c r="B964" s="44">
        <v>116.92</v>
      </c>
      <c r="C964" s="44">
        <v>112.84</v>
      </c>
      <c r="D964" s="44">
        <v>114.075</v>
      </c>
      <c r="E964" s="44">
        <v>59479586</v>
      </c>
      <c r="F964" s="44" t="s">
        <v>892</v>
      </c>
      <c r="G964" s="25">
        <f t="shared" si="13"/>
        <v>-9.4236248082402163E-3</v>
      </c>
    </row>
    <row r="965" spans="1:7">
      <c r="A965" s="44">
        <v>114.8</v>
      </c>
      <c r="B965" s="44">
        <v>116.07</v>
      </c>
      <c r="C965" s="44">
        <v>113.06</v>
      </c>
      <c r="D965" s="44">
        <v>115.6</v>
      </c>
      <c r="E965" s="44">
        <v>58969714</v>
      </c>
      <c r="F965" s="44" t="s">
        <v>893</v>
      </c>
      <c r="G965" s="25">
        <f t="shared" si="13"/>
        <v>-6.9204152249134898E-3</v>
      </c>
    </row>
    <row r="966" spans="1:7">
      <c r="A966" s="44">
        <v>118.01</v>
      </c>
      <c r="B966" s="44">
        <v>118.7</v>
      </c>
      <c r="C966" s="44">
        <v>113.8</v>
      </c>
      <c r="D966" s="44">
        <v>114.38</v>
      </c>
      <c r="E966" s="44">
        <v>55763750</v>
      </c>
      <c r="F966" s="44" t="s">
        <v>894</v>
      </c>
      <c r="G966" s="25">
        <f t="shared" si="13"/>
        <v>3.1736317538031189E-2</v>
      </c>
    </row>
    <row r="967" spans="1:7">
      <c r="A967" s="44">
        <v>114.41</v>
      </c>
      <c r="B967" s="44">
        <v>118.32</v>
      </c>
      <c r="C967" s="44">
        <v>113.05</v>
      </c>
      <c r="D967" s="44">
        <v>117.19499999999999</v>
      </c>
      <c r="E967" s="44">
        <v>60094693</v>
      </c>
      <c r="F967" s="44" t="s">
        <v>895</v>
      </c>
      <c r="G967" s="25">
        <f t="shared" si="13"/>
        <v>-2.3763812449336563E-2</v>
      </c>
    </row>
    <row r="968" spans="1:7">
      <c r="A968" s="44">
        <v>115.15</v>
      </c>
      <c r="B968" s="44">
        <v>117.34</v>
      </c>
      <c r="C968" s="44">
        <v>113.13</v>
      </c>
      <c r="D968" s="44">
        <v>113.295</v>
      </c>
      <c r="E968" s="44">
        <v>62723268</v>
      </c>
      <c r="F968" s="44" t="s">
        <v>896</v>
      </c>
      <c r="G968" s="25">
        <f t="shared" si="13"/>
        <v>1.6373185047883876E-2</v>
      </c>
    </row>
    <row r="969" spans="1:7">
      <c r="A969" s="44">
        <v>113.78</v>
      </c>
      <c r="B969" s="44">
        <v>116.05</v>
      </c>
      <c r="C969" s="44">
        <v>112.06</v>
      </c>
      <c r="D969" s="44">
        <v>116</v>
      </c>
      <c r="E969" s="44">
        <v>65126665</v>
      </c>
      <c r="F969" s="44" t="s">
        <v>897</v>
      </c>
      <c r="G969" s="25">
        <f t="shared" si="13"/>
        <v>-1.9137931034482802E-2</v>
      </c>
    </row>
    <row r="970" spans="1:7">
      <c r="A970" s="44">
        <v>117.31</v>
      </c>
      <c r="B970" s="44">
        <v>118.79</v>
      </c>
      <c r="C970" s="44">
        <v>116.26</v>
      </c>
      <c r="D970" s="44">
        <v>117.08</v>
      </c>
      <c r="E970" s="44">
        <v>55229190</v>
      </c>
      <c r="F970" s="44" t="s">
        <v>898</v>
      </c>
      <c r="G970" s="25">
        <f t="shared" si="13"/>
        <v>1.9644687393236548E-3</v>
      </c>
    </row>
    <row r="971" spans="1:7">
      <c r="A971" s="44">
        <v>118.54</v>
      </c>
      <c r="B971" s="44">
        <v>123.76</v>
      </c>
      <c r="C971" s="44">
        <v>118.45</v>
      </c>
      <c r="D971" s="44">
        <v>122.49</v>
      </c>
      <c r="E971" s="44">
        <v>58498887</v>
      </c>
      <c r="F971" s="44" t="s">
        <v>899</v>
      </c>
      <c r="G971" s="25">
        <f t="shared" si="13"/>
        <v>-3.2247530410645653E-2</v>
      </c>
    </row>
    <row r="972" spans="1:7">
      <c r="A972" s="44">
        <v>122.19</v>
      </c>
      <c r="B972" s="44">
        <v>124.3963</v>
      </c>
      <c r="C972" s="44">
        <v>121.14</v>
      </c>
      <c r="D972" s="44">
        <v>123.35</v>
      </c>
      <c r="E972" s="44">
        <v>47698432</v>
      </c>
      <c r="F972" s="44" t="s">
        <v>900</v>
      </c>
      <c r="G972" s="25">
        <f t="shared" si="13"/>
        <v>-9.4041345764085404E-3</v>
      </c>
    </row>
    <row r="973" spans="1:7">
      <c r="A973" s="44">
        <v>124.66</v>
      </c>
      <c r="B973" s="44">
        <v>124.71</v>
      </c>
      <c r="C973" s="44">
        <v>121.8</v>
      </c>
      <c r="D973" s="44">
        <v>122.16</v>
      </c>
      <c r="E973" s="44">
        <v>47279727</v>
      </c>
      <c r="F973" s="44" t="s">
        <v>901</v>
      </c>
      <c r="G973" s="25">
        <f t="shared" si="13"/>
        <v>2.046496398166342E-2</v>
      </c>
    </row>
    <row r="974" spans="1:7">
      <c r="A974" s="44">
        <v>123.53</v>
      </c>
      <c r="B974" s="44">
        <v>123.87</v>
      </c>
      <c r="C974" s="44">
        <v>120.7</v>
      </c>
      <c r="D974" s="44">
        <v>122.78</v>
      </c>
      <c r="E974" s="44">
        <v>115667804</v>
      </c>
      <c r="F974" s="44" t="s">
        <v>902</v>
      </c>
      <c r="G974" s="25">
        <f t="shared" si="13"/>
        <v>6.1084867242222618E-3</v>
      </c>
    </row>
    <row r="975" spans="1:7">
      <c r="A975" s="44">
        <v>126.28</v>
      </c>
      <c r="B975" s="44">
        <v>130.37</v>
      </c>
      <c r="C975" s="44">
        <v>125.495</v>
      </c>
      <c r="D975" s="44">
        <v>127.38</v>
      </c>
      <c r="E975" s="44">
        <v>52887196</v>
      </c>
      <c r="F975" s="44" t="s">
        <v>903</v>
      </c>
      <c r="G975" s="25">
        <f t="shared" si="13"/>
        <v>-8.6355785837650689E-3</v>
      </c>
    </row>
    <row r="976" spans="1:7">
      <c r="A976" s="44">
        <v>128.55000000000001</v>
      </c>
      <c r="B976" s="44">
        <v>128.84</v>
      </c>
      <c r="C976" s="44">
        <v>126.33</v>
      </c>
      <c r="D976" s="44">
        <v>127.364</v>
      </c>
      <c r="E976" s="44">
        <v>45316772</v>
      </c>
      <c r="F976" s="44" t="s">
        <v>904</v>
      </c>
      <c r="G976" s="25">
        <f t="shared" si="13"/>
        <v>9.3118934706826195E-3</v>
      </c>
    </row>
    <row r="977" spans="1:7">
      <c r="A977" s="44">
        <v>126.82</v>
      </c>
      <c r="B977" s="44">
        <v>131.4</v>
      </c>
      <c r="C977" s="44">
        <v>126.27</v>
      </c>
      <c r="D977" s="44">
        <v>131.01</v>
      </c>
      <c r="E977" s="44">
        <v>72694010</v>
      </c>
      <c r="F977" s="44" t="s">
        <v>905</v>
      </c>
      <c r="G977" s="25">
        <f t="shared" si="13"/>
        <v>-3.1982291428135246E-2</v>
      </c>
    </row>
    <row r="978" spans="1:7">
      <c r="A978" s="44">
        <v>136.44999999999999</v>
      </c>
      <c r="B978" s="44">
        <v>136.49</v>
      </c>
      <c r="C978" s="44">
        <v>134</v>
      </c>
      <c r="D978" s="44">
        <v>134.095</v>
      </c>
      <c r="E978" s="44">
        <v>53826859</v>
      </c>
      <c r="F978" s="44" t="s">
        <v>906</v>
      </c>
      <c r="G978" s="25">
        <f t="shared" si="13"/>
        <v>1.7562176069204627E-2</v>
      </c>
    </row>
    <row r="979" spans="1:7">
      <c r="A979" s="44">
        <v>133.27000000000001</v>
      </c>
      <c r="B979" s="44">
        <v>133.69</v>
      </c>
      <c r="C979" s="44">
        <v>130.76</v>
      </c>
      <c r="D979" s="44">
        <v>130.91</v>
      </c>
      <c r="E979" s="44">
        <v>49422259</v>
      </c>
      <c r="F979" s="44" t="s">
        <v>907</v>
      </c>
      <c r="G979" s="25">
        <f t="shared" si="13"/>
        <v>1.8027652585746123E-2</v>
      </c>
    </row>
    <row r="980" spans="1:7">
      <c r="A980" s="44">
        <v>129.82</v>
      </c>
      <c r="B980" s="44">
        <v>130.28</v>
      </c>
      <c r="C980" s="44">
        <v>127.1</v>
      </c>
      <c r="D980" s="44">
        <v>127.72</v>
      </c>
      <c r="E980" s="44">
        <v>43988509</v>
      </c>
      <c r="F980" s="44" t="s">
        <v>908</v>
      </c>
      <c r="G980" s="25">
        <f t="shared" si="13"/>
        <v>1.6442217350454147E-2</v>
      </c>
    </row>
    <row r="981" spans="1:7">
      <c r="A981" s="44">
        <v>129.47999999999999</v>
      </c>
      <c r="B981" s="44">
        <v>129.82</v>
      </c>
      <c r="C981" s="44">
        <v>125.4</v>
      </c>
      <c r="D981" s="44">
        <v>126.12</v>
      </c>
      <c r="E981" s="44">
        <v>47834487</v>
      </c>
      <c r="F981" s="44" t="s">
        <v>909</v>
      </c>
      <c r="G981" s="25">
        <f t="shared" si="13"/>
        <v>2.6641294005708804E-2</v>
      </c>
    </row>
    <row r="982" spans="1:7">
      <c r="A982" s="44">
        <v>126.11</v>
      </c>
      <c r="B982" s="44">
        <v>128.62</v>
      </c>
      <c r="C982" s="44">
        <v>124.74</v>
      </c>
      <c r="D982" s="44">
        <v>127.92</v>
      </c>
      <c r="E982" s="44">
        <v>43888587</v>
      </c>
      <c r="F982" s="44" t="s">
        <v>910</v>
      </c>
      <c r="G982" s="25">
        <f t="shared" si="13"/>
        <v>-1.4149468417761102E-2</v>
      </c>
    </row>
    <row r="983" spans="1:7">
      <c r="A983" s="44">
        <v>127.51</v>
      </c>
      <c r="B983" s="44">
        <v>131.38</v>
      </c>
      <c r="C983" s="44">
        <v>126.39</v>
      </c>
      <c r="D983" s="44">
        <v>129.5</v>
      </c>
      <c r="E983" s="44">
        <v>57429829</v>
      </c>
      <c r="F983" s="44" t="s">
        <v>911</v>
      </c>
      <c r="G983" s="25">
        <f t="shared" si="13"/>
        <v>-1.5366795366795305E-2</v>
      </c>
    </row>
    <row r="984" spans="1:7">
      <c r="A984" s="44">
        <v>127.82</v>
      </c>
      <c r="B984" s="44">
        <v>128.02000000000001</v>
      </c>
      <c r="C984" s="44">
        <v>123.66</v>
      </c>
      <c r="D984" s="44">
        <v>126</v>
      </c>
      <c r="E984" s="44">
        <v>56636145</v>
      </c>
      <c r="F984" s="44" t="s">
        <v>912</v>
      </c>
      <c r="G984" s="25">
        <f t="shared" si="13"/>
        <v>1.4444444444444482E-2</v>
      </c>
    </row>
    <row r="985" spans="1:7">
      <c r="A985" s="44">
        <v>126.77</v>
      </c>
      <c r="B985" s="44">
        <v>130.59</v>
      </c>
      <c r="C985" s="44">
        <v>126.74</v>
      </c>
      <c r="D985" s="44">
        <v>129.44999999999999</v>
      </c>
      <c r="E985" s="44">
        <v>53648702</v>
      </c>
      <c r="F985" s="44" t="s">
        <v>913</v>
      </c>
      <c r="G985" s="25">
        <f t="shared" si="13"/>
        <v>-2.0702974121282303E-2</v>
      </c>
    </row>
    <row r="986" spans="1:7">
      <c r="A986" s="44">
        <v>128.72999999999999</v>
      </c>
      <c r="B986" s="44">
        <v>132.0745</v>
      </c>
      <c r="C986" s="44">
        <v>126.85</v>
      </c>
      <c r="D986" s="44">
        <v>131.25</v>
      </c>
      <c r="E986" s="44">
        <v>49202990</v>
      </c>
      <c r="F986" s="44" t="s">
        <v>914</v>
      </c>
      <c r="G986" s="25">
        <f t="shared" si="13"/>
        <v>-1.9200000000000106E-2</v>
      </c>
    </row>
    <row r="987" spans="1:7">
      <c r="A987" s="44">
        <v>129.79</v>
      </c>
      <c r="B987" s="44">
        <v>131.94990000000001</v>
      </c>
      <c r="C987" s="44">
        <v>128.77000000000001</v>
      </c>
      <c r="D987" s="44">
        <v>129.9</v>
      </c>
      <c r="E987" s="44">
        <v>48101638</v>
      </c>
      <c r="F987" s="44" t="s">
        <v>915</v>
      </c>
      <c r="G987" s="25">
        <f t="shared" si="13"/>
        <v>-8.468052347960775E-4</v>
      </c>
    </row>
    <row r="988" spans="1:7">
      <c r="A988" s="44">
        <v>130.75</v>
      </c>
      <c r="B988" s="44">
        <v>137.83000000000001</v>
      </c>
      <c r="C988" s="44">
        <v>130.5</v>
      </c>
      <c r="D988" s="44">
        <v>136.55000000000001</v>
      </c>
      <c r="E988" s="44">
        <v>53322663</v>
      </c>
      <c r="F988" s="44" t="s">
        <v>916</v>
      </c>
      <c r="G988" s="25">
        <f t="shared" si="13"/>
        <v>-4.2475283778835693E-2</v>
      </c>
    </row>
    <row r="989" spans="1:7">
      <c r="A989" s="44">
        <v>137.28</v>
      </c>
      <c r="B989" s="44">
        <v>137.41999999999999</v>
      </c>
      <c r="C989" s="44">
        <v>134.28</v>
      </c>
      <c r="D989" s="44">
        <v>135.26</v>
      </c>
      <c r="E989" s="44">
        <v>37496283</v>
      </c>
      <c r="F989" s="44" t="s">
        <v>917</v>
      </c>
      <c r="G989" s="25">
        <f t="shared" si="13"/>
        <v>1.4934200798462305E-2</v>
      </c>
    </row>
    <row r="990" spans="1:7">
      <c r="A990" s="44">
        <v>133.80000000000001</v>
      </c>
      <c r="B990" s="44">
        <v>135.47</v>
      </c>
      <c r="C990" s="44">
        <v>132.1</v>
      </c>
      <c r="D990" s="44">
        <v>132.75</v>
      </c>
      <c r="E990" s="44">
        <v>38626978</v>
      </c>
      <c r="F990" s="44" t="s">
        <v>918</v>
      </c>
      <c r="G990" s="25">
        <f t="shared" si="13"/>
        <v>7.9096045197741827E-3</v>
      </c>
    </row>
    <row r="991" spans="1:7">
      <c r="A991" s="44">
        <v>133.62</v>
      </c>
      <c r="B991" s="44">
        <v>134.99</v>
      </c>
      <c r="C991" s="44">
        <v>132.94999999999999</v>
      </c>
      <c r="D991" s="44">
        <v>133.41</v>
      </c>
      <c r="E991" s="44">
        <v>36252103</v>
      </c>
      <c r="F991" s="44" t="s">
        <v>919</v>
      </c>
      <c r="G991" s="25">
        <f t="shared" si="13"/>
        <v>1.5740948954352518E-3</v>
      </c>
    </row>
    <row r="992" spans="1:7">
      <c r="A992" s="44">
        <v>133.22</v>
      </c>
      <c r="B992" s="44">
        <v>136.32</v>
      </c>
      <c r="C992" s="44">
        <v>132.85</v>
      </c>
      <c r="D992" s="44">
        <v>135.72</v>
      </c>
      <c r="E992" s="44">
        <v>50461504</v>
      </c>
      <c r="F992" s="44" t="s">
        <v>920</v>
      </c>
      <c r="G992" s="25">
        <f t="shared" si="13"/>
        <v>-1.8420277040966715E-2</v>
      </c>
    </row>
    <row r="993" spans="1:7">
      <c r="A993" s="44">
        <v>138.22999999999999</v>
      </c>
      <c r="B993" s="44">
        <v>141.11000000000001</v>
      </c>
      <c r="C993" s="44">
        <v>137.91419999999999</v>
      </c>
      <c r="D993" s="44">
        <v>140.47</v>
      </c>
      <c r="E993" s="44">
        <v>47792843</v>
      </c>
      <c r="F993" s="44" t="s">
        <v>921</v>
      </c>
      <c r="G993" s="25">
        <f t="shared" si="13"/>
        <v>-1.5946465437460033E-2</v>
      </c>
    </row>
    <row r="994" spans="1:7">
      <c r="A994" s="44">
        <v>142.30000000000001</v>
      </c>
      <c r="B994" s="44">
        <v>142.77000000000001</v>
      </c>
      <c r="C994" s="44">
        <v>140.38</v>
      </c>
      <c r="D994" s="44">
        <v>141.32</v>
      </c>
      <c r="E994" s="44">
        <v>37458737</v>
      </c>
      <c r="F994" s="44" t="s">
        <v>922</v>
      </c>
      <c r="G994" s="25">
        <f t="shared" si="13"/>
        <v>6.9346164732522197E-3</v>
      </c>
    </row>
    <row r="995" spans="1:7">
      <c r="A995" s="44">
        <v>142.1</v>
      </c>
      <c r="B995" s="44">
        <v>143.38</v>
      </c>
      <c r="C995" s="44">
        <v>140.78</v>
      </c>
      <c r="D995" s="44">
        <v>142.69</v>
      </c>
      <c r="E995" s="44">
        <v>48149778</v>
      </c>
      <c r="F995" s="44" t="s">
        <v>923</v>
      </c>
      <c r="G995" s="25">
        <f t="shared" si="13"/>
        <v>-4.1348377601794217E-3</v>
      </c>
    </row>
    <row r="996" spans="1:7">
      <c r="A996" s="44">
        <v>144.78</v>
      </c>
      <c r="B996" s="44">
        <v>146.57</v>
      </c>
      <c r="C996" s="44">
        <v>142</v>
      </c>
      <c r="D996" s="44">
        <v>143.905</v>
      </c>
      <c r="E996" s="44">
        <v>59102859</v>
      </c>
      <c r="F996" s="44" t="s">
        <v>924</v>
      </c>
      <c r="G996" s="25">
        <f t="shared" si="13"/>
        <v>6.0804002640630905E-3</v>
      </c>
    </row>
    <row r="997" spans="1:7">
      <c r="A997" s="44">
        <v>143.18</v>
      </c>
      <c r="B997" s="44">
        <v>143.76</v>
      </c>
      <c r="C997" s="44">
        <v>141.49</v>
      </c>
      <c r="D997" s="44">
        <v>142.80000000000001</v>
      </c>
      <c r="E997" s="44">
        <v>39014583</v>
      </c>
      <c r="F997" s="44" t="s">
        <v>925</v>
      </c>
      <c r="G997" s="25">
        <f t="shared" si="13"/>
        <v>2.6610644257702987E-3</v>
      </c>
    </row>
    <row r="998" spans="1:7">
      <c r="A998" s="44">
        <v>143.55000000000001</v>
      </c>
      <c r="B998" s="44">
        <v>143.57</v>
      </c>
      <c r="C998" s="44">
        <v>140.12010000000001</v>
      </c>
      <c r="D998" s="44">
        <v>142.05000000000001</v>
      </c>
      <c r="E998" s="44">
        <v>47643484</v>
      </c>
      <c r="F998" s="44" t="s">
        <v>926</v>
      </c>
      <c r="G998" s="25">
        <f t="shared" si="13"/>
        <v>1.0559662090813049E-2</v>
      </c>
    </row>
    <row r="999" spans="1:7">
      <c r="A999" s="44">
        <v>140.63999999999999</v>
      </c>
      <c r="B999" s="44">
        <v>144.49</v>
      </c>
      <c r="C999" s="44">
        <v>139.76</v>
      </c>
      <c r="D999" s="44">
        <v>143.86000000000001</v>
      </c>
      <c r="E999" s="44">
        <v>44867336</v>
      </c>
      <c r="F999" s="44" t="s">
        <v>927</v>
      </c>
      <c r="G999" s="25">
        <f t="shared" si="13"/>
        <v>-2.2382872236897167E-2</v>
      </c>
    </row>
    <row r="1000" spans="1:7">
      <c r="A1000" s="44">
        <v>142.69</v>
      </c>
      <c r="B1000" s="44">
        <v>144.6</v>
      </c>
      <c r="C1000" s="44">
        <v>141.01</v>
      </c>
      <c r="D1000" s="44">
        <v>142.9</v>
      </c>
      <c r="E1000" s="44">
        <v>54773819</v>
      </c>
      <c r="F1000" s="44" t="s">
        <v>928</v>
      </c>
      <c r="G1000" s="25">
        <f t="shared" si="13"/>
        <v>-1.469559132260323E-3</v>
      </c>
    </row>
    <row r="1001" spans="1:7">
      <c r="A1001" s="44">
        <v>137.83000000000001</v>
      </c>
      <c r="B1001" s="44">
        <v>138.95230000000001</v>
      </c>
      <c r="C1001" s="44">
        <v>136.21</v>
      </c>
      <c r="D1001" s="44">
        <v>138.05199999999999</v>
      </c>
      <c r="E1001" s="44">
        <v>40434715</v>
      </c>
      <c r="F1001" s="44" t="s">
        <v>929</v>
      </c>
      <c r="G1001" s="25">
        <f t="shared" si="13"/>
        <v>-1.6080897053283305E-3</v>
      </c>
    </row>
    <row r="1002" spans="1:7">
      <c r="A1002" s="44">
        <v>139.41</v>
      </c>
      <c r="B1002" s="44">
        <v>144.22999999999999</v>
      </c>
      <c r="C1002" s="44">
        <v>138.29</v>
      </c>
      <c r="D1002" s="44">
        <v>142.05000000000001</v>
      </c>
      <c r="E1002" s="44">
        <v>52303475</v>
      </c>
      <c r="F1002" s="44" t="s">
        <v>930</v>
      </c>
      <c r="G1002" s="25">
        <f t="shared" si="13"/>
        <v>-1.8585005279831202E-2</v>
      </c>
    </row>
    <row r="1003" spans="1:7">
      <c r="A1003" s="44">
        <v>140.80000000000001</v>
      </c>
      <c r="B1003" s="44">
        <v>142.86000000000001</v>
      </c>
      <c r="C1003" s="44">
        <v>139.6</v>
      </c>
      <c r="D1003" s="44">
        <v>140.1</v>
      </c>
      <c r="E1003" s="44">
        <v>50686865</v>
      </c>
      <c r="F1003" s="44" t="s">
        <v>931</v>
      </c>
      <c r="G1003" s="25">
        <f t="shared" si="13"/>
        <v>4.9964311206283085E-3</v>
      </c>
    </row>
    <row r="1004" spans="1:7">
      <c r="A1004" s="44">
        <v>142.57</v>
      </c>
      <c r="B1004" s="44">
        <v>143.56</v>
      </c>
      <c r="C1004" s="44">
        <v>139.55000000000001</v>
      </c>
      <c r="D1004" s="44">
        <v>140.58000000000001</v>
      </c>
      <c r="E1004" s="44">
        <v>70585020</v>
      </c>
      <c r="F1004" s="44" t="s">
        <v>932</v>
      </c>
      <c r="G1004" s="25">
        <f t="shared" si="13"/>
        <v>1.4155640916204248E-2</v>
      </c>
    </row>
    <row r="1005" spans="1:7">
      <c r="A1005" s="44">
        <v>139.52000000000001</v>
      </c>
      <c r="B1005" s="44">
        <v>140.49</v>
      </c>
      <c r="C1005" s="44">
        <v>136.05000000000001</v>
      </c>
      <c r="D1005" s="44">
        <v>136.21</v>
      </c>
      <c r="E1005" s="44">
        <v>71827780</v>
      </c>
      <c r="F1005" s="44" t="s">
        <v>933</v>
      </c>
      <c r="G1005" s="25">
        <f t="shared" si="13"/>
        <v>2.4300712135672864E-2</v>
      </c>
    </row>
    <row r="1006" spans="1:7">
      <c r="A1006" s="44">
        <v>134.16</v>
      </c>
      <c r="B1006" s="44">
        <v>137.44</v>
      </c>
      <c r="C1006" s="44">
        <v>134.09</v>
      </c>
      <c r="D1006" s="44">
        <v>134.72</v>
      </c>
      <c r="E1006" s="44">
        <v>61922429</v>
      </c>
      <c r="F1006" s="44" t="s">
        <v>934</v>
      </c>
      <c r="G1006" s="25">
        <f t="shared" si="13"/>
        <v>-4.1567695961995943E-3</v>
      </c>
    </row>
    <row r="1007" spans="1:7">
      <c r="A1007" s="44">
        <v>135.38999999999999</v>
      </c>
      <c r="B1007" s="44">
        <v>138.8339</v>
      </c>
      <c r="C1007" s="44">
        <v>133.51</v>
      </c>
      <c r="D1007" s="44">
        <v>134.96</v>
      </c>
      <c r="E1007" s="44">
        <v>76846908</v>
      </c>
      <c r="F1007" s="44" t="s">
        <v>935</v>
      </c>
      <c r="G1007" s="25">
        <f t="shared" si="13"/>
        <v>3.1861292234733884E-3</v>
      </c>
    </row>
    <row r="1008" spans="1:7">
      <c r="A1008" s="44">
        <v>134.94999999999999</v>
      </c>
      <c r="B1008" s="44">
        <v>137.65</v>
      </c>
      <c r="C1008" s="44">
        <v>132.41</v>
      </c>
      <c r="D1008" s="44">
        <v>134.9</v>
      </c>
      <c r="E1008" s="44">
        <v>148892889</v>
      </c>
      <c r="F1008" s="44" t="s">
        <v>936</v>
      </c>
      <c r="G1008" s="25">
        <f t="shared" si="13"/>
        <v>3.7064492216454248E-4</v>
      </c>
    </row>
    <row r="1009" spans="1:7">
      <c r="A1009" s="44">
        <v>122.28</v>
      </c>
      <c r="B1009" s="44">
        <v>122.84</v>
      </c>
      <c r="C1009" s="44">
        <v>118.08</v>
      </c>
      <c r="D1009" s="44">
        <v>121.57</v>
      </c>
      <c r="E1009" s="44">
        <v>82245543</v>
      </c>
      <c r="F1009" s="44" t="s">
        <v>937</v>
      </c>
      <c r="G1009" s="25">
        <f t="shared" si="13"/>
        <v>5.8402566422637303E-3</v>
      </c>
    </row>
    <row r="1010" spans="1:7">
      <c r="A1010" s="44">
        <v>120.97</v>
      </c>
      <c r="B1010" s="44">
        <v>121.9</v>
      </c>
      <c r="C1010" s="44">
        <v>117.16</v>
      </c>
      <c r="D1010" s="44">
        <v>117.31</v>
      </c>
      <c r="E1010" s="44">
        <v>61582015</v>
      </c>
      <c r="F1010" s="44" t="s">
        <v>938</v>
      </c>
      <c r="G1010" s="25">
        <f t="shared" si="13"/>
        <v>3.1199386241582028E-2</v>
      </c>
    </row>
    <row r="1011" spans="1:7">
      <c r="A1011" s="44">
        <v>114.81</v>
      </c>
      <c r="B1011" s="44">
        <v>118.15</v>
      </c>
      <c r="C1011" s="44">
        <v>114.53</v>
      </c>
      <c r="D1011" s="44">
        <v>115.79</v>
      </c>
      <c r="E1011" s="44">
        <v>67075064</v>
      </c>
      <c r="F1011" s="44" t="s">
        <v>939</v>
      </c>
      <c r="G1011" s="25">
        <f t="shared" ref="G1011:G1074" si="14">A1011/D1011-1</f>
        <v>-8.4635978927368738E-3</v>
      </c>
    </row>
    <row r="1012" spans="1:7">
      <c r="A1012" s="44">
        <v>121.14</v>
      </c>
      <c r="B1012" s="44">
        <v>123.64</v>
      </c>
      <c r="C1012" s="44">
        <v>120.03</v>
      </c>
      <c r="D1012" s="44">
        <v>122.69499999999999</v>
      </c>
      <c r="E1012" s="44">
        <v>50221259</v>
      </c>
      <c r="F1012" s="44" t="s">
        <v>940</v>
      </c>
      <c r="G1012" s="25">
        <f t="shared" si="14"/>
        <v>-1.2673703084885246E-2</v>
      </c>
    </row>
    <row r="1013" spans="1:7">
      <c r="A1013" s="44">
        <v>122.42</v>
      </c>
      <c r="B1013" s="44">
        <v>125.5</v>
      </c>
      <c r="C1013" s="44">
        <v>121.35039999999999</v>
      </c>
      <c r="D1013" s="44">
        <v>125.01</v>
      </c>
      <c r="E1013" s="44">
        <v>51463797</v>
      </c>
      <c r="F1013" s="44" t="s">
        <v>941</v>
      </c>
      <c r="G1013" s="25">
        <f t="shared" si="14"/>
        <v>-2.0718342532597411E-2</v>
      </c>
    </row>
    <row r="1014" spans="1:7">
      <c r="A1014" s="44">
        <v>124.63</v>
      </c>
      <c r="B1014" s="44">
        <v>124.85</v>
      </c>
      <c r="C1014" s="44">
        <v>121.26</v>
      </c>
      <c r="D1014" s="44">
        <v>123.2</v>
      </c>
      <c r="E1014" s="44">
        <v>60239892</v>
      </c>
      <c r="F1014" s="44" t="s">
        <v>942</v>
      </c>
      <c r="G1014" s="25">
        <f t="shared" si="14"/>
        <v>1.1607142857142705E-2</v>
      </c>
    </row>
    <row r="1015" spans="1:7">
      <c r="A1015" s="44">
        <v>122.77</v>
      </c>
      <c r="B1015" s="44">
        <v>123.47499999999999</v>
      </c>
      <c r="C1015" s="44">
        <v>118.32</v>
      </c>
      <c r="D1015" s="44">
        <v>118.61499999999999</v>
      </c>
      <c r="E1015" s="44">
        <v>71268322</v>
      </c>
      <c r="F1015" s="44" t="s">
        <v>943</v>
      </c>
      <c r="G1015" s="25">
        <f t="shared" si="14"/>
        <v>3.5029296463347848E-2</v>
      </c>
    </row>
    <row r="1016" spans="1:7">
      <c r="A1016" s="44">
        <v>118.21</v>
      </c>
      <c r="B1016" s="44">
        <v>118.95</v>
      </c>
      <c r="C1016" s="44">
        <v>114.03</v>
      </c>
      <c r="D1016" s="44">
        <v>115.7</v>
      </c>
      <c r="E1016" s="44">
        <v>60990043</v>
      </c>
      <c r="F1016" s="44" t="s">
        <v>944</v>
      </c>
      <c r="G1016" s="25">
        <f t="shared" si="14"/>
        <v>2.1694036300777819E-2</v>
      </c>
    </row>
    <row r="1017" spans="1:7">
      <c r="A1017" s="44">
        <v>113.76</v>
      </c>
      <c r="B1017" s="44">
        <v>117.24</v>
      </c>
      <c r="C1017" s="44">
        <v>113.15</v>
      </c>
      <c r="D1017" s="44">
        <v>115</v>
      </c>
      <c r="E1017" s="44">
        <v>59115419</v>
      </c>
      <c r="F1017" s="44" t="s">
        <v>945</v>
      </c>
      <c r="G1017" s="25">
        <f t="shared" si="14"/>
        <v>-1.0782608695652174E-2</v>
      </c>
    </row>
    <row r="1018" spans="1:7">
      <c r="A1018" s="44">
        <v>113.55</v>
      </c>
      <c r="B1018" s="44">
        <v>115.59</v>
      </c>
      <c r="C1018" s="44">
        <v>111.59</v>
      </c>
      <c r="D1018" s="44">
        <v>112.5</v>
      </c>
      <c r="E1018" s="44">
        <v>84317816</v>
      </c>
      <c r="F1018" s="44" t="s">
        <v>946</v>
      </c>
      <c r="G1018" s="25">
        <f t="shared" si="14"/>
        <v>9.3333333333334156E-3</v>
      </c>
    </row>
    <row r="1019" spans="1:7">
      <c r="A1019" s="44">
        <v>110.63</v>
      </c>
      <c r="B1019" s="44">
        <v>111.18</v>
      </c>
      <c r="C1019" s="44">
        <v>107.58</v>
      </c>
      <c r="D1019" s="44">
        <v>110.24</v>
      </c>
      <c r="E1019" s="44">
        <v>51163140</v>
      </c>
      <c r="F1019" s="44" t="s">
        <v>947</v>
      </c>
      <c r="G1019" s="25">
        <f t="shared" si="14"/>
        <v>3.5377358490567001E-3</v>
      </c>
    </row>
    <row r="1020" spans="1:7">
      <c r="A1020" s="44">
        <v>110.4</v>
      </c>
      <c r="B1020" s="44">
        <v>111.78</v>
      </c>
      <c r="C1020" s="44">
        <v>106.01</v>
      </c>
      <c r="D1020" s="44">
        <v>107.03</v>
      </c>
      <c r="E1020" s="44">
        <v>61353812</v>
      </c>
      <c r="F1020" s="44" t="s">
        <v>948</v>
      </c>
      <c r="G1020" s="25">
        <f t="shared" si="14"/>
        <v>3.1486499112398425E-2</v>
      </c>
    </row>
    <row r="1021" spans="1:7">
      <c r="A1021" s="44">
        <v>109.22</v>
      </c>
      <c r="B1021" s="44">
        <v>113.23</v>
      </c>
      <c r="C1021" s="44">
        <v>108.34</v>
      </c>
      <c r="D1021" s="44">
        <v>112.16</v>
      </c>
      <c r="E1021" s="44">
        <v>54280257</v>
      </c>
      <c r="F1021" s="44" t="s">
        <v>949</v>
      </c>
      <c r="G1021" s="25">
        <f t="shared" si="14"/>
        <v>-2.6212553495007063E-2</v>
      </c>
    </row>
    <row r="1022" spans="1:7">
      <c r="A1022" s="44">
        <v>111.75</v>
      </c>
      <c r="B1022" s="44">
        <v>114.3</v>
      </c>
      <c r="C1022" s="44">
        <v>110.87</v>
      </c>
      <c r="D1022" s="44">
        <v>114.08</v>
      </c>
      <c r="E1022" s="44">
        <v>53540019</v>
      </c>
      <c r="F1022" s="44" t="s">
        <v>950</v>
      </c>
      <c r="G1022" s="25">
        <f t="shared" si="14"/>
        <v>-2.0424263674614251E-2</v>
      </c>
    </row>
    <row r="1023" spans="1:7">
      <c r="A1023" s="44">
        <v>115.54</v>
      </c>
      <c r="B1023" s="44">
        <v>116.58</v>
      </c>
      <c r="C1023" s="44">
        <v>113.69</v>
      </c>
      <c r="D1023" s="44">
        <v>114.6</v>
      </c>
      <c r="E1023" s="44">
        <v>45719694</v>
      </c>
      <c r="F1023" s="44" t="s">
        <v>951</v>
      </c>
      <c r="G1023" s="25">
        <f t="shared" si="14"/>
        <v>8.2024432809775227E-3</v>
      </c>
    </row>
    <row r="1024" spans="1:7">
      <c r="A1024" s="44">
        <v>116.33</v>
      </c>
      <c r="B1024" s="44">
        <v>116.99</v>
      </c>
      <c r="C1024" s="44">
        <v>113.49</v>
      </c>
      <c r="D1024" s="44">
        <v>113.85</v>
      </c>
      <c r="E1024" s="44">
        <v>57872323</v>
      </c>
      <c r="F1024" s="44" t="s">
        <v>952</v>
      </c>
      <c r="G1024" s="25">
        <f t="shared" si="14"/>
        <v>2.1783047870004513E-2</v>
      </c>
    </row>
    <row r="1025" spans="1:7">
      <c r="A1025" s="44">
        <v>114.33</v>
      </c>
      <c r="B1025" s="44">
        <v>115.48</v>
      </c>
      <c r="C1025" s="44">
        <v>112.01</v>
      </c>
      <c r="D1025" s="44">
        <v>113.21</v>
      </c>
      <c r="E1025" s="44">
        <v>66958884</v>
      </c>
      <c r="F1025" s="44" t="s">
        <v>953</v>
      </c>
      <c r="G1025" s="25">
        <f t="shared" si="14"/>
        <v>9.8931189824220667E-3</v>
      </c>
    </row>
    <row r="1026" spans="1:7">
      <c r="A1026" s="44">
        <v>113.5</v>
      </c>
      <c r="B1026" s="44">
        <v>114.08</v>
      </c>
      <c r="C1026" s="44">
        <v>106.3242</v>
      </c>
      <c r="D1026" s="44">
        <v>107.6</v>
      </c>
      <c r="E1026" s="44">
        <v>76684414</v>
      </c>
      <c r="F1026" s="44" t="s">
        <v>954</v>
      </c>
      <c r="G1026" s="25">
        <f t="shared" si="14"/>
        <v>5.4832713754646933E-2</v>
      </c>
    </row>
    <row r="1027" spans="1:7">
      <c r="A1027" s="44">
        <v>109.56</v>
      </c>
      <c r="B1027" s="44">
        <v>109.75</v>
      </c>
      <c r="C1027" s="44">
        <v>105.84690000000001</v>
      </c>
      <c r="D1027" s="44">
        <v>106.29</v>
      </c>
      <c r="E1027" s="44">
        <v>73021171</v>
      </c>
      <c r="F1027" s="44" t="s">
        <v>955</v>
      </c>
      <c r="G1027" s="25">
        <f t="shared" si="14"/>
        <v>3.0764888512559985E-2</v>
      </c>
    </row>
    <row r="1028" spans="1:7">
      <c r="A1028" s="44">
        <v>106.21</v>
      </c>
      <c r="B1028" s="44">
        <v>108.18</v>
      </c>
      <c r="C1028" s="44">
        <v>102.52</v>
      </c>
      <c r="D1028" s="44">
        <v>108.11</v>
      </c>
      <c r="E1028" s="44">
        <v>97679401</v>
      </c>
      <c r="F1028" s="44" t="s">
        <v>956</v>
      </c>
      <c r="G1028" s="25">
        <f t="shared" si="14"/>
        <v>-1.7574692442882345E-2</v>
      </c>
    </row>
    <row r="1029" spans="1:7">
      <c r="A1029" s="44">
        <v>108.92</v>
      </c>
      <c r="B1029" s="44">
        <v>110.99</v>
      </c>
      <c r="C1029" s="44">
        <v>106.91</v>
      </c>
      <c r="D1029" s="44">
        <v>107.38</v>
      </c>
      <c r="E1029" s="44">
        <v>66375341</v>
      </c>
      <c r="F1029" s="44" t="s">
        <v>957</v>
      </c>
      <c r="G1029" s="25">
        <f t="shared" si="14"/>
        <v>1.4341590612777066E-2</v>
      </c>
    </row>
    <row r="1030" spans="1:7">
      <c r="A1030" s="44">
        <v>107.4</v>
      </c>
      <c r="B1030" s="44">
        <v>114.85</v>
      </c>
      <c r="C1030" s="44">
        <v>107.04</v>
      </c>
      <c r="D1030" s="44">
        <v>113.5</v>
      </c>
      <c r="E1030" s="44">
        <v>75172028</v>
      </c>
      <c r="F1030" s="44" t="s">
        <v>958</v>
      </c>
      <c r="G1030" s="25">
        <f t="shared" si="14"/>
        <v>-5.3744493392070436E-2</v>
      </c>
    </row>
    <row r="1031" spans="1:7">
      <c r="A1031" s="44">
        <v>113.22</v>
      </c>
      <c r="B1031" s="44">
        <v>117.98</v>
      </c>
      <c r="C1031" s="44">
        <v>112.7</v>
      </c>
      <c r="D1031" s="44">
        <v>117.09</v>
      </c>
      <c r="E1031" s="44">
        <v>62133240</v>
      </c>
      <c r="F1031" s="44" t="s">
        <v>959</v>
      </c>
      <c r="G1031" s="25">
        <f t="shared" si="14"/>
        <v>-3.3051498847040728E-2</v>
      </c>
    </row>
    <row r="1032" spans="1:7">
      <c r="A1032" s="44">
        <v>116.46</v>
      </c>
      <c r="B1032" s="44">
        <v>116.71</v>
      </c>
      <c r="C1032" s="44">
        <v>111.43</v>
      </c>
      <c r="D1032" s="44">
        <v>112.38</v>
      </c>
      <c r="E1032" s="44">
        <v>69867618</v>
      </c>
      <c r="F1032" s="44" t="s">
        <v>960</v>
      </c>
      <c r="G1032" s="25">
        <f t="shared" si="14"/>
        <v>3.6305392418579885E-2</v>
      </c>
    </row>
    <row r="1033" spans="1:7">
      <c r="A1033" s="44">
        <v>112.44</v>
      </c>
      <c r="B1033" s="44">
        <v>113</v>
      </c>
      <c r="C1033" s="44">
        <v>107.93</v>
      </c>
      <c r="D1033" s="44">
        <v>110.39</v>
      </c>
      <c r="E1033" s="44">
        <v>64345300</v>
      </c>
      <c r="F1033" s="44" t="s">
        <v>961</v>
      </c>
      <c r="G1033" s="25">
        <f t="shared" si="14"/>
        <v>1.8570522692272773E-2</v>
      </c>
    </row>
    <row r="1034" spans="1:7">
      <c r="A1034" s="44">
        <v>108.95</v>
      </c>
      <c r="B1034" s="44">
        <v>112.13</v>
      </c>
      <c r="C1034" s="44">
        <v>107.02</v>
      </c>
      <c r="D1034" s="44">
        <v>107.43</v>
      </c>
      <c r="E1034" s="44">
        <v>60040131</v>
      </c>
      <c r="F1034" s="44" t="s">
        <v>962</v>
      </c>
      <c r="G1034" s="25">
        <f t="shared" si="14"/>
        <v>1.414874802196775E-2</v>
      </c>
    </row>
    <row r="1035" spans="1:7">
      <c r="A1035" s="44">
        <v>108.68</v>
      </c>
      <c r="B1035" s="44">
        <v>111.62990000000001</v>
      </c>
      <c r="C1035" s="44">
        <v>103.56</v>
      </c>
      <c r="D1035" s="44">
        <v>108.2</v>
      </c>
      <c r="E1035" s="44">
        <v>70901245</v>
      </c>
      <c r="F1035" s="44" t="s">
        <v>963</v>
      </c>
      <c r="G1035" s="25">
        <f t="shared" si="14"/>
        <v>4.4362292051756125E-3</v>
      </c>
    </row>
    <row r="1036" spans="1:7">
      <c r="A1036" s="44">
        <v>106.22</v>
      </c>
      <c r="B1036" s="44">
        <v>106.98</v>
      </c>
      <c r="C1036" s="44">
        <v>102.51</v>
      </c>
      <c r="D1036" s="44">
        <v>102.8</v>
      </c>
      <c r="E1036" s="44">
        <v>99772147</v>
      </c>
      <c r="F1036" s="44" t="s">
        <v>964</v>
      </c>
      <c r="G1036" s="25">
        <f t="shared" si="14"/>
        <v>3.3268482490272477E-2</v>
      </c>
    </row>
    <row r="1037" spans="1:7">
      <c r="A1037" s="44">
        <v>103.66</v>
      </c>
      <c r="B1037" s="44">
        <v>104.58</v>
      </c>
      <c r="C1037" s="44">
        <v>102.01</v>
      </c>
      <c r="D1037" s="44">
        <v>104.47</v>
      </c>
      <c r="E1037" s="44">
        <v>82186301</v>
      </c>
      <c r="F1037" s="44" t="s">
        <v>965</v>
      </c>
      <c r="G1037" s="25">
        <f t="shared" si="14"/>
        <v>-7.753422035034041E-3</v>
      </c>
    </row>
    <row r="1038" spans="1:7">
      <c r="A1038" s="44">
        <v>107.67</v>
      </c>
      <c r="B1038" s="44">
        <v>109.06</v>
      </c>
      <c r="C1038" s="44">
        <v>103.53</v>
      </c>
      <c r="D1038" s="44">
        <v>103.86</v>
      </c>
      <c r="E1038" s="44">
        <v>85011060</v>
      </c>
      <c r="F1038" s="44" t="s">
        <v>966</v>
      </c>
      <c r="G1038" s="25">
        <f t="shared" si="14"/>
        <v>3.6683997689197057E-2</v>
      </c>
    </row>
    <row r="1039" spans="1:7">
      <c r="A1039" s="44">
        <v>102.31</v>
      </c>
      <c r="B1039" s="44">
        <v>104.88</v>
      </c>
      <c r="C1039" s="44">
        <v>101.43</v>
      </c>
      <c r="D1039" s="44">
        <v>104.19</v>
      </c>
      <c r="E1039" s="44">
        <v>69728761</v>
      </c>
      <c r="F1039" s="44" t="s">
        <v>967</v>
      </c>
      <c r="G1039" s="25">
        <f t="shared" si="14"/>
        <v>-1.8043958153373563E-2</v>
      </c>
    </row>
    <row r="1040" spans="1:7">
      <c r="A1040" s="44">
        <v>103.67</v>
      </c>
      <c r="B1040" s="44">
        <v>106.54</v>
      </c>
      <c r="C1040" s="44">
        <v>101.86</v>
      </c>
      <c r="D1040" s="44">
        <v>104.19</v>
      </c>
      <c r="E1040" s="44">
        <v>99277742</v>
      </c>
      <c r="F1040" s="44" t="s">
        <v>968</v>
      </c>
      <c r="G1040" s="25">
        <f t="shared" si="14"/>
        <v>-4.9908820424224842E-3</v>
      </c>
    </row>
    <row r="1041" spans="1:7">
      <c r="A1041" s="44">
        <v>109.65</v>
      </c>
      <c r="B1041" s="44">
        <v>114.5</v>
      </c>
      <c r="C1041" s="44">
        <v>109.05</v>
      </c>
      <c r="D1041" s="44">
        <v>113.41500000000001</v>
      </c>
      <c r="E1041" s="44">
        <v>87412245</v>
      </c>
      <c r="F1041" s="44" t="s">
        <v>969</v>
      </c>
      <c r="G1041" s="25">
        <f t="shared" si="14"/>
        <v>-3.3196667107525446E-2</v>
      </c>
    </row>
    <row r="1042" spans="1:7">
      <c r="A1042" s="44">
        <v>116.15</v>
      </c>
      <c r="B1042" s="44">
        <v>121.3</v>
      </c>
      <c r="C1042" s="44">
        <v>116.1</v>
      </c>
      <c r="D1042" s="44">
        <v>119.99</v>
      </c>
      <c r="E1042" s="44">
        <v>67029842</v>
      </c>
      <c r="F1042" s="44" t="s">
        <v>970</v>
      </c>
      <c r="G1042" s="25">
        <f t="shared" si="14"/>
        <v>-3.2002666888907294E-2</v>
      </c>
    </row>
    <row r="1043" spans="1:7">
      <c r="A1043" s="44">
        <v>121.18</v>
      </c>
      <c r="B1043" s="44">
        <v>123.75</v>
      </c>
      <c r="C1043" s="44">
        <v>120.75</v>
      </c>
      <c r="D1043" s="44">
        <v>122.61</v>
      </c>
      <c r="E1043" s="44">
        <v>64926594</v>
      </c>
      <c r="F1043" s="44" t="s">
        <v>971</v>
      </c>
      <c r="G1043" s="25">
        <f t="shared" si="14"/>
        <v>-1.1662996492944999E-2</v>
      </c>
    </row>
    <row r="1044" spans="1:7">
      <c r="A1044" s="44">
        <v>123</v>
      </c>
      <c r="B1044" s="44">
        <v>124.1</v>
      </c>
      <c r="C1044" s="44">
        <v>120.63</v>
      </c>
      <c r="D1044" s="44">
        <v>122.005</v>
      </c>
      <c r="E1044" s="44">
        <v>85156712</v>
      </c>
      <c r="F1044" s="44" t="s">
        <v>972</v>
      </c>
      <c r="G1044" s="25">
        <f t="shared" si="14"/>
        <v>8.1554034670709985E-3</v>
      </c>
    </row>
    <row r="1045" spans="1:7">
      <c r="A1045" s="44">
        <v>124.79</v>
      </c>
      <c r="B1045" s="44">
        <v>128.99</v>
      </c>
      <c r="C1045" s="44">
        <v>123.81</v>
      </c>
      <c r="D1045" s="44">
        <v>125.245</v>
      </c>
      <c r="E1045" s="44">
        <v>135269024</v>
      </c>
      <c r="F1045" s="44" t="s">
        <v>973</v>
      </c>
      <c r="G1045" s="25">
        <f t="shared" si="14"/>
        <v>-3.6328795560700566E-3</v>
      </c>
    </row>
    <row r="1046" spans="1:7">
      <c r="A1046" s="44">
        <v>122.35000000000002</v>
      </c>
      <c r="B1046" s="44">
        <v>124.40000000000002</v>
      </c>
      <c r="C1046" s="44">
        <v>121.04645000000002</v>
      </c>
      <c r="D1046" s="44">
        <v>124.20000000000002</v>
      </c>
      <c r="E1046" s="44">
        <v>97603319.999999985</v>
      </c>
      <c r="F1046" s="44" t="s">
        <v>974</v>
      </c>
      <c r="G1046" s="25">
        <f t="shared" si="14"/>
        <v>-1.4895330112721372E-2</v>
      </c>
    </row>
    <row r="1047" spans="1:7">
      <c r="A1047" s="44">
        <v>125.51100000000001</v>
      </c>
      <c r="B1047" s="44">
        <v>125.61000000000001</v>
      </c>
      <c r="C1047" s="44">
        <v>120.04500000000003</v>
      </c>
      <c r="D1047" s="44">
        <v>121.68400000000001</v>
      </c>
      <c r="E1047" s="44">
        <v>100560679.99999999</v>
      </c>
      <c r="F1047" s="44" t="s">
        <v>975</v>
      </c>
      <c r="G1047" s="25">
        <f t="shared" si="14"/>
        <v>3.1450313927878781E-2</v>
      </c>
    </row>
    <row r="1048" spans="1:7">
      <c r="A1048" s="44">
        <v>121.68400000000001</v>
      </c>
      <c r="B1048" s="44">
        <v>125.17900000000002</v>
      </c>
      <c r="C1048" s="44">
        <v>120.62225000000004</v>
      </c>
      <c r="D1048" s="44">
        <v>122.25600000000001</v>
      </c>
      <c r="E1048" s="44">
        <v>127528979.99999997</v>
      </c>
      <c r="F1048" s="44" t="s">
        <v>976</v>
      </c>
      <c r="G1048" s="25">
        <f t="shared" si="14"/>
        <v>-4.6787069755267474E-3</v>
      </c>
    </row>
    <row r="1049" spans="1:7">
      <c r="A1049" s="44">
        <v>120.20950000000002</v>
      </c>
      <c r="B1049" s="44">
        <v>121.99449500000003</v>
      </c>
      <c r="C1049" s="44">
        <v>115.67500000000003</v>
      </c>
      <c r="D1049" s="44">
        <v>116.28000000000002</v>
      </c>
      <c r="E1049" s="44">
        <v>144634159.99999997</v>
      </c>
      <c r="F1049" s="44" t="s">
        <v>977</v>
      </c>
      <c r="G1049" s="25">
        <f t="shared" si="14"/>
        <v>3.3793429652562823E-2</v>
      </c>
    </row>
    <row r="1050" spans="1:7">
      <c r="A1050" s="44">
        <v>115.14650000000002</v>
      </c>
      <c r="B1050" s="44">
        <v>115.18700000000001</v>
      </c>
      <c r="C1050" s="44">
        <v>112.62800000000001</v>
      </c>
      <c r="D1050" s="44">
        <v>113.55000000000003</v>
      </c>
      <c r="E1050" s="44">
        <v>93660159.999999985</v>
      </c>
      <c r="F1050" s="44" t="s">
        <v>978</v>
      </c>
      <c r="G1050" s="25">
        <f t="shared" si="14"/>
        <v>1.4059885512989867E-2</v>
      </c>
    </row>
    <row r="1051" spans="1:7">
      <c r="A1051" s="44">
        <v>111.07750000000003</v>
      </c>
      <c r="B1051" s="44">
        <v>112.66549500000004</v>
      </c>
      <c r="C1051" s="44">
        <v>107.45350000000003</v>
      </c>
      <c r="D1051" s="44">
        <v>107.97000000000003</v>
      </c>
      <c r="E1051" s="44">
        <v>93002599.999999985</v>
      </c>
      <c r="F1051" s="44" t="s">
        <v>979</v>
      </c>
      <c r="G1051" s="25">
        <f t="shared" si="14"/>
        <v>2.8781142910067725E-2</v>
      </c>
    </row>
    <row r="1052" spans="1:7">
      <c r="A1052" s="44">
        <v>106.77500000000002</v>
      </c>
      <c r="B1052" s="44">
        <v>108.17499500000001</v>
      </c>
      <c r="C1052" s="44">
        <v>103.65000000000002</v>
      </c>
      <c r="D1052" s="44">
        <v>103.65550000000003</v>
      </c>
      <c r="E1052" s="44">
        <v>93120099.999999985</v>
      </c>
      <c r="F1052" s="44" t="s">
        <v>980</v>
      </c>
      <c r="G1052" s="25">
        <f t="shared" si="14"/>
        <v>3.0094881603002221E-2</v>
      </c>
    </row>
    <row r="1053" spans="1:7">
      <c r="A1053" s="44">
        <v>104.10000000000002</v>
      </c>
      <c r="B1053" s="44">
        <v>105.40000000000002</v>
      </c>
      <c r="C1053" s="44">
        <v>101.26000000000002</v>
      </c>
      <c r="D1053" s="44">
        <v>104.02500000000002</v>
      </c>
      <c r="E1053" s="44">
        <v>102934679.99999999</v>
      </c>
      <c r="F1053" s="44" t="s">
        <v>981</v>
      </c>
      <c r="G1053" s="25">
        <f t="shared" si="14"/>
        <v>7.2098053352553926E-4</v>
      </c>
    </row>
    <row r="1054" spans="1:7">
      <c r="A1054" s="44">
        <v>107.55700000000002</v>
      </c>
      <c r="B1054" s="44">
        <v>108.81875000000002</v>
      </c>
      <c r="C1054" s="44">
        <v>103.95000000000002</v>
      </c>
      <c r="D1054" s="44">
        <v>108.46100000000001</v>
      </c>
      <c r="E1054" s="44">
        <v>107797359.99999999</v>
      </c>
      <c r="F1054" s="44" t="s">
        <v>982</v>
      </c>
      <c r="G1054" s="25">
        <f t="shared" si="14"/>
        <v>-8.3347931514553553E-3</v>
      </c>
    </row>
    <row r="1055" spans="1:7">
      <c r="A1055" s="44">
        <v>107.59100000000002</v>
      </c>
      <c r="B1055" s="44">
        <v>109.89799500000001</v>
      </c>
      <c r="C1055" s="44">
        <v>105.00934000000002</v>
      </c>
      <c r="D1055" s="44">
        <v>109.56850000000001</v>
      </c>
      <c r="E1055" s="44">
        <v>99500639.999999985</v>
      </c>
      <c r="F1055" s="44" t="s">
        <v>983</v>
      </c>
      <c r="G1055" s="25">
        <f t="shared" si="14"/>
        <v>-1.8048070385192738E-2</v>
      </c>
    </row>
    <row r="1056" spans="1:7">
      <c r="A1056" s="44">
        <v>107.31900000000003</v>
      </c>
      <c r="B1056" s="44">
        <v>110.03400000000002</v>
      </c>
      <c r="C1056" s="44">
        <v>106.19290500000001</v>
      </c>
      <c r="D1056" s="44">
        <v>106.28050000000003</v>
      </c>
      <c r="E1056" s="44">
        <v>88142539.999999985</v>
      </c>
      <c r="F1056" s="44" t="s">
        <v>984</v>
      </c>
      <c r="G1056" s="25">
        <f t="shared" si="14"/>
        <v>9.7713127055292226E-3</v>
      </c>
    </row>
    <row r="1057" spans="1:7">
      <c r="A1057" s="44">
        <v>107.11250000000003</v>
      </c>
      <c r="B1057" s="44">
        <v>112.85300000000002</v>
      </c>
      <c r="C1057" s="44">
        <v>106.24875000000002</v>
      </c>
      <c r="D1057" s="44">
        <v>111.43950000000002</v>
      </c>
      <c r="E1057" s="44">
        <v>108379179.99999999</v>
      </c>
      <c r="F1057" s="44" t="s">
        <v>985</v>
      </c>
      <c r="G1057" s="25">
        <f t="shared" si="14"/>
        <v>-3.8828243127436823E-2</v>
      </c>
    </row>
    <row r="1058" spans="1:7">
      <c r="A1058" s="44">
        <v>115.36850000000001</v>
      </c>
      <c r="B1058" s="44">
        <v>115.80000000000003</v>
      </c>
      <c r="C1058" s="44">
        <v>111.27650000000003</v>
      </c>
      <c r="D1058" s="44">
        <v>113.27500000000002</v>
      </c>
      <c r="E1058" s="44">
        <v>76447739.999999985</v>
      </c>
      <c r="F1058" s="44" t="s">
        <v>986</v>
      </c>
      <c r="G1058" s="25">
        <f t="shared" si="14"/>
        <v>1.848157139704254E-2</v>
      </c>
    </row>
    <row r="1059" spans="1:7">
      <c r="A1059" s="44">
        <v>110.81050000000002</v>
      </c>
      <c r="B1059" s="44">
        <v>113.99250000000002</v>
      </c>
      <c r="C1059" s="44">
        <v>110.35413500000001</v>
      </c>
      <c r="D1059" s="44">
        <v>113.10000000000002</v>
      </c>
      <c r="E1059" s="44">
        <v>74565739.999999985</v>
      </c>
      <c r="F1059" s="44" t="s">
        <v>987</v>
      </c>
      <c r="G1059" s="25">
        <f t="shared" si="14"/>
        <v>-2.0243147656940796E-2</v>
      </c>
    </row>
    <row r="1060" spans="1:7">
      <c r="A1060" s="44">
        <v>113.05500000000002</v>
      </c>
      <c r="B1060" s="44">
        <v>113.18400000000001</v>
      </c>
      <c r="C1060" s="44">
        <v>107.80000000000003</v>
      </c>
      <c r="D1060" s="44">
        <v>109.06900000000003</v>
      </c>
      <c r="E1060" s="44">
        <v>93684559.999999985</v>
      </c>
      <c r="F1060" s="44" t="s">
        <v>988</v>
      </c>
      <c r="G1060" s="25">
        <f t="shared" si="14"/>
        <v>3.6545672922645212E-2</v>
      </c>
    </row>
    <row r="1061" spans="1:7">
      <c r="A1061" s="44">
        <v>106.93050000000002</v>
      </c>
      <c r="B1061" s="44">
        <v>110.78075000000001</v>
      </c>
      <c r="C1061" s="44">
        <v>102.40550000000003</v>
      </c>
      <c r="D1061" s="44">
        <v>102.75000000000001</v>
      </c>
      <c r="E1061" s="44">
        <v>132025139.99999997</v>
      </c>
      <c r="F1061" s="44" t="s">
        <v>989</v>
      </c>
      <c r="G1061" s="25">
        <f t="shared" si="14"/>
        <v>4.0686131386861391E-2</v>
      </c>
    </row>
    <row r="1062" spans="1:7">
      <c r="A1062" s="44">
        <v>105.37200000000003</v>
      </c>
      <c r="B1062" s="44">
        <v>110.15600000000002</v>
      </c>
      <c r="C1062" s="44">
        <v>104.42850000000003</v>
      </c>
      <c r="D1062" s="44">
        <v>108.10350000000003</v>
      </c>
      <c r="E1062" s="44">
        <v>109703639.99999999</v>
      </c>
      <c r="F1062" s="44" t="s">
        <v>990</v>
      </c>
      <c r="G1062" s="25">
        <f t="shared" si="14"/>
        <v>-2.5267452025142578E-2</v>
      </c>
    </row>
    <row r="1063" spans="1:7">
      <c r="A1063" s="44">
        <v>108.85900000000001</v>
      </c>
      <c r="B1063" s="44">
        <v>112.64250000000001</v>
      </c>
      <c r="C1063" s="44">
        <v>107.17100000000002</v>
      </c>
      <c r="D1063" s="44">
        <v>111.25000000000003</v>
      </c>
      <c r="E1063" s="44">
        <v>105433819.99999999</v>
      </c>
      <c r="F1063" s="44" t="s">
        <v>991</v>
      </c>
      <c r="G1063" s="25">
        <f t="shared" si="14"/>
        <v>-2.1492134831460841E-2</v>
      </c>
    </row>
    <row r="1064" spans="1:7">
      <c r="A1064" s="44">
        <v>108.78900000000003</v>
      </c>
      <c r="B1064" s="44">
        <v>114.00000000000003</v>
      </c>
      <c r="C1064" s="44">
        <v>107.95700000000001</v>
      </c>
      <c r="D1064" s="44">
        <v>111.31250000000003</v>
      </c>
      <c r="E1064" s="44">
        <v>128124379.99999997</v>
      </c>
      <c r="F1064" s="44" t="s">
        <v>992</v>
      </c>
      <c r="G1064" s="25">
        <f t="shared" si="14"/>
        <v>-2.2670409882088682E-2</v>
      </c>
    </row>
    <row r="1065" spans="1:7">
      <c r="A1065" s="44">
        <v>114.77250000000001</v>
      </c>
      <c r="B1065" s="44">
        <v>119.05050000000003</v>
      </c>
      <c r="C1065" s="44">
        <v>113.08125000000003</v>
      </c>
      <c r="D1065" s="44">
        <v>114.85000000000002</v>
      </c>
      <c r="E1065" s="44">
        <v>124259899.99999997</v>
      </c>
      <c r="F1065" s="44" t="s">
        <v>993</v>
      </c>
      <c r="G1065" s="25">
        <f t="shared" si="14"/>
        <v>-6.7479320853303104E-4</v>
      </c>
    </row>
    <row r="1066" spans="1:7">
      <c r="A1066" s="44">
        <v>116.40700000000001</v>
      </c>
      <c r="B1066" s="44">
        <v>123.49900000000002</v>
      </c>
      <c r="C1066" s="44">
        <v>115.07250000000002</v>
      </c>
      <c r="D1066" s="44">
        <v>123.00000000000003</v>
      </c>
      <c r="E1066" s="44">
        <v>144391219.99999997</v>
      </c>
      <c r="F1066" s="44" t="s">
        <v>994</v>
      </c>
      <c r="G1066" s="25">
        <f t="shared" si="14"/>
        <v>-5.3601626016260284E-2</v>
      </c>
    </row>
    <row r="1067" spans="1:7">
      <c r="A1067" s="44">
        <v>125.92850000000003</v>
      </c>
      <c r="B1067" s="44">
        <v>126.00000000000003</v>
      </c>
      <c r="C1067" s="44">
        <v>119.18300000000002</v>
      </c>
      <c r="D1067" s="44">
        <v>123.60000000000002</v>
      </c>
      <c r="E1067" s="44">
        <v>110745359.99999999</v>
      </c>
      <c r="F1067" s="44" t="s">
        <v>995</v>
      </c>
      <c r="G1067" s="25">
        <f t="shared" si="14"/>
        <v>1.8838996763754112E-2</v>
      </c>
    </row>
    <row r="1068" spans="1:7">
      <c r="A1068" s="44">
        <v>124.25350000000003</v>
      </c>
      <c r="B1068" s="44">
        <v>126.22050000000002</v>
      </c>
      <c r="C1068" s="44">
        <v>122.82500000000002</v>
      </c>
      <c r="D1068" s="44">
        <v>124.05350000000003</v>
      </c>
      <c r="E1068" s="44">
        <v>79133359.999999985</v>
      </c>
      <c r="F1068" s="44" t="s">
        <v>996</v>
      </c>
      <c r="G1068" s="25">
        <f t="shared" si="14"/>
        <v>1.6122076362214965E-3</v>
      </c>
    </row>
    <row r="1069" spans="1:7">
      <c r="A1069" s="44">
        <v>124.50000000000003</v>
      </c>
      <c r="B1069" s="44">
        <v>124.66825000000001</v>
      </c>
      <c r="C1069" s="44">
        <v>118.37500000000003</v>
      </c>
      <c r="D1069" s="44">
        <v>122.40100000000002</v>
      </c>
      <c r="E1069" s="44">
        <v>148788979.99999997</v>
      </c>
      <c r="F1069" s="44" t="s">
        <v>997</v>
      </c>
      <c r="G1069" s="25">
        <f t="shared" si="14"/>
        <v>1.714855270790272E-2</v>
      </c>
    </row>
    <row r="1070" spans="1:7">
      <c r="A1070" s="44">
        <v>124.28150000000002</v>
      </c>
      <c r="B1070" s="44">
        <v>130.76100000000002</v>
      </c>
      <c r="C1070" s="44">
        <v>121.62500000000003</v>
      </c>
      <c r="D1070" s="44">
        <v>129.84900000000002</v>
      </c>
      <c r="E1070" s="44">
        <v>272661719.99999994</v>
      </c>
      <c r="F1070" s="44" t="s">
        <v>998</v>
      </c>
      <c r="G1070" s="25">
        <f t="shared" si="14"/>
        <v>-4.2876726043327262E-2</v>
      </c>
    </row>
    <row r="1071" spans="1:7">
      <c r="A1071" s="44">
        <v>144.59650000000002</v>
      </c>
      <c r="B1071" s="44">
        <v>145.93750000000003</v>
      </c>
      <c r="C1071" s="44">
        <v>140.30000000000004</v>
      </c>
      <c r="D1071" s="44">
        <v>142.17800000000003</v>
      </c>
      <c r="E1071" s="44">
        <v>117316939.99999997</v>
      </c>
      <c r="F1071" s="44" t="s">
        <v>999</v>
      </c>
      <c r="G1071" s="25">
        <f t="shared" si="14"/>
        <v>1.7010367286077965E-2</v>
      </c>
    </row>
    <row r="1072" spans="1:7">
      <c r="A1072" s="44">
        <v>138.16700000000003</v>
      </c>
      <c r="B1072" s="44">
        <v>141.94850000000002</v>
      </c>
      <c r="C1072" s="44">
        <v>135.78350000000003</v>
      </c>
      <c r="D1072" s="44">
        <v>140.19150000000002</v>
      </c>
      <c r="E1072" s="44">
        <v>71336299.999999985</v>
      </c>
      <c r="F1072" s="44" t="s">
        <v>1000</v>
      </c>
      <c r="G1072" s="25">
        <f t="shared" si="14"/>
        <v>-1.4440961113904804E-2</v>
      </c>
    </row>
    <row r="1073" spans="1:7">
      <c r="A1073" s="44">
        <v>139.39100000000005</v>
      </c>
      <c r="B1073" s="44">
        <v>144.85575000000003</v>
      </c>
      <c r="C1073" s="44">
        <v>138.92950000000005</v>
      </c>
      <c r="D1073" s="44">
        <v>144.80000000000004</v>
      </c>
      <c r="E1073" s="44">
        <v>77529159.999999985</v>
      </c>
      <c r="F1073" s="44" t="s">
        <v>1001</v>
      </c>
      <c r="G1073" s="25">
        <f t="shared" si="14"/>
        <v>-3.7354972375690521E-2</v>
      </c>
    </row>
    <row r="1074" spans="1:7">
      <c r="A1074" s="44">
        <v>146.07400000000004</v>
      </c>
      <c r="B1074" s="44">
        <v>146.22150000000002</v>
      </c>
      <c r="C1074" s="44">
        <v>142.30654500000003</v>
      </c>
      <c r="D1074" s="44">
        <v>144.02300000000002</v>
      </c>
      <c r="E1074" s="44">
        <v>61874979.999999985</v>
      </c>
      <c r="F1074" s="44" t="s">
        <v>1002</v>
      </c>
      <c r="G1074" s="25">
        <f t="shared" si="14"/>
        <v>1.4240780986370272E-2</v>
      </c>
    </row>
    <row r="1075" spans="1:7">
      <c r="A1075" s="44">
        <v>144.35000000000002</v>
      </c>
      <c r="B1075" s="44">
        <v>149.61500000000004</v>
      </c>
      <c r="C1075" s="44">
        <v>143.69750500000004</v>
      </c>
      <c r="D1075" s="44">
        <v>148.25000000000003</v>
      </c>
      <c r="E1075" s="44">
        <v>73078579.999999985</v>
      </c>
      <c r="F1075" s="44" t="s">
        <v>1003</v>
      </c>
      <c r="G1075" s="25">
        <f t="shared" ref="G1075:G1138" si="15">A1075/D1075-1</f>
        <v>-2.6306913996627324E-2</v>
      </c>
    </row>
    <row r="1076" spans="1:7">
      <c r="A1076" s="44">
        <v>148.29600000000002</v>
      </c>
      <c r="B1076" s="44">
        <v>156.73800000000003</v>
      </c>
      <c r="C1076" s="44">
        <v>147.58950000000002</v>
      </c>
      <c r="D1076" s="44">
        <v>154.71400000000003</v>
      </c>
      <c r="E1076" s="44">
        <v>63969319.999999985</v>
      </c>
      <c r="F1076" s="44" t="s">
        <v>1004</v>
      </c>
      <c r="G1076" s="25">
        <f t="shared" si="15"/>
        <v>-4.1482994428429287E-2</v>
      </c>
    </row>
    <row r="1077" spans="1:7">
      <c r="A1077" s="44">
        <v>153.99800000000002</v>
      </c>
      <c r="B1077" s="44">
        <v>157.60250000000005</v>
      </c>
      <c r="C1077" s="44">
        <v>153.60350000000003</v>
      </c>
      <c r="D1077" s="44">
        <v>157.60250000000005</v>
      </c>
      <c r="E1077" s="44">
        <v>59630019.999999985</v>
      </c>
      <c r="F1077" s="44" t="s">
        <v>1005</v>
      </c>
      <c r="G1077" s="25">
        <f t="shared" si="15"/>
        <v>-2.2870830094700478E-2</v>
      </c>
    </row>
    <row r="1078" spans="1:7">
      <c r="A1078" s="44">
        <v>158.11550000000003</v>
      </c>
      <c r="B1078" s="44">
        <v>158.64900000000003</v>
      </c>
      <c r="C1078" s="44">
        <v>151.55050000000003</v>
      </c>
      <c r="D1078" s="44">
        <v>152.02950000000004</v>
      </c>
      <c r="E1078" s="44">
        <v>54926419.999999993</v>
      </c>
      <c r="F1078" s="44" t="s">
        <v>1006</v>
      </c>
      <c r="G1078" s="25">
        <f t="shared" si="15"/>
        <v>4.003170437316439E-2</v>
      </c>
    </row>
    <row r="1079" spans="1:7">
      <c r="A1079" s="44">
        <v>152.78500000000003</v>
      </c>
      <c r="B1079" s="44">
        <v>154.03950000000003</v>
      </c>
      <c r="C1079" s="44">
        <v>150.25050000000005</v>
      </c>
      <c r="D1079" s="44">
        <v>151.52350000000001</v>
      </c>
      <c r="E1079" s="44">
        <v>46513519.999999993</v>
      </c>
      <c r="F1079" s="44" t="s">
        <v>1007</v>
      </c>
      <c r="G1079" s="25">
        <f t="shared" si="15"/>
        <v>8.325441268186129E-3</v>
      </c>
    </row>
    <row r="1080" spans="1:7">
      <c r="A1080" s="44">
        <v>151.70650000000003</v>
      </c>
      <c r="B1080" s="44">
        <v>155.89700000000002</v>
      </c>
      <c r="C1080" s="44">
        <v>151.47175000000001</v>
      </c>
      <c r="D1080" s="44">
        <v>155.39000000000004</v>
      </c>
      <c r="E1080" s="44">
        <v>51598139.999999993</v>
      </c>
      <c r="F1080" s="44" t="s">
        <v>1008</v>
      </c>
      <c r="G1080" s="25">
        <f t="shared" si="15"/>
        <v>-2.370487161335999E-2</v>
      </c>
    </row>
    <row r="1081" spans="1:7">
      <c r="A1081" s="44">
        <v>155.54100000000003</v>
      </c>
      <c r="B1081" s="44">
        <v>156.02500000000003</v>
      </c>
      <c r="C1081" s="44">
        <v>149.60000000000002</v>
      </c>
      <c r="D1081" s="44">
        <v>150.01850000000002</v>
      </c>
      <c r="E1081" s="44">
        <v>53390879.999999993</v>
      </c>
      <c r="F1081" s="44" t="s">
        <v>1009</v>
      </c>
      <c r="G1081" s="25">
        <f t="shared" si="15"/>
        <v>3.6812126504397913E-2</v>
      </c>
    </row>
    <row r="1082" spans="1:7">
      <c r="A1082" s="44">
        <v>150.78750000000002</v>
      </c>
      <c r="B1082" s="44">
        <v>155.09900000000002</v>
      </c>
      <c r="C1082" s="44">
        <v>150.38300000000001</v>
      </c>
      <c r="D1082" s="44">
        <v>153.69250000000002</v>
      </c>
      <c r="E1082" s="44">
        <v>55177439.999999993</v>
      </c>
      <c r="F1082" s="44" t="s">
        <v>1010</v>
      </c>
      <c r="G1082" s="25">
        <f t="shared" si="15"/>
        <v>-1.8901377751028847E-2</v>
      </c>
    </row>
    <row r="1083" spans="1:7">
      <c r="A1083" s="44">
        <v>151.12200000000004</v>
      </c>
      <c r="B1083" s="44">
        <v>154.13649500000002</v>
      </c>
      <c r="C1083" s="44">
        <v>150.53450000000004</v>
      </c>
      <c r="D1083" s="44">
        <v>152.71300000000005</v>
      </c>
      <c r="E1083" s="44">
        <v>52112339.999999993</v>
      </c>
      <c r="F1083" s="44" t="s">
        <v>1011</v>
      </c>
      <c r="G1083" s="25">
        <f t="shared" si="15"/>
        <v>-1.0418235513676044E-2</v>
      </c>
    </row>
    <row r="1084" spans="1:7">
      <c r="A1084" s="44">
        <v>154.46050000000002</v>
      </c>
      <c r="B1084" s="44">
        <v>157.36850000000001</v>
      </c>
      <c r="C1084" s="44">
        <v>154.23075000000003</v>
      </c>
      <c r="D1084" s="44">
        <v>156.75000000000003</v>
      </c>
      <c r="E1084" s="44">
        <v>46001659.999999993</v>
      </c>
      <c r="F1084" s="44" t="s">
        <v>1012</v>
      </c>
      <c r="G1084" s="25">
        <f t="shared" si="15"/>
        <v>-1.4606060606060622E-2</v>
      </c>
    </row>
    <row r="1085" spans="1:7">
      <c r="A1085" s="44">
        <v>157.78450000000004</v>
      </c>
      <c r="B1085" s="44">
        <v>160.07900000000004</v>
      </c>
      <c r="C1085" s="44">
        <v>154.51150000000004</v>
      </c>
      <c r="D1085" s="44">
        <v>158.40000000000003</v>
      </c>
      <c r="E1085" s="44">
        <v>68136779.999999985</v>
      </c>
      <c r="F1085" s="44" t="s">
        <v>1013</v>
      </c>
      <c r="G1085" s="25">
        <f t="shared" si="15"/>
        <v>-3.8857323232323049E-3</v>
      </c>
    </row>
    <row r="1086" spans="1:7">
      <c r="A1086" s="44">
        <v>158.75600000000003</v>
      </c>
      <c r="B1086" s="44">
        <v>162.20000000000005</v>
      </c>
      <c r="C1086" s="44">
        <v>157.25450000000004</v>
      </c>
      <c r="D1086" s="44">
        <v>161.65050000000005</v>
      </c>
      <c r="E1086" s="44">
        <v>79055759.999999985</v>
      </c>
      <c r="F1086" s="44" t="s">
        <v>1014</v>
      </c>
      <c r="G1086" s="25">
        <f t="shared" si="15"/>
        <v>-1.7905914302770665E-2</v>
      </c>
    </row>
    <row r="1087" spans="1:7">
      <c r="A1087" s="44">
        <v>164.05500000000004</v>
      </c>
      <c r="B1087" s="44">
        <v>168.11050000000003</v>
      </c>
      <c r="C1087" s="44">
        <v>163.26600500000004</v>
      </c>
      <c r="D1087" s="44">
        <v>167.74150000000003</v>
      </c>
      <c r="E1087" s="44">
        <v>53728559.999999993</v>
      </c>
      <c r="F1087" s="44" t="s">
        <v>1015</v>
      </c>
      <c r="G1087" s="25">
        <f t="shared" si="15"/>
        <v>-2.1977268594831845E-2</v>
      </c>
    </row>
    <row r="1088" spans="1:7">
      <c r="A1088" s="44">
        <v>168.34650000000002</v>
      </c>
      <c r="B1088" s="44">
        <v>168.39450000000002</v>
      </c>
      <c r="C1088" s="44">
        <v>163.20550000000003</v>
      </c>
      <c r="D1088" s="44">
        <v>164.12500000000003</v>
      </c>
      <c r="E1088" s="44">
        <v>50007959.999999993</v>
      </c>
      <c r="F1088" s="44" t="s">
        <v>1016</v>
      </c>
      <c r="G1088" s="25">
        <f t="shared" si="15"/>
        <v>2.5721249047981676E-2</v>
      </c>
    </row>
    <row r="1089" spans="1:7">
      <c r="A1089" s="44">
        <v>163.56000000000003</v>
      </c>
      <c r="B1089" s="44">
        <v>165.82700000000003</v>
      </c>
      <c r="C1089" s="44">
        <v>162.31950000000003</v>
      </c>
      <c r="D1089" s="44">
        <v>164.14950000000002</v>
      </c>
      <c r="E1089" s="44">
        <v>57089499.999999993</v>
      </c>
      <c r="F1089" s="44" t="s">
        <v>1017</v>
      </c>
      <c r="G1089" s="25">
        <f t="shared" si="15"/>
        <v>-3.5912384746830117E-3</v>
      </c>
    </row>
    <row r="1090" spans="1:7">
      <c r="A1090" s="44">
        <v>162.99750000000003</v>
      </c>
      <c r="B1090" s="44">
        <v>166.49500000000003</v>
      </c>
      <c r="C1090" s="44">
        <v>162.95350000000005</v>
      </c>
      <c r="D1090" s="44">
        <v>166.44475000000003</v>
      </c>
      <c r="E1090" s="44">
        <v>59965779.999999985</v>
      </c>
      <c r="F1090" s="44" t="s">
        <v>1018</v>
      </c>
      <c r="G1090" s="25">
        <f t="shared" si="15"/>
        <v>-2.07110767987575E-2</v>
      </c>
    </row>
    <row r="1091" spans="1:7">
      <c r="A1091" s="44">
        <v>166.30100000000004</v>
      </c>
      <c r="B1091" s="44">
        <v>168.95050000000003</v>
      </c>
      <c r="C1091" s="44">
        <v>165.50000000000003</v>
      </c>
      <c r="D1091" s="44">
        <v>168.50950000000003</v>
      </c>
      <c r="E1091" s="44">
        <v>56167259.999999993</v>
      </c>
      <c r="F1091" s="44" t="s">
        <v>1019</v>
      </c>
      <c r="G1091" s="25">
        <f t="shared" si="15"/>
        <v>-1.3106086007020346E-2</v>
      </c>
    </row>
    <row r="1092" spans="1:7">
      <c r="A1092" s="44">
        <v>169.31500000000005</v>
      </c>
      <c r="B1092" s="44">
        <v>170.83150000000003</v>
      </c>
      <c r="C1092" s="44">
        <v>167.86850000000004</v>
      </c>
      <c r="D1092" s="44">
        <v>170.38400000000001</v>
      </c>
      <c r="E1092" s="44">
        <v>66153599.999999985</v>
      </c>
      <c r="F1092" s="44" t="s">
        <v>1020</v>
      </c>
      <c r="G1092" s="25">
        <f t="shared" si="15"/>
        <v>-6.274063292327714E-3</v>
      </c>
    </row>
    <row r="1093" spans="1:7">
      <c r="A1093" s="44">
        <v>168.99050000000003</v>
      </c>
      <c r="B1093" s="44">
        <v>169.03750000000002</v>
      </c>
      <c r="C1093" s="44">
        <v>164.90000000000003</v>
      </c>
      <c r="D1093" s="44">
        <v>164.97500000000002</v>
      </c>
      <c r="E1093" s="44">
        <v>59853819.999999985</v>
      </c>
      <c r="F1093" s="44" t="s">
        <v>1021</v>
      </c>
      <c r="G1093" s="25">
        <f t="shared" si="15"/>
        <v>2.4340051522957928E-2</v>
      </c>
    </row>
    <row r="1094" spans="1:7">
      <c r="A1094" s="44">
        <v>164.77350000000001</v>
      </c>
      <c r="B1094" s="44">
        <v>165.36850000000004</v>
      </c>
      <c r="C1094" s="44">
        <v>162.25000000000003</v>
      </c>
      <c r="D1094" s="44">
        <v>164.00000000000003</v>
      </c>
      <c r="E1094" s="44">
        <v>49085499.999999993</v>
      </c>
      <c r="F1094" s="44" t="s">
        <v>1022</v>
      </c>
      <c r="G1094" s="25">
        <f t="shared" si="15"/>
        <v>4.7164634146339424E-3</v>
      </c>
    </row>
    <row r="1095" spans="1:7">
      <c r="A1095" s="44">
        <v>163.64950000000002</v>
      </c>
      <c r="B1095" s="44">
        <v>164.11850000000004</v>
      </c>
      <c r="C1095" s="44">
        <v>160.05000000000004</v>
      </c>
      <c r="D1095" s="44">
        <v>163.74950000000001</v>
      </c>
      <c r="E1095" s="44">
        <v>56798059.999999993</v>
      </c>
      <c r="F1095" s="44" t="s">
        <v>1023</v>
      </c>
      <c r="G1095" s="25">
        <f t="shared" si="15"/>
        <v>-6.106888875996308E-4</v>
      </c>
    </row>
    <row r="1096" spans="1:7">
      <c r="A1096" s="44">
        <v>163.40800000000002</v>
      </c>
      <c r="B1096" s="44">
        <v>166.37000000000003</v>
      </c>
      <c r="C1096" s="44">
        <v>162.68700000000001</v>
      </c>
      <c r="D1096" s="44">
        <v>163.70500000000004</v>
      </c>
      <c r="E1096" s="44">
        <v>55811859.999999993</v>
      </c>
      <c r="F1096" s="44" t="s">
        <v>1024</v>
      </c>
      <c r="G1096" s="25">
        <f t="shared" si="15"/>
        <v>-1.8142390275192044E-3</v>
      </c>
    </row>
    <row r="1097" spans="1:7">
      <c r="A1097" s="44">
        <v>164.88900000000004</v>
      </c>
      <c r="B1097" s="44">
        <v>166.16700000000003</v>
      </c>
      <c r="C1097" s="44">
        <v>161.69900000000004</v>
      </c>
      <c r="D1097" s="44">
        <v>161.80550000000005</v>
      </c>
      <c r="E1097" s="44">
        <v>64086119.999999985</v>
      </c>
      <c r="F1097" s="44" t="s">
        <v>1025</v>
      </c>
      <c r="G1097" s="25">
        <f t="shared" si="15"/>
        <v>1.9056830577452555E-2</v>
      </c>
    </row>
    <row r="1098" spans="1:7">
      <c r="A1098" s="44">
        <v>161.49150000000003</v>
      </c>
      <c r="B1098" s="44">
        <v>163.08400000000003</v>
      </c>
      <c r="C1098" s="44">
        <v>159.55300000000003</v>
      </c>
      <c r="D1098" s="44">
        <v>161.12075000000004</v>
      </c>
      <c r="E1098" s="44">
        <v>66537519.999999985</v>
      </c>
      <c r="F1098" s="44" t="s">
        <v>1026</v>
      </c>
      <c r="G1098" s="25">
        <f t="shared" si="15"/>
        <v>2.3010692291338675E-3</v>
      </c>
    </row>
    <row r="1099" spans="1:7">
      <c r="A1099" s="44">
        <v>161.25050000000005</v>
      </c>
      <c r="B1099" s="44">
        <v>161.59400000000005</v>
      </c>
      <c r="C1099" s="44">
        <v>156.01100000000002</v>
      </c>
      <c r="D1099" s="44">
        <v>156.81300000000005</v>
      </c>
      <c r="E1099" s="44">
        <v>102962759.99999999</v>
      </c>
      <c r="F1099" s="44" t="s">
        <v>1027</v>
      </c>
      <c r="G1099" s="25">
        <f t="shared" si="15"/>
        <v>2.8298036514829761E-2</v>
      </c>
    </row>
    <row r="1100" spans="1:7">
      <c r="A1100" s="44">
        <v>157.23900000000003</v>
      </c>
      <c r="B1100" s="44">
        <v>157.49850000000001</v>
      </c>
      <c r="C1100" s="44">
        <v>152.14000000000004</v>
      </c>
      <c r="D1100" s="44">
        <v>152.64050000000003</v>
      </c>
      <c r="E1100" s="44">
        <v>72934839.999999985</v>
      </c>
      <c r="F1100" s="44" t="s">
        <v>1028</v>
      </c>
      <c r="G1100" s="25">
        <f t="shared" si="15"/>
        <v>3.0126342615491852E-2</v>
      </c>
    </row>
    <row r="1101" spans="1:7">
      <c r="A1101" s="44">
        <v>153.10400000000001</v>
      </c>
      <c r="B1101" s="44">
        <v>153.15000000000003</v>
      </c>
      <c r="C1101" s="44">
        <v>147.35350000000003</v>
      </c>
      <c r="D1101" s="44">
        <v>148.50000000000003</v>
      </c>
      <c r="E1101" s="44">
        <v>84957679.999999985</v>
      </c>
      <c r="F1101" s="44" t="s">
        <v>1029</v>
      </c>
      <c r="G1101" s="25">
        <f t="shared" si="15"/>
        <v>3.1003367003366922E-2</v>
      </c>
    </row>
    <row r="1102" spans="1:7">
      <c r="A1102" s="44">
        <v>147.36650000000003</v>
      </c>
      <c r="B1102" s="44">
        <v>147.98500000000001</v>
      </c>
      <c r="C1102" s="44">
        <v>142.00000000000003</v>
      </c>
      <c r="D1102" s="44">
        <v>142.85000000000002</v>
      </c>
      <c r="E1102" s="44">
        <v>75584599.999999985</v>
      </c>
      <c r="F1102" s="44" t="s">
        <v>1030</v>
      </c>
      <c r="G1102" s="25">
        <f t="shared" si="15"/>
        <v>3.1617080854042801E-2</v>
      </c>
    </row>
    <row r="1103" spans="1:7">
      <c r="A1103" s="44">
        <v>141.85300000000004</v>
      </c>
      <c r="B1103" s="44">
        <v>147.45000000000002</v>
      </c>
      <c r="C1103" s="44">
        <v>140.88400000000001</v>
      </c>
      <c r="D1103" s="44">
        <v>145.98100000000002</v>
      </c>
      <c r="E1103" s="44">
        <v>74086099.999999985</v>
      </c>
      <c r="F1103" s="44" t="s">
        <v>1031</v>
      </c>
      <c r="G1103" s="25">
        <f t="shared" si="15"/>
        <v>-2.8277652571224943E-2</v>
      </c>
    </row>
    <row r="1104" spans="1:7">
      <c r="A1104" s="44">
        <v>145.52450000000002</v>
      </c>
      <c r="B1104" s="44">
        <v>149.67500000000004</v>
      </c>
      <c r="C1104" s="44">
        <v>145.36900000000003</v>
      </c>
      <c r="D1104" s="44">
        <v>149.57450000000003</v>
      </c>
      <c r="E1104" s="44">
        <v>68900559.999999985</v>
      </c>
      <c r="F1104" s="44" t="s">
        <v>1032</v>
      </c>
      <c r="G1104" s="25">
        <f t="shared" si="15"/>
        <v>-2.7076807878348319E-2</v>
      </c>
    </row>
    <row r="1105" spans="1:7">
      <c r="A1105" s="44">
        <v>146.81750000000002</v>
      </c>
      <c r="B1105" s="44">
        <v>148.67425000000003</v>
      </c>
      <c r="C1105" s="44">
        <v>143.97800000000004</v>
      </c>
      <c r="D1105" s="44">
        <v>145.68500000000003</v>
      </c>
      <c r="E1105" s="44">
        <v>135062899.99999997</v>
      </c>
      <c r="F1105" s="44" t="s">
        <v>1033</v>
      </c>
      <c r="G1105" s="25">
        <f t="shared" si="15"/>
        <v>7.7736211689602985E-3</v>
      </c>
    </row>
    <row r="1106" spans="1:7">
      <c r="A1106" s="44">
        <v>139.27900000000002</v>
      </c>
      <c r="B1106" s="44">
        <v>140.25000000000003</v>
      </c>
      <c r="C1106" s="44">
        <v>136.82800000000003</v>
      </c>
      <c r="D1106" s="44">
        <v>139.50000000000003</v>
      </c>
      <c r="E1106" s="44">
        <v>82656659.999999985</v>
      </c>
      <c r="F1106" s="44" t="s">
        <v>1034</v>
      </c>
      <c r="G1106" s="25">
        <f t="shared" si="15"/>
        <v>-1.5842293906810356E-3</v>
      </c>
    </row>
    <row r="1107" spans="1:7">
      <c r="A1107" s="44">
        <v>136.01450000000003</v>
      </c>
      <c r="B1107" s="44">
        <v>140.69950000000003</v>
      </c>
      <c r="C1107" s="44">
        <v>133.57250000000002</v>
      </c>
      <c r="D1107" s="44">
        <v>136.68350000000004</v>
      </c>
      <c r="E1107" s="44">
        <v>91662579.999999985</v>
      </c>
      <c r="F1107" s="44" t="s">
        <v>1035</v>
      </c>
      <c r="G1107" s="25">
        <f t="shared" si="15"/>
        <v>-4.8945190897219382E-3</v>
      </c>
    </row>
    <row r="1108" spans="1:7">
      <c r="A1108" s="44">
        <v>137.45300000000003</v>
      </c>
      <c r="B1108" s="44">
        <v>146.09450000000001</v>
      </c>
      <c r="C1108" s="44">
        <v>137.41650000000001</v>
      </c>
      <c r="D1108" s="44">
        <v>145.44350000000003</v>
      </c>
      <c r="E1108" s="44">
        <v>86933859.999999985</v>
      </c>
      <c r="F1108" s="44" t="s">
        <v>1036</v>
      </c>
      <c r="G1108" s="25">
        <f t="shared" si="15"/>
        <v>-5.4938859419637165E-2</v>
      </c>
    </row>
    <row r="1109" spans="1:7">
      <c r="A1109" s="44">
        <v>145.64100000000005</v>
      </c>
      <c r="B1109" s="44">
        <v>147.85000000000002</v>
      </c>
      <c r="C1109" s="44">
        <v>143.80700000000002</v>
      </c>
      <c r="D1109" s="44">
        <v>147.15900000000002</v>
      </c>
      <c r="E1109" s="44">
        <v>60983119.999999985</v>
      </c>
      <c r="F1109" s="44" t="s">
        <v>1037</v>
      </c>
      <c r="G1109" s="25">
        <f t="shared" si="15"/>
        <v>-1.0315373167797959E-2</v>
      </c>
    </row>
    <row r="1110" spans="1:7">
      <c r="A1110" s="44">
        <v>147.89850000000001</v>
      </c>
      <c r="B1110" s="44">
        <v>153.92900000000003</v>
      </c>
      <c r="C1110" s="44">
        <v>146.85600000000002</v>
      </c>
      <c r="D1110" s="44">
        <v>153.53150000000002</v>
      </c>
      <c r="E1110" s="44">
        <v>65197199.999999985</v>
      </c>
      <c r="F1110" s="44" t="s">
        <v>1038</v>
      </c>
      <c r="G1110" s="25">
        <f t="shared" si="15"/>
        <v>-3.6689539280212902E-2</v>
      </c>
    </row>
    <row r="1111" spans="1:7">
      <c r="A1111" s="44">
        <v>152.05250000000004</v>
      </c>
      <c r="B1111" s="44">
        <v>152.99950000000001</v>
      </c>
      <c r="C1111" s="44">
        <v>148.75000000000003</v>
      </c>
      <c r="D1111" s="44">
        <v>150.84900000000002</v>
      </c>
      <c r="E1111" s="44">
        <v>47334719.999999993</v>
      </c>
      <c r="F1111" s="44" t="s">
        <v>1039</v>
      </c>
      <c r="G1111" s="25">
        <f t="shared" si="15"/>
        <v>7.9781768523492502E-3</v>
      </c>
    </row>
    <row r="1112" spans="1:7">
      <c r="A1112" s="44">
        <v>151.14200000000002</v>
      </c>
      <c r="B1112" s="44">
        <v>154.09900000000002</v>
      </c>
      <c r="C1112" s="44">
        <v>149.97700000000003</v>
      </c>
      <c r="D1112" s="44">
        <v>152.73250000000004</v>
      </c>
      <c r="E1112" s="44">
        <v>44873579.999999993</v>
      </c>
      <c r="F1112" s="44" t="s">
        <v>1040</v>
      </c>
      <c r="G1112" s="25">
        <f t="shared" si="15"/>
        <v>-1.0413631676296942E-2</v>
      </c>
    </row>
    <row r="1113" spans="1:7">
      <c r="A1113" s="44">
        <v>153.56300000000005</v>
      </c>
      <c r="B1113" s="44">
        <v>154.45000000000002</v>
      </c>
      <c r="C1113" s="44">
        <v>150.85000000000002</v>
      </c>
      <c r="D1113" s="44">
        <v>152.42500000000004</v>
      </c>
      <c r="E1113" s="44">
        <v>57683419.999999985</v>
      </c>
      <c r="F1113" s="44" t="s">
        <v>1041</v>
      </c>
      <c r="G1113" s="25">
        <f t="shared" si="15"/>
        <v>7.4659668689520675E-3</v>
      </c>
    </row>
    <row r="1114" spans="1:7">
      <c r="A1114" s="44">
        <v>153.78850000000003</v>
      </c>
      <c r="B1114" s="44">
        <v>153.99000000000004</v>
      </c>
      <c r="C1114" s="44">
        <v>149.21350000000004</v>
      </c>
      <c r="D1114" s="44">
        <v>150.55000000000004</v>
      </c>
      <c r="E1114" s="44">
        <v>62395359.999999985</v>
      </c>
      <c r="F1114" s="44" t="s">
        <v>1042</v>
      </c>
      <c r="G1114" s="25">
        <f t="shared" si="15"/>
        <v>2.1511125871803261E-2</v>
      </c>
    </row>
    <row r="1115" spans="1:7">
      <c r="A1115" s="44">
        <v>151.35800000000003</v>
      </c>
      <c r="B1115" s="44">
        <v>151.74900000000002</v>
      </c>
      <c r="C1115" s="44">
        <v>139.50000000000003</v>
      </c>
      <c r="D1115" s="44">
        <v>139.83750000000003</v>
      </c>
      <c r="E1115" s="44">
        <v>100785759.99999999</v>
      </c>
      <c r="F1115" s="44" t="s">
        <v>1043</v>
      </c>
      <c r="G1115" s="25">
        <f t="shared" si="15"/>
        <v>8.2384911057477472E-2</v>
      </c>
    </row>
    <row r="1116" spans="1:7">
      <c r="A1116" s="44">
        <v>144.82700000000003</v>
      </c>
      <c r="B1116" s="44">
        <v>151.76300000000003</v>
      </c>
      <c r="C1116" s="44">
        <v>144.65100000000004</v>
      </c>
      <c r="D1116" s="44">
        <v>151.65050000000005</v>
      </c>
      <c r="E1116" s="44">
        <v>64243559.999999985</v>
      </c>
      <c r="F1116" s="44" t="s">
        <v>1044</v>
      </c>
      <c r="G1116" s="25">
        <f t="shared" si="15"/>
        <v>-4.4994906050425332E-2</v>
      </c>
    </row>
    <row r="1117" spans="1:7">
      <c r="A1117" s="44">
        <v>150.19750000000002</v>
      </c>
      <c r="B1117" s="44">
        <v>152.98250000000004</v>
      </c>
      <c r="C1117" s="44">
        <v>148.48550000000003</v>
      </c>
      <c r="D1117" s="44">
        <v>150.47850000000003</v>
      </c>
      <c r="E1117" s="44">
        <v>66128239.999999985</v>
      </c>
      <c r="F1117" s="44" t="s">
        <v>1045</v>
      </c>
      <c r="G1117" s="25">
        <f t="shared" si="15"/>
        <v>-1.8673764026090334E-3</v>
      </c>
    </row>
    <row r="1118" spans="1:7">
      <c r="A1118" s="44">
        <v>152.60150000000004</v>
      </c>
      <c r="B1118" s="44">
        <v>155.49950000000001</v>
      </c>
      <c r="C1118" s="44">
        <v>150.89300000000003</v>
      </c>
      <c r="D1118" s="44">
        <v>155.49950000000001</v>
      </c>
      <c r="E1118" s="44">
        <v>63604099.999999985</v>
      </c>
      <c r="F1118" s="44" t="s">
        <v>1046</v>
      </c>
      <c r="G1118" s="25">
        <f t="shared" si="15"/>
        <v>-1.8636715873684317E-2</v>
      </c>
    </row>
    <row r="1119" spans="1:7">
      <c r="A1119" s="44">
        <v>154.65250000000003</v>
      </c>
      <c r="B1119" s="44">
        <v>160.34875000000002</v>
      </c>
      <c r="C1119" s="44">
        <v>154.50000000000003</v>
      </c>
      <c r="D1119" s="44">
        <v>158.14600000000004</v>
      </c>
      <c r="E1119" s="44">
        <v>64032499.999999985</v>
      </c>
      <c r="F1119" s="44" t="s">
        <v>1047</v>
      </c>
      <c r="G1119" s="25">
        <f t="shared" si="15"/>
        <v>-2.2090346894641733E-2</v>
      </c>
    </row>
    <row r="1120" spans="1:7">
      <c r="A1120" s="44">
        <v>158.10050000000004</v>
      </c>
      <c r="B1120" s="44">
        <v>158.83400000000003</v>
      </c>
      <c r="C1120" s="44">
        <v>154.73450000000003</v>
      </c>
      <c r="D1120" s="44">
        <v>155.79050000000004</v>
      </c>
      <c r="E1120" s="44">
        <v>52704279.999999993</v>
      </c>
      <c r="F1120" s="44" t="s">
        <v>1048</v>
      </c>
      <c r="G1120" s="25">
        <f t="shared" si="15"/>
        <v>1.4827605020845347E-2</v>
      </c>
    </row>
    <row r="1121" spans="1:7">
      <c r="A1121" s="44">
        <v>156.51050000000004</v>
      </c>
      <c r="B1121" s="44">
        <v>158.00700000000003</v>
      </c>
      <c r="C1121" s="44">
        <v>154.63750000000002</v>
      </c>
      <c r="D1121" s="44">
        <v>157.60550000000003</v>
      </c>
      <c r="E1121" s="44">
        <v>56970659.999999993</v>
      </c>
      <c r="F1121" s="44" t="s">
        <v>1049</v>
      </c>
      <c r="G1121" s="25">
        <f t="shared" si="15"/>
        <v>-6.947727078052468E-3</v>
      </c>
    </row>
    <row r="1122" spans="1:7">
      <c r="A1122" s="44">
        <v>155.16700000000003</v>
      </c>
      <c r="B1122" s="44">
        <v>158.44831500000004</v>
      </c>
      <c r="C1122" s="44">
        <v>151.65000000000003</v>
      </c>
      <c r="D1122" s="44">
        <v>151.75100000000003</v>
      </c>
      <c r="E1122" s="44">
        <v>83230699.999999985</v>
      </c>
      <c r="F1122" s="44" t="s">
        <v>1050</v>
      </c>
      <c r="G1122" s="25">
        <f t="shared" si="15"/>
        <v>2.2510560062207086E-2</v>
      </c>
    </row>
    <row r="1123" spans="1:7">
      <c r="A1123" s="44">
        <v>153.29350000000002</v>
      </c>
      <c r="B1123" s="44">
        <v>159.00000000000003</v>
      </c>
      <c r="C1123" s="44">
        <v>152.73375000000004</v>
      </c>
      <c r="D1123" s="44">
        <v>158.13451000000003</v>
      </c>
      <c r="E1123" s="44">
        <v>77100439.999999985</v>
      </c>
      <c r="F1123" s="44" t="s">
        <v>1051</v>
      </c>
      <c r="G1123" s="25">
        <f t="shared" si="15"/>
        <v>-3.0613241853406969E-2</v>
      </c>
    </row>
    <row r="1124" spans="1:7">
      <c r="A1124" s="44">
        <v>159.00350000000003</v>
      </c>
      <c r="B1124" s="44">
        <v>160.71650000000002</v>
      </c>
      <c r="C1124" s="44">
        <v>157.75000000000003</v>
      </c>
      <c r="D1124" s="44">
        <v>158.35000000000002</v>
      </c>
      <c r="E1124" s="44">
        <v>68268119.999999985</v>
      </c>
      <c r="F1124" s="44" t="s">
        <v>1052</v>
      </c>
      <c r="G1124" s="25">
        <f t="shared" si="15"/>
        <v>4.1269340069467475E-3</v>
      </c>
    </row>
    <row r="1125" spans="1:7">
      <c r="A1125" s="44">
        <v>161.18950000000004</v>
      </c>
      <c r="B1125" s="44">
        <v>163.83450000000005</v>
      </c>
      <c r="C1125" s="44">
        <v>160.25000000000003</v>
      </c>
      <c r="D1125" s="44">
        <v>162.87350000000004</v>
      </c>
      <c r="E1125" s="44">
        <v>68785599.999999985</v>
      </c>
      <c r="F1125" s="44" t="s">
        <v>1053</v>
      </c>
      <c r="G1125" s="25">
        <f t="shared" si="15"/>
        <v>-1.0339312411165702E-2</v>
      </c>
    </row>
    <row r="1126" spans="1:7">
      <c r="A1126" s="44">
        <v>161.41350000000003</v>
      </c>
      <c r="B1126" s="44">
        <v>161.79250000000002</v>
      </c>
      <c r="C1126" s="44">
        <v>155.55050000000003</v>
      </c>
      <c r="D1126" s="44">
        <v>156.75050000000005</v>
      </c>
      <c r="E1126" s="44">
        <v>76040359.999999985</v>
      </c>
      <c r="F1126" s="44" t="s">
        <v>1054</v>
      </c>
      <c r="G1126" s="25">
        <f t="shared" si="15"/>
        <v>2.9747911489915291E-2</v>
      </c>
    </row>
    <row r="1127" spans="1:7">
      <c r="A1127" s="44">
        <v>157.93550000000002</v>
      </c>
      <c r="B1127" s="44">
        <v>162.69075000000004</v>
      </c>
      <c r="C1127" s="44">
        <v>157.25000000000003</v>
      </c>
      <c r="D1127" s="44">
        <v>158.52000000000004</v>
      </c>
      <c r="E1127" s="44">
        <v>102624379.99999999</v>
      </c>
      <c r="F1127" s="44" t="s">
        <v>1055</v>
      </c>
      <c r="G1127" s="25">
        <f t="shared" si="15"/>
        <v>-3.6872318950291749E-3</v>
      </c>
    </row>
    <row r="1128" spans="1:7">
      <c r="A1128" s="44">
        <v>157.63950000000003</v>
      </c>
      <c r="B1128" s="44">
        <v>161.20000000000005</v>
      </c>
      <c r="C1128" s="44">
        <v>150.60800000000003</v>
      </c>
      <c r="D1128" s="44">
        <v>155.60650000000004</v>
      </c>
      <c r="E1128" s="44">
        <v>253455859.99999994</v>
      </c>
      <c r="F1128" s="44" t="s">
        <v>1056</v>
      </c>
      <c r="G1128" s="25">
        <f t="shared" si="15"/>
        <v>1.3065006924517952E-2</v>
      </c>
    </row>
    <row r="1129" spans="1:7">
      <c r="A1129" s="44">
        <v>138.84550000000002</v>
      </c>
      <c r="B1129" s="44">
        <v>144.24750000000003</v>
      </c>
      <c r="C1129" s="44">
        <v>138.33300000000003</v>
      </c>
      <c r="D1129" s="44">
        <v>141.73750000000004</v>
      </c>
      <c r="E1129" s="44">
        <v>225531359.99999997</v>
      </c>
      <c r="F1129" s="44" t="s">
        <v>1057</v>
      </c>
      <c r="G1129" s="25">
        <f t="shared" si="15"/>
        <v>-2.0403915689214402E-2</v>
      </c>
    </row>
    <row r="1130" spans="1:7">
      <c r="A1130" s="44">
        <v>150.61250000000004</v>
      </c>
      <c r="B1130" s="44">
        <v>155.07500000000002</v>
      </c>
      <c r="C1130" s="44">
        <v>148.86358500000003</v>
      </c>
      <c r="D1130" s="44">
        <v>155.05042500000002</v>
      </c>
      <c r="E1130" s="44">
        <v>87329759.999999985</v>
      </c>
      <c r="F1130" s="44" t="s">
        <v>1058</v>
      </c>
      <c r="G1130" s="25">
        <f t="shared" si="15"/>
        <v>-2.8622462660131243E-2</v>
      </c>
    </row>
    <row r="1131" spans="1:7">
      <c r="A1131" s="44">
        <v>151.19350000000003</v>
      </c>
      <c r="B1131" s="44">
        <v>151.70800000000003</v>
      </c>
      <c r="C1131" s="44">
        <v>147.62774000000002</v>
      </c>
      <c r="D1131" s="44">
        <v>150.00000000000003</v>
      </c>
      <c r="E1131" s="44">
        <v>59219839.999999985</v>
      </c>
      <c r="F1131" s="44" t="s">
        <v>1059</v>
      </c>
      <c r="G1131" s="25">
        <f t="shared" si="15"/>
        <v>7.9566666666666119E-3</v>
      </c>
    </row>
    <row r="1132" spans="1:7">
      <c r="A1132" s="44">
        <v>149.57350000000002</v>
      </c>
      <c r="B1132" s="44">
        <v>150.36050000000003</v>
      </c>
      <c r="C1132" s="44">
        <v>144.30050500000002</v>
      </c>
      <c r="D1132" s="44">
        <v>144.75000000000003</v>
      </c>
      <c r="E1132" s="44">
        <v>78307439.999999985</v>
      </c>
      <c r="F1132" s="44" t="s">
        <v>1060</v>
      </c>
      <c r="G1132" s="25">
        <f t="shared" si="15"/>
        <v>3.3322970639032778E-2</v>
      </c>
    </row>
    <row r="1133" spans="1:7">
      <c r="A1133" s="44">
        <v>143.97800000000004</v>
      </c>
      <c r="B1133" s="44">
        <v>143.99800000000002</v>
      </c>
      <c r="C1133" s="44">
        <v>137.92925000000002</v>
      </c>
      <c r="D1133" s="44">
        <v>140.86050000000003</v>
      </c>
      <c r="E1133" s="44">
        <v>74391979.999999985</v>
      </c>
      <c r="F1133" s="44" t="s">
        <v>1061</v>
      </c>
      <c r="G1133" s="25">
        <f t="shared" si="15"/>
        <v>2.2131825458520993E-2</v>
      </c>
    </row>
    <row r="1134" spans="1:7">
      <c r="A1134" s="44">
        <v>139.63750000000002</v>
      </c>
      <c r="B1134" s="44">
        <v>144.24350000000001</v>
      </c>
      <c r="C1134" s="44">
        <v>139.35000000000002</v>
      </c>
      <c r="D1134" s="44">
        <v>140.80000000000004</v>
      </c>
      <c r="E1134" s="44">
        <v>77515799.999999985</v>
      </c>
      <c r="F1134" s="44" t="s">
        <v>1062</v>
      </c>
      <c r="G1134" s="25">
        <f t="shared" si="15"/>
        <v>-8.2563920454546968E-3</v>
      </c>
    </row>
    <row r="1135" spans="1:7">
      <c r="A1135" s="44">
        <v>138.87250000000003</v>
      </c>
      <c r="B1135" s="44">
        <v>145.18475000000004</v>
      </c>
      <c r="C1135" s="44">
        <v>137.31850000000003</v>
      </c>
      <c r="D1135" s="44">
        <v>144.75000000000003</v>
      </c>
      <c r="E1135" s="44">
        <v>95601699.999999985</v>
      </c>
      <c r="F1135" s="44" t="s">
        <v>1063</v>
      </c>
      <c r="G1135" s="25">
        <f t="shared" si="15"/>
        <v>-4.0604490500863566E-2</v>
      </c>
    </row>
    <row r="1136" spans="1:7">
      <c r="A1136" s="44">
        <v>139.98600000000002</v>
      </c>
      <c r="B1136" s="44">
        <v>143.60000000000002</v>
      </c>
      <c r="C1136" s="44">
        <v>138.14500000000004</v>
      </c>
      <c r="D1136" s="44">
        <v>142.24250000000004</v>
      </c>
      <c r="E1136" s="44">
        <v>90824659.999999985</v>
      </c>
      <c r="F1136" s="44" t="s">
        <v>1064</v>
      </c>
      <c r="G1136" s="25">
        <f t="shared" si="15"/>
        <v>-1.5863753800727798E-2</v>
      </c>
    </row>
    <row r="1137" spans="1:7">
      <c r="A1137" s="44">
        <v>144.54400000000004</v>
      </c>
      <c r="B1137" s="44">
        <v>144.94500000000002</v>
      </c>
      <c r="C1137" s="44">
        <v>135.35200000000003</v>
      </c>
      <c r="D1137" s="44">
        <v>139.00000000000003</v>
      </c>
      <c r="E1137" s="44">
        <v>156044739.99999997</v>
      </c>
      <c r="F1137" s="44" t="s">
        <v>1065</v>
      </c>
      <c r="G1137" s="25">
        <f t="shared" si="15"/>
        <v>3.9884892086331059E-2</v>
      </c>
    </row>
    <row r="1138" spans="1:7">
      <c r="A1138" s="44">
        <v>142.64300000000003</v>
      </c>
      <c r="B1138" s="44">
        <v>150.90000000000003</v>
      </c>
      <c r="C1138" s="44">
        <v>142.07040000000003</v>
      </c>
      <c r="D1138" s="44">
        <v>149.95000000000002</v>
      </c>
      <c r="E1138" s="44">
        <v>163971439.99999997</v>
      </c>
      <c r="F1138" s="44" t="s">
        <v>1066</v>
      </c>
      <c r="G1138" s="25">
        <f t="shared" si="15"/>
        <v>-4.8729576525508467E-2</v>
      </c>
    </row>
    <row r="1139" spans="1:7">
      <c r="A1139" s="44">
        <v>151.66750000000002</v>
      </c>
      <c r="B1139" s="44">
        <v>158.00000000000003</v>
      </c>
      <c r="C1139" s="44">
        <v>151.35100000000003</v>
      </c>
      <c r="D1139" s="44">
        <v>156.76600000000005</v>
      </c>
      <c r="E1139" s="44">
        <v>71973319.999999985</v>
      </c>
      <c r="F1139" s="44" t="s">
        <v>1067</v>
      </c>
      <c r="G1139" s="25">
        <f t="shared" ref="G1139:G1202" si="16">A1139/D1139-1</f>
        <v>-3.2522996057818832E-2</v>
      </c>
    </row>
    <row r="1140" spans="1:7">
      <c r="A1140" s="44">
        <v>156.29900000000004</v>
      </c>
      <c r="B1140" s="44">
        <v>159.25000000000003</v>
      </c>
      <c r="C1140" s="44">
        <v>156.25000000000003</v>
      </c>
      <c r="D1140" s="44">
        <v>158.76200000000003</v>
      </c>
      <c r="E1140" s="44">
        <v>53241919.999999993</v>
      </c>
      <c r="F1140" s="44" t="s">
        <v>1068</v>
      </c>
      <c r="G1140" s="25">
        <f t="shared" si="16"/>
        <v>-1.5513787934140377E-2</v>
      </c>
    </row>
    <row r="1141" spans="1:7">
      <c r="A1141" s="44">
        <v>158.91750000000002</v>
      </c>
      <c r="B1141" s="44">
        <v>159.73449500000001</v>
      </c>
      <c r="C1141" s="44">
        <v>157.66450000000003</v>
      </c>
      <c r="D1141" s="44">
        <v>159.10500000000002</v>
      </c>
      <c r="E1141" s="44">
        <v>67441439.999999985</v>
      </c>
      <c r="F1141" s="44" t="s">
        <v>1069</v>
      </c>
      <c r="G1141" s="25">
        <f t="shared" si="16"/>
        <v>-1.1784670500613048E-3</v>
      </c>
    </row>
    <row r="1142" spans="1:7">
      <c r="A1142" s="44">
        <v>162.13800000000003</v>
      </c>
      <c r="B1142" s="44">
        <v>162.25000000000003</v>
      </c>
      <c r="C1142" s="44">
        <v>159.80050000000003</v>
      </c>
      <c r="D1142" s="44">
        <v>160.15000000000003</v>
      </c>
      <c r="E1142" s="44">
        <v>45974859.999999993</v>
      </c>
      <c r="F1142" s="44" t="s">
        <v>1070</v>
      </c>
      <c r="G1142" s="25">
        <f t="shared" si="16"/>
        <v>1.2413362472681877E-2</v>
      </c>
    </row>
    <row r="1143" spans="1:7">
      <c r="A1143" s="44">
        <v>161.21400000000006</v>
      </c>
      <c r="B1143" s="44">
        <v>166.22149500000003</v>
      </c>
      <c r="C1143" s="44">
        <v>161.09100000000004</v>
      </c>
      <c r="D1143" s="44">
        <v>165.25050000000005</v>
      </c>
      <c r="E1143" s="44">
        <v>52188299.999999993</v>
      </c>
      <c r="F1143" s="44" t="s">
        <v>1071</v>
      </c>
      <c r="G1143" s="25">
        <f t="shared" si="16"/>
        <v>-2.4426552415877656E-2</v>
      </c>
    </row>
    <row r="1144" spans="1:7">
      <c r="A1144" s="44">
        <v>165.20700000000002</v>
      </c>
      <c r="B1144" s="44">
        <v>166.87800000000004</v>
      </c>
      <c r="C1144" s="44">
        <v>164.41700000000003</v>
      </c>
      <c r="D1144" s="44">
        <v>166.57500000000005</v>
      </c>
      <c r="E1144" s="44">
        <v>50029119.999999993</v>
      </c>
      <c r="F1144" s="44" t="s">
        <v>1072</v>
      </c>
      <c r="G1144" s="25">
        <f t="shared" si="16"/>
        <v>-8.2125168842864804E-3</v>
      </c>
    </row>
    <row r="1145" spans="1:7">
      <c r="A1145" s="44">
        <v>165.36200000000002</v>
      </c>
      <c r="B1145" s="44">
        <v>166.35000000000002</v>
      </c>
      <c r="C1145" s="44">
        <v>160.70150000000004</v>
      </c>
      <c r="D1145" s="44">
        <v>161.50000000000003</v>
      </c>
      <c r="E1145" s="44">
        <v>62805579.999999985</v>
      </c>
      <c r="F1145" s="44" t="s">
        <v>1073</v>
      </c>
      <c r="G1145" s="25">
        <f t="shared" si="16"/>
        <v>2.3913312693498501E-2</v>
      </c>
    </row>
    <row r="1146" spans="1:7">
      <c r="A1146" s="44">
        <v>161.48600000000002</v>
      </c>
      <c r="B1146" s="44">
        <v>161.66150000000005</v>
      </c>
      <c r="C1146" s="44">
        <v>156.30450000000005</v>
      </c>
      <c r="D1146" s="44">
        <v>160.58550000000002</v>
      </c>
      <c r="E1146" s="44">
        <v>87798299.999999985</v>
      </c>
      <c r="F1146" s="44" t="s">
        <v>1074</v>
      </c>
      <c r="G1146" s="25">
        <f t="shared" si="16"/>
        <v>5.6076046716546646E-3</v>
      </c>
    </row>
    <row r="1147" spans="1:7">
      <c r="A1147" s="44">
        <v>162.55400000000003</v>
      </c>
      <c r="B1147" s="44">
        <v>165.24325000000002</v>
      </c>
      <c r="C1147" s="44">
        <v>162.03100000000003</v>
      </c>
      <c r="D1147" s="44">
        <v>163.83900000000006</v>
      </c>
      <c r="E1147" s="44">
        <v>46605899.999999993</v>
      </c>
      <c r="F1147" s="44" t="s">
        <v>1075</v>
      </c>
      <c r="G1147" s="25">
        <f t="shared" si="16"/>
        <v>-7.8430654483976348E-3</v>
      </c>
    </row>
    <row r="1148" spans="1:7">
      <c r="A1148" s="44">
        <v>163.25400000000002</v>
      </c>
      <c r="B1148" s="44">
        <v>164.80000000000004</v>
      </c>
      <c r="C1148" s="44">
        <v>161.93721000000005</v>
      </c>
      <c r="D1148" s="44">
        <v>163.45050000000003</v>
      </c>
      <c r="E1148" s="44">
        <v>51957779.999999993</v>
      </c>
      <c r="F1148" s="44" t="s">
        <v>1076</v>
      </c>
      <c r="G1148" s="25">
        <f t="shared" si="16"/>
        <v>-1.2021988308388298E-3</v>
      </c>
    </row>
    <row r="1149" spans="1:7">
      <c r="A1149" s="44">
        <v>164.35700000000003</v>
      </c>
      <c r="B1149" s="44">
        <v>167.12625000000003</v>
      </c>
      <c r="C1149" s="44">
        <v>164.35700000000003</v>
      </c>
      <c r="D1149" s="44">
        <v>166.88300000000004</v>
      </c>
      <c r="E1149" s="44">
        <v>64302719.999999985</v>
      </c>
      <c r="F1149" s="44" t="s">
        <v>1077</v>
      </c>
      <c r="G1149" s="25">
        <f t="shared" si="16"/>
        <v>-1.5136353013788129E-2</v>
      </c>
    </row>
    <row r="1150" spans="1:7">
      <c r="A1150" s="44">
        <v>167.52200000000005</v>
      </c>
      <c r="B1150" s="44">
        <v>171.40000000000003</v>
      </c>
      <c r="C1150" s="44">
        <v>166.34950000000003</v>
      </c>
      <c r="D1150" s="44">
        <v>170.43800000000005</v>
      </c>
      <c r="E1150" s="44">
        <v>70725159.999999985</v>
      </c>
      <c r="F1150" s="44" t="s">
        <v>1078</v>
      </c>
      <c r="G1150" s="25">
        <f t="shared" si="16"/>
        <v>-1.7108860700078554E-2</v>
      </c>
    </row>
    <row r="1151" spans="1:7">
      <c r="A1151" s="44">
        <v>170.40450000000004</v>
      </c>
      <c r="B1151" s="44">
        <v>170.70350000000005</v>
      </c>
      <c r="C1151" s="44">
        <v>166.16050000000004</v>
      </c>
      <c r="D1151" s="44">
        <v>167.55000000000004</v>
      </c>
      <c r="E1151" s="44">
        <v>63869139.999999985</v>
      </c>
      <c r="F1151" s="44" t="s">
        <v>1079</v>
      </c>
      <c r="G1151" s="25">
        <f t="shared" si="16"/>
        <v>1.7036705461056512E-2</v>
      </c>
    </row>
    <row r="1152" spans="1:7">
      <c r="A1152" s="44">
        <v>166.71700000000004</v>
      </c>
      <c r="B1152" s="44">
        <v>169.35000000000002</v>
      </c>
      <c r="C1152" s="44">
        <v>166.55850000000004</v>
      </c>
      <c r="D1152" s="44">
        <v>168.95600000000002</v>
      </c>
      <c r="E1152" s="44">
        <v>47830379.999999993</v>
      </c>
      <c r="F1152" s="44" t="s">
        <v>1080</v>
      </c>
      <c r="G1152" s="25">
        <f t="shared" si="16"/>
        <v>-1.3251970927341872E-2</v>
      </c>
    </row>
    <row r="1153" spans="1:7">
      <c r="A1153" s="44">
        <v>168.64450000000002</v>
      </c>
      <c r="B1153" s="44">
        <v>170.88800000000003</v>
      </c>
      <c r="C1153" s="44">
        <v>168.52400000000003</v>
      </c>
      <c r="D1153" s="44">
        <v>169.70000000000005</v>
      </c>
      <c r="E1153" s="44">
        <v>37583099.999999993</v>
      </c>
      <c r="F1153" s="44" t="s">
        <v>1081</v>
      </c>
      <c r="G1153" s="25">
        <f t="shared" si="16"/>
        <v>-6.2197996464350425E-3</v>
      </c>
    </row>
    <row r="1154" spans="1:7">
      <c r="A1154" s="44">
        <v>169.20100000000002</v>
      </c>
      <c r="B1154" s="44">
        <v>171.21200000000002</v>
      </c>
      <c r="C1154" s="44">
        <v>168.60050500000003</v>
      </c>
      <c r="D1154" s="44">
        <v>170.84000000000003</v>
      </c>
      <c r="E1154" s="44">
        <v>35754039.999999993</v>
      </c>
      <c r="F1154" s="44" t="s">
        <v>1082</v>
      </c>
      <c r="G1154" s="25">
        <f t="shared" si="16"/>
        <v>-9.5937719503629282E-3</v>
      </c>
    </row>
    <row r="1155" spans="1:7">
      <c r="A1155" s="44">
        <v>170.66100000000003</v>
      </c>
      <c r="B1155" s="44">
        <v>172.17588000000003</v>
      </c>
      <c r="C1155" s="44">
        <v>169.13550000000004</v>
      </c>
      <c r="D1155" s="44">
        <v>170.18250000000003</v>
      </c>
      <c r="E1155" s="44">
        <v>54711859.999999993</v>
      </c>
      <c r="F1155" s="44" t="s">
        <v>1083</v>
      </c>
      <c r="G1155" s="25">
        <f t="shared" si="16"/>
        <v>2.8116874531751712E-3</v>
      </c>
    </row>
    <row r="1156" spans="1:7">
      <c r="A1156" s="44">
        <v>169.66950000000003</v>
      </c>
      <c r="B1156" s="44">
        <v>172.94300000000004</v>
      </c>
      <c r="C1156" s="44">
        <v>169.21550000000002</v>
      </c>
      <c r="D1156" s="44">
        <v>171.03700000000003</v>
      </c>
      <c r="E1156" s="44">
        <v>58846819.999999985</v>
      </c>
      <c r="F1156" s="44" t="s">
        <v>1084</v>
      </c>
      <c r="G1156" s="25">
        <f t="shared" si="16"/>
        <v>-7.9953460362378603E-3</v>
      </c>
    </row>
    <row r="1157" spans="1:7">
      <c r="A1157" s="44">
        <v>171.06850000000003</v>
      </c>
      <c r="B1157" s="44">
        <v>171.97500000000002</v>
      </c>
      <c r="C1157" s="44">
        <v>170.15000000000003</v>
      </c>
      <c r="D1157" s="44">
        <v>170.42800000000003</v>
      </c>
      <c r="E1157" s="44">
        <v>36788239.999999993</v>
      </c>
      <c r="F1157" s="44" t="s">
        <v>1085</v>
      </c>
      <c r="G1157" s="25">
        <f t="shared" si="16"/>
        <v>3.7581852747201605E-3</v>
      </c>
    </row>
    <row r="1158" spans="1:7">
      <c r="A1158" s="44">
        <v>171.03700000000003</v>
      </c>
      <c r="B1158" s="44">
        <v>172.05000000000004</v>
      </c>
      <c r="C1158" s="44">
        <v>168.50050000000005</v>
      </c>
      <c r="D1158" s="44">
        <v>169.26975000000004</v>
      </c>
      <c r="E1158" s="44">
        <v>55035459.999999993</v>
      </c>
      <c r="F1158" s="44" t="s">
        <v>1086</v>
      </c>
      <c r="G1158" s="25">
        <f t="shared" si="16"/>
        <v>1.0440436049559798E-2</v>
      </c>
    </row>
    <row r="1159" spans="1:7">
      <c r="A1159" s="44">
        <v>170.41700000000003</v>
      </c>
      <c r="B1159" s="44">
        <v>170.71649500000004</v>
      </c>
      <c r="C1159" s="44">
        <v>165.64750000000004</v>
      </c>
      <c r="D1159" s="44">
        <v>167.85050000000004</v>
      </c>
      <c r="E1159" s="44">
        <v>55955819.999999993</v>
      </c>
      <c r="F1159" s="44" t="s">
        <v>1087</v>
      </c>
      <c r="G1159" s="25">
        <f t="shared" si="16"/>
        <v>1.5290392343186188E-2</v>
      </c>
    </row>
    <row r="1160" spans="1:7">
      <c r="A1160" s="44">
        <v>167.07900000000004</v>
      </c>
      <c r="B1160" s="44">
        <v>167.87425500000003</v>
      </c>
      <c r="C1160" s="44">
        <v>165.60000000000002</v>
      </c>
      <c r="D1160" s="44">
        <v>166.85000000000002</v>
      </c>
      <c r="E1160" s="44">
        <v>57372659.999999993</v>
      </c>
      <c r="F1160" s="44" t="s">
        <v>1088</v>
      </c>
      <c r="G1160" s="25">
        <f t="shared" si="16"/>
        <v>1.3724902607132883E-3</v>
      </c>
    </row>
    <row r="1161" spans="1:7">
      <c r="A1161" s="44">
        <v>170.01750000000004</v>
      </c>
      <c r="B1161" s="44">
        <v>170.89850000000001</v>
      </c>
      <c r="C1161" s="44">
        <v>165.61355000000003</v>
      </c>
      <c r="D1161" s="44">
        <v>167.71050000000002</v>
      </c>
      <c r="E1161" s="44">
        <v>85755159.999999985</v>
      </c>
      <c r="F1161" s="44" t="s">
        <v>1089</v>
      </c>
      <c r="G1161" s="25">
        <f t="shared" si="16"/>
        <v>1.3755847129428567E-2</v>
      </c>
    </row>
    <row r="1162" spans="1:7">
      <c r="A1162" s="44">
        <v>168.87100000000004</v>
      </c>
      <c r="B1162" s="44">
        <v>174.16600000000005</v>
      </c>
      <c r="C1162" s="44">
        <v>168.16025000000002</v>
      </c>
      <c r="D1162" s="44">
        <v>173.36857000000003</v>
      </c>
      <c r="E1162" s="44">
        <v>60876839.999999985</v>
      </c>
      <c r="F1162" s="44" t="s">
        <v>1090</v>
      </c>
      <c r="G1162" s="25">
        <f t="shared" si="16"/>
        <v>-2.5942245471598402E-2</v>
      </c>
    </row>
    <row r="1163" spans="1:7">
      <c r="A1163" s="44">
        <v>173.31500000000005</v>
      </c>
      <c r="B1163" s="44">
        <v>173.60000000000002</v>
      </c>
      <c r="C1163" s="44">
        <v>165.19500000000005</v>
      </c>
      <c r="D1163" s="44">
        <v>168.59800000000004</v>
      </c>
      <c r="E1163" s="44">
        <v>75794259.999999985</v>
      </c>
      <c r="F1163" s="44" t="s">
        <v>1091</v>
      </c>
      <c r="G1163" s="25">
        <f t="shared" si="16"/>
        <v>2.7977793330881795E-2</v>
      </c>
    </row>
    <row r="1164" spans="1:7">
      <c r="A1164" s="44">
        <v>169.09150000000002</v>
      </c>
      <c r="B1164" s="44">
        <v>169.49900000000002</v>
      </c>
      <c r="C1164" s="44">
        <v>166.44000000000005</v>
      </c>
      <c r="D1164" s="44">
        <v>167.55000000000004</v>
      </c>
      <c r="E1164" s="44">
        <v>55975279.999999993</v>
      </c>
      <c r="F1164" s="44" t="s">
        <v>1092</v>
      </c>
      <c r="G1164" s="25">
        <f t="shared" si="16"/>
        <v>9.2002387347058789E-3</v>
      </c>
    </row>
    <row r="1165" spans="1:7">
      <c r="A1165" s="44">
        <v>169.56750000000002</v>
      </c>
      <c r="B1165" s="44">
        <v>172.10000000000002</v>
      </c>
      <c r="C1165" s="44">
        <v>169.13000000000002</v>
      </c>
      <c r="D1165" s="44">
        <v>172.00000000000003</v>
      </c>
      <c r="E1165" s="44">
        <v>62168999.999999985</v>
      </c>
      <c r="F1165" s="44" t="s">
        <v>1093</v>
      </c>
      <c r="G1165" s="25">
        <f t="shared" si="16"/>
        <v>-1.4142441860465094E-2</v>
      </c>
    </row>
    <row r="1166" spans="1:7">
      <c r="A1166" s="44">
        <v>172.21200000000002</v>
      </c>
      <c r="B1166" s="44">
        <v>175.92700000000002</v>
      </c>
      <c r="C1166" s="44">
        <v>170.50000000000003</v>
      </c>
      <c r="D1166" s="44">
        <v>175.41700000000003</v>
      </c>
      <c r="E1166" s="44">
        <v>60689759.999999985</v>
      </c>
      <c r="F1166" s="44" t="s">
        <v>1094</v>
      </c>
      <c r="G1166" s="25">
        <f t="shared" si="16"/>
        <v>-1.8270749129217889E-2</v>
      </c>
    </row>
    <row r="1167" spans="1:7">
      <c r="A1167" s="44">
        <v>174.17100000000005</v>
      </c>
      <c r="B1167" s="44">
        <v>176.96950000000004</v>
      </c>
      <c r="C1167" s="44">
        <v>174.13950000000003</v>
      </c>
      <c r="D1167" s="44">
        <v>175.75000000000003</v>
      </c>
      <c r="E1167" s="44">
        <v>46061819.999999993</v>
      </c>
      <c r="F1167" s="44" t="s">
        <v>1095</v>
      </c>
      <c r="G1167" s="25">
        <f t="shared" si="16"/>
        <v>-8.9843527738263651E-3</v>
      </c>
    </row>
    <row r="1168" spans="1:7">
      <c r="A1168" s="44">
        <v>176.15800000000002</v>
      </c>
      <c r="B1168" s="44">
        <v>177.18000000000004</v>
      </c>
      <c r="C1168" s="44">
        <v>174.75050000000005</v>
      </c>
      <c r="D1168" s="44">
        <v>176.15050000000005</v>
      </c>
      <c r="E1168" s="44">
        <v>45253659.999999993</v>
      </c>
      <c r="F1168" s="44" t="s">
        <v>1096</v>
      </c>
      <c r="G1168" s="25">
        <f t="shared" si="16"/>
        <v>4.2577227995277411E-5</v>
      </c>
    </row>
    <row r="1169" spans="1:7">
      <c r="A1169" s="44">
        <v>176.16450000000003</v>
      </c>
      <c r="B1169" s="44">
        <v>177.49950000000001</v>
      </c>
      <c r="C1169" s="44">
        <v>173.33450000000005</v>
      </c>
      <c r="D1169" s="44">
        <v>174.60000000000002</v>
      </c>
      <c r="E1169" s="44">
        <v>66410719.999999985</v>
      </c>
      <c r="F1169" s="44" t="s">
        <v>1097</v>
      </c>
      <c r="G1169" s="25">
        <f t="shared" si="16"/>
        <v>8.9604810996564144E-3</v>
      </c>
    </row>
    <row r="1170" spans="1:7">
      <c r="A1170" s="44">
        <v>171.36850000000004</v>
      </c>
      <c r="B1170" s="44">
        <v>173.69550000000004</v>
      </c>
      <c r="C1170" s="44">
        <v>166.93450000000004</v>
      </c>
      <c r="D1170" s="44">
        <v>169.65000000000003</v>
      </c>
      <c r="E1170" s="44">
        <v>68859999.999999985</v>
      </c>
      <c r="F1170" s="44" t="s">
        <v>1098</v>
      </c>
      <c r="G1170" s="25">
        <f t="shared" si="16"/>
        <v>1.0129678750368409E-2</v>
      </c>
    </row>
    <row r="1171" spans="1:7">
      <c r="A1171" s="44">
        <v>169.48950000000002</v>
      </c>
      <c r="B1171" s="44">
        <v>173.49325000000002</v>
      </c>
      <c r="C1171" s="44">
        <v>166.93000000000004</v>
      </c>
      <c r="D1171" s="44">
        <v>172.75000000000003</v>
      </c>
      <c r="E1171" s="44">
        <v>80710999.999999985</v>
      </c>
      <c r="F1171" s="44" t="s">
        <v>1099</v>
      </c>
      <c r="G1171" s="25">
        <f t="shared" si="16"/>
        <v>-1.887409551374819E-2</v>
      </c>
    </row>
    <row r="1172" spans="1:7">
      <c r="A1172" s="44">
        <v>171.86800000000005</v>
      </c>
      <c r="B1172" s="44">
        <v>174.63500000000002</v>
      </c>
      <c r="C1172" s="44">
        <v>171.18750000000003</v>
      </c>
      <c r="D1172" s="44">
        <v>173.00000000000003</v>
      </c>
      <c r="E1172" s="44">
        <v>64725759.999999985</v>
      </c>
      <c r="F1172" s="44" t="s">
        <v>1100</v>
      </c>
      <c r="G1172" s="25">
        <f t="shared" si="16"/>
        <v>-6.5433526011559051E-3</v>
      </c>
    </row>
    <row r="1173" spans="1:7">
      <c r="A1173" s="44">
        <v>172.18600000000004</v>
      </c>
      <c r="B1173" s="44">
        <v>177.99400000000003</v>
      </c>
      <c r="C1173" s="44">
        <v>172.08000000000004</v>
      </c>
      <c r="D1173" s="44">
        <v>177.25000000000003</v>
      </c>
      <c r="E1173" s="44">
        <v>75139899.999999985</v>
      </c>
      <c r="F1173" s="44" t="s">
        <v>1101</v>
      </c>
      <c r="G1173" s="25">
        <f t="shared" si="16"/>
        <v>-2.8569816643159385E-2</v>
      </c>
    </row>
    <row r="1174" spans="1:7">
      <c r="A1174" s="44">
        <v>175.35350000000005</v>
      </c>
      <c r="B1174" s="44">
        <v>179.28850000000003</v>
      </c>
      <c r="C1174" s="44">
        <v>174.60050000000004</v>
      </c>
      <c r="D1174" s="44">
        <v>178.17500000000004</v>
      </c>
      <c r="E1174" s="44">
        <v>80022139.999999985</v>
      </c>
      <c r="F1174" s="44" t="s">
        <v>1102</v>
      </c>
      <c r="G1174" s="25">
        <f t="shared" si="16"/>
        <v>-1.5835554931948881E-2</v>
      </c>
    </row>
    <row r="1175" spans="1:7">
      <c r="A1175" s="44">
        <v>178.07850000000005</v>
      </c>
      <c r="B1175" s="44">
        <v>179.80000000000004</v>
      </c>
      <c r="C1175" s="44">
        <v>176.57500500000003</v>
      </c>
      <c r="D1175" s="44">
        <v>177.38221500000003</v>
      </c>
      <c r="E1175" s="44">
        <v>65311139.999999985</v>
      </c>
      <c r="F1175" s="44" t="s">
        <v>1103</v>
      </c>
      <c r="G1175" s="25">
        <f t="shared" si="16"/>
        <v>3.9253371596470465E-3</v>
      </c>
    </row>
    <row r="1176" spans="1:7">
      <c r="A1176" s="44">
        <v>175.22800000000004</v>
      </c>
      <c r="B1176" s="44">
        <v>181.67500000000004</v>
      </c>
      <c r="C1176" s="44">
        <v>175.20750000000004</v>
      </c>
      <c r="D1176" s="44">
        <v>180.10475000000002</v>
      </c>
      <c r="E1176" s="44">
        <v>59825939.999999985</v>
      </c>
      <c r="F1176" s="44" t="s">
        <v>1104</v>
      </c>
      <c r="G1176" s="25">
        <f t="shared" si="16"/>
        <v>-2.7077298072371692E-2</v>
      </c>
    </row>
    <row r="1177" spans="1:7">
      <c r="A1177" s="44">
        <v>179.02050000000003</v>
      </c>
      <c r="B1177" s="44">
        <v>180.68200000000002</v>
      </c>
      <c r="C1177" s="44">
        <v>176.84250000000003</v>
      </c>
      <c r="D1177" s="44">
        <v>178.13350000000003</v>
      </c>
      <c r="E1177" s="44">
        <v>46560359.999999993</v>
      </c>
      <c r="F1177" s="44" t="s">
        <v>1105</v>
      </c>
      <c r="G1177" s="25">
        <f t="shared" si="16"/>
        <v>4.9794115087842261E-3</v>
      </c>
    </row>
    <row r="1178" spans="1:7">
      <c r="A1178" s="44">
        <v>179.00200000000004</v>
      </c>
      <c r="B1178" s="44">
        <v>181.05250000000004</v>
      </c>
      <c r="C1178" s="44">
        <v>176.38550000000004</v>
      </c>
      <c r="D1178" s="44">
        <v>179.25200000000004</v>
      </c>
      <c r="E1178" s="44">
        <v>73844919.999999985</v>
      </c>
      <c r="F1178" s="44" t="s">
        <v>1106</v>
      </c>
      <c r="G1178" s="25">
        <f t="shared" si="16"/>
        <v>-1.3946845781358519E-3</v>
      </c>
    </row>
    <row r="1179" spans="1:7">
      <c r="A1179" s="44">
        <v>178.62850000000003</v>
      </c>
      <c r="B1179" s="44">
        <v>185.67275000000004</v>
      </c>
      <c r="C1179" s="44">
        <v>178.37500000000003</v>
      </c>
      <c r="D1179" s="44">
        <v>183.81884000000002</v>
      </c>
      <c r="E1179" s="44">
        <v>96956999.999999985</v>
      </c>
      <c r="F1179" s="44" t="s">
        <v>1107</v>
      </c>
      <c r="G1179" s="25">
        <f t="shared" si="16"/>
        <v>-2.8236169915988985E-2</v>
      </c>
    </row>
    <row r="1180" spans="1:7">
      <c r="A1180" s="44">
        <v>183.82850000000005</v>
      </c>
      <c r="B1180" s="44">
        <v>188.10725000000002</v>
      </c>
      <c r="C1180" s="44">
        <v>183.78600000000003</v>
      </c>
      <c r="D1180" s="44">
        <v>185.63450000000003</v>
      </c>
      <c r="E1180" s="44">
        <v>98924059.999999985</v>
      </c>
      <c r="F1180" s="44" t="s">
        <v>1108</v>
      </c>
      <c r="G1180" s="25">
        <f t="shared" si="16"/>
        <v>-9.7287950246316424E-3</v>
      </c>
    </row>
    <row r="1181" spans="1:7">
      <c r="A1181" s="44">
        <v>184.80300000000003</v>
      </c>
      <c r="B1181" s="44">
        <v>185.21000000000004</v>
      </c>
      <c r="C1181" s="44">
        <v>178.05000000000004</v>
      </c>
      <c r="D1181" s="44">
        <v>178.31750000000002</v>
      </c>
      <c r="E1181" s="44">
        <v>114070759.99999999</v>
      </c>
      <c r="F1181" s="44" t="s">
        <v>1109</v>
      </c>
      <c r="G1181" s="25">
        <f t="shared" si="16"/>
        <v>3.637051887784426E-2</v>
      </c>
    </row>
    <row r="1182" spans="1:7">
      <c r="A1182" s="44">
        <v>177.45000000000005</v>
      </c>
      <c r="B1182" s="44">
        <v>179.36225000000002</v>
      </c>
      <c r="C1182" s="44">
        <v>177.26750000000004</v>
      </c>
      <c r="D1182" s="44">
        <v>178.23600000000002</v>
      </c>
      <c r="E1182" s="44">
        <v>51205399.999999993</v>
      </c>
      <c r="F1182" s="44" t="s">
        <v>1110</v>
      </c>
      <c r="G1182" s="25">
        <f t="shared" si="16"/>
        <v>-4.4098835252136537E-3</v>
      </c>
    </row>
    <row r="1183" spans="1:7">
      <c r="A1183" s="44">
        <v>177.03500000000003</v>
      </c>
      <c r="B1183" s="44">
        <v>178.82500000000005</v>
      </c>
      <c r="C1183" s="44">
        <v>176.25733000000002</v>
      </c>
      <c r="D1183" s="44">
        <v>176.95000000000005</v>
      </c>
      <c r="E1183" s="44">
        <v>44341419.999999993</v>
      </c>
      <c r="F1183" s="44" t="s">
        <v>1111</v>
      </c>
      <c r="G1183" s="25">
        <f t="shared" si="16"/>
        <v>4.8036168409137936E-4</v>
      </c>
    </row>
    <row r="1184" spans="1:7">
      <c r="A1184" s="44">
        <v>177.28400000000002</v>
      </c>
      <c r="B1184" s="44">
        <v>179.69400000000005</v>
      </c>
      <c r="C1184" s="44">
        <v>176.29050000000004</v>
      </c>
      <c r="D1184" s="44">
        <v>176.85000000000002</v>
      </c>
      <c r="E1184" s="44">
        <v>58594379.999999985</v>
      </c>
      <c r="F1184" s="44" t="s">
        <v>1112</v>
      </c>
      <c r="G1184" s="25">
        <f t="shared" si="16"/>
        <v>2.4540571105455822E-3</v>
      </c>
    </row>
    <row r="1185" spans="1:7">
      <c r="A1185" s="44">
        <v>176.25750000000005</v>
      </c>
      <c r="B1185" s="44">
        <v>177.03631000000004</v>
      </c>
      <c r="C1185" s="44">
        <v>172.35250000000005</v>
      </c>
      <c r="D1185" s="44">
        <v>174.25000000000003</v>
      </c>
      <c r="E1185" s="44">
        <v>53788679.999999993</v>
      </c>
      <c r="F1185" s="44" t="s">
        <v>1113</v>
      </c>
      <c r="G1185" s="25">
        <f t="shared" si="16"/>
        <v>1.1520803443328731E-2</v>
      </c>
    </row>
    <row r="1186" spans="1:7">
      <c r="A1186" s="44">
        <v>173.62500000000003</v>
      </c>
      <c r="B1186" s="44">
        <v>177.16200000000003</v>
      </c>
      <c r="C1186" s="44">
        <v>173.37350000000004</v>
      </c>
      <c r="D1186" s="44">
        <v>175.65000000000003</v>
      </c>
      <c r="E1186" s="44">
        <v>45288119.999999993</v>
      </c>
      <c r="F1186" s="44" t="s">
        <v>1114</v>
      </c>
      <c r="G1186" s="25">
        <f t="shared" si="16"/>
        <v>-1.1528608027327136E-2</v>
      </c>
    </row>
    <row r="1187" spans="1:7">
      <c r="A1187" s="44">
        <v>174.10250000000005</v>
      </c>
      <c r="B1187" s="44">
        <v>180.27250000000004</v>
      </c>
      <c r="C1187" s="44">
        <v>173.15450000000004</v>
      </c>
      <c r="D1187" s="44">
        <v>178.19350000000003</v>
      </c>
      <c r="E1187" s="44">
        <v>80548439.999999985</v>
      </c>
      <c r="F1187" s="44" t="s">
        <v>1115</v>
      </c>
      <c r="G1187" s="25">
        <f t="shared" si="16"/>
        <v>-2.2958188710586969E-2</v>
      </c>
    </row>
    <row r="1188" spans="1:7">
      <c r="A1188" s="44">
        <v>178.81150000000002</v>
      </c>
      <c r="B1188" s="44">
        <v>179.68850000000003</v>
      </c>
      <c r="C1188" s="44">
        <v>175.07125000000005</v>
      </c>
      <c r="D1188" s="44">
        <v>175.76250000000005</v>
      </c>
      <c r="E1188" s="44">
        <v>85898439.999999985</v>
      </c>
      <c r="F1188" s="44" t="s">
        <v>1116</v>
      </c>
      <c r="G1188" s="25">
        <f t="shared" si="16"/>
        <v>1.7347272597965979E-2</v>
      </c>
    </row>
    <row r="1189" spans="1:7">
      <c r="A1189" s="44">
        <v>174.44900000000004</v>
      </c>
      <c r="B1189" s="44">
        <v>178.95000000000005</v>
      </c>
      <c r="C1189" s="44">
        <v>174.39300000000003</v>
      </c>
      <c r="D1189" s="44">
        <v>176.16200000000003</v>
      </c>
      <c r="E1189" s="44">
        <v>61479839.999999985</v>
      </c>
      <c r="F1189" s="44" t="s">
        <v>1117</v>
      </c>
      <c r="G1189" s="25">
        <f t="shared" si="16"/>
        <v>-9.7240040417342355E-3</v>
      </c>
    </row>
    <row r="1190" spans="1:7">
      <c r="A1190" s="44">
        <v>175.94950000000003</v>
      </c>
      <c r="B1190" s="44">
        <v>178.31250000000003</v>
      </c>
      <c r="C1190" s="44">
        <v>173.84900000000005</v>
      </c>
      <c r="D1190" s="44">
        <v>173.85000000000002</v>
      </c>
      <c r="E1190" s="44">
        <v>99939019.999999985</v>
      </c>
      <c r="F1190" s="44" t="s">
        <v>1118</v>
      </c>
      <c r="G1190" s="25">
        <f t="shared" si="16"/>
        <v>1.2076502732240479E-2</v>
      </c>
    </row>
    <row r="1191" spans="1:7">
      <c r="A1191" s="44">
        <v>173.85000000000002</v>
      </c>
      <c r="B1191" s="44">
        <v>174.93125000000003</v>
      </c>
      <c r="C1191" s="44">
        <v>168.25000500000004</v>
      </c>
      <c r="D1191" s="44">
        <v>168.50000000000003</v>
      </c>
      <c r="E1191" s="44">
        <v>107060399.99999999</v>
      </c>
      <c r="F1191" s="44" t="s">
        <v>1119</v>
      </c>
      <c r="G1191" s="25">
        <f t="shared" si="16"/>
        <v>3.1750741839762675E-2</v>
      </c>
    </row>
    <row r="1192" spans="1:7">
      <c r="A1192" s="44">
        <v>169.20000000000005</v>
      </c>
      <c r="B1192" s="44">
        <v>169.74599500000002</v>
      </c>
      <c r="C1192" s="44">
        <v>164.87600000000003</v>
      </c>
      <c r="D1192" s="44">
        <v>165.45000000000005</v>
      </c>
      <c r="E1192" s="44">
        <v>67943779.999999985</v>
      </c>
      <c r="F1192" s="44" t="s">
        <v>1120</v>
      </c>
      <c r="G1192" s="25">
        <f t="shared" si="16"/>
        <v>2.2665457842248493E-2</v>
      </c>
    </row>
    <row r="1193" spans="1:7">
      <c r="A1193" s="44">
        <v>165.63750000000005</v>
      </c>
      <c r="B1193" s="44">
        <v>166.55575000000002</v>
      </c>
      <c r="C1193" s="44">
        <v>164.17750000000004</v>
      </c>
      <c r="D1193" s="44">
        <v>165.75050000000005</v>
      </c>
      <c r="E1193" s="44">
        <v>52551799.999999993</v>
      </c>
      <c r="F1193" s="44" t="s">
        <v>1121</v>
      </c>
      <c r="G1193" s="25">
        <f t="shared" si="16"/>
        <v>-6.8174756637229272E-4</v>
      </c>
    </row>
    <row r="1194" spans="1:7">
      <c r="A1194" s="44">
        <v>165.90550000000005</v>
      </c>
      <c r="B1194" s="44">
        <v>168.79300000000003</v>
      </c>
      <c r="C1194" s="44">
        <v>164.60100000000003</v>
      </c>
      <c r="D1194" s="44">
        <v>168.09000000000003</v>
      </c>
      <c r="E1194" s="44">
        <v>72177579.999999985</v>
      </c>
      <c r="F1194" s="44" t="s">
        <v>1122</v>
      </c>
      <c r="G1194" s="25">
        <f t="shared" si="16"/>
        <v>-1.2996014040097426E-2</v>
      </c>
    </row>
    <row r="1195" spans="1:7">
      <c r="A1195" s="44">
        <v>168.62150000000003</v>
      </c>
      <c r="B1195" s="44">
        <v>168.74100000000004</v>
      </c>
      <c r="C1195" s="44">
        <v>163.66600000000005</v>
      </c>
      <c r="D1195" s="44">
        <v>165.00100000000003</v>
      </c>
      <c r="E1195" s="44">
        <v>129721539.99999997</v>
      </c>
      <c r="F1195" s="44" t="s">
        <v>1123</v>
      </c>
      <c r="G1195" s="25">
        <f t="shared" si="16"/>
        <v>2.1942291258840729E-2</v>
      </c>
    </row>
    <row r="1196" spans="1:7">
      <c r="A1196" s="44">
        <v>172.32850000000005</v>
      </c>
      <c r="B1196" s="44">
        <v>173.95000000000005</v>
      </c>
      <c r="C1196" s="44">
        <v>169.30000000000004</v>
      </c>
      <c r="D1196" s="44">
        <v>170.10475000000002</v>
      </c>
      <c r="E1196" s="44">
        <v>114174659.99999999</v>
      </c>
      <c r="F1196" s="44" t="s">
        <v>1124</v>
      </c>
      <c r="G1196" s="25">
        <f t="shared" si="16"/>
        <v>1.3072827184426261E-2</v>
      </c>
    </row>
    <row r="1197" spans="1:7">
      <c r="A1197" s="44">
        <v>169.62450000000001</v>
      </c>
      <c r="B1197" s="44">
        <v>171.85000000000002</v>
      </c>
      <c r="C1197" s="44">
        <v>168.57267000000002</v>
      </c>
      <c r="D1197" s="44">
        <v>169.40000000000003</v>
      </c>
      <c r="E1197" s="44">
        <v>54044479.999999993</v>
      </c>
      <c r="F1197" s="44" t="s">
        <v>1125</v>
      </c>
      <c r="G1197" s="25">
        <f t="shared" si="16"/>
        <v>1.3252656434472598E-3</v>
      </c>
    </row>
    <row r="1198" spans="1:7">
      <c r="A1198" s="44">
        <v>168.80350000000004</v>
      </c>
      <c r="B1198" s="44">
        <v>170.80600000000004</v>
      </c>
      <c r="C1198" s="44">
        <v>167.19900000000004</v>
      </c>
      <c r="D1198" s="44">
        <v>167.47550000000004</v>
      </c>
      <c r="E1198" s="44">
        <v>53966839.999999993</v>
      </c>
      <c r="F1198" s="44" t="s">
        <v>1126</v>
      </c>
      <c r="G1198" s="25">
        <f t="shared" si="16"/>
        <v>7.9295180489087347E-3</v>
      </c>
    </row>
    <row r="1199" spans="1:7">
      <c r="A1199" s="44">
        <v>166.01850000000002</v>
      </c>
      <c r="B1199" s="44">
        <v>167.38998500000002</v>
      </c>
      <c r="C1199" s="44">
        <v>164.88500000000002</v>
      </c>
      <c r="D1199" s="44">
        <v>166.75000000000003</v>
      </c>
      <c r="E1199" s="44">
        <v>44519119.999999993</v>
      </c>
      <c r="F1199" s="44" t="s">
        <v>1127</v>
      </c>
      <c r="G1199" s="25">
        <f t="shared" si="16"/>
        <v>-4.3868065967017644E-3</v>
      </c>
    </row>
    <row r="1200" spans="1:7">
      <c r="A1200" s="44">
        <v>166.77750000000003</v>
      </c>
      <c r="B1200" s="44">
        <v>171.49200000000005</v>
      </c>
      <c r="C1200" s="44">
        <v>166.56500000000005</v>
      </c>
      <c r="D1200" s="44">
        <v>171.05000000000004</v>
      </c>
      <c r="E1200" s="44">
        <v>62781059.999999985</v>
      </c>
      <c r="F1200" s="44" t="s">
        <v>1128</v>
      </c>
      <c r="G1200" s="25">
        <f t="shared" si="16"/>
        <v>-2.4978076585793652E-2</v>
      </c>
    </row>
    <row r="1201" spans="1:7">
      <c r="A1201" s="44">
        <v>171.75050000000005</v>
      </c>
      <c r="B1201" s="44">
        <v>172.01400000000004</v>
      </c>
      <c r="C1201" s="44">
        <v>170.15000000000003</v>
      </c>
      <c r="D1201" s="44">
        <v>170.71250000000003</v>
      </c>
      <c r="E1201" s="44">
        <v>37627699.999999993</v>
      </c>
      <c r="F1201" s="44" t="s">
        <v>1129</v>
      </c>
      <c r="G1201" s="25">
        <f t="shared" si="16"/>
        <v>6.0803983305264264E-3</v>
      </c>
    </row>
    <row r="1202" spans="1:7">
      <c r="A1202" s="44">
        <v>170.75300000000004</v>
      </c>
      <c r="B1202" s="44">
        <v>173.14300000000003</v>
      </c>
      <c r="C1202" s="44">
        <v>170.01850000000002</v>
      </c>
      <c r="D1202" s="44">
        <v>172.63300000000004</v>
      </c>
      <c r="E1202" s="44">
        <v>42795539.999999993</v>
      </c>
      <c r="F1202" s="44" t="s">
        <v>1130</v>
      </c>
      <c r="G1202" s="25">
        <f t="shared" si="16"/>
        <v>-1.0890154257876539E-2</v>
      </c>
    </row>
    <row r="1203" spans="1:7">
      <c r="A1203" s="44">
        <v>172.20750000000004</v>
      </c>
      <c r="B1203" s="44">
        <v>172.73450000000003</v>
      </c>
      <c r="C1203" s="44">
        <v>171.10000000000002</v>
      </c>
      <c r="D1203" s="44">
        <v>171.71450000000004</v>
      </c>
      <c r="E1203" s="44">
        <v>47721579.999999993</v>
      </c>
      <c r="F1203" s="44" t="s">
        <v>1131</v>
      </c>
      <c r="G1203" s="25">
        <f t="shared" ref="G1203:G1266" si="17">A1203/D1203-1</f>
        <v>2.8710446700772607E-3</v>
      </c>
    </row>
    <row r="1204" spans="1:7">
      <c r="A1204" s="44">
        <v>172.33700000000002</v>
      </c>
      <c r="B1204" s="44">
        <v>172.45850000000004</v>
      </c>
      <c r="C1204" s="44">
        <v>169.25500000000002</v>
      </c>
      <c r="D1204" s="44">
        <v>169.41788000000003</v>
      </c>
      <c r="E1204" s="44">
        <v>63482299.999999985</v>
      </c>
      <c r="F1204" s="44" t="s">
        <v>1132</v>
      </c>
      <c r="G1204" s="25">
        <f t="shared" si="17"/>
        <v>1.723029470088977E-2</v>
      </c>
    </row>
    <row r="1205" spans="1:7">
      <c r="A1205" s="44">
        <v>170.45100000000002</v>
      </c>
      <c r="B1205" s="44">
        <v>170.52100000000004</v>
      </c>
      <c r="C1205" s="44">
        <v>165.20000000000005</v>
      </c>
      <c r="D1205" s="44">
        <v>165.57100000000003</v>
      </c>
      <c r="E1205" s="44">
        <v>103598819.99999999</v>
      </c>
      <c r="F1205" s="44" t="s">
        <v>1133</v>
      </c>
      <c r="G1205" s="25">
        <f t="shared" si="17"/>
        <v>2.9473760501537161E-2</v>
      </c>
    </row>
    <row r="1206" spans="1:7">
      <c r="A1206" s="44">
        <v>164.99300000000005</v>
      </c>
      <c r="B1206" s="44">
        <v>165.63000000000002</v>
      </c>
      <c r="C1206" s="44">
        <v>164.53900000000004</v>
      </c>
      <c r="D1206" s="44">
        <v>165.12270500000002</v>
      </c>
      <c r="E1206" s="44">
        <v>42240399.999999993</v>
      </c>
      <c r="F1206" s="44" t="s">
        <v>1134</v>
      </c>
      <c r="G1206" s="25">
        <f t="shared" si="17"/>
        <v>-7.8550675390143265E-4</v>
      </c>
    </row>
    <row r="1207" spans="1:7">
      <c r="A1207" s="44">
        <v>164.21400000000006</v>
      </c>
      <c r="B1207" s="44">
        <v>164.41900000000004</v>
      </c>
      <c r="C1207" s="44">
        <v>163.05444500000004</v>
      </c>
      <c r="D1207" s="44">
        <v>163.48550000000003</v>
      </c>
      <c r="E1207" s="44">
        <v>48501719.999999993</v>
      </c>
      <c r="F1207" s="44" t="s">
        <v>1135</v>
      </c>
      <c r="G1207" s="25">
        <f t="shared" si="17"/>
        <v>4.4560526774546361E-3</v>
      </c>
    </row>
    <row r="1208" spans="1:7">
      <c r="A1208" s="44">
        <v>162.36650000000003</v>
      </c>
      <c r="B1208" s="44">
        <v>163.37640000000002</v>
      </c>
      <c r="C1208" s="44">
        <v>161.81400000000005</v>
      </c>
      <c r="D1208" s="44">
        <v>162.85000000000002</v>
      </c>
      <c r="E1208" s="44">
        <v>36391419.999999993</v>
      </c>
      <c r="F1208" s="44" t="s">
        <v>1136</v>
      </c>
      <c r="G1208" s="25">
        <f t="shared" si="17"/>
        <v>-2.968989867976668E-3</v>
      </c>
    </row>
    <row r="1209" spans="1:7">
      <c r="A1209" s="44">
        <v>162.31500000000005</v>
      </c>
      <c r="B1209" s="44">
        <v>164.62949500000002</v>
      </c>
      <c r="C1209" s="44">
        <v>161.90500000000003</v>
      </c>
      <c r="D1209" s="44">
        <v>163.75000000000003</v>
      </c>
      <c r="E1209" s="44">
        <v>40684059.999999993</v>
      </c>
      <c r="F1209" s="44" t="s">
        <v>1137</v>
      </c>
      <c r="G1209" s="25">
        <f t="shared" si="17"/>
        <v>-8.7633587786257738E-3</v>
      </c>
    </row>
    <row r="1210" spans="1:7">
      <c r="A1210" s="44">
        <v>164.43100000000004</v>
      </c>
      <c r="B1210" s="44">
        <v>166.07150000000001</v>
      </c>
      <c r="C1210" s="44">
        <v>164.41000000000003</v>
      </c>
      <c r="D1210" s="44">
        <v>165.85000000000002</v>
      </c>
      <c r="E1210" s="44">
        <v>39964339.999999993</v>
      </c>
      <c r="F1210" s="44" t="s">
        <v>1138</v>
      </c>
      <c r="G1210" s="25">
        <f t="shared" si="17"/>
        <v>-8.5559240277357507E-3</v>
      </c>
    </row>
    <row r="1211" spans="1:7">
      <c r="A1211" s="44">
        <v>165.12150000000003</v>
      </c>
      <c r="B1211" s="44">
        <v>166.28730000000004</v>
      </c>
      <c r="C1211" s="44">
        <v>164.15300000000002</v>
      </c>
      <c r="D1211" s="44">
        <v>164.57700000000003</v>
      </c>
      <c r="E1211" s="44">
        <v>48181499.999999993</v>
      </c>
      <c r="F1211" s="44" t="s">
        <v>1139</v>
      </c>
      <c r="G1211" s="25">
        <f t="shared" si="17"/>
        <v>3.3084817441075831E-3</v>
      </c>
    </row>
    <row r="1212" spans="1:7">
      <c r="A1212" s="44">
        <v>163.10050000000004</v>
      </c>
      <c r="B1212" s="44">
        <v>163.21700000000004</v>
      </c>
      <c r="C1212" s="44">
        <v>159.93100000000001</v>
      </c>
      <c r="D1212" s="44">
        <v>160.67650000000003</v>
      </c>
      <c r="E1212" s="44">
        <v>50659539.999999993</v>
      </c>
      <c r="F1212" s="44" t="s">
        <v>1140</v>
      </c>
      <c r="G1212" s="25">
        <f t="shared" si="17"/>
        <v>1.5086213603109355E-2</v>
      </c>
    </row>
    <row r="1213" spans="1:7">
      <c r="A1213" s="44">
        <v>161.05000000000004</v>
      </c>
      <c r="B1213" s="44">
        <v>163.03650000000005</v>
      </c>
      <c r="C1213" s="44">
        <v>160.12320000000003</v>
      </c>
      <c r="D1213" s="44">
        <v>160.22500000000002</v>
      </c>
      <c r="E1213" s="44">
        <v>65384159.999999985</v>
      </c>
      <c r="F1213" s="44" t="s">
        <v>1141</v>
      </c>
      <c r="G1213" s="25">
        <f t="shared" si="17"/>
        <v>5.1490092058044112E-3</v>
      </c>
    </row>
    <row r="1214" spans="1:7">
      <c r="A1214" s="44">
        <v>159.48900000000003</v>
      </c>
      <c r="B1214" s="44">
        <v>163.99950000000001</v>
      </c>
      <c r="C1214" s="44">
        <v>158.81250000000003</v>
      </c>
      <c r="D1214" s="44">
        <v>163.96950000000004</v>
      </c>
      <c r="E1214" s="44">
        <v>90461139.999999985</v>
      </c>
      <c r="F1214" s="44" t="s">
        <v>1142</v>
      </c>
      <c r="G1214" s="25">
        <f t="shared" si="17"/>
        <v>-2.7325203772652906E-2</v>
      </c>
    </row>
    <row r="1215" spans="1:7">
      <c r="A1215" s="44">
        <v>164.16300000000004</v>
      </c>
      <c r="B1215" s="44">
        <v>165.45873000000003</v>
      </c>
      <c r="C1215" s="44">
        <v>162.79700000000003</v>
      </c>
      <c r="D1215" s="44">
        <v>164.45050000000003</v>
      </c>
      <c r="E1215" s="44">
        <v>56712339.999999993</v>
      </c>
      <c r="F1215" s="44" t="s">
        <v>1143</v>
      </c>
      <c r="G1215" s="25">
        <f t="shared" si="17"/>
        <v>-1.7482464328171243E-3</v>
      </c>
    </row>
    <row r="1216" spans="1:7">
      <c r="A1216" s="44">
        <v>164.25200000000004</v>
      </c>
      <c r="B1216" s="44">
        <v>166.39250000000004</v>
      </c>
      <c r="C1216" s="44">
        <v>163.69950000000003</v>
      </c>
      <c r="D1216" s="44">
        <v>165.80000000000004</v>
      </c>
      <c r="E1216" s="44">
        <v>56940659.999999993</v>
      </c>
      <c r="F1216" s="44" t="s">
        <v>1144</v>
      </c>
      <c r="G1216" s="25">
        <f t="shared" si="17"/>
        <v>-9.336550060313642E-3</v>
      </c>
    </row>
    <row r="1217" spans="1:7">
      <c r="A1217" s="44">
        <v>165.05600000000004</v>
      </c>
      <c r="B1217" s="44">
        <v>167.56500000000005</v>
      </c>
      <c r="C1217" s="44">
        <v>164.89350000000002</v>
      </c>
      <c r="D1217" s="44">
        <v>166.10550000000003</v>
      </c>
      <c r="E1217" s="44">
        <v>51245359.999999993</v>
      </c>
      <c r="F1217" s="44" t="s">
        <v>1145</v>
      </c>
      <c r="G1217" s="25">
        <f t="shared" si="17"/>
        <v>-6.3182736273030837E-3</v>
      </c>
    </row>
    <row r="1218" spans="1:7">
      <c r="A1218" s="44">
        <v>165.79800000000003</v>
      </c>
      <c r="B1218" s="44">
        <v>168.45950000000005</v>
      </c>
      <c r="C1218" s="44">
        <v>164.50500500000004</v>
      </c>
      <c r="D1218" s="44">
        <v>167.88550000000004</v>
      </c>
      <c r="E1218" s="44">
        <v>88616379.999999985</v>
      </c>
      <c r="F1218" s="44" t="s">
        <v>1146</v>
      </c>
      <c r="G1218" s="25">
        <f t="shared" si="17"/>
        <v>-1.2434069648659341E-2</v>
      </c>
    </row>
    <row r="1219" spans="1:7">
      <c r="A1219" s="44">
        <v>170.29000000000005</v>
      </c>
      <c r="B1219" s="44">
        <v>170.77850000000004</v>
      </c>
      <c r="C1219" s="44">
        <v>166.98050000000003</v>
      </c>
      <c r="D1219" s="44">
        <v>168.57500000000005</v>
      </c>
      <c r="E1219" s="44">
        <v>72688999.999999985</v>
      </c>
      <c r="F1219" s="44" t="s">
        <v>1147</v>
      </c>
      <c r="G1219" s="25">
        <f t="shared" si="17"/>
        <v>1.0173513273023849E-2</v>
      </c>
    </row>
    <row r="1220" spans="1:7">
      <c r="A1220" s="44">
        <v>171.27600000000004</v>
      </c>
      <c r="B1220" s="44">
        <v>171.46300000000005</v>
      </c>
      <c r="C1220" s="44">
        <v>169.67000000000004</v>
      </c>
      <c r="D1220" s="44">
        <v>170.10050000000004</v>
      </c>
      <c r="E1220" s="44">
        <v>42324819.999999993</v>
      </c>
      <c r="F1220" s="44" t="s">
        <v>1148</v>
      </c>
      <c r="G1220" s="25">
        <f t="shared" si="17"/>
        <v>6.9106204861244525E-3</v>
      </c>
    </row>
    <row r="1221" spans="1:7">
      <c r="A1221" s="44">
        <v>170.80000000000004</v>
      </c>
      <c r="B1221" s="44">
        <v>171.44800000000004</v>
      </c>
      <c r="C1221" s="44">
        <v>169.00250000000005</v>
      </c>
      <c r="D1221" s="44">
        <v>169.00250000000005</v>
      </c>
      <c r="E1221" s="44">
        <v>47588279.999999993</v>
      </c>
      <c r="F1221" s="44" t="s">
        <v>1149</v>
      </c>
      <c r="G1221" s="25">
        <f t="shared" si="17"/>
        <v>1.0635937338205004E-2</v>
      </c>
    </row>
    <row r="1222" spans="1:7">
      <c r="A1222" s="44">
        <v>169.00250000000005</v>
      </c>
      <c r="B1222" s="44">
        <v>169.45000000000005</v>
      </c>
      <c r="C1222" s="44">
        <v>167.05250000000004</v>
      </c>
      <c r="D1222" s="44">
        <v>167.55000000000004</v>
      </c>
      <c r="E1222" s="44">
        <v>48228059.999999993</v>
      </c>
      <c r="F1222" s="44" t="s">
        <v>1150</v>
      </c>
      <c r="G1222" s="25">
        <f t="shared" si="17"/>
        <v>8.6690540137273064E-3</v>
      </c>
    </row>
    <row r="1223" spans="1:7">
      <c r="A1223" s="44">
        <v>167.18150000000003</v>
      </c>
      <c r="B1223" s="44">
        <v>168.98500000000001</v>
      </c>
      <c r="C1223" s="44">
        <v>166.61950000000002</v>
      </c>
      <c r="D1223" s="44">
        <v>168.75000000000003</v>
      </c>
      <c r="E1223" s="44">
        <v>55617559.999999993</v>
      </c>
      <c r="F1223" s="44" t="s">
        <v>1151</v>
      </c>
      <c r="G1223" s="25">
        <f t="shared" si="17"/>
        <v>-9.2948148148148668E-3</v>
      </c>
    </row>
    <row r="1224" spans="1:7">
      <c r="A1224" s="44">
        <v>167.78650000000005</v>
      </c>
      <c r="B1224" s="44">
        <v>170.95000000000005</v>
      </c>
      <c r="C1224" s="44">
        <v>165.25050000000005</v>
      </c>
      <c r="D1224" s="44">
        <v>169.80000000000004</v>
      </c>
      <c r="E1224" s="44">
        <v>93382599.999999985</v>
      </c>
      <c r="F1224" s="44" t="s">
        <v>1152</v>
      </c>
      <c r="G1224" s="25">
        <f t="shared" si="17"/>
        <v>-1.1858068315665493E-2</v>
      </c>
    </row>
    <row r="1225" spans="1:7">
      <c r="A1225" s="44">
        <v>173.12600000000003</v>
      </c>
      <c r="B1225" s="44">
        <v>174.87050000000002</v>
      </c>
      <c r="C1225" s="44">
        <v>172.60650000000004</v>
      </c>
      <c r="D1225" s="44">
        <v>174.42073000000005</v>
      </c>
      <c r="E1225" s="44">
        <v>92331119.999999985</v>
      </c>
      <c r="F1225" s="44" t="s">
        <v>1153</v>
      </c>
      <c r="G1225" s="25">
        <f t="shared" si="17"/>
        <v>-7.4230282145936188E-3</v>
      </c>
    </row>
    <row r="1226" spans="1:7">
      <c r="A1226" s="44">
        <v>174.41200000000003</v>
      </c>
      <c r="B1226" s="44">
        <v>174.62750000000005</v>
      </c>
      <c r="C1226" s="44">
        <v>172.30716000000004</v>
      </c>
      <c r="D1226" s="44">
        <v>172.99800000000005</v>
      </c>
      <c r="E1226" s="44">
        <v>51671959.999999993</v>
      </c>
      <c r="F1226" s="44" t="s">
        <v>1154</v>
      </c>
      <c r="G1226" s="25">
        <f t="shared" si="17"/>
        <v>8.1735048960103196E-3</v>
      </c>
    </row>
    <row r="1227" spans="1:7">
      <c r="A1227" s="44">
        <v>173.78950000000003</v>
      </c>
      <c r="B1227" s="44">
        <v>174.27100000000004</v>
      </c>
      <c r="C1227" s="44">
        <v>170.10050000000004</v>
      </c>
      <c r="D1227" s="44">
        <v>172.12600000000003</v>
      </c>
      <c r="E1227" s="44">
        <v>59150739.999999985</v>
      </c>
      <c r="F1227" s="44" t="s">
        <v>1155</v>
      </c>
      <c r="G1227" s="25">
        <f t="shared" si="17"/>
        <v>9.6644318696768039E-3</v>
      </c>
    </row>
    <row r="1228" spans="1:7">
      <c r="A1228" s="44">
        <v>172.50000000000003</v>
      </c>
      <c r="B1228" s="44">
        <v>174.34030000000004</v>
      </c>
      <c r="C1228" s="44">
        <v>171.88552000000004</v>
      </c>
      <c r="D1228" s="44">
        <v>173.77750000000003</v>
      </c>
      <c r="E1228" s="44">
        <v>38737939.999999993</v>
      </c>
      <c r="F1228" s="44" t="s">
        <v>1156</v>
      </c>
      <c r="G1228" s="25">
        <f t="shared" si="17"/>
        <v>-7.3513544618837301E-3</v>
      </c>
    </row>
    <row r="1229" spans="1:7">
      <c r="A1229" s="44">
        <v>172.85850000000005</v>
      </c>
      <c r="B1229" s="44">
        <v>174.89800000000002</v>
      </c>
      <c r="C1229" s="44">
        <v>171.90000500000005</v>
      </c>
      <c r="D1229" s="44">
        <v>174.14000000000004</v>
      </c>
      <c r="E1229" s="44">
        <v>51380439.999999993</v>
      </c>
      <c r="F1229" s="44" t="s">
        <v>1157</v>
      </c>
      <c r="G1229" s="25">
        <f t="shared" si="17"/>
        <v>-7.3590214769725382E-3</v>
      </c>
    </row>
    <row r="1230" spans="1:7">
      <c r="A1230" s="44">
        <v>173.45750000000004</v>
      </c>
      <c r="B1230" s="44">
        <v>175.42250000000001</v>
      </c>
      <c r="C1230" s="44">
        <v>173.14527500000003</v>
      </c>
      <c r="D1230" s="44">
        <v>175.09154000000004</v>
      </c>
      <c r="E1230" s="44">
        <v>47945379.999999993</v>
      </c>
      <c r="F1230" s="44" t="s">
        <v>1158</v>
      </c>
      <c r="G1230" s="25">
        <f t="shared" si="17"/>
        <v>-9.3324897365115733E-3</v>
      </c>
    </row>
    <row r="1231" spans="1:7">
      <c r="A1231" s="44">
        <v>174.20800000000003</v>
      </c>
      <c r="B1231" s="44">
        <v>177.49950000000001</v>
      </c>
      <c r="C1231" s="44">
        <v>174.01850000000002</v>
      </c>
      <c r="D1231" s="44">
        <v>176.30100000000004</v>
      </c>
      <c r="E1231" s="44">
        <v>54384819.999999993</v>
      </c>
      <c r="F1231" s="44" t="s">
        <v>1159</v>
      </c>
      <c r="G1231" s="25">
        <f t="shared" si="17"/>
        <v>-1.1871742077469882E-2</v>
      </c>
    </row>
    <row r="1232" spans="1:7">
      <c r="A1232" s="44">
        <v>176.27500000000003</v>
      </c>
      <c r="B1232" s="44">
        <v>177.28150000000005</v>
      </c>
      <c r="C1232" s="44">
        <v>174.78350000000003</v>
      </c>
      <c r="D1232" s="44">
        <v>175.58250000000004</v>
      </c>
      <c r="E1232" s="44">
        <v>61067279.999999985</v>
      </c>
      <c r="F1232" s="44" t="s">
        <v>1160</v>
      </c>
      <c r="G1232" s="25">
        <f t="shared" si="17"/>
        <v>3.9440149217604414E-3</v>
      </c>
    </row>
    <row r="1233" spans="1:7">
      <c r="A1233" s="44">
        <v>175.46450000000004</v>
      </c>
      <c r="B1233" s="44">
        <v>176.40450000000004</v>
      </c>
      <c r="C1233" s="44">
        <v>173.84700000000004</v>
      </c>
      <c r="D1233" s="44">
        <v>173.90000000000003</v>
      </c>
      <c r="E1233" s="44">
        <v>54823679.999999993</v>
      </c>
      <c r="F1233" s="44" t="s">
        <v>1161</v>
      </c>
      <c r="G1233" s="25">
        <f t="shared" si="17"/>
        <v>8.9965497412305417E-3</v>
      </c>
    </row>
    <row r="1234" spans="1:7">
      <c r="A1234" s="44">
        <v>173.90250000000003</v>
      </c>
      <c r="B1234" s="44">
        <v>174.13350000000003</v>
      </c>
      <c r="C1234" s="44">
        <v>171.82200000000003</v>
      </c>
      <c r="D1234" s="44">
        <v>172.60000000000002</v>
      </c>
      <c r="E1234" s="44">
        <v>51566479.999999993</v>
      </c>
      <c r="F1234" s="44" t="s">
        <v>1162</v>
      </c>
      <c r="G1234" s="25">
        <f t="shared" si="17"/>
        <v>7.5463499420627134E-3</v>
      </c>
    </row>
    <row r="1235" spans="1:7">
      <c r="A1235" s="44">
        <v>173.15600000000003</v>
      </c>
      <c r="B1235" s="44">
        <v>175.59804000000003</v>
      </c>
      <c r="C1235" s="44">
        <v>172.75000000000003</v>
      </c>
      <c r="D1235" s="44">
        <v>174.73800000000006</v>
      </c>
      <c r="E1235" s="44">
        <v>58511879.999999985</v>
      </c>
      <c r="F1235" s="44" t="s">
        <v>1163</v>
      </c>
      <c r="G1235" s="25">
        <f t="shared" si="17"/>
        <v>-9.0535544643982613E-3</v>
      </c>
    </row>
    <row r="1236" spans="1:7">
      <c r="A1236" s="44">
        <v>173.95000000000005</v>
      </c>
      <c r="B1236" s="44">
        <v>176.35000000000002</v>
      </c>
      <c r="C1236" s="44">
        <v>173.76200000000003</v>
      </c>
      <c r="D1236" s="44">
        <v>174.81980000000004</v>
      </c>
      <c r="E1236" s="44">
        <v>72598219.999999985</v>
      </c>
      <c r="F1236" s="44" t="s">
        <v>1164</v>
      </c>
      <c r="G1236" s="25">
        <f t="shared" si="17"/>
        <v>-4.9754089639731935E-3</v>
      </c>
    </row>
    <row r="1237" spans="1:7">
      <c r="A1237" s="44">
        <v>173.53950000000003</v>
      </c>
      <c r="B1237" s="44">
        <v>173.62900000000002</v>
      </c>
      <c r="C1237" s="44">
        <v>169.77950000000004</v>
      </c>
      <c r="D1237" s="44">
        <v>171.24000000000004</v>
      </c>
      <c r="E1237" s="44">
        <v>87128259.999999985</v>
      </c>
      <c r="F1237" s="44" t="s">
        <v>1165</v>
      </c>
      <c r="G1237" s="25">
        <f t="shared" si="17"/>
        <v>1.3428521373510804E-2</v>
      </c>
    </row>
    <row r="1238" spans="1:7">
      <c r="A1238" s="44">
        <v>171.07850000000005</v>
      </c>
      <c r="B1238" s="44">
        <v>172.25000000000003</v>
      </c>
      <c r="C1238" s="44">
        <v>167.76100000000002</v>
      </c>
      <c r="D1238" s="44">
        <v>167.87125000000003</v>
      </c>
      <c r="E1238" s="44">
        <v>63844879.999999985</v>
      </c>
      <c r="F1238" s="44" t="s">
        <v>1166</v>
      </c>
      <c r="G1238" s="25">
        <f t="shared" si="17"/>
        <v>1.9105415608688281E-2</v>
      </c>
    </row>
    <row r="1239" spans="1:7">
      <c r="A1239" s="44">
        <v>167.48150000000004</v>
      </c>
      <c r="B1239" s="44">
        <v>167.61600000000004</v>
      </c>
      <c r="C1239" s="44">
        <v>165.68750000000003</v>
      </c>
      <c r="D1239" s="44">
        <v>166.66150000000005</v>
      </c>
      <c r="E1239" s="44">
        <v>48047379.999999993</v>
      </c>
      <c r="F1239" s="44" t="s">
        <v>1167</v>
      </c>
      <c r="G1239" s="25">
        <f t="shared" si="17"/>
        <v>4.9201525247282163E-3</v>
      </c>
    </row>
    <row r="1240" spans="1:7">
      <c r="A1240" s="44">
        <v>165.80000000000004</v>
      </c>
      <c r="B1240" s="44">
        <v>166.60000000000002</v>
      </c>
      <c r="C1240" s="44">
        <v>164.80000000000004</v>
      </c>
      <c r="D1240" s="44">
        <v>164.95000000000005</v>
      </c>
      <c r="E1240" s="44">
        <v>41975219.999999993</v>
      </c>
      <c r="F1240" s="44" t="s">
        <v>1168</v>
      </c>
      <c r="G1240" s="25">
        <f t="shared" si="17"/>
        <v>5.1530766899059444E-3</v>
      </c>
    </row>
    <row r="1241" spans="1:7">
      <c r="A1241" s="44">
        <v>164.95900000000003</v>
      </c>
      <c r="B1241" s="44">
        <v>166.05000000000004</v>
      </c>
      <c r="C1241" s="44">
        <v>164.30750000000003</v>
      </c>
      <c r="D1241" s="44">
        <v>165.49350000000004</v>
      </c>
      <c r="E1241" s="44">
        <v>33606119.999999993</v>
      </c>
      <c r="F1241" s="44" t="s">
        <v>1169</v>
      </c>
      <c r="G1241" s="25">
        <f t="shared" si="17"/>
        <v>-3.22973409831806E-3</v>
      </c>
    </row>
    <row r="1242" spans="1:7">
      <c r="A1242" s="44">
        <v>165.28900000000004</v>
      </c>
      <c r="B1242" s="44">
        <v>165.77471000000003</v>
      </c>
      <c r="C1242" s="44">
        <v>163.72900000000004</v>
      </c>
      <c r="D1242" s="44">
        <v>164.00000000000003</v>
      </c>
      <c r="E1242" s="44">
        <v>51036819.999999993</v>
      </c>
      <c r="F1242" s="44" t="s">
        <v>1170</v>
      </c>
      <c r="G1242" s="25">
        <f t="shared" si="17"/>
        <v>7.8597560975610659E-3</v>
      </c>
    </row>
    <row r="1243" spans="1:7">
      <c r="A1243" s="44">
        <v>163.29350000000002</v>
      </c>
      <c r="B1243" s="44">
        <v>164.04500000000004</v>
      </c>
      <c r="C1243" s="44">
        <v>160.50025000000002</v>
      </c>
      <c r="D1243" s="44">
        <v>160.59500000000003</v>
      </c>
      <c r="E1243" s="44">
        <v>65362619.999999985</v>
      </c>
      <c r="F1243" s="44" t="s">
        <v>1171</v>
      </c>
      <c r="G1243" s="25">
        <f t="shared" si="17"/>
        <v>1.6803138329337663E-2</v>
      </c>
    </row>
    <row r="1244" spans="1:7">
      <c r="A1244" s="44">
        <v>159.99750000000003</v>
      </c>
      <c r="B1244" s="44">
        <v>160.39050000000003</v>
      </c>
      <c r="C1244" s="44">
        <v>158.78800000000004</v>
      </c>
      <c r="D1244" s="44">
        <v>160.19362500000003</v>
      </c>
      <c r="E1244" s="44">
        <v>67168559.999999985</v>
      </c>
      <c r="F1244" s="44" t="s">
        <v>1172</v>
      </c>
      <c r="G1244" s="25">
        <f t="shared" si="17"/>
        <v>-1.2242996561192543E-3</v>
      </c>
    </row>
    <row r="1245" spans="1:7">
      <c r="A1245" s="44">
        <v>159.38750000000002</v>
      </c>
      <c r="B1245" s="44">
        <v>161.65000000000003</v>
      </c>
      <c r="C1245" s="44">
        <v>159.12318500000001</v>
      </c>
      <c r="D1245" s="44">
        <v>159.70100000000002</v>
      </c>
      <c r="E1245" s="44">
        <v>75657239.999999985</v>
      </c>
      <c r="F1245" s="44" t="s">
        <v>1173</v>
      </c>
      <c r="G1245" s="25">
        <f t="shared" si="17"/>
        <v>-1.963043437423706E-3</v>
      </c>
    </row>
    <row r="1246" spans="1:7">
      <c r="A1246" s="44">
        <v>160.06100000000001</v>
      </c>
      <c r="B1246" s="44">
        <v>162.70487500000002</v>
      </c>
      <c r="C1246" s="44">
        <v>160.00000000000003</v>
      </c>
      <c r="D1246" s="44">
        <v>162.09950000000003</v>
      </c>
      <c r="E1246" s="44">
        <v>56086219.999999993</v>
      </c>
      <c r="F1246" s="44" t="s">
        <v>1174</v>
      </c>
      <c r="G1246" s="25">
        <f t="shared" si="17"/>
        <v>-1.2575609425075518E-2</v>
      </c>
    </row>
    <row r="1247" spans="1:7">
      <c r="A1247" s="44">
        <v>162.09800000000004</v>
      </c>
      <c r="B1247" s="44">
        <v>164.02450000000002</v>
      </c>
      <c r="C1247" s="44">
        <v>161.28400000000002</v>
      </c>
      <c r="D1247" s="44">
        <v>163.87500000000003</v>
      </c>
      <c r="E1247" s="44">
        <v>67758439.999999985</v>
      </c>
      <c r="F1247" s="44" t="s">
        <v>1175</v>
      </c>
      <c r="G1247" s="25">
        <f t="shared" si="17"/>
        <v>-1.0843630816170791E-2</v>
      </c>
    </row>
    <row r="1248" spans="1:7">
      <c r="A1248" s="44">
        <v>164.94950000000003</v>
      </c>
      <c r="B1248" s="44">
        <v>165.00000000000003</v>
      </c>
      <c r="C1248" s="44">
        <v>160.55650000000003</v>
      </c>
      <c r="D1248" s="44">
        <v>164.15000000000003</v>
      </c>
      <c r="E1248" s="44">
        <v>66569879.999999985</v>
      </c>
      <c r="F1248" s="44" t="s">
        <v>1176</v>
      </c>
      <c r="G1248" s="25">
        <f t="shared" si="17"/>
        <v>4.8705452330184418E-3</v>
      </c>
    </row>
    <row r="1249" spans="1:7">
      <c r="A1249" s="44">
        <v>164.69850000000002</v>
      </c>
      <c r="B1249" s="44">
        <v>165.30325000000005</v>
      </c>
      <c r="C1249" s="44">
        <v>164.15000000000003</v>
      </c>
      <c r="D1249" s="44">
        <v>165.28350000000003</v>
      </c>
      <c r="E1249" s="44">
        <v>41133979.999999993</v>
      </c>
      <c r="F1249" s="44" t="s">
        <v>1177</v>
      </c>
      <c r="G1249" s="25">
        <f t="shared" si="17"/>
        <v>-3.5393732586738169E-3</v>
      </c>
    </row>
    <row r="1250" spans="1:7">
      <c r="A1250" s="44">
        <v>165.17500000000004</v>
      </c>
      <c r="B1250" s="44">
        <v>165.72550000000004</v>
      </c>
      <c r="C1250" s="44">
        <v>163.48350000000005</v>
      </c>
      <c r="D1250" s="44">
        <v>164.50000000000003</v>
      </c>
      <c r="E1250" s="44">
        <v>46476459.999999993</v>
      </c>
      <c r="F1250" s="44" t="s">
        <v>1178</v>
      </c>
      <c r="G1250" s="25">
        <f t="shared" si="17"/>
        <v>4.1033434650457057E-3</v>
      </c>
    </row>
    <row r="1251" spans="1:7">
      <c r="A1251" s="44">
        <v>164.60550000000003</v>
      </c>
      <c r="B1251" s="44">
        <v>166.88500000000002</v>
      </c>
      <c r="C1251" s="44">
        <v>163.88950000000003</v>
      </c>
      <c r="D1251" s="44">
        <v>166.57234500000004</v>
      </c>
      <c r="E1251" s="44">
        <v>58944979.999999985</v>
      </c>
      <c r="F1251" s="44" t="s">
        <v>1179</v>
      </c>
      <c r="G1251" s="25">
        <f t="shared" si="17"/>
        <v>-1.1807752361293833E-2</v>
      </c>
    </row>
    <row r="1252" spans="1:7">
      <c r="A1252" s="44">
        <v>166.03400000000002</v>
      </c>
      <c r="B1252" s="44">
        <v>167.90000000000003</v>
      </c>
      <c r="C1252" s="44">
        <v>165.75000000000003</v>
      </c>
      <c r="D1252" s="44">
        <v>167.25050000000005</v>
      </c>
      <c r="E1252" s="44">
        <v>48251019.999999993</v>
      </c>
      <c r="F1252" s="44" t="s">
        <v>1180</v>
      </c>
      <c r="G1252" s="25">
        <f t="shared" si="17"/>
        <v>-7.2735208564400633E-3</v>
      </c>
    </row>
    <row r="1253" spans="1:7">
      <c r="A1253" s="44">
        <v>167.09350000000003</v>
      </c>
      <c r="B1253" s="44">
        <v>167.74400000000003</v>
      </c>
      <c r="C1253" s="44">
        <v>166.42600000000004</v>
      </c>
      <c r="D1253" s="44">
        <v>167.18050000000005</v>
      </c>
      <c r="E1253" s="44">
        <v>42964399.999999993</v>
      </c>
      <c r="F1253" s="44" t="s">
        <v>1181</v>
      </c>
      <c r="G1253" s="25">
        <f t="shared" si="17"/>
        <v>-5.2039562030270492E-4</v>
      </c>
    </row>
    <row r="1254" spans="1:7">
      <c r="A1254" s="44">
        <v>167.24700000000004</v>
      </c>
      <c r="B1254" s="44">
        <v>168.75000000000003</v>
      </c>
      <c r="C1254" s="44">
        <v>166.45186500000003</v>
      </c>
      <c r="D1254" s="44">
        <v>168.75000000000003</v>
      </c>
      <c r="E1254" s="44">
        <v>52752879.999999993</v>
      </c>
      <c r="F1254" s="44" t="s">
        <v>1182</v>
      </c>
      <c r="G1254" s="25">
        <f t="shared" si="17"/>
        <v>-8.9066666666666183E-3</v>
      </c>
    </row>
    <row r="1255" spans="1:7">
      <c r="A1255" s="44">
        <v>168.79950000000002</v>
      </c>
      <c r="B1255" s="44">
        <v>169.45000000000005</v>
      </c>
      <c r="C1255" s="44">
        <v>167.04600000000005</v>
      </c>
      <c r="D1255" s="44">
        <v>167.81100000000004</v>
      </c>
      <c r="E1255" s="44">
        <v>48670059.999999993</v>
      </c>
      <c r="F1255" s="44" t="s">
        <v>1183</v>
      </c>
      <c r="G1255" s="25">
        <f t="shared" si="17"/>
        <v>5.8905554463055676E-3</v>
      </c>
    </row>
    <row r="1256" spans="1:7">
      <c r="A1256" s="44">
        <v>167.73600000000002</v>
      </c>
      <c r="B1256" s="44">
        <v>169.44400000000005</v>
      </c>
      <c r="C1256" s="44">
        <v>167.27800000000002</v>
      </c>
      <c r="D1256" s="44">
        <v>168.96750000000003</v>
      </c>
      <c r="E1256" s="44">
        <v>43678899.999999993</v>
      </c>
      <c r="F1256" s="44" t="s">
        <v>1184</v>
      </c>
      <c r="G1256" s="25">
        <f t="shared" si="17"/>
        <v>-7.2883838608016616E-3</v>
      </c>
    </row>
    <row r="1257" spans="1:7">
      <c r="A1257" s="44">
        <v>168.31200000000001</v>
      </c>
      <c r="B1257" s="44">
        <v>169.55000000000004</v>
      </c>
      <c r="C1257" s="44">
        <v>164.98850000000004</v>
      </c>
      <c r="D1257" s="44">
        <v>167.03600000000003</v>
      </c>
      <c r="E1257" s="44">
        <v>83146859.999999985</v>
      </c>
      <c r="F1257" s="44" t="s">
        <v>1185</v>
      </c>
      <c r="G1257" s="25">
        <f t="shared" si="17"/>
        <v>7.6390718168537486E-3</v>
      </c>
    </row>
    <row r="1258" spans="1:7">
      <c r="A1258" s="44">
        <v>166.57400000000004</v>
      </c>
      <c r="B1258" s="44">
        <v>167.94600000000003</v>
      </c>
      <c r="C1258" s="44">
        <v>165.85000000000002</v>
      </c>
      <c r="D1258" s="44">
        <v>167.65500000000003</v>
      </c>
      <c r="E1258" s="44">
        <v>67078299.999999985</v>
      </c>
      <c r="F1258" s="44" t="s">
        <v>1186</v>
      </c>
      <c r="G1258" s="25">
        <f t="shared" si="17"/>
        <v>-6.4477647550027495E-3</v>
      </c>
    </row>
    <row r="1259" spans="1:7">
      <c r="A1259" s="44">
        <v>166.37950000000004</v>
      </c>
      <c r="B1259" s="44">
        <v>168.40700000000004</v>
      </c>
      <c r="C1259" s="44">
        <v>165.34900000000005</v>
      </c>
      <c r="D1259" s="44">
        <v>167.39750000000004</v>
      </c>
      <c r="E1259" s="44">
        <v>199311859.99999997</v>
      </c>
      <c r="F1259" s="44" t="s">
        <v>1187</v>
      </c>
      <c r="G1259" s="25">
        <f t="shared" si="17"/>
        <v>-6.0813333532460101E-3</v>
      </c>
    </row>
    <row r="1260" spans="1:7">
      <c r="A1260" s="44">
        <v>179.99600000000004</v>
      </c>
      <c r="B1260" s="44">
        <v>181.89750000000004</v>
      </c>
      <c r="C1260" s="44">
        <v>179.00050000000005</v>
      </c>
      <c r="D1260" s="44">
        <v>181.38750000000005</v>
      </c>
      <c r="E1260" s="44">
        <v>110399039.99999999</v>
      </c>
      <c r="F1260" s="44" t="s">
        <v>1188</v>
      </c>
      <c r="G1260" s="25">
        <f t="shared" si="17"/>
        <v>-7.6714216801048174E-3</v>
      </c>
    </row>
    <row r="1261" spans="1:7">
      <c r="A1261" s="44">
        <v>181.51600000000005</v>
      </c>
      <c r="B1261" s="44">
        <v>182.92102000000003</v>
      </c>
      <c r="C1261" s="44">
        <v>180.05000000000004</v>
      </c>
      <c r="D1261" s="44">
        <v>181.68900000000005</v>
      </c>
      <c r="E1261" s="44">
        <v>59987559.999999985</v>
      </c>
      <c r="F1261" s="44" t="s">
        <v>1189</v>
      </c>
      <c r="G1261" s="25">
        <f t="shared" si="17"/>
        <v>-9.5217652141843523E-4</v>
      </c>
    </row>
    <row r="1262" spans="1:7">
      <c r="A1262" s="44">
        <v>181.31950000000003</v>
      </c>
      <c r="B1262" s="44">
        <v>184.92500000000004</v>
      </c>
      <c r="C1262" s="44">
        <v>179.30750000000003</v>
      </c>
      <c r="D1262" s="44">
        <v>184.92500000000004</v>
      </c>
      <c r="E1262" s="44">
        <v>82637799.999999985</v>
      </c>
      <c r="F1262" s="44" t="s">
        <v>1190</v>
      </c>
      <c r="G1262" s="25">
        <f t="shared" si="17"/>
        <v>-1.9497093416249833E-2</v>
      </c>
    </row>
    <row r="1263" spans="1:7">
      <c r="A1263" s="44">
        <v>184.99100000000004</v>
      </c>
      <c r="B1263" s="44">
        <v>185.60400000000004</v>
      </c>
      <c r="C1263" s="44">
        <v>182.36250000000004</v>
      </c>
      <c r="D1263" s="44">
        <v>183.65850000000003</v>
      </c>
      <c r="E1263" s="44">
        <v>58001359.999999985</v>
      </c>
      <c r="F1263" s="44" t="s">
        <v>1191</v>
      </c>
      <c r="G1263" s="25">
        <f t="shared" si="17"/>
        <v>7.2553135302750871E-3</v>
      </c>
    </row>
    <row r="1264" spans="1:7">
      <c r="A1264" s="44">
        <v>182.83200000000002</v>
      </c>
      <c r="B1264" s="44">
        <v>183.30550000000005</v>
      </c>
      <c r="C1264" s="44">
        <v>181.10200000000003</v>
      </c>
      <c r="D1264" s="44">
        <v>182.00000000000003</v>
      </c>
      <c r="E1264" s="44">
        <v>48725839.999999993</v>
      </c>
      <c r="F1264" s="44" t="s">
        <v>1192</v>
      </c>
      <c r="G1264" s="25">
        <f t="shared" si="17"/>
        <v>4.5714285714284486E-3</v>
      </c>
    </row>
    <row r="1265" spans="1:7">
      <c r="A1265" s="44">
        <v>181.90150000000006</v>
      </c>
      <c r="B1265" s="44">
        <v>182.00100000000003</v>
      </c>
      <c r="C1265" s="44">
        <v>179.11350000000004</v>
      </c>
      <c r="D1265" s="44">
        <v>179.36150000000004</v>
      </c>
      <c r="E1265" s="44">
        <v>65307039.999999985</v>
      </c>
      <c r="F1265" s="44" t="s">
        <v>1193</v>
      </c>
      <c r="G1265" s="25">
        <f t="shared" si="17"/>
        <v>1.4161344547185539E-2</v>
      </c>
    </row>
    <row r="1266" spans="1:7">
      <c r="A1266" s="44">
        <v>179.26000000000002</v>
      </c>
      <c r="B1266" s="44">
        <v>179.32250000000002</v>
      </c>
      <c r="C1266" s="44">
        <v>177.18207500000005</v>
      </c>
      <c r="D1266" s="44">
        <v>178.81875000000002</v>
      </c>
      <c r="E1266" s="44">
        <v>46379779.999999993</v>
      </c>
      <c r="F1266" s="44" t="s">
        <v>1194</v>
      </c>
      <c r="G1266" s="25">
        <f t="shared" si="17"/>
        <v>2.4675823983781875E-3</v>
      </c>
    </row>
    <row r="1267" spans="1:7">
      <c r="A1267" s="44">
        <v>178.65950000000004</v>
      </c>
      <c r="B1267" s="44">
        <v>179.60000000000002</v>
      </c>
      <c r="C1267" s="44">
        <v>175.90000000000003</v>
      </c>
      <c r="D1267" s="44">
        <v>178.36600000000004</v>
      </c>
      <c r="E1267" s="44">
        <v>65113599.999999985</v>
      </c>
      <c r="F1267" s="44" t="s">
        <v>1195</v>
      </c>
      <c r="G1267" s="25">
        <f t="shared" ref="G1267:G1330" si="18">A1267/D1267-1</f>
        <v>1.6454929751186231E-3</v>
      </c>
    </row>
    <row r="1268" spans="1:7">
      <c r="A1268" s="44">
        <v>177.47950000000003</v>
      </c>
      <c r="B1268" s="44">
        <v>177.51050000000004</v>
      </c>
      <c r="C1268" s="44">
        <v>174.95800000000003</v>
      </c>
      <c r="D1268" s="44">
        <v>176.62900000000002</v>
      </c>
      <c r="E1268" s="44">
        <v>75691899.999999985</v>
      </c>
      <c r="F1268" s="44" t="s">
        <v>1196</v>
      </c>
      <c r="G1268" s="25">
        <f t="shared" si="18"/>
        <v>4.8151775755964632E-3</v>
      </c>
    </row>
    <row r="1269" spans="1:7">
      <c r="A1269" s="44">
        <v>178.68150000000003</v>
      </c>
      <c r="B1269" s="44">
        <v>182.30299500000004</v>
      </c>
      <c r="C1269" s="44">
        <v>178.52275000000003</v>
      </c>
      <c r="D1269" s="44">
        <v>181.66550000000004</v>
      </c>
      <c r="E1269" s="44">
        <v>80874119.999999985</v>
      </c>
      <c r="F1269" s="44" t="s">
        <v>1197</v>
      </c>
      <c r="G1269" s="25">
        <f t="shared" si="18"/>
        <v>-1.6425793560142177E-2</v>
      </c>
    </row>
    <row r="1270" spans="1:7">
      <c r="A1270" s="44">
        <v>181.56000000000003</v>
      </c>
      <c r="B1270" s="44">
        <v>184.77000000000004</v>
      </c>
      <c r="C1270" s="44">
        <v>181.04600000000005</v>
      </c>
      <c r="D1270" s="44">
        <v>184.71000000000004</v>
      </c>
      <c r="E1270" s="44">
        <v>63705839.999999985</v>
      </c>
      <c r="F1270" s="44" t="s">
        <v>1198</v>
      </c>
      <c r="G1270" s="25">
        <f t="shared" si="18"/>
        <v>-1.7053759948026714E-2</v>
      </c>
    </row>
    <row r="1271" spans="1:7">
      <c r="A1271" s="44">
        <v>184.08400000000003</v>
      </c>
      <c r="B1271" s="44">
        <v>185.88300000000004</v>
      </c>
      <c r="C1271" s="44">
        <v>183.04133000000002</v>
      </c>
      <c r="D1271" s="44">
        <v>185.44250000000002</v>
      </c>
      <c r="E1271" s="44">
        <v>65931359.999999985</v>
      </c>
      <c r="F1271" s="44" t="s">
        <v>1199</v>
      </c>
      <c r="G1271" s="25">
        <f t="shared" si="18"/>
        <v>-7.3257209107944199E-3</v>
      </c>
    </row>
    <row r="1272" spans="1:7">
      <c r="A1272" s="44">
        <v>183.86800000000005</v>
      </c>
      <c r="B1272" s="44">
        <v>188.65391000000002</v>
      </c>
      <c r="C1272" s="44">
        <v>183.56600000000003</v>
      </c>
      <c r="D1272" s="44">
        <v>185.10500000000002</v>
      </c>
      <c r="E1272" s="44">
        <v>76918339.999999985</v>
      </c>
      <c r="F1272" s="44" t="s">
        <v>1200</v>
      </c>
      <c r="G1272" s="25">
        <f t="shared" si="18"/>
        <v>-6.6826936063313358E-3</v>
      </c>
    </row>
    <row r="1273" spans="1:7">
      <c r="A1273" s="44">
        <v>185.92750000000004</v>
      </c>
      <c r="B1273" s="44">
        <v>187.86449500000003</v>
      </c>
      <c r="C1273" s="44">
        <v>184.83964500000002</v>
      </c>
      <c r="D1273" s="44">
        <v>187.20000000000005</v>
      </c>
      <c r="E1273" s="44">
        <v>51432699.999999993</v>
      </c>
      <c r="F1273" s="44" t="s">
        <v>1201</v>
      </c>
      <c r="G1273" s="25">
        <f t="shared" si="18"/>
        <v>-6.7975427350427386E-3</v>
      </c>
    </row>
    <row r="1274" spans="1:7">
      <c r="A1274" s="44">
        <v>185.96700000000004</v>
      </c>
      <c r="B1274" s="44">
        <v>187.40000000000003</v>
      </c>
      <c r="C1274" s="44">
        <v>184.66984000000002</v>
      </c>
      <c r="D1274" s="44">
        <v>186.12600000000003</v>
      </c>
      <c r="E1274" s="44">
        <v>74964739.999999985</v>
      </c>
      <c r="F1274" s="44" t="s">
        <v>1202</v>
      </c>
      <c r="G1274" s="25">
        <f t="shared" si="18"/>
        <v>-8.5426001740751545E-4</v>
      </c>
    </row>
    <row r="1275" spans="1:7">
      <c r="A1275" s="44">
        <v>186.57050000000004</v>
      </c>
      <c r="B1275" s="44">
        <v>187.99927500000001</v>
      </c>
      <c r="C1275" s="44">
        <v>181.05600000000004</v>
      </c>
      <c r="D1275" s="44">
        <v>182.17800000000003</v>
      </c>
      <c r="E1275" s="44">
        <v>103612459.99999999</v>
      </c>
      <c r="F1275" s="44" t="s">
        <v>1203</v>
      </c>
      <c r="G1275" s="25">
        <f t="shared" si="18"/>
        <v>2.4111034263193165E-2</v>
      </c>
    </row>
    <row r="1276" spans="1:7">
      <c r="A1276" s="44">
        <v>184.82900000000004</v>
      </c>
      <c r="B1276" s="44">
        <v>186.71000000000004</v>
      </c>
      <c r="C1276" s="44">
        <v>183.94550000000004</v>
      </c>
      <c r="D1276" s="44">
        <v>185.86886000000004</v>
      </c>
      <c r="E1276" s="44">
        <v>106561239.99999999</v>
      </c>
      <c r="F1276" s="44" t="s">
        <v>1204</v>
      </c>
      <c r="G1276" s="25">
        <f t="shared" si="18"/>
        <v>-5.5945896477763712E-3</v>
      </c>
    </row>
    <row r="1277" spans="1:7">
      <c r="A1277" s="44">
        <v>183.78700000000003</v>
      </c>
      <c r="B1277" s="44">
        <v>184.27400000000003</v>
      </c>
      <c r="C1277" s="44">
        <v>176.45000000000005</v>
      </c>
      <c r="D1277" s="44">
        <v>176.50550000000004</v>
      </c>
      <c r="E1277" s="44">
        <v>134895359.99999997</v>
      </c>
      <c r="F1277" s="44" t="s">
        <v>1205</v>
      </c>
      <c r="G1277" s="25">
        <f t="shared" si="18"/>
        <v>4.1253671981892781E-2</v>
      </c>
    </row>
    <row r="1278" spans="1:7">
      <c r="A1278" s="44">
        <v>175.54900000000004</v>
      </c>
      <c r="B1278" s="44">
        <v>175.58600000000001</v>
      </c>
      <c r="C1278" s="44">
        <v>171.84600000000003</v>
      </c>
      <c r="D1278" s="44">
        <v>172.58200000000002</v>
      </c>
      <c r="E1278" s="44">
        <v>63533939.999999985</v>
      </c>
      <c r="F1278" s="44" t="s">
        <v>1206</v>
      </c>
      <c r="G1278" s="25">
        <f t="shared" si="18"/>
        <v>1.7191827652941916E-2</v>
      </c>
    </row>
    <row r="1279" spans="1:7">
      <c r="A1279" s="44">
        <v>171.64850000000001</v>
      </c>
      <c r="B1279" s="44">
        <v>172.85000000000002</v>
      </c>
      <c r="C1279" s="44">
        <v>170.47103000000004</v>
      </c>
      <c r="D1279" s="44">
        <v>171.73050000000003</v>
      </c>
      <c r="E1279" s="44">
        <v>40741059.999999993</v>
      </c>
      <c r="F1279" s="44" t="s">
        <v>1207</v>
      </c>
      <c r="G1279" s="25">
        <f t="shared" si="18"/>
        <v>-4.774923499321071E-4</v>
      </c>
    </row>
    <row r="1280" spans="1:7">
      <c r="A1280" s="44">
        <v>172.00800000000004</v>
      </c>
      <c r="B1280" s="44">
        <v>173.58009500000003</v>
      </c>
      <c r="C1280" s="44">
        <v>171.75000000000003</v>
      </c>
      <c r="D1280" s="44">
        <v>172.05300000000003</v>
      </c>
      <c r="E1280" s="44">
        <v>48079839.999999993</v>
      </c>
      <c r="F1280" s="44" t="s">
        <v>1208</v>
      </c>
      <c r="G1280" s="25">
        <f t="shared" si="18"/>
        <v>-2.6154731390903851E-4</v>
      </c>
    </row>
    <row r="1281" spans="1:7">
      <c r="A1281" s="44">
        <v>172.40700000000004</v>
      </c>
      <c r="B1281" s="44">
        <v>172.80150000000003</v>
      </c>
      <c r="C1281" s="44">
        <v>171.15150000000006</v>
      </c>
      <c r="D1281" s="44">
        <v>171.94100000000003</v>
      </c>
      <c r="E1281" s="44">
        <v>41968779.999999993</v>
      </c>
      <c r="F1281" s="44" t="s">
        <v>1209</v>
      </c>
      <c r="G1281" s="25">
        <f t="shared" si="18"/>
        <v>2.7102319981855416E-3</v>
      </c>
    </row>
    <row r="1282" spans="1:7">
      <c r="A1282" s="44">
        <v>172.19450000000003</v>
      </c>
      <c r="B1282" s="44">
        <v>172.40000000000003</v>
      </c>
      <c r="C1282" s="44">
        <v>170.67549000000002</v>
      </c>
      <c r="D1282" s="44">
        <v>170.80000000000004</v>
      </c>
      <c r="E1282" s="44">
        <v>44855859.999999993</v>
      </c>
      <c r="F1282" s="44" t="s">
        <v>1210</v>
      </c>
      <c r="G1282" s="25">
        <f t="shared" si="18"/>
        <v>8.1645199063231644E-3</v>
      </c>
    </row>
    <row r="1283" spans="1:7">
      <c r="A1283" s="44">
        <v>170.07300000000004</v>
      </c>
      <c r="B1283" s="44">
        <v>173.24100000000004</v>
      </c>
      <c r="C1283" s="44">
        <v>169.70900000000003</v>
      </c>
      <c r="D1283" s="44">
        <v>173.20000000000005</v>
      </c>
      <c r="E1283" s="44">
        <v>78819939.999999985</v>
      </c>
      <c r="F1283" s="44" t="s">
        <v>1211</v>
      </c>
      <c r="G1283" s="25">
        <f t="shared" si="18"/>
        <v>-1.8054272517321057E-2</v>
      </c>
    </row>
    <row r="1284" spans="1:7">
      <c r="A1284" s="44">
        <v>172.45400000000004</v>
      </c>
      <c r="B1284" s="44">
        <v>176.24299500000004</v>
      </c>
      <c r="C1284" s="44">
        <v>171.54250000000002</v>
      </c>
      <c r="D1284" s="44">
        <v>175.38200000000003</v>
      </c>
      <c r="E1284" s="44">
        <v>76639979.999999985</v>
      </c>
      <c r="F1284" s="44" t="s">
        <v>1212</v>
      </c>
      <c r="G1284" s="25">
        <f t="shared" si="18"/>
        <v>-1.6694985802419793E-2</v>
      </c>
    </row>
    <row r="1285" spans="1:7">
      <c r="A1285" s="44">
        <v>175.19100000000003</v>
      </c>
      <c r="B1285" s="44">
        <v>176.05000000000004</v>
      </c>
      <c r="C1285" s="44">
        <v>174.16000000000003</v>
      </c>
      <c r="D1285" s="44">
        <v>175.25000000000003</v>
      </c>
      <c r="E1285" s="44">
        <v>56266819.999999993</v>
      </c>
      <c r="F1285" s="44" t="s">
        <v>1213</v>
      </c>
      <c r="G1285" s="25">
        <f t="shared" si="18"/>
        <v>-3.3666191155490299E-4</v>
      </c>
    </row>
    <row r="1286" spans="1:7">
      <c r="A1286" s="44">
        <v>175.27200000000005</v>
      </c>
      <c r="B1286" s="44">
        <v>176.18900000000005</v>
      </c>
      <c r="C1286" s="44">
        <v>172.80450000000005</v>
      </c>
      <c r="D1286" s="44">
        <v>172.90300000000002</v>
      </c>
      <c r="E1286" s="44">
        <v>66901639.999999985</v>
      </c>
      <c r="F1286" s="44" t="s">
        <v>1214</v>
      </c>
      <c r="G1286" s="25">
        <f t="shared" si="18"/>
        <v>1.3701323863669401E-2</v>
      </c>
    </row>
    <row r="1287" spans="1:7">
      <c r="A1287" s="44">
        <v>172.69800000000004</v>
      </c>
      <c r="B1287" s="44">
        <v>174.10000000000002</v>
      </c>
      <c r="C1287" s="44">
        <v>171.70000000000005</v>
      </c>
      <c r="D1287" s="44">
        <v>173.82100000000003</v>
      </c>
      <c r="E1287" s="44">
        <v>65542599.999999985</v>
      </c>
      <c r="F1287" s="44" t="s">
        <v>1215</v>
      </c>
      <c r="G1287" s="25">
        <f t="shared" si="18"/>
        <v>-6.4606693092318368E-3</v>
      </c>
    </row>
    <row r="1288" spans="1:7">
      <c r="A1288" s="44">
        <v>174.34500000000003</v>
      </c>
      <c r="B1288" s="44">
        <v>175.35000000000002</v>
      </c>
      <c r="C1288" s="44">
        <v>173.68550000000005</v>
      </c>
      <c r="D1288" s="44">
        <v>173.99950000000001</v>
      </c>
      <c r="E1288" s="44">
        <v>104954739.99999999</v>
      </c>
      <c r="F1288" s="44" t="s">
        <v>1216</v>
      </c>
      <c r="G1288" s="25">
        <f t="shared" si="18"/>
        <v>1.9856378897642468E-3</v>
      </c>
    </row>
    <row r="1289" spans="1:7">
      <c r="A1289" s="44">
        <v>174.46200000000002</v>
      </c>
      <c r="B1289" s="44">
        <v>174.86</v>
      </c>
      <c r="C1289" s="44">
        <v>170.05000000000004</v>
      </c>
      <c r="D1289" s="44">
        <v>170.15900000000002</v>
      </c>
      <c r="E1289" s="44">
        <v>102730619.99999999</v>
      </c>
      <c r="F1289" s="44" t="s">
        <v>1217</v>
      </c>
      <c r="G1289" s="25">
        <f t="shared" si="18"/>
        <v>2.5288112882656755E-2</v>
      </c>
    </row>
    <row r="1290" spans="1:7">
      <c r="A1290" s="44">
        <v>170.76250000000005</v>
      </c>
      <c r="B1290" s="44">
        <v>171.31750000000002</v>
      </c>
      <c r="C1290" s="44">
        <v>168.02650000000006</v>
      </c>
      <c r="D1290" s="44">
        <v>169.60000000000002</v>
      </c>
      <c r="E1290" s="44">
        <v>84055639.999999985</v>
      </c>
      <c r="F1290" s="44" t="s">
        <v>1218</v>
      </c>
      <c r="G1290" s="25">
        <f t="shared" si="18"/>
        <v>6.8543632075472871E-3</v>
      </c>
    </row>
    <row r="1291" spans="1:7">
      <c r="A1291" s="44">
        <v>169.15650000000005</v>
      </c>
      <c r="B1291" s="44">
        <v>169.84933000000004</v>
      </c>
      <c r="C1291" s="44">
        <v>168.15550500000003</v>
      </c>
      <c r="D1291" s="44">
        <v>169.20000000000005</v>
      </c>
      <c r="E1291" s="44">
        <v>48523999.999999993</v>
      </c>
      <c r="F1291" s="44" t="s">
        <v>1219</v>
      </c>
      <c r="G1291" s="25">
        <f t="shared" si="18"/>
        <v>-2.570921985814989E-4</v>
      </c>
    </row>
    <row r="1292" spans="1:7">
      <c r="A1292" s="44">
        <v>169.19350000000003</v>
      </c>
      <c r="B1292" s="44">
        <v>169.25000000000003</v>
      </c>
      <c r="C1292" s="44">
        <v>166.77500000000003</v>
      </c>
      <c r="D1292" s="44">
        <v>167.34150000000002</v>
      </c>
      <c r="E1292" s="44">
        <v>51393099.999999993</v>
      </c>
      <c r="F1292" s="44" t="s">
        <v>1220</v>
      </c>
      <c r="G1292" s="25">
        <f t="shared" si="18"/>
        <v>1.1067188951933593E-2</v>
      </c>
    </row>
    <row r="1293" spans="1:7">
      <c r="A1293" s="44">
        <v>167.34150000000002</v>
      </c>
      <c r="B1293" s="44">
        <v>168.32900000000004</v>
      </c>
      <c r="C1293" s="44">
        <v>166.67250000000001</v>
      </c>
      <c r="D1293" s="44">
        <v>167.48250000000004</v>
      </c>
      <c r="E1293" s="44">
        <v>56347039.999999993</v>
      </c>
      <c r="F1293" s="44" t="s">
        <v>1221</v>
      </c>
      <c r="G1293" s="25">
        <f t="shared" si="18"/>
        <v>-8.4187900228394064E-4</v>
      </c>
    </row>
    <row r="1294" spans="1:7">
      <c r="A1294" s="44">
        <v>167.48250000000004</v>
      </c>
      <c r="B1294" s="44">
        <v>167.55000000000004</v>
      </c>
      <c r="C1294" s="44">
        <v>164.05750000000003</v>
      </c>
      <c r="D1294" s="44">
        <v>164.10050000000004</v>
      </c>
      <c r="E1294" s="44">
        <v>69529599.999999985</v>
      </c>
      <c r="F1294" s="44" t="s">
        <v>1222</v>
      </c>
      <c r="G1294" s="25">
        <f t="shared" si="18"/>
        <v>2.0609321726624774E-2</v>
      </c>
    </row>
    <row r="1295" spans="1:7">
      <c r="A1295" s="44">
        <v>164.05750000000003</v>
      </c>
      <c r="B1295" s="44">
        <v>164.87900000000002</v>
      </c>
      <c r="C1295" s="44">
        <v>163.53500000000003</v>
      </c>
      <c r="D1295" s="44">
        <v>163.64350000000002</v>
      </c>
      <c r="E1295" s="44">
        <v>49110599.999999993</v>
      </c>
      <c r="F1295" s="44" t="s">
        <v>1223</v>
      </c>
      <c r="G1295" s="25">
        <f t="shared" si="18"/>
        <v>2.5298896687007133E-3</v>
      </c>
    </row>
    <row r="1296" spans="1:7">
      <c r="A1296" s="44">
        <v>163.20550000000003</v>
      </c>
      <c r="B1296" s="44">
        <v>163.97660500000003</v>
      </c>
      <c r="C1296" s="44">
        <v>160.90050000000005</v>
      </c>
      <c r="D1296" s="44">
        <v>161.13050000000004</v>
      </c>
      <c r="E1296" s="44">
        <v>68334599.999999985</v>
      </c>
      <c r="F1296" s="44" t="s">
        <v>1224</v>
      </c>
      <c r="G1296" s="25">
        <f t="shared" si="18"/>
        <v>1.2877760572951757E-2</v>
      </c>
    </row>
    <row r="1297" spans="1:7">
      <c r="A1297" s="44">
        <v>159.90050000000005</v>
      </c>
      <c r="B1297" s="44">
        <v>160.40000000000003</v>
      </c>
      <c r="C1297" s="44">
        <v>158.61000000000001</v>
      </c>
      <c r="D1297" s="44">
        <v>159.86650000000003</v>
      </c>
      <c r="E1297" s="44">
        <v>44315119.999999993</v>
      </c>
      <c r="F1297" s="44" t="s">
        <v>1225</v>
      </c>
      <c r="G1297" s="25">
        <f t="shared" si="18"/>
        <v>2.1267745274977656E-4</v>
      </c>
    </row>
    <row r="1298" spans="1:7">
      <c r="A1298" s="44">
        <v>160.31100000000001</v>
      </c>
      <c r="B1298" s="44">
        <v>161.05000000000004</v>
      </c>
      <c r="C1298" s="44">
        <v>159.94050000000001</v>
      </c>
      <c r="D1298" s="44">
        <v>160.60000000000002</v>
      </c>
      <c r="E1298" s="44">
        <v>44994979.999999993</v>
      </c>
      <c r="F1298" s="44" t="s">
        <v>1226</v>
      </c>
      <c r="G1298" s="25">
        <f t="shared" si="18"/>
        <v>-1.7995018679951569E-3</v>
      </c>
    </row>
    <row r="1299" spans="1:7">
      <c r="A1299" s="44">
        <v>159.35050000000004</v>
      </c>
      <c r="B1299" s="44">
        <v>160.72175000000001</v>
      </c>
      <c r="C1299" s="44">
        <v>159.20150000000004</v>
      </c>
      <c r="D1299" s="44">
        <v>160.21150000000003</v>
      </c>
      <c r="E1299" s="44">
        <v>47965859.999999993</v>
      </c>
      <c r="F1299" s="44" t="s">
        <v>1227</v>
      </c>
      <c r="G1299" s="25">
        <f t="shared" si="18"/>
        <v>-5.3741460506891991E-3</v>
      </c>
    </row>
    <row r="1300" spans="1:7">
      <c r="A1300" s="44">
        <v>161.69950000000003</v>
      </c>
      <c r="B1300" s="44">
        <v>161.75000000000003</v>
      </c>
      <c r="C1300" s="44">
        <v>160.40000000000003</v>
      </c>
      <c r="D1300" s="44">
        <v>161.15500000000003</v>
      </c>
      <c r="E1300" s="44">
        <v>40290479.999999993</v>
      </c>
      <c r="F1300" s="44" t="s">
        <v>1228</v>
      </c>
      <c r="G1300" s="25">
        <f t="shared" si="18"/>
        <v>3.3787347584623983E-3</v>
      </c>
    </row>
    <row r="1301" spans="1:7">
      <c r="A1301" s="44">
        <v>160.93250000000003</v>
      </c>
      <c r="B1301" s="44">
        <v>162.54900000000004</v>
      </c>
      <c r="C1301" s="44">
        <v>160.45300000000003</v>
      </c>
      <c r="D1301" s="44">
        <v>162.17475000000002</v>
      </c>
      <c r="E1301" s="44">
        <v>48600899.999999993</v>
      </c>
      <c r="F1301" s="44" t="s">
        <v>1229</v>
      </c>
      <c r="G1301" s="25">
        <f t="shared" si="18"/>
        <v>-7.6599470632757738E-3</v>
      </c>
    </row>
    <row r="1302" spans="1:7">
      <c r="A1302" s="44">
        <v>161.15350000000004</v>
      </c>
      <c r="B1302" s="44">
        <v>162.39950000000002</v>
      </c>
      <c r="C1302" s="44">
        <v>160.98500000000001</v>
      </c>
      <c r="D1302" s="44">
        <v>162.10000000000002</v>
      </c>
      <c r="E1302" s="44">
        <v>46630179.999999993</v>
      </c>
      <c r="F1302" s="44" t="s">
        <v>1230</v>
      </c>
      <c r="G1302" s="25">
        <f t="shared" si="18"/>
        <v>-5.8389882788401071E-3</v>
      </c>
    </row>
    <row r="1303" spans="1:7">
      <c r="A1303" s="44">
        <v>161.50550000000004</v>
      </c>
      <c r="B1303" s="44">
        <v>163.01775000000004</v>
      </c>
      <c r="C1303" s="44">
        <v>161.50200000000004</v>
      </c>
      <c r="D1303" s="44">
        <v>162.80000000000004</v>
      </c>
      <c r="E1303" s="44">
        <v>51223139.999999993</v>
      </c>
      <c r="F1303" s="44" t="s">
        <v>1231</v>
      </c>
      <c r="G1303" s="25">
        <f t="shared" si="18"/>
        <v>-7.9514742014742401E-3</v>
      </c>
    </row>
    <row r="1304" spans="1:7">
      <c r="A1304" s="44">
        <v>163.25800000000004</v>
      </c>
      <c r="B1304" s="44">
        <v>164.78650000000005</v>
      </c>
      <c r="C1304" s="44">
        <v>162.92550000000006</v>
      </c>
      <c r="D1304" s="44">
        <v>163.72952500000002</v>
      </c>
      <c r="E1304" s="44">
        <v>47679719.999999993</v>
      </c>
      <c r="F1304" s="44" t="s">
        <v>1232</v>
      </c>
      <c r="G1304" s="25">
        <f t="shared" si="18"/>
        <v>-2.8799020824129551E-3</v>
      </c>
    </row>
    <row r="1305" spans="1:7">
      <c r="A1305" s="44">
        <v>162.95250000000004</v>
      </c>
      <c r="B1305" s="44">
        <v>163.99100000000004</v>
      </c>
      <c r="C1305" s="44">
        <v>160.68800000000005</v>
      </c>
      <c r="D1305" s="44">
        <v>163.33350000000004</v>
      </c>
      <c r="E1305" s="44">
        <v>65222179.999999985</v>
      </c>
      <c r="F1305" s="44" t="s">
        <v>1233</v>
      </c>
      <c r="G1305" s="25">
        <f t="shared" si="18"/>
        <v>-2.332650680968662E-3</v>
      </c>
    </row>
    <row r="1306" spans="1:7">
      <c r="A1306" s="44">
        <v>162.24950000000001</v>
      </c>
      <c r="B1306" s="44">
        <v>162.89750000000004</v>
      </c>
      <c r="C1306" s="44">
        <v>160.52496500000004</v>
      </c>
      <c r="D1306" s="44">
        <v>160.77500000000003</v>
      </c>
      <c r="E1306" s="44">
        <v>48456259.999999993</v>
      </c>
      <c r="F1306" s="44" t="s">
        <v>1234</v>
      </c>
      <c r="G1306" s="25">
        <f t="shared" si="18"/>
        <v>9.1712019903591457E-3</v>
      </c>
    </row>
    <row r="1307" spans="1:7">
      <c r="A1307" s="44">
        <v>160.15400000000002</v>
      </c>
      <c r="B1307" s="44">
        <v>162.83473000000004</v>
      </c>
      <c r="C1307" s="44">
        <v>159.85050000000004</v>
      </c>
      <c r="D1307" s="44">
        <v>162.50000000000003</v>
      </c>
      <c r="E1307" s="44">
        <v>82097639.999999985</v>
      </c>
      <c r="F1307" s="44" t="s">
        <v>1235</v>
      </c>
      <c r="G1307" s="25">
        <f t="shared" si="18"/>
        <v>-1.4436923076923125E-2</v>
      </c>
    </row>
    <row r="1308" spans="1:7">
      <c r="A1308" s="44">
        <v>162.38400000000001</v>
      </c>
      <c r="B1308" s="44">
        <v>162.98399500000005</v>
      </c>
      <c r="C1308" s="44">
        <v>161.80900000000003</v>
      </c>
      <c r="D1308" s="44">
        <v>162.22021000000004</v>
      </c>
      <c r="E1308" s="44">
        <v>52663839.999999993</v>
      </c>
      <c r="F1308" s="44" t="s">
        <v>1236</v>
      </c>
      <c r="G1308" s="25">
        <f t="shared" si="18"/>
        <v>1.0096769077045931E-3</v>
      </c>
    </row>
    <row r="1309" spans="1:7">
      <c r="A1309" s="44">
        <v>161.59000000000003</v>
      </c>
      <c r="B1309" s="44">
        <v>161.73750000000004</v>
      </c>
      <c r="C1309" s="44">
        <v>159.20000000000002</v>
      </c>
      <c r="D1309" s="44">
        <v>159.75000000000003</v>
      </c>
      <c r="E1309" s="44">
        <v>53594159.999999993</v>
      </c>
      <c r="F1309" s="44" t="s">
        <v>1237</v>
      </c>
      <c r="G1309" s="25">
        <f t="shared" si="18"/>
        <v>1.151799687010957E-2</v>
      </c>
    </row>
    <row r="1310" spans="1:7">
      <c r="A1310" s="44">
        <v>161.61400000000003</v>
      </c>
      <c r="B1310" s="44">
        <v>165.60000000000002</v>
      </c>
      <c r="C1310" s="44">
        <v>161.51850000000002</v>
      </c>
      <c r="D1310" s="44">
        <v>164.62875000000003</v>
      </c>
      <c r="E1310" s="44">
        <v>56567819.999999993</v>
      </c>
      <c r="F1310" s="44" t="s">
        <v>1238</v>
      </c>
      <c r="G1310" s="25">
        <f t="shared" si="18"/>
        <v>-1.8312415055085962E-2</v>
      </c>
    </row>
    <row r="1311" spans="1:7">
      <c r="A1311" s="44">
        <v>163.51950000000002</v>
      </c>
      <c r="B1311" s="44">
        <v>164.63750000000005</v>
      </c>
      <c r="C1311" s="44">
        <v>161.72950000000003</v>
      </c>
      <c r="D1311" s="44">
        <v>162.29650000000004</v>
      </c>
      <c r="E1311" s="44">
        <v>74478499.999999985</v>
      </c>
      <c r="F1311" s="44" t="s">
        <v>1239</v>
      </c>
      <c r="G1311" s="25">
        <f t="shared" si="18"/>
        <v>7.5355907243839226E-3</v>
      </c>
    </row>
    <row r="1312" spans="1:7">
      <c r="A1312" s="44">
        <v>161.14500000000004</v>
      </c>
      <c r="B1312" s="44">
        <v>161.44300000000004</v>
      </c>
      <c r="C1312" s="44">
        <v>159.15000000000003</v>
      </c>
      <c r="D1312" s="44">
        <v>159.27800000000002</v>
      </c>
      <c r="E1312" s="44">
        <v>66500439.999999985</v>
      </c>
      <c r="F1312" s="44" t="s">
        <v>1240</v>
      </c>
      <c r="G1312" s="25">
        <f t="shared" si="18"/>
        <v>1.1721643918180868E-2</v>
      </c>
    </row>
    <row r="1313" spans="1:7">
      <c r="A1313" s="44">
        <v>158.07350000000002</v>
      </c>
      <c r="B1313" s="44">
        <v>160.19200000000004</v>
      </c>
      <c r="C1313" s="44">
        <v>156.65000000000003</v>
      </c>
      <c r="D1313" s="44">
        <v>159.27350000000001</v>
      </c>
      <c r="E1313" s="44">
        <v>67137539.999999985</v>
      </c>
      <c r="F1313" s="44" t="s">
        <v>1241</v>
      </c>
      <c r="G1313" s="25">
        <f t="shared" si="18"/>
        <v>-7.534210022382859E-3</v>
      </c>
    </row>
    <row r="1314" spans="1:7">
      <c r="A1314" s="44">
        <v>157.59700000000004</v>
      </c>
      <c r="B1314" s="44">
        <v>160.39700000000002</v>
      </c>
      <c r="C1314" s="44">
        <v>156.65500000000003</v>
      </c>
      <c r="D1314" s="44">
        <v>159.25000000000003</v>
      </c>
      <c r="E1314" s="44">
        <v>98728199.999999985</v>
      </c>
      <c r="F1314" s="44" t="s">
        <v>1242</v>
      </c>
      <c r="G1314" s="25">
        <f t="shared" si="18"/>
        <v>-1.0379905808477141E-2</v>
      </c>
    </row>
    <row r="1315" spans="1:7">
      <c r="A1315" s="44">
        <v>161.19550000000004</v>
      </c>
      <c r="B1315" s="44">
        <v>161.90000000000003</v>
      </c>
      <c r="C1315" s="44">
        <v>156.36850000000001</v>
      </c>
      <c r="D1315" s="44">
        <v>156.81400000000005</v>
      </c>
      <c r="E1315" s="44">
        <v>92395619.999999985</v>
      </c>
      <c r="F1315" s="44" t="s">
        <v>1243</v>
      </c>
      <c r="G1315" s="25">
        <f t="shared" si="18"/>
        <v>2.7940745086535657E-2</v>
      </c>
    </row>
    <row r="1316" spans="1:7">
      <c r="A1316" s="44">
        <v>159.52450000000002</v>
      </c>
      <c r="B1316" s="44">
        <v>164.15000000000003</v>
      </c>
      <c r="C1316" s="44">
        <v>159.50000000000003</v>
      </c>
      <c r="D1316" s="44">
        <v>164.11600000000004</v>
      </c>
      <c r="E1316" s="44">
        <v>116772059.99999997</v>
      </c>
      <c r="F1316" s="44" t="s">
        <v>1244</v>
      </c>
      <c r="G1316" s="25">
        <f t="shared" si="18"/>
        <v>-2.7977162494820851E-2</v>
      </c>
    </row>
    <row r="1317" spans="1:7">
      <c r="A1317" s="44">
        <v>164.58050000000003</v>
      </c>
      <c r="B1317" s="44">
        <v>166.54450000000003</v>
      </c>
      <c r="C1317" s="44">
        <v>164.45352000000003</v>
      </c>
      <c r="D1317" s="44">
        <v>165.95450000000005</v>
      </c>
      <c r="E1317" s="44">
        <v>94205519.999999985</v>
      </c>
      <c r="F1317" s="44" t="s">
        <v>1245</v>
      </c>
      <c r="G1317" s="25">
        <f t="shared" si="18"/>
        <v>-8.2793777812594227E-3</v>
      </c>
    </row>
    <row r="1318" spans="1:7">
      <c r="A1318" s="44">
        <v>165.31850000000003</v>
      </c>
      <c r="B1318" s="44">
        <v>165.72000000000003</v>
      </c>
      <c r="C1318" s="44">
        <v>162.36000000000001</v>
      </c>
      <c r="D1318" s="44">
        <v>163.50000000000003</v>
      </c>
      <c r="E1318" s="44">
        <v>88953919.999999985</v>
      </c>
      <c r="F1318" s="44" t="s">
        <v>1246</v>
      </c>
      <c r="G1318" s="25">
        <f t="shared" si="18"/>
        <v>1.1122324159021479E-2</v>
      </c>
    </row>
    <row r="1319" spans="1:7">
      <c r="A1319" s="44">
        <v>163.52700000000004</v>
      </c>
      <c r="B1319" s="44">
        <v>167.73475000000005</v>
      </c>
      <c r="C1319" s="44">
        <v>163.21800000000005</v>
      </c>
      <c r="D1319" s="44">
        <v>166.94275000000005</v>
      </c>
      <c r="E1319" s="44">
        <v>74226159.999999985</v>
      </c>
      <c r="F1319" s="44" t="s">
        <v>1247</v>
      </c>
      <c r="G1319" s="25">
        <f t="shared" si="18"/>
        <v>-2.0460607004497033E-2</v>
      </c>
    </row>
    <row r="1320" spans="1:7">
      <c r="A1320" s="44">
        <v>165.59350000000003</v>
      </c>
      <c r="B1320" s="44">
        <v>168.39875000000004</v>
      </c>
      <c r="C1320" s="44">
        <v>163.60650000000004</v>
      </c>
      <c r="D1320" s="44">
        <v>167.80950000000004</v>
      </c>
      <c r="E1320" s="44">
        <v>108788979.99999999</v>
      </c>
      <c r="F1320" s="44" t="s">
        <v>1248</v>
      </c>
      <c r="G1320" s="25">
        <f t="shared" si="18"/>
        <v>-1.3205450227788074E-2</v>
      </c>
    </row>
    <row r="1321" spans="1:7">
      <c r="A1321" s="44">
        <v>169.32450000000003</v>
      </c>
      <c r="B1321" s="44">
        <v>174.33225000000004</v>
      </c>
      <c r="C1321" s="44">
        <v>168.63506000000004</v>
      </c>
      <c r="D1321" s="44">
        <v>174.23650000000004</v>
      </c>
      <c r="E1321" s="44">
        <v>117510599.99999997</v>
      </c>
      <c r="F1321" s="44" t="s">
        <v>1249</v>
      </c>
      <c r="G1321" s="25">
        <f t="shared" si="18"/>
        <v>-2.819156720893734E-2</v>
      </c>
    </row>
    <row r="1322" spans="1:7">
      <c r="A1322" s="44">
        <v>173.37100000000004</v>
      </c>
      <c r="B1322" s="44">
        <v>177.70000000000005</v>
      </c>
      <c r="C1322" s="44">
        <v>173.12500000000003</v>
      </c>
      <c r="D1322" s="44">
        <v>176.25600000000003</v>
      </c>
      <c r="E1322" s="44">
        <v>140186919.99999997</v>
      </c>
      <c r="F1322" s="44" t="s">
        <v>1250</v>
      </c>
      <c r="G1322" s="25">
        <f t="shared" si="18"/>
        <v>-1.6368237109658623E-2</v>
      </c>
    </row>
    <row r="1323" spans="1:7">
      <c r="A1323" s="44">
        <v>173.56550000000004</v>
      </c>
      <c r="B1323" s="44">
        <v>175.72225000000003</v>
      </c>
      <c r="C1323" s="44">
        <v>171.75000000000003</v>
      </c>
      <c r="D1323" s="44">
        <v>175.25490500000004</v>
      </c>
      <c r="E1323" s="44">
        <v>153647619.99999997</v>
      </c>
      <c r="F1323" s="44" t="s">
        <v>1251</v>
      </c>
      <c r="G1323" s="25">
        <f t="shared" si="18"/>
        <v>-9.6397016676936786E-3</v>
      </c>
    </row>
    <row r="1324" spans="1:7">
      <c r="A1324" s="44">
        <v>172.92500000000004</v>
      </c>
      <c r="B1324" s="44">
        <v>174.49400000000003</v>
      </c>
      <c r="C1324" s="44">
        <v>171.25000000000003</v>
      </c>
      <c r="D1324" s="44">
        <v>171.74000000000004</v>
      </c>
      <c r="E1324" s="44">
        <v>92637679.999999985</v>
      </c>
      <c r="F1324" s="44" t="s">
        <v>1252</v>
      </c>
      <c r="G1324" s="25">
        <f t="shared" si="18"/>
        <v>6.8999650634680165E-3</v>
      </c>
    </row>
    <row r="1325" spans="1:7">
      <c r="A1325" s="44">
        <v>170.87150000000003</v>
      </c>
      <c r="B1325" s="44">
        <v>173.00000000000003</v>
      </c>
      <c r="C1325" s="44">
        <v>169.90050000000005</v>
      </c>
      <c r="D1325" s="44">
        <v>172.17350000000002</v>
      </c>
      <c r="E1325" s="44">
        <v>76542799.999999985</v>
      </c>
      <c r="F1325" s="44" t="s">
        <v>1253</v>
      </c>
      <c r="G1325" s="25">
        <f t="shared" si="18"/>
        <v>-7.5621393536170478E-3</v>
      </c>
    </row>
    <row r="1326" spans="1:7">
      <c r="A1326" s="44">
        <v>170.45000000000005</v>
      </c>
      <c r="B1326" s="44">
        <v>171.42250000000001</v>
      </c>
      <c r="C1326" s="44">
        <v>166.54700000000003</v>
      </c>
      <c r="D1326" s="44">
        <v>167.40000000000003</v>
      </c>
      <c r="E1326" s="44">
        <v>97614159.999999985</v>
      </c>
      <c r="F1326" s="44" t="s">
        <v>1254</v>
      </c>
      <c r="G1326" s="25">
        <f t="shared" si="18"/>
        <v>1.8219832735961727E-2</v>
      </c>
    </row>
    <row r="1327" spans="1:7">
      <c r="A1327" s="44">
        <v>167.04400000000004</v>
      </c>
      <c r="B1327" s="44">
        <v>168.75000000000003</v>
      </c>
      <c r="C1327" s="44">
        <v>165.42500000000004</v>
      </c>
      <c r="D1327" s="44">
        <v>165.95500000000004</v>
      </c>
      <c r="E1327" s="44">
        <v>63933039.999999985</v>
      </c>
      <c r="F1327" s="44" t="s">
        <v>1255</v>
      </c>
      <c r="G1327" s="25">
        <f t="shared" si="18"/>
        <v>6.5620198246512107E-3</v>
      </c>
    </row>
    <row r="1328" spans="1:7">
      <c r="A1328" s="44">
        <v>165.45200000000003</v>
      </c>
      <c r="B1328" s="44">
        <v>168.64350000000002</v>
      </c>
      <c r="C1328" s="44">
        <v>165.07250000000002</v>
      </c>
      <c r="D1328" s="44">
        <v>168.58400000000003</v>
      </c>
      <c r="E1328" s="44">
        <v>51611799.999999993</v>
      </c>
      <c r="F1328" s="44" t="s">
        <v>1256</v>
      </c>
      <c r="G1328" s="25">
        <f t="shared" si="18"/>
        <v>-1.8578275518435938E-2</v>
      </c>
    </row>
    <row r="1329" spans="1:7">
      <c r="A1329" s="44">
        <v>168.10100000000003</v>
      </c>
      <c r="B1329" s="44">
        <v>168.14300000000003</v>
      </c>
      <c r="C1329" s="44">
        <v>165.19030500000002</v>
      </c>
      <c r="D1329" s="44">
        <v>165.80000000000004</v>
      </c>
      <c r="E1329" s="44">
        <v>44223319.999999993</v>
      </c>
      <c r="F1329" s="44" t="s">
        <v>1257</v>
      </c>
      <c r="G1329" s="25">
        <f t="shared" si="18"/>
        <v>1.3878166465621122E-2</v>
      </c>
    </row>
    <row r="1330" spans="1:7">
      <c r="A1330" s="44">
        <v>166.73450000000003</v>
      </c>
      <c r="B1330" s="44">
        <v>169.14950000000002</v>
      </c>
      <c r="C1330" s="44">
        <v>165.80000000000004</v>
      </c>
      <c r="D1330" s="44">
        <v>168.68000000000004</v>
      </c>
      <c r="E1330" s="44">
        <v>52460639.999999993</v>
      </c>
      <c r="F1330" s="44" t="s">
        <v>1258</v>
      </c>
      <c r="G1330" s="25">
        <f t="shared" si="18"/>
        <v>-1.1533673227412944E-2</v>
      </c>
    </row>
    <row r="1331" spans="1:7">
      <c r="A1331" s="44">
        <v>168.60050000000004</v>
      </c>
      <c r="B1331" s="44">
        <v>171.79666500000005</v>
      </c>
      <c r="C1331" s="44">
        <v>168.00800000000004</v>
      </c>
      <c r="D1331" s="44">
        <v>169.51650000000004</v>
      </c>
      <c r="E1331" s="44">
        <v>54508099.999999993</v>
      </c>
      <c r="F1331" s="44" t="s">
        <v>1259</v>
      </c>
      <c r="G1331" s="25">
        <f t="shared" ref="G1331:G1394" si="19">A1331/D1331-1</f>
        <v>-5.4036037789831903E-3</v>
      </c>
    </row>
    <row r="1332" spans="1:7">
      <c r="A1332" s="44">
        <v>169.97200000000004</v>
      </c>
      <c r="B1332" s="44">
        <v>170.34000000000003</v>
      </c>
      <c r="C1332" s="44">
        <v>167.77950000000004</v>
      </c>
      <c r="D1332" s="44">
        <v>169.00000000000003</v>
      </c>
      <c r="E1332" s="44">
        <v>63720979.999999985</v>
      </c>
      <c r="F1332" s="44" t="s">
        <v>1260</v>
      </c>
      <c r="G1332" s="25">
        <f t="shared" si="19"/>
        <v>5.7514792899409084E-3</v>
      </c>
    </row>
    <row r="1333" spans="1:7">
      <c r="A1333" s="44">
        <v>168.95450000000005</v>
      </c>
      <c r="B1333" s="44">
        <v>169.84999500000004</v>
      </c>
      <c r="C1333" s="44">
        <v>167.60000000000002</v>
      </c>
      <c r="D1333" s="44">
        <v>168.55000000000004</v>
      </c>
      <c r="E1333" s="44">
        <v>64671599.999999985</v>
      </c>
      <c r="F1333" s="44" t="s">
        <v>1261</v>
      </c>
      <c r="G1333" s="25">
        <f t="shared" si="19"/>
        <v>2.3998813408485642E-3</v>
      </c>
    </row>
    <row r="1334" spans="1:7">
      <c r="A1334" s="44">
        <v>166.65000000000003</v>
      </c>
      <c r="B1334" s="44">
        <v>170.20650000000003</v>
      </c>
      <c r="C1334" s="44">
        <v>166.30000000000004</v>
      </c>
      <c r="D1334" s="44">
        <v>170.20200000000003</v>
      </c>
      <c r="E1334" s="44">
        <v>62904079.999999985</v>
      </c>
      <c r="F1334" s="44" t="s">
        <v>1262</v>
      </c>
      <c r="G1334" s="25">
        <f t="shared" si="19"/>
        <v>-2.0869319984488932E-2</v>
      </c>
    </row>
    <row r="1335" spans="1:7">
      <c r="A1335" s="44">
        <v>170.00000000000003</v>
      </c>
      <c r="B1335" s="44">
        <v>171.60000000000002</v>
      </c>
      <c r="C1335" s="44">
        <v>169.78150000000005</v>
      </c>
      <c r="D1335" s="44">
        <v>170.04225000000002</v>
      </c>
      <c r="E1335" s="44">
        <v>66316739.999999985</v>
      </c>
      <c r="F1335" s="44" t="s">
        <v>1263</v>
      </c>
      <c r="G1335" s="25">
        <f t="shared" si="19"/>
        <v>-2.4846766024322342E-4</v>
      </c>
    </row>
    <row r="1336" spans="1:7">
      <c r="A1336" s="44">
        <v>168.96950000000004</v>
      </c>
      <c r="B1336" s="44">
        <v>169.75200000000004</v>
      </c>
      <c r="C1336" s="44">
        <v>167.55750000000003</v>
      </c>
      <c r="D1336" s="44">
        <v>167.76050000000004</v>
      </c>
      <c r="E1336" s="44">
        <v>65635959.999999985</v>
      </c>
      <c r="F1336" s="44" t="s">
        <v>1264</v>
      </c>
      <c r="G1336" s="25">
        <f t="shared" si="19"/>
        <v>7.2067024120696654E-3</v>
      </c>
    </row>
    <row r="1337" spans="1:7">
      <c r="A1337" s="44">
        <v>168.61</v>
      </c>
      <c r="B1337" s="44">
        <v>168.61</v>
      </c>
      <c r="C1337" s="44">
        <v>164.44500000000005</v>
      </c>
      <c r="D1337" s="44">
        <v>165.23500000000001</v>
      </c>
      <c r="E1337" s="44">
        <v>86829459.999999985</v>
      </c>
      <c r="F1337" s="44" t="s">
        <v>1265</v>
      </c>
      <c r="G1337" s="25">
        <f t="shared" si="19"/>
        <v>2.0425454655490727E-2</v>
      </c>
    </row>
    <row r="1338" spans="1:7">
      <c r="A1338" s="44">
        <v>164.96500000000003</v>
      </c>
      <c r="B1338" s="44">
        <v>166.22500000000002</v>
      </c>
      <c r="C1338" s="44">
        <v>164.60000000000002</v>
      </c>
      <c r="D1338" s="44">
        <v>165.54500000000004</v>
      </c>
      <c r="E1338" s="44">
        <v>56241799.999999993</v>
      </c>
      <c r="F1338" s="44" t="s">
        <v>1266</v>
      </c>
      <c r="G1338" s="25">
        <f t="shared" si="19"/>
        <v>-3.5035790872572914E-3</v>
      </c>
    </row>
    <row r="1339" spans="1:7">
      <c r="A1339" s="44">
        <v>163.96950000000004</v>
      </c>
      <c r="B1339" s="44">
        <v>165.18062500000005</v>
      </c>
      <c r="C1339" s="44">
        <v>161.18250000000003</v>
      </c>
      <c r="D1339" s="44">
        <v>161.69000000000005</v>
      </c>
      <c r="E1339" s="44">
        <v>66924539.999999985</v>
      </c>
      <c r="F1339" s="44" t="s">
        <v>1267</v>
      </c>
      <c r="G1339" s="25">
        <f t="shared" si="19"/>
        <v>1.4097965242129806E-2</v>
      </c>
    </row>
    <row r="1340" spans="1:7">
      <c r="A1340" s="44">
        <v>161.19100000000003</v>
      </c>
      <c r="B1340" s="44">
        <v>162.36550000000003</v>
      </c>
      <c r="C1340" s="44">
        <v>160.85200000000003</v>
      </c>
      <c r="D1340" s="44">
        <v>161.18750000000003</v>
      </c>
      <c r="E1340" s="44">
        <v>50756179.999999993</v>
      </c>
      <c r="F1340" s="44" t="s">
        <v>1268</v>
      </c>
      <c r="G1340" s="25">
        <f t="shared" si="19"/>
        <v>2.1713842574655473E-5</v>
      </c>
    </row>
    <row r="1341" spans="1:7">
      <c r="A1341" s="44">
        <v>161.33650000000003</v>
      </c>
      <c r="B1341" s="44">
        <v>161.79775000000004</v>
      </c>
      <c r="C1341" s="44">
        <v>158.06200000000001</v>
      </c>
      <c r="D1341" s="44">
        <v>158.65000000000003</v>
      </c>
      <c r="E1341" s="44">
        <v>66697639.999999985</v>
      </c>
      <c r="F1341" s="44" t="s">
        <v>1269</v>
      </c>
      <c r="G1341" s="25">
        <f t="shared" si="19"/>
        <v>1.6933501418216146E-2</v>
      </c>
    </row>
    <row r="1342" spans="1:7">
      <c r="A1342" s="44">
        <v>158.05000000000004</v>
      </c>
      <c r="B1342" s="44">
        <v>158.12200000000004</v>
      </c>
      <c r="C1342" s="44">
        <v>155.77750000000003</v>
      </c>
      <c r="D1342" s="44">
        <v>155.89700000000002</v>
      </c>
      <c r="E1342" s="44">
        <v>58806359.999999985</v>
      </c>
      <c r="F1342" s="44" t="s">
        <v>1270</v>
      </c>
      <c r="G1342" s="25">
        <f t="shared" si="19"/>
        <v>1.3810400456711891E-2</v>
      </c>
    </row>
    <row r="1343" spans="1:7">
      <c r="A1343" s="44">
        <v>154.70400000000004</v>
      </c>
      <c r="B1343" s="44">
        <v>155.96650000000002</v>
      </c>
      <c r="C1343" s="44">
        <v>153.12500000000003</v>
      </c>
      <c r="D1343" s="44">
        <v>153.20300000000003</v>
      </c>
      <c r="E1343" s="44">
        <v>61877919.999999985</v>
      </c>
      <c r="F1343" s="44" t="s">
        <v>1271</v>
      </c>
      <c r="G1343" s="25">
        <f t="shared" si="19"/>
        <v>9.7974582743158845E-3</v>
      </c>
    </row>
    <row r="1344" spans="1:7">
      <c r="A1344" s="44">
        <v>152.76450000000003</v>
      </c>
      <c r="B1344" s="44">
        <v>153.65000000000003</v>
      </c>
      <c r="C1344" s="44">
        <v>151.70000000000002</v>
      </c>
      <c r="D1344" s="44">
        <v>153.50050000000005</v>
      </c>
      <c r="E1344" s="44">
        <v>46752059.999999993</v>
      </c>
      <c r="F1344" s="44" t="s">
        <v>1272</v>
      </c>
      <c r="G1344" s="25">
        <f t="shared" si="19"/>
        <v>-4.7947726554637971E-3</v>
      </c>
    </row>
    <row r="1345" spans="1:7">
      <c r="A1345" s="44">
        <v>153.78650000000002</v>
      </c>
      <c r="B1345" s="44">
        <v>154.56250000000003</v>
      </c>
      <c r="C1345" s="44">
        <v>151.42225000000005</v>
      </c>
      <c r="D1345" s="44">
        <v>152.77197000000004</v>
      </c>
      <c r="E1345" s="44">
        <v>54919359.999999993</v>
      </c>
      <c r="F1345" s="44" t="s">
        <v>1273</v>
      </c>
      <c r="G1345" s="25">
        <f t="shared" si="19"/>
        <v>6.6408124474663932E-3</v>
      </c>
    </row>
    <row r="1346" spans="1:7">
      <c r="A1346" s="44">
        <v>152.60150000000004</v>
      </c>
      <c r="B1346" s="44">
        <v>152.83300000000003</v>
      </c>
      <c r="C1346" s="44">
        <v>149.80000000000004</v>
      </c>
      <c r="D1346" s="44">
        <v>152.20300000000003</v>
      </c>
      <c r="E1346" s="44">
        <v>66258479.999999985</v>
      </c>
      <c r="F1346" s="44" t="s">
        <v>1274</v>
      </c>
      <c r="G1346" s="25">
        <f t="shared" si="19"/>
        <v>2.6182138328416649E-3</v>
      </c>
    </row>
    <row r="1347" spans="1:7">
      <c r="A1347" s="44">
        <v>152.31300000000005</v>
      </c>
      <c r="B1347" s="44">
        <v>155.48900000000003</v>
      </c>
      <c r="C1347" s="44">
        <v>151.85700000000003</v>
      </c>
      <c r="D1347" s="44">
        <v>153.64950000000002</v>
      </c>
      <c r="E1347" s="44">
        <v>71269379.999999985</v>
      </c>
      <c r="F1347" s="44" t="s">
        <v>1275</v>
      </c>
      <c r="G1347" s="25">
        <f t="shared" si="19"/>
        <v>-8.6983686897775803E-3</v>
      </c>
    </row>
    <row r="1348" spans="1:7">
      <c r="A1348" s="44">
        <v>154.35350000000003</v>
      </c>
      <c r="B1348" s="44">
        <v>158.01550000000003</v>
      </c>
      <c r="C1348" s="44">
        <v>154.25750000000002</v>
      </c>
      <c r="D1348" s="44">
        <v>157.55200000000002</v>
      </c>
      <c r="E1348" s="44">
        <v>59179619.999999985</v>
      </c>
      <c r="F1348" s="44" t="s">
        <v>1276</v>
      </c>
      <c r="G1348" s="25">
        <f t="shared" si="19"/>
        <v>-2.0301233878338598E-2</v>
      </c>
    </row>
    <row r="1349" spans="1:7">
      <c r="A1349" s="44">
        <v>156.87500000000003</v>
      </c>
      <c r="B1349" s="44">
        <v>159.10000000000002</v>
      </c>
      <c r="C1349" s="44">
        <v>156.04250500000003</v>
      </c>
      <c r="D1349" s="44">
        <v>156.35000000000002</v>
      </c>
      <c r="E1349" s="44">
        <v>76345259.999999985</v>
      </c>
      <c r="F1349" s="44" t="s">
        <v>1277</v>
      </c>
      <c r="G1349" s="25">
        <f t="shared" si="19"/>
        <v>3.3578509753757757E-3</v>
      </c>
    </row>
    <row r="1350" spans="1:7">
      <c r="A1350" s="44">
        <v>155.54350000000002</v>
      </c>
      <c r="B1350" s="44">
        <v>156.32900000000004</v>
      </c>
      <c r="C1350" s="44">
        <v>153.00250000000003</v>
      </c>
      <c r="D1350" s="44">
        <v>153.39250000000001</v>
      </c>
      <c r="E1350" s="44">
        <v>58043579.999999985</v>
      </c>
      <c r="F1350" s="44" t="s">
        <v>1278</v>
      </c>
      <c r="G1350" s="25">
        <f t="shared" si="19"/>
        <v>1.4022849878579491E-2</v>
      </c>
    </row>
    <row r="1351" spans="1:7">
      <c r="A1351" s="44">
        <v>153.74800000000002</v>
      </c>
      <c r="B1351" s="44">
        <v>153.86425000000003</v>
      </c>
      <c r="C1351" s="44">
        <v>150.83150000000003</v>
      </c>
      <c r="D1351" s="44">
        <v>151.46150000000003</v>
      </c>
      <c r="E1351" s="44">
        <v>92507079.999999985</v>
      </c>
      <c r="F1351" s="44" t="s">
        <v>1279</v>
      </c>
      <c r="G1351" s="25">
        <f t="shared" si="19"/>
        <v>1.5096245580560108E-2</v>
      </c>
    </row>
    <row r="1352" spans="1:7">
      <c r="A1352" s="44">
        <v>151.39950000000002</v>
      </c>
      <c r="B1352" s="44">
        <v>155.83150000000003</v>
      </c>
      <c r="C1352" s="44">
        <v>151.25000000000003</v>
      </c>
      <c r="D1352" s="44">
        <v>155.05000000000004</v>
      </c>
      <c r="E1352" s="44">
        <v>73140539.999999985</v>
      </c>
      <c r="F1352" s="44" t="s">
        <v>1280</v>
      </c>
      <c r="G1352" s="25">
        <f t="shared" si="19"/>
        <v>-2.3544018058690885E-2</v>
      </c>
    </row>
    <row r="1353" spans="1:7">
      <c r="A1353" s="44">
        <v>156.78650000000002</v>
      </c>
      <c r="B1353" s="44">
        <v>158.65250000000003</v>
      </c>
      <c r="C1353" s="44">
        <v>153.51100000000002</v>
      </c>
      <c r="D1353" s="44">
        <v>153.66100000000003</v>
      </c>
      <c r="E1353" s="44">
        <v>62371679.999999985</v>
      </c>
      <c r="F1353" s="44" t="s">
        <v>1281</v>
      </c>
      <c r="G1353" s="25">
        <f t="shared" si="19"/>
        <v>2.034022946616254E-2</v>
      </c>
    </row>
    <row r="1354" spans="1:7">
      <c r="A1354" s="44">
        <v>154.59300000000005</v>
      </c>
      <c r="B1354" s="44">
        <v>156.44550000000001</v>
      </c>
      <c r="C1354" s="44">
        <v>153.79300500000002</v>
      </c>
      <c r="D1354" s="44">
        <v>155.24850000000001</v>
      </c>
      <c r="E1354" s="44">
        <v>50775279.999999993</v>
      </c>
      <c r="F1354" s="44" t="s">
        <v>1282</v>
      </c>
      <c r="G1354" s="25">
        <f t="shared" si="19"/>
        <v>-4.2222630170337672E-3</v>
      </c>
    </row>
    <row r="1355" spans="1:7">
      <c r="A1355" s="44">
        <v>154.08400000000003</v>
      </c>
      <c r="B1355" s="44">
        <v>154.11200000000002</v>
      </c>
      <c r="C1355" s="44">
        <v>151.60450000000003</v>
      </c>
      <c r="D1355" s="44">
        <v>153.72850000000003</v>
      </c>
      <c r="E1355" s="44">
        <v>58371839.999999985</v>
      </c>
      <c r="F1355" s="44" t="s">
        <v>1283</v>
      </c>
      <c r="G1355" s="25">
        <f t="shared" si="19"/>
        <v>2.3125184985217651E-3</v>
      </c>
    </row>
    <row r="1356" spans="1:7">
      <c r="A1356" s="44">
        <v>154.47450000000001</v>
      </c>
      <c r="B1356" s="44">
        <v>154.94900000000004</v>
      </c>
      <c r="C1356" s="44">
        <v>152.27500000000003</v>
      </c>
      <c r="D1356" s="44">
        <v>153.75000000000003</v>
      </c>
      <c r="E1356" s="44">
        <v>48437759.999999993</v>
      </c>
      <c r="F1356" s="44" t="s">
        <v>1284</v>
      </c>
      <c r="G1356" s="25">
        <f t="shared" si="19"/>
        <v>4.7121951219510905E-3</v>
      </c>
    </row>
    <row r="1357" spans="1:7">
      <c r="A1357" s="44">
        <v>155.67950000000005</v>
      </c>
      <c r="B1357" s="44">
        <v>156.58921500000002</v>
      </c>
      <c r="C1357" s="44">
        <v>154.14650000000003</v>
      </c>
      <c r="D1357" s="44">
        <v>155.20050000000003</v>
      </c>
      <c r="E1357" s="44">
        <v>55527819.999999993</v>
      </c>
      <c r="F1357" s="44" t="s">
        <v>1285</v>
      </c>
      <c r="G1357" s="25">
        <f t="shared" si="19"/>
        <v>3.0863302631114475E-3</v>
      </c>
    </row>
    <row r="1358" spans="1:7">
      <c r="A1358" s="44">
        <v>152.88200000000003</v>
      </c>
      <c r="B1358" s="44">
        <v>155.82300000000004</v>
      </c>
      <c r="C1358" s="44">
        <v>151.50250000000003</v>
      </c>
      <c r="D1358" s="44">
        <v>154.92250000000001</v>
      </c>
      <c r="E1358" s="44">
        <v>60249779.999999985</v>
      </c>
      <c r="F1358" s="44" t="s">
        <v>1286</v>
      </c>
      <c r="G1358" s="25">
        <f t="shared" si="19"/>
        <v>-1.317110167987201E-2</v>
      </c>
    </row>
    <row r="1359" spans="1:7">
      <c r="A1359" s="44">
        <v>153.14250000000001</v>
      </c>
      <c r="B1359" s="44">
        <v>154.54800000000003</v>
      </c>
      <c r="C1359" s="44">
        <v>150.25737000000001</v>
      </c>
      <c r="D1359" s="44">
        <v>150.89950000000002</v>
      </c>
      <c r="E1359" s="44">
        <v>80600639.999999985</v>
      </c>
      <c r="F1359" s="44" t="s">
        <v>1287</v>
      </c>
      <c r="G1359" s="25">
        <f t="shared" si="19"/>
        <v>1.4864197694492098E-2</v>
      </c>
    </row>
    <row r="1360" spans="1:7">
      <c r="A1360" s="44">
        <v>147.59750000000003</v>
      </c>
      <c r="B1360" s="44">
        <v>153.22950000000003</v>
      </c>
      <c r="C1360" s="44">
        <v>147.56550000000001</v>
      </c>
      <c r="D1360" s="44">
        <v>150.75000000000003</v>
      </c>
      <c r="E1360" s="44">
        <v>83700159.999999985</v>
      </c>
      <c r="F1360" s="44" t="s">
        <v>1288</v>
      </c>
      <c r="G1360" s="25">
        <f t="shared" si="19"/>
        <v>-2.0912106135986708E-2</v>
      </c>
    </row>
    <row r="1361" spans="1:7">
      <c r="A1361" s="44">
        <v>150.02300000000002</v>
      </c>
      <c r="B1361" s="44">
        <v>150.45000000000002</v>
      </c>
      <c r="C1361" s="44">
        <v>144.05000500000003</v>
      </c>
      <c r="D1361" s="44">
        <v>150.25000000000003</v>
      </c>
      <c r="E1361" s="44">
        <v>107771019.99999999</v>
      </c>
      <c r="F1361" s="44" t="s">
        <v>1289</v>
      </c>
      <c r="G1361" s="25">
        <f t="shared" si="19"/>
        <v>-1.510815307820379E-3</v>
      </c>
    </row>
    <row r="1362" spans="1:7">
      <c r="A1362" s="44">
        <v>148.87850000000003</v>
      </c>
      <c r="B1362" s="44">
        <v>152.90650000000002</v>
      </c>
      <c r="C1362" s="44">
        <v>147.27150000000003</v>
      </c>
      <c r="D1362" s="44">
        <v>150.60000000000002</v>
      </c>
      <c r="E1362" s="44">
        <v>109631559.99999999</v>
      </c>
      <c r="F1362" s="44" t="s">
        <v>1290</v>
      </c>
      <c r="G1362" s="25">
        <f t="shared" si="19"/>
        <v>-1.1430942895086282E-2</v>
      </c>
    </row>
    <row r="1363" spans="1:7">
      <c r="A1363" s="44">
        <v>150.25000000000003</v>
      </c>
      <c r="B1363" s="44">
        <v>155.38875000000004</v>
      </c>
      <c r="C1363" s="44">
        <v>149.75000000000003</v>
      </c>
      <c r="D1363" s="44">
        <v>154.05900000000003</v>
      </c>
      <c r="E1363" s="44">
        <v>79774499.999999985</v>
      </c>
      <c r="F1363" s="44" t="s">
        <v>1291</v>
      </c>
      <c r="G1363" s="25">
        <f t="shared" si="19"/>
        <v>-2.4724293939334951E-2</v>
      </c>
    </row>
    <row r="1364" spans="1:7">
      <c r="A1364" s="44">
        <v>154.72650000000004</v>
      </c>
      <c r="B1364" s="44">
        <v>158.17600000000002</v>
      </c>
      <c r="C1364" s="44">
        <v>154.35600500000004</v>
      </c>
      <c r="D1364" s="44">
        <v>157.17350000000002</v>
      </c>
      <c r="E1364" s="44">
        <v>51915239.999999993</v>
      </c>
      <c r="F1364" s="44" t="s">
        <v>1292</v>
      </c>
      <c r="G1364" s="25">
        <f t="shared" si="19"/>
        <v>-1.5568782269275494E-2</v>
      </c>
    </row>
    <row r="1365" spans="1:7">
      <c r="A1365" s="44">
        <v>157.30700000000002</v>
      </c>
      <c r="B1365" s="44">
        <v>157.47800000000004</v>
      </c>
      <c r="C1365" s="44">
        <v>154.89950000000002</v>
      </c>
      <c r="D1365" s="44">
        <v>156.39450000000002</v>
      </c>
      <c r="E1365" s="44">
        <v>54679259.999999993</v>
      </c>
      <c r="F1365" s="44" t="s">
        <v>1293</v>
      </c>
      <c r="G1365" s="25">
        <f t="shared" si="19"/>
        <v>5.8346041580745744E-3</v>
      </c>
    </row>
    <row r="1366" spans="1:7">
      <c r="A1366" s="44">
        <v>154.64650000000003</v>
      </c>
      <c r="B1366" s="44">
        <v>156.12200000000004</v>
      </c>
      <c r="C1366" s="44">
        <v>151.83500000000001</v>
      </c>
      <c r="D1366" s="44">
        <v>154.76000000000002</v>
      </c>
      <c r="E1366" s="44">
        <v>85518599.999999985</v>
      </c>
      <c r="F1366" s="44" t="s">
        <v>1294</v>
      </c>
      <c r="G1366" s="25">
        <f t="shared" si="19"/>
        <v>-7.3339364176783217E-4</v>
      </c>
    </row>
    <row r="1367" spans="1:7">
      <c r="A1367" s="44">
        <v>152.85799500000005</v>
      </c>
      <c r="B1367" s="44">
        <v>158.91300000000004</v>
      </c>
      <c r="C1367" s="44">
        <v>152.38800000000003</v>
      </c>
      <c r="D1367" s="44">
        <v>156.83700000000002</v>
      </c>
      <c r="E1367" s="44">
        <v>90676019.999999985</v>
      </c>
      <c r="F1367" s="44" t="s">
        <v>1295</v>
      </c>
      <c r="G1367" s="25">
        <f t="shared" si="19"/>
        <v>-2.537032077889767E-2</v>
      </c>
    </row>
    <row r="1368" spans="1:7">
      <c r="A1368" s="44">
        <v>157.97650000000004</v>
      </c>
      <c r="B1368" s="44">
        <v>158.56150000000002</v>
      </c>
      <c r="C1368" s="44">
        <v>156.26899500000002</v>
      </c>
      <c r="D1368" s="44">
        <v>158.33750000000003</v>
      </c>
      <c r="E1368" s="44">
        <v>60225499.999999985</v>
      </c>
      <c r="F1368" s="44" t="s">
        <v>1296</v>
      </c>
      <c r="G1368" s="25">
        <f t="shared" si="19"/>
        <v>-2.2799400015788285E-3</v>
      </c>
    </row>
    <row r="1369" spans="1:7">
      <c r="A1369" s="44">
        <v>159.72500000000002</v>
      </c>
      <c r="B1369" s="44">
        <v>160.23650000000004</v>
      </c>
      <c r="C1369" s="44">
        <v>154.68000500000002</v>
      </c>
      <c r="D1369" s="44">
        <v>156.35150000000004</v>
      </c>
      <c r="E1369" s="44">
        <v>93544439.999999985</v>
      </c>
      <c r="F1369" s="44" t="s">
        <v>1297</v>
      </c>
      <c r="G1369" s="25">
        <f t="shared" si="19"/>
        <v>2.157638398096573E-2</v>
      </c>
    </row>
    <row r="1370" spans="1:7">
      <c r="A1370" s="44">
        <v>159.03700000000001</v>
      </c>
      <c r="B1370" s="44">
        <v>161.61599000000004</v>
      </c>
      <c r="C1370" s="44">
        <v>158.61300000000003</v>
      </c>
      <c r="D1370" s="44">
        <v>160.40649500000004</v>
      </c>
      <c r="E1370" s="44">
        <v>70313579.999999985</v>
      </c>
      <c r="F1370" s="44" t="s">
        <v>1298</v>
      </c>
      <c r="G1370" s="25">
        <f t="shared" si="19"/>
        <v>-8.5376530420419039E-3</v>
      </c>
    </row>
    <row r="1371" spans="1:7">
      <c r="A1371" s="44">
        <v>162.49499500000002</v>
      </c>
      <c r="B1371" s="44">
        <v>166.67500000000004</v>
      </c>
      <c r="C1371" s="44">
        <v>162.28750000000002</v>
      </c>
      <c r="D1371" s="44">
        <v>166.41150000000005</v>
      </c>
      <c r="E1371" s="44">
        <v>86103679.999999985</v>
      </c>
      <c r="F1371" s="44" t="s">
        <v>1299</v>
      </c>
      <c r="G1371" s="25">
        <f t="shared" si="19"/>
        <v>-2.3535062180198074E-2</v>
      </c>
    </row>
    <row r="1372" spans="1:7">
      <c r="A1372" s="44">
        <v>166.41150000000005</v>
      </c>
      <c r="B1372" s="44">
        <v>166.90000000000003</v>
      </c>
      <c r="C1372" s="44">
        <v>163.69699500000002</v>
      </c>
      <c r="D1372" s="44">
        <v>164.12099500000002</v>
      </c>
      <c r="E1372" s="44">
        <v>60672139.999999985</v>
      </c>
      <c r="F1372" s="44" t="s">
        <v>1300</v>
      </c>
      <c r="G1372" s="25">
        <f t="shared" si="19"/>
        <v>1.3956197377428925E-2</v>
      </c>
    </row>
    <row r="1373" spans="1:7">
      <c r="A1373" s="44">
        <v>165.43199500000003</v>
      </c>
      <c r="B1373" s="44">
        <v>166.04549500000005</v>
      </c>
      <c r="C1373" s="44">
        <v>162.97497500000003</v>
      </c>
      <c r="D1373" s="44">
        <v>163.18000500000005</v>
      </c>
      <c r="E1373" s="44">
        <v>66041979.999999985</v>
      </c>
      <c r="F1373" s="44" t="s">
        <v>1301</v>
      </c>
      <c r="G1373" s="25">
        <f t="shared" si="19"/>
        <v>1.3800649166544554E-2</v>
      </c>
    </row>
    <row r="1374" spans="1:7">
      <c r="A1374" s="44">
        <v>163.44750000000002</v>
      </c>
      <c r="B1374" s="44">
        <v>165.41500000000005</v>
      </c>
      <c r="C1374" s="44">
        <v>162.67955500000005</v>
      </c>
      <c r="D1374" s="44">
        <v>162.70250000000004</v>
      </c>
      <c r="E1374" s="44">
        <v>51494419.999999993</v>
      </c>
      <c r="F1374" s="44" t="s">
        <v>1302</v>
      </c>
      <c r="G1374" s="25">
        <f t="shared" si="19"/>
        <v>4.5789093591062091E-3</v>
      </c>
    </row>
    <row r="1375" spans="1:7">
      <c r="A1375" s="44">
        <v>163.88550000000004</v>
      </c>
      <c r="B1375" s="44">
        <v>164.01250000000005</v>
      </c>
      <c r="C1375" s="44">
        <v>161.66550500000005</v>
      </c>
      <c r="D1375" s="44">
        <v>162.50000000000003</v>
      </c>
      <c r="E1375" s="44">
        <v>46706779.999999993</v>
      </c>
      <c r="F1375" s="44" t="s">
        <v>1303</v>
      </c>
      <c r="G1375" s="25">
        <f t="shared" si="19"/>
        <v>8.52615384615385E-3</v>
      </c>
    </row>
    <row r="1376" spans="1:7">
      <c r="A1376" s="44">
        <v>163.10649500000002</v>
      </c>
      <c r="B1376" s="44">
        <v>164.60000000000002</v>
      </c>
      <c r="C1376" s="44">
        <v>162.40300500000004</v>
      </c>
      <c r="D1376" s="44">
        <v>164.60000000000002</v>
      </c>
      <c r="E1376" s="44">
        <v>46028339.999999993</v>
      </c>
      <c r="F1376" s="44" t="s">
        <v>1304</v>
      </c>
      <c r="G1376" s="25">
        <f t="shared" si="19"/>
        <v>-9.0735419198055833E-3</v>
      </c>
    </row>
    <row r="1377" spans="1:7">
      <c r="A1377" s="44">
        <v>164.32900500000005</v>
      </c>
      <c r="B1377" s="44">
        <v>165.89774000000003</v>
      </c>
      <c r="C1377" s="44">
        <v>162.70000000000005</v>
      </c>
      <c r="D1377" s="44">
        <v>165.70000000000005</v>
      </c>
      <c r="E1377" s="44">
        <v>63030999.999999985</v>
      </c>
      <c r="F1377" s="44" t="s">
        <v>1305</v>
      </c>
      <c r="G1377" s="25">
        <f t="shared" si="19"/>
        <v>-8.2739589619794662E-3</v>
      </c>
    </row>
    <row r="1378" spans="1:7">
      <c r="A1378" s="44">
        <v>165.25000000000003</v>
      </c>
      <c r="B1378" s="44">
        <v>166.90000000000003</v>
      </c>
      <c r="C1378" s="44">
        <v>164.89200500000004</v>
      </c>
      <c r="D1378" s="44">
        <v>165.62450000000001</v>
      </c>
      <c r="E1378" s="44">
        <v>44070519.999999993</v>
      </c>
      <c r="F1378" s="44" t="s">
        <v>1306</v>
      </c>
      <c r="G1378" s="25">
        <f t="shared" si="19"/>
        <v>-2.2611389015513295E-3</v>
      </c>
    </row>
    <row r="1379" spans="1:7">
      <c r="A1379" s="44">
        <v>166.14699500000003</v>
      </c>
      <c r="B1379" s="44">
        <v>168.25000000000003</v>
      </c>
      <c r="C1379" s="44">
        <v>165.20000000000005</v>
      </c>
      <c r="D1379" s="44">
        <v>167.92500000000004</v>
      </c>
      <c r="E1379" s="44">
        <v>65147819.999999985</v>
      </c>
      <c r="F1379" s="44" t="s">
        <v>1307</v>
      </c>
      <c r="G1379" s="25">
        <f t="shared" si="19"/>
        <v>-1.0588089921095722E-2</v>
      </c>
    </row>
    <row r="1380" spans="1:7">
      <c r="A1380" s="44">
        <v>167.60749500000003</v>
      </c>
      <c r="B1380" s="44">
        <v>168.85000000000002</v>
      </c>
      <c r="C1380" s="44">
        <v>165.13550000000004</v>
      </c>
      <c r="D1380" s="44">
        <v>165.95000000000005</v>
      </c>
      <c r="E1380" s="44">
        <v>72416159.999999985</v>
      </c>
      <c r="F1380" s="44" t="s">
        <v>1308</v>
      </c>
      <c r="G1380" s="25">
        <f t="shared" si="19"/>
        <v>9.9879180476045715E-3</v>
      </c>
    </row>
    <row r="1381" spans="1:7">
      <c r="A1381" s="44">
        <v>166.55000000000004</v>
      </c>
      <c r="B1381" s="44">
        <v>167.35000000000002</v>
      </c>
      <c r="C1381" s="44">
        <v>163.88750000000005</v>
      </c>
      <c r="D1381" s="44">
        <v>166.50000000000003</v>
      </c>
      <c r="E1381" s="44">
        <v>73413219.999999985</v>
      </c>
      <c r="F1381" s="44" t="s">
        <v>1309</v>
      </c>
      <c r="G1381" s="25">
        <f t="shared" si="19"/>
        <v>3.0030030030037125E-4</v>
      </c>
    </row>
    <row r="1382" spans="1:7">
      <c r="A1382" s="44">
        <v>165.62650000000005</v>
      </c>
      <c r="B1382" s="44">
        <v>171.70000000000005</v>
      </c>
      <c r="C1382" s="44">
        <v>165.43100500000003</v>
      </c>
      <c r="D1382" s="44">
        <v>171.25050000000005</v>
      </c>
      <c r="E1382" s="44">
        <v>141775619.99999997</v>
      </c>
      <c r="F1382" s="44" t="s">
        <v>1310</v>
      </c>
      <c r="G1382" s="25">
        <f t="shared" si="19"/>
        <v>-3.2840780026919592E-2</v>
      </c>
    </row>
    <row r="1383" spans="1:7">
      <c r="A1383" s="44">
        <v>169.00000000000003</v>
      </c>
      <c r="B1383" s="44">
        <v>171.38700000000003</v>
      </c>
      <c r="C1383" s="44">
        <v>168.05625000000003</v>
      </c>
      <c r="D1383" s="44">
        <v>169.00000000000003</v>
      </c>
      <c r="E1383" s="44">
        <v>141972739.99999997</v>
      </c>
      <c r="F1383" s="44" t="s">
        <v>1311</v>
      </c>
      <c r="G1383" s="25">
        <f t="shared" si="19"/>
        <v>0</v>
      </c>
    </row>
    <row r="1384" spans="1:7">
      <c r="A1384" s="44">
        <v>167.14399500000002</v>
      </c>
      <c r="B1384" s="44">
        <v>167.51300000000003</v>
      </c>
      <c r="C1384" s="44">
        <v>161.75124500000004</v>
      </c>
      <c r="D1384" s="44">
        <v>162.11800500000004</v>
      </c>
      <c r="E1384" s="44">
        <v>83204239.999999985</v>
      </c>
      <c r="F1384" s="44" t="s">
        <v>1312</v>
      </c>
      <c r="G1384" s="25">
        <f t="shared" si="19"/>
        <v>3.1002046934885286E-2</v>
      </c>
    </row>
    <row r="1385" spans="1:7">
      <c r="A1385" s="44">
        <v>160.31000000000003</v>
      </c>
      <c r="B1385" s="44">
        <v>161.84950000000003</v>
      </c>
      <c r="C1385" s="44">
        <v>159.22750000000005</v>
      </c>
      <c r="D1385" s="44">
        <v>161.50000000000003</v>
      </c>
      <c r="E1385" s="44">
        <v>85871119.999999985</v>
      </c>
      <c r="F1385" s="44" t="s">
        <v>1313</v>
      </c>
      <c r="G1385" s="25">
        <f t="shared" si="19"/>
        <v>-7.3684210526315796E-3</v>
      </c>
    </row>
    <row r="1386" spans="1:7">
      <c r="A1386" s="44">
        <v>161.88100500000004</v>
      </c>
      <c r="B1386" s="44">
        <v>165.08399500000004</v>
      </c>
      <c r="C1386" s="44">
        <v>161.43449500000003</v>
      </c>
      <c r="D1386" s="44">
        <v>161.75200000000004</v>
      </c>
      <c r="E1386" s="44">
        <v>62984559.999999985</v>
      </c>
      <c r="F1386" s="44" t="s">
        <v>1314</v>
      </c>
      <c r="G1386" s="25">
        <f t="shared" si="19"/>
        <v>7.9754809832333073E-4</v>
      </c>
    </row>
    <row r="1387" spans="1:7">
      <c r="A1387" s="44">
        <v>161.62900500000003</v>
      </c>
      <c r="B1387" s="44">
        <v>167.32600000000002</v>
      </c>
      <c r="C1387" s="44">
        <v>160.35400500000003</v>
      </c>
      <c r="D1387" s="44">
        <v>167.07450000000003</v>
      </c>
      <c r="E1387" s="44">
        <v>93203159.999999985</v>
      </c>
      <c r="F1387" s="44" t="s">
        <v>1315</v>
      </c>
      <c r="G1387" s="25">
        <f t="shared" si="19"/>
        <v>-3.2593214404352477E-2</v>
      </c>
    </row>
    <row r="1388" spans="1:7">
      <c r="A1388" s="44">
        <v>166.30649500000004</v>
      </c>
      <c r="B1388" s="44">
        <v>166.90000000000003</v>
      </c>
      <c r="C1388" s="44">
        <v>164.14350500000003</v>
      </c>
      <c r="D1388" s="44">
        <v>164.81780000000003</v>
      </c>
      <c r="E1388" s="44">
        <v>59104699.999999985</v>
      </c>
      <c r="F1388" s="44" t="s">
        <v>1316</v>
      </c>
      <c r="G1388" s="25">
        <f t="shared" si="19"/>
        <v>9.0323678631798465E-3</v>
      </c>
    </row>
    <row r="1389" spans="1:7">
      <c r="A1389" s="44">
        <v>164.70000000000005</v>
      </c>
      <c r="B1389" s="44">
        <v>168.19449500000005</v>
      </c>
      <c r="C1389" s="44">
        <v>162.15731000000005</v>
      </c>
      <c r="D1389" s="44">
        <v>166.42500000000004</v>
      </c>
      <c r="E1389" s="44">
        <v>74995159.999999985</v>
      </c>
      <c r="F1389" s="44" t="s">
        <v>1317</v>
      </c>
      <c r="G1389" s="25">
        <f t="shared" si="19"/>
        <v>-1.0365029292474071E-2</v>
      </c>
    </row>
    <row r="1390" spans="1:7">
      <c r="A1390" s="44">
        <v>164.61150000000004</v>
      </c>
      <c r="B1390" s="44">
        <v>166.09549500000003</v>
      </c>
      <c r="C1390" s="44">
        <v>164.15821500000004</v>
      </c>
      <c r="D1390" s="44">
        <v>165.21550500000004</v>
      </c>
      <c r="E1390" s="44">
        <v>56438279.999999993</v>
      </c>
      <c r="F1390" s="44" t="s">
        <v>1318</v>
      </c>
      <c r="G1390" s="25">
        <f t="shared" si="19"/>
        <v>-3.6558614761974528E-3</v>
      </c>
    </row>
    <row r="1391" spans="1:7">
      <c r="A1391" s="44">
        <v>165.34950000000003</v>
      </c>
      <c r="B1391" s="44">
        <v>167.42750000000004</v>
      </c>
      <c r="C1391" s="44">
        <v>164.47837000000004</v>
      </c>
      <c r="D1391" s="44">
        <v>164.65000000000003</v>
      </c>
      <c r="E1391" s="44">
        <v>98901019.999999985</v>
      </c>
      <c r="F1391" s="44" t="s">
        <v>1319</v>
      </c>
      <c r="G1391" s="25">
        <f t="shared" si="19"/>
        <v>4.2484057090799165E-3</v>
      </c>
    </row>
    <row r="1392" spans="1:7">
      <c r="A1392" s="44">
        <v>163.16899500000002</v>
      </c>
      <c r="B1392" s="44">
        <v>163.99000000000004</v>
      </c>
      <c r="C1392" s="44">
        <v>158.75000000000003</v>
      </c>
      <c r="D1392" s="44">
        <v>159.09950000000001</v>
      </c>
      <c r="E1392" s="44">
        <v>106196699.99999999</v>
      </c>
      <c r="F1392" s="44" t="s">
        <v>1320</v>
      </c>
      <c r="G1392" s="25">
        <f t="shared" si="19"/>
        <v>2.5578301628855105E-2</v>
      </c>
    </row>
    <row r="1393" spans="1:7">
      <c r="A1393" s="44">
        <v>156.03800000000004</v>
      </c>
      <c r="B1393" s="44">
        <v>157.25000000000003</v>
      </c>
      <c r="C1393" s="44">
        <v>154.80000000000004</v>
      </c>
      <c r="D1393" s="44">
        <v>155.35000000000002</v>
      </c>
      <c r="E1393" s="44">
        <v>66102839.999999985</v>
      </c>
      <c r="F1393" s="44" t="s">
        <v>1321</v>
      </c>
      <c r="G1393" s="25">
        <f t="shared" si="19"/>
        <v>4.4287093659478582E-3</v>
      </c>
    </row>
    <row r="1394" spans="1:7">
      <c r="A1394" s="44">
        <v>155.21250000000003</v>
      </c>
      <c r="B1394" s="44">
        <v>157.12724500000002</v>
      </c>
      <c r="C1394" s="44">
        <v>154.75849500000001</v>
      </c>
      <c r="D1394" s="44">
        <v>156.15100000000004</v>
      </c>
      <c r="E1394" s="44">
        <v>84879899.999999985</v>
      </c>
      <c r="F1394" s="44" t="s">
        <v>1322</v>
      </c>
      <c r="G1394" s="25">
        <f t="shared" si="19"/>
        <v>-6.0102080678318126E-3</v>
      </c>
    </row>
    <row r="1395" spans="1:7">
      <c r="A1395" s="44">
        <v>156.37350000000001</v>
      </c>
      <c r="B1395" s="44">
        <v>158.90000000000003</v>
      </c>
      <c r="C1395" s="44">
        <v>156.02950500000003</v>
      </c>
      <c r="D1395" s="44">
        <v>158.37600000000003</v>
      </c>
      <c r="E1395" s="44">
        <v>61418379.999999985</v>
      </c>
      <c r="F1395" s="44" t="s">
        <v>1323</v>
      </c>
      <c r="G1395" s="25">
        <f t="shared" ref="G1395:G1458" si="20">A1395/D1395-1</f>
        <v>-1.2643961206243559E-2</v>
      </c>
    </row>
    <row r="1396" spans="1:7">
      <c r="A1396" s="44">
        <v>158.29449500000004</v>
      </c>
      <c r="B1396" s="44">
        <v>159.49750000000003</v>
      </c>
      <c r="C1396" s="44">
        <v>156.10400500000003</v>
      </c>
      <c r="D1396" s="44">
        <v>156.42199500000001</v>
      </c>
      <c r="E1396" s="44">
        <v>66424879.999999985</v>
      </c>
      <c r="F1396" s="44" t="s">
        <v>1324</v>
      </c>
      <c r="G1396" s="25">
        <f t="shared" si="20"/>
        <v>1.197082290121676E-2</v>
      </c>
    </row>
    <row r="1397" spans="1:7">
      <c r="A1397" s="44">
        <v>156.04150500000003</v>
      </c>
      <c r="B1397" s="44">
        <v>157.10709000000003</v>
      </c>
      <c r="C1397" s="44">
        <v>154.30000000000004</v>
      </c>
      <c r="D1397" s="44">
        <v>156.00000000000003</v>
      </c>
      <c r="E1397" s="44">
        <v>70291639.999999985</v>
      </c>
      <c r="F1397" s="44" t="s">
        <v>1325</v>
      </c>
      <c r="G1397" s="25">
        <f t="shared" si="20"/>
        <v>2.6605769230769738E-4</v>
      </c>
    </row>
    <row r="1398" spans="1:7">
      <c r="A1398" s="44">
        <v>155.71050000000002</v>
      </c>
      <c r="B1398" s="44">
        <v>157.81920000000002</v>
      </c>
      <c r="C1398" s="44">
        <v>155.50000000000003</v>
      </c>
      <c r="D1398" s="44">
        <v>157.40050000000005</v>
      </c>
      <c r="E1398" s="44">
        <v>73381899.999999985</v>
      </c>
      <c r="F1398" s="44" t="s">
        <v>1326</v>
      </c>
      <c r="G1398" s="25">
        <f t="shared" si="20"/>
        <v>-1.0736941750502882E-2</v>
      </c>
    </row>
    <row r="1399" spans="1:7">
      <c r="A1399" s="44">
        <v>159.13500000000002</v>
      </c>
      <c r="B1399" s="44">
        <v>159.53199500000002</v>
      </c>
      <c r="C1399" s="44">
        <v>157.11000000000001</v>
      </c>
      <c r="D1399" s="44">
        <v>159.00000000000003</v>
      </c>
      <c r="E1399" s="44">
        <v>70754879.999999985</v>
      </c>
      <c r="F1399" s="44" t="s">
        <v>1327</v>
      </c>
      <c r="G1399" s="25">
        <f t="shared" si="20"/>
        <v>8.4905660377354586E-4</v>
      </c>
    </row>
    <row r="1400" spans="1:7">
      <c r="A1400" s="44">
        <v>158.10799500000005</v>
      </c>
      <c r="B1400" s="44">
        <v>160.42710000000002</v>
      </c>
      <c r="C1400" s="44">
        <v>157.75000000000003</v>
      </c>
      <c r="D1400" s="44">
        <v>157.85000000000002</v>
      </c>
      <c r="E1400" s="44">
        <v>70290899.999999985</v>
      </c>
      <c r="F1400" s="44" t="s">
        <v>1328</v>
      </c>
      <c r="G1400" s="25">
        <f t="shared" si="20"/>
        <v>1.6344314222365153E-3</v>
      </c>
    </row>
    <row r="1401" spans="1:7">
      <c r="A1401" s="44">
        <v>156.91899500000002</v>
      </c>
      <c r="B1401" s="44">
        <v>159.87545000000003</v>
      </c>
      <c r="C1401" s="44">
        <v>156.55799500000003</v>
      </c>
      <c r="D1401" s="44">
        <v>157.32400000000004</v>
      </c>
      <c r="E1401" s="44">
        <v>87896299.999999985</v>
      </c>
      <c r="F1401" s="44" t="s">
        <v>1329</v>
      </c>
      <c r="G1401" s="25">
        <f t="shared" si="20"/>
        <v>-2.5743370369429863E-3</v>
      </c>
    </row>
    <row r="1402" spans="1:7">
      <c r="A1402" s="44">
        <v>160.92550000000006</v>
      </c>
      <c r="B1402" s="44">
        <v>161.16899500000002</v>
      </c>
      <c r="C1402" s="44">
        <v>158.25300500000003</v>
      </c>
      <c r="D1402" s="44">
        <v>158.30050000000003</v>
      </c>
      <c r="E1402" s="44">
        <v>53110959.999999993</v>
      </c>
      <c r="F1402" s="44" t="s">
        <v>1330</v>
      </c>
      <c r="G1402" s="25">
        <f t="shared" si="20"/>
        <v>1.658238603162987E-2</v>
      </c>
    </row>
    <row r="1403" spans="1:7">
      <c r="A1403" s="44">
        <v>159.33149500000002</v>
      </c>
      <c r="B1403" s="44">
        <v>163.60000000000002</v>
      </c>
      <c r="C1403" s="44">
        <v>157.20100000000002</v>
      </c>
      <c r="D1403" s="44">
        <v>163.50000000000003</v>
      </c>
      <c r="E1403" s="44">
        <v>88228979.999999985</v>
      </c>
      <c r="F1403" s="44" t="s">
        <v>1331</v>
      </c>
      <c r="G1403" s="25">
        <f t="shared" si="20"/>
        <v>-2.5495443425076481E-2</v>
      </c>
    </row>
    <row r="1404" spans="1:7">
      <c r="A1404" s="44">
        <v>162.84649500000003</v>
      </c>
      <c r="B1404" s="44">
        <v>164.14609500000003</v>
      </c>
      <c r="C1404" s="44">
        <v>162.06000000000003</v>
      </c>
      <c r="D1404" s="44">
        <v>163.75000000000003</v>
      </c>
      <c r="E1404" s="44">
        <v>59144119.999999985</v>
      </c>
      <c r="F1404" s="44" t="s">
        <v>1332</v>
      </c>
      <c r="G1404" s="25">
        <f t="shared" si="20"/>
        <v>-5.5175877862595479E-3</v>
      </c>
    </row>
    <row r="1405" spans="1:7">
      <c r="A1405" s="44">
        <v>164.29250500000003</v>
      </c>
      <c r="B1405" s="44">
        <v>167.10500500000003</v>
      </c>
      <c r="C1405" s="44">
        <v>164.12350000000004</v>
      </c>
      <c r="D1405" s="44">
        <v>167.05000000000004</v>
      </c>
      <c r="E1405" s="44">
        <v>64186199.999999985</v>
      </c>
      <c r="F1405" s="44" t="s">
        <v>1333</v>
      </c>
      <c r="G1405" s="25">
        <f t="shared" si="20"/>
        <v>-1.6507003891050642E-2</v>
      </c>
    </row>
    <row r="1406" spans="1:7">
      <c r="A1406" s="44">
        <v>166.10000000000002</v>
      </c>
      <c r="B1406" s="44">
        <v>167.53249500000004</v>
      </c>
      <c r="C1406" s="44">
        <v>164.06114500000004</v>
      </c>
      <c r="D1406" s="44">
        <v>165.49699500000003</v>
      </c>
      <c r="E1406" s="44">
        <v>97458659.999999985</v>
      </c>
      <c r="F1406" s="44" t="s">
        <v>1334</v>
      </c>
      <c r="G1406" s="25">
        <f t="shared" si="20"/>
        <v>3.6436009004272574E-3</v>
      </c>
    </row>
    <row r="1407" spans="1:7">
      <c r="A1407" s="44">
        <v>164.19800000000004</v>
      </c>
      <c r="B1407" s="44">
        <v>165.20000000000005</v>
      </c>
      <c r="C1407" s="44">
        <v>158.63449500000002</v>
      </c>
      <c r="D1407" s="44">
        <v>159.70000000000002</v>
      </c>
      <c r="E1407" s="44">
        <v>113735739.99999999</v>
      </c>
      <c r="F1407" s="44" t="s">
        <v>1335</v>
      </c>
      <c r="G1407" s="25">
        <f t="shared" si="20"/>
        <v>2.8165309956167839E-2</v>
      </c>
    </row>
    <row r="1408" spans="1:7">
      <c r="A1408" s="44">
        <v>158.63449500000002</v>
      </c>
      <c r="B1408" s="44">
        <v>160.10000000000002</v>
      </c>
      <c r="C1408" s="44">
        <v>158.45000000000002</v>
      </c>
      <c r="D1408" s="44">
        <v>159.69499500000003</v>
      </c>
      <c r="E1408" s="44">
        <v>29038339.999999993</v>
      </c>
      <c r="F1408" s="44" t="s">
        <v>1336</v>
      </c>
      <c r="G1408" s="25">
        <f t="shared" si="20"/>
        <v>-6.6407842024104324E-3</v>
      </c>
    </row>
    <row r="1409" spans="1:7">
      <c r="A1409" s="44">
        <v>159.26350000000002</v>
      </c>
      <c r="B1409" s="44">
        <v>160.50649500000003</v>
      </c>
      <c r="C1409" s="44">
        <v>159.20849500000003</v>
      </c>
      <c r="D1409" s="44">
        <v>160.25000000000003</v>
      </c>
      <c r="E1409" s="44">
        <v>41875739.999999993</v>
      </c>
      <c r="F1409" s="44" t="s">
        <v>1337</v>
      </c>
      <c r="G1409" s="25">
        <f t="shared" si="20"/>
        <v>-6.1560062402497007E-3</v>
      </c>
    </row>
    <row r="1410" spans="1:7">
      <c r="A1410" s="44">
        <v>160.32600000000002</v>
      </c>
      <c r="B1410" s="44">
        <v>161.10000000000002</v>
      </c>
      <c r="C1410" s="44">
        <v>159.00400500000003</v>
      </c>
      <c r="D1410" s="44">
        <v>160.14217500000004</v>
      </c>
      <c r="E1410" s="44">
        <v>47635619.999999993</v>
      </c>
      <c r="F1410" s="44" t="s">
        <v>1338</v>
      </c>
      <c r="G1410" s="25">
        <f t="shared" si="20"/>
        <v>1.1478862454565864E-3</v>
      </c>
    </row>
    <row r="1411" spans="1:7">
      <c r="A1411" s="44">
        <v>160.30899500000004</v>
      </c>
      <c r="B1411" s="44">
        <v>161.34833000000003</v>
      </c>
      <c r="C1411" s="44">
        <v>158.30000000000004</v>
      </c>
      <c r="D1411" s="44">
        <v>160.00050000000005</v>
      </c>
      <c r="E1411" s="44">
        <v>76736919.999999985</v>
      </c>
      <c r="F1411" s="44" t="s">
        <v>1339</v>
      </c>
      <c r="G1411" s="25">
        <f t="shared" si="20"/>
        <v>1.9280877247258577E-3</v>
      </c>
    </row>
    <row r="1412" spans="1:7">
      <c r="A1412" s="44">
        <v>160.08249500000002</v>
      </c>
      <c r="B1412" s="44">
        <v>162.47099500000002</v>
      </c>
      <c r="C1412" s="44">
        <v>158.58000500000003</v>
      </c>
      <c r="D1412" s="44">
        <v>162.19950000000003</v>
      </c>
      <c r="E1412" s="44">
        <v>119914259.99999997</v>
      </c>
      <c r="F1412" s="44" t="s">
        <v>1340</v>
      </c>
      <c r="G1412" s="25">
        <f t="shared" si="20"/>
        <v>-1.3051858976137476E-2</v>
      </c>
    </row>
    <row r="1413" spans="1:7">
      <c r="A1413" s="44">
        <v>161.80400500000005</v>
      </c>
      <c r="B1413" s="44">
        <v>163.17550000000006</v>
      </c>
      <c r="C1413" s="44">
        <v>161.05000000000004</v>
      </c>
      <c r="D1413" s="44">
        <v>162.50000000000003</v>
      </c>
      <c r="E1413" s="44">
        <v>69486939.999999985</v>
      </c>
      <c r="F1413" s="44" t="s">
        <v>1341</v>
      </c>
      <c r="G1413" s="25">
        <f t="shared" si="20"/>
        <v>-4.2830461538460041E-3</v>
      </c>
    </row>
    <row r="1414" spans="1:7">
      <c r="A1414" s="44">
        <v>162.04800000000003</v>
      </c>
      <c r="B1414" s="44">
        <v>162.35000000000002</v>
      </c>
      <c r="C1414" s="44">
        <v>158.18399500000004</v>
      </c>
      <c r="D1414" s="44">
        <v>158.80050000000003</v>
      </c>
      <c r="E1414" s="44">
        <v>88552319.999999985</v>
      </c>
      <c r="F1414" s="44" t="s">
        <v>1342</v>
      </c>
      <c r="G1414" s="25">
        <f t="shared" si="20"/>
        <v>2.0450187499409633E-2</v>
      </c>
    </row>
    <row r="1415" spans="1:7">
      <c r="A1415" s="44">
        <v>158.25600500000004</v>
      </c>
      <c r="B1415" s="44">
        <v>159.42500000000004</v>
      </c>
      <c r="C1415" s="44">
        <v>156.52450000000002</v>
      </c>
      <c r="D1415" s="44">
        <v>159.05050000000003</v>
      </c>
      <c r="E1415" s="44">
        <v>66473719.999999985</v>
      </c>
      <c r="F1415" s="44" t="s">
        <v>1343</v>
      </c>
      <c r="G1415" s="25">
        <f t="shared" si="20"/>
        <v>-4.9952373617183632E-3</v>
      </c>
    </row>
    <row r="1416" spans="1:7">
      <c r="A1416" s="44">
        <v>157.84850000000003</v>
      </c>
      <c r="B1416" s="44">
        <v>159.52350000000001</v>
      </c>
      <c r="C1416" s="44">
        <v>156.30000000000004</v>
      </c>
      <c r="D1416" s="44">
        <v>157.15000000000003</v>
      </c>
      <c r="E1416" s="44">
        <v>83115879.999999985</v>
      </c>
      <c r="F1416" s="44" t="s">
        <v>1344</v>
      </c>
      <c r="G1416" s="25">
        <f t="shared" si="20"/>
        <v>4.4447979637289858E-3</v>
      </c>
    </row>
    <row r="1417" spans="1:7">
      <c r="A1417" s="44">
        <v>155.82099500000001</v>
      </c>
      <c r="B1417" s="44">
        <v>155.93349500000002</v>
      </c>
      <c r="C1417" s="44">
        <v>153.64100500000004</v>
      </c>
      <c r="D1417" s="44">
        <v>154.83299500000004</v>
      </c>
      <c r="E1417" s="44">
        <v>61293899.999999985</v>
      </c>
      <c r="F1417" s="44" t="s">
        <v>1345</v>
      </c>
      <c r="G1417" s="25">
        <f t="shared" si="20"/>
        <v>6.3810688413019623E-3</v>
      </c>
    </row>
    <row r="1418" spans="1:7">
      <c r="A1418" s="44">
        <v>155.07450000000003</v>
      </c>
      <c r="B1418" s="44">
        <v>157.10500500000003</v>
      </c>
      <c r="C1418" s="44">
        <v>153.80000000000004</v>
      </c>
      <c r="D1418" s="44">
        <v>154.44950000000003</v>
      </c>
      <c r="E1418" s="44">
        <v>60603719.999999985</v>
      </c>
      <c r="F1418" s="44" t="s">
        <v>1346</v>
      </c>
      <c r="G1418" s="25">
        <f t="shared" si="20"/>
        <v>4.0466301282944261E-3</v>
      </c>
    </row>
    <row r="1419" spans="1:7">
      <c r="A1419" s="44">
        <v>155.21</v>
      </c>
      <c r="B1419" s="44">
        <v>158.72149500000003</v>
      </c>
      <c r="C1419" s="44">
        <v>154.40000000000003</v>
      </c>
      <c r="D1419" s="44">
        <v>158.39449500000003</v>
      </c>
      <c r="E1419" s="44">
        <v>82016719.999999985</v>
      </c>
      <c r="F1419" s="44" t="s">
        <v>1347</v>
      </c>
      <c r="G1419" s="25">
        <f t="shared" si="20"/>
        <v>-2.0104833820140167E-2</v>
      </c>
    </row>
    <row r="1420" spans="1:7">
      <c r="A1420" s="44">
        <v>158.86450000000002</v>
      </c>
      <c r="B1420" s="44">
        <v>159.20649500000002</v>
      </c>
      <c r="C1420" s="44">
        <v>156.00100000000003</v>
      </c>
      <c r="D1420" s="44">
        <v>157.94499500000003</v>
      </c>
      <c r="E1420" s="44">
        <v>65726059.999999985</v>
      </c>
      <c r="F1420" s="44" t="s">
        <v>1348</v>
      </c>
      <c r="G1420" s="25">
        <f t="shared" si="20"/>
        <v>5.8216786166600532E-3</v>
      </c>
    </row>
    <row r="1421" spans="1:7">
      <c r="A1421" s="44">
        <v>157.90000000000003</v>
      </c>
      <c r="B1421" s="44">
        <v>159.03800000000004</v>
      </c>
      <c r="C1421" s="44">
        <v>157.08449500000003</v>
      </c>
      <c r="D1421" s="44">
        <v>157.82400000000004</v>
      </c>
      <c r="E1421" s="44">
        <v>55026319.999999993</v>
      </c>
      <c r="F1421" s="44" t="s">
        <v>1349</v>
      </c>
      <c r="G1421" s="25">
        <f t="shared" si="20"/>
        <v>4.8154906731534552E-4</v>
      </c>
    </row>
    <row r="1422" spans="1:7">
      <c r="A1422" s="44">
        <v>158.12900500000003</v>
      </c>
      <c r="B1422" s="44">
        <v>159.91050000000004</v>
      </c>
      <c r="C1422" s="44">
        <v>157.93800000000005</v>
      </c>
      <c r="D1422" s="44">
        <v>159.91050000000004</v>
      </c>
      <c r="E1422" s="44">
        <v>58272219.999999985</v>
      </c>
      <c r="F1422" s="44" t="s">
        <v>1350</v>
      </c>
      <c r="G1422" s="25">
        <f t="shared" si="20"/>
        <v>-1.1140575509425599E-2</v>
      </c>
    </row>
    <row r="1423" spans="1:7">
      <c r="A1423" s="44">
        <v>159.33650000000003</v>
      </c>
      <c r="B1423" s="44">
        <v>161.43199500000003</v>
      </c>
      <c r="C1423" s="44">
        <v>159.06550500000003</v>
      </c>
      <c r="D1423" s="44">
        <v>160.27300000000002</v>
      </c>
      <c r="E1423" s="44">
        <v>57840779.999999985</v>
      </c>
      <c r="F1423" s="44" t="s">
        <v>1351</v>
      </c>
      <c r="G1423" s="25">
        <f t="shared" si="20"/>
        <v>-5.8431551165822881E-3</v>
      </c>
    </row>
    <row r="1424" spans="1:7">
      <c r="A1424" s="44">
        <v>160.17650000000003</v>
      </c>
      <c r="B1424" s="44">
        <v>161.60000000000002</v>
      </c>
      <c r="C1424" s="44">
        <v>158.66300000000004</v>
      </c>
      <c r="D1424" s="44">
        <v>161.08249500000002</v>
      </c>
      <c r="E1424" s="44">
        <v>62586079.999999985</v>
      </c>
      <c r="F1424" s="44" t="s">
        <v>1352</v>
      </c>
      <c r="G1424" s="25">
        <f t="shared" si="20"/>
        <v>-5.6244162346752447E-3</v>
      </c>
    </row>
    <row r="1425" spans="1:7">
      <c r="A1425" s="44">
        <v>161.00400500000003</v>
      </c>
      <c r="B1425" s="44">
        <v>162.44750000000002</v>
      </c>
      <c r="C1425" s="44">
        <v>157.85899500000002</v>
      </c>
      <c r="D1425" s="44">
        <v>159.42500000000004</v>
      </c>
      <c r="E1425" s="44">
        <v>90887639.999999985</v>
      </c>
      <c r="F1425" s="44" t="s">
        <v>1353</v>
      </c>
      <c r="G1425" s="25">
        <f t="shared" si="20"/>
        <v>9.9043750980083445E-3</v>
      </c>
    </row>
    <row r="1426" spans="1:7">
      <c r="A1426" s="44">
        <v>158.40200000000002</v>
      </c>
      <c r="B1426" s="44">
        <v>161.41949500000004</v>
      </c>
      <c r="C1426" s="44">
        <v>156.27750000000003</v>
      </c>
      <c r="D1426" s="44">
        <v>160.42400000000004</v>
      </c>
      <c r="E1426" s="44">
        <v>81278319.999999985</v>
      </c>
      <c r="F1426" s="44" t="s">
        <v>1354</v>
      </c>
      <c r="G1426" s="25">
        <f t="shared" si="20"/>
        <v>-1.2604099137286329E-2</v>
      </c>
    </row>
    <row r="1427" spans="1:7">
      <c r="A1427" s="44">
        <v>159.76700500000001</v>
      </c>
      <c r="B1427" s="44">
        <v>160.80949500000003</v>
      </c>
      <c r="C1427" s="44">
        <v>159.50250000000003</v>
      </c>
      <c r="D1427" s="44">
        <v>160.56300000000005</v>
      </c>
      <c r="E1427" s="44">
        <v>47857339.999999993</v>
      </c>
      <c r="F1427" s="44" t="s">
        <v>1355</v>
      </c>
      <c r="G1427" s="25">
        <f t="shared" si="20"/>
        <v>-4.957524460803775E-3</v>
      </c>
    </row>
    <row r="1428" spans="1:7">
      <c r="A1428" s="44">
        <v>159.25350500000002</v>
      </c>
      <c r="B1428" s="44">
        <v>159.90000000000003</v>
      </c>
      <c r="C1428" s="44">
        <v>157.01300000000003</v>
      </c>
      <c r="D1428" s="44">
        <v>157.09350500000002</v>
      </c>
      <c r="E1428" s="44">
        <v>75808059.999999985</v>
      </c>
      <c r="F1428" s="44" t="s">
        <v>1356</v>
      </c>
      <c r="G1428" s="25">
        <f t="shared" si="20"/>
        <v>1.374977278659606E-2</v>
      </c>
    </row>
    <row r="1429" spans="1:7">
      <c r="A1429" s="44">
        <v>155.90300500000004</v>
      </c>
      <c r="B1429" s="44">
        <v>156.71250000000003</v>
      </c>
      <c r="C1429" s="44">
        <v>154.31290500000003</v>
      </c>
      <c r="D1429" s="44">
        <v>155.02500000000003</v>
      </c>
      <c r="E1429" s="44">
        <v>72042039.999999985</v>
      </c>
      <c r="F1429" s="44" t="s">
        <v>1357</v>
      </c>
      <c r="G1429" s="25">
        <f t="shared" si="20"/>
        <v>5.6636348975971362E-3</v>
      </c>
    </row>
    <row r="1430" spans="1:7">
      <c r="A1430" s="44">
        <v>154.91949500000004</v>
      </c>
      <c r="B1430" s="44">
        <v>156.98725500000003</v>
      </c>
      <c r="C1430" s="44">
        <v>153.27300000000002</v>
      </c>
      <c r="D1430" s="44">
        <v>155.83492500000003</v>
      </c>
      <c r="E1430" s="44">
        <v>94177739.999999985</v>
      </c>
      <c r="F1430" s="44" t="s">
        <v>1358</v>
      </c>
      <c r="G1430" s="25">
        <f t="shared" si="20"/>
        <v>-5.8743571121813165E-3</v>
      </c>
    </row>
    <row r="1431" spans="1:7">
      <c r="A1431" s="44">
        <v>154.96999500000001</v>
      </c>
      <c r="B1431" s="44">
        <v>156.64449500000003</v>
      </c>
      <c r="C1431" s="44">
        <v>154.90228500000003</v>
      </c>
      <c r="D1431" s="44">
        <v>155.85100000000003</v>
      </c>
      <c r="E1431" s="44">
        <v>67602759.999999985</v>
      </c>
      <c r="F1431" s="44" t="s">
        <v>1359</v>
      </c>
      <c r="G1431" s="25">
        <f t="shared" si="20"/>
        <v>-5.6528671615839743E-3</v>
      </c>
    </row>
    <row r="1432" spans="1:7">
      <c r="A1432" s="44">
        <v>155.85100000000003</v>
      </c>
      <c r="B1432" s="44">
        <v>156.25000000000003</v>
      </c>
      <c r="C1432" s="44">
        <v>154.04599500000003</v>
      </c>
      <c r="D1432" s="44">
        <v>155.26550500000005</v>
      </c>
      <c r="E1432" s="44">
        <v>60205399.999999985</v>
      </c>
      <c r="F1432" s="44" t="s">
        <v>1360</v>
      </c>
      <c r="G1432" s="25">
        <f t="shared" si="20"/>
        <v>3.7709277408397579E-3</v>
      </c>
    </row>
    <row r="1433" spans="1:7">
      <c r="A1433" s="44">
        <v>155.27300000000002</v>
      </c>
      <c r="B1433" s="44">
        <v>157.00000000000003</v>
      </c>
      <c r="C1433" s="44">
        <v>155.25500500000004</v>
      </c>
      <c r="D1433" s="44">
        <v>156.70000000000002</v>
      </c>
      <c r="E1433" s="44">
        <v>58336719.999999985</v>
      </c>
      <c r="F1433" s="44" t="s">
        <v>1361</v>
      </c>
      <c r="G1433" s="25">
        <f t="shared" si="20"/>
        <v>-9.1065730695596425E-3</v>
      </c>
    </row>
    <row r="1434" spans="1:7">
      <c r="A1434" s="44">
        <v>156.78299500000003</v>
      </c>
      <c r="B1434" s="44">
        <v>159.46250000000003</v>
      </c>
      <c r="C1434" s="44">
        <v>156.76300000000003</v>
      </c>
      <c r="D1434" s="44">
        <v>159.17722000000003</v>
      </c>
      <c r="E1434" s="44">
        <v>68894699.999999985</v>
      </c>
      <c r="F1434" s="44" t="s">
        <v>1362</v>
      </c>
      <c r="G1434" s="25">
        <f t="shared" si="20"/>
        <v>-1.5041254018634098E-2</v>
      </c>
    </row>
    <row r="1435" spans="1:7">
      <c r="A1435" s="44">
        <v>156.55300500000004</v>
      </c>
      <c r="B1435" s="44">
        <v>157.13500000000002</v>
      </c>
      <c r="C1435" s="44">
        <v>153.63425500000002</v>
      </c>
      <c r="D1435" s="44">
        <v>154.66000000000003</v>
      </c>
      <c r="E1435" s="44">
        <v>76173519.999999985</v>
      </c>
      <c r="F1435" s="44" t="s">
        <v>1363</v>
      </c>
      <c r="G1435" s="25">
        <f t="shared" si="20"/>
        <v>1.2239784042415769E-2</v>
      </c>
    </row>
    <row r="1436" spans="1:7">
      <c r="A1436" s="44">
        <v>156.44050500000003</v>
      </c>
      <c r="B1436" s="44">
        <v>157.08613500000001</v>
      </c>
      <c r="C1436" s="44">
        <v>154.26949500000003</v>
      </c>
      <c r="D1436" s="44">
        <v>156.10000000000002</v>
      </c>
      <c r="E1436" s="44">
        <v>75251739.999999985</v>
      </c>
      <c r="F1436" s="44" t="s">
        <v>1364</v>
      </c>
      <c r="G1436" s="25">
        <f t="shared" si="20"/>
        <v>2.1813260730301209E-3</v>
      </c>
    </row>
    <row r="1437" spans="1:7">
      <c r="A1437" s="44">
        <v>155.51400000000004</v>
      </c>
      <c r="B1437" s="44">
        <v>158.79399500000002</v>
      </c>
      <c r="C1437" s="44">
        <v>154.30250000000004</v>
      </c>
      <c r="D1437" s="44">
        <v>157.99750000000003</v>
      </c>
      <c r="E1437" s="44">
        <v>87424159.999999985</v>
      </c>
      <c r="F1437" s="44" t="s">
        <v>1365</v>
      </c>
      <c r="G1437" s="25">
        <f t="shared" si="20"/>
        <v>-1.5718603142454768E-2</v>
      </c>
    </row>
    <row r="1438" spans="1:7">
      <c r="A1438" s="44">
        <v>156.86949500000003</v>
      </c>
      <c r="B1438" s="44">
        <v>156.95725000000002</v>
      </c>
      <c r="C1438" s="44">
        <v>152.50000000000003</v>
      </c>
      <c r="D1438" s="44">
        <v>153.08900000000003</v>
      </c>
      <c r="E1438" s="44">
        <v>87338459.999999985</v>
      </c>
      <c r="F1438" s="44" t="s">
        <v>1366</v>
      </c>
      <c r="G1438" s="25">
        <f t="shared" si="20"/>
        <v>2.4694752725538782E-2</v>
      </c>
    </row>
    <row r="1439" spans="1:7">
      <c r="A1439" s="44">
        <v>151.75100000000003</v>
      </c>
      <c r="B1439" s="44">
        <v>155.70000000000002</v>
      </c>
      <c r="C1439" s="44">
        <v>150.97414500000002</v>
      </c>
      <c r="D1439" s="44">
        <v>154.75100000000003</v>
      </c>
      <c r="E1439" s="44">
        <v>131819119.99999997</v>
      </c>
      <c r="F1439" s="44" t="s">
        <v>1367</v>
      </c>
      <c r="G1439" s="25">
        <f t="shared" si="20"/>
        <v>-1.9385981350685921E-2</v>
      </c>
    </row>
    <row r="1440" spans="1:7">
      <c r="A1440" s="44">
        <v>157.18700000000001</v>
      </c>
      <c r="B1440" s="44">
        <v>164.45000000000005</v>
      </c>
      <c r="C1440" s="44">
        <v>155.60528500000004</v>
      </c>
      <c r="D1440" s="44">
        <v>161.55150000000003</v>
      </c>
      <c r="E1440" s="44">
        <v>143808119.99999997</v>
      </c>
      <c r="F1440" s="44" t="s">
        <v>1368</v>
      </c>
      <c r="G1440" s="25">
        <f t="shared" si="20"/>
        <v>-2.7016152743862043E-2</v>
      </c>
    </row>
    <row r="1441" spans="1:7">
      <c r="A1441" s="44">
        <v>165.56850500000004</v>
      </c>
      <c r="B1441" s="44">
        <v>166.10000000000002</v>
      </c>
      <c r="C1441" s="44">
        <v>161.60000000000002</v>
      </c>
      <c r="D1441" s="44">
        <v>165.23199500000004</v>
      </c>
      <c r="E1441" s="44">
        <v>92946599.999999985</v>
      </c>
      <c r="F1441" s="44" t="s">
        <v>1369</v>
      </c>
      <c r="G1441" s="25">
        <f t="shared" si="20"/>
        <v>2.0365910367421414E-3</v>
      </c>
    </row>
    <row r="1442" spans="1:7">
      <c r="A1442" s="44">
        <v>166.10000000000002</v>
      </c>
      <c r="B1442" s="44">
        <v>168.34000000000003</v>
      </c>
      <c r="C1442" s="44">
        <v>164.44399500000003</v>
      </c>
      <c r="D1442" s="44">
        <v>165.99850000000004</v>
      </c>
      <c r="E1442" s="44">
        <v>115785699.99999997</v>
      </c>
      <c r="F1442" s="44" t="s">
        <v>1370</v>
      </c>
      <c r="G1442" s="25">
        <f t="shared" si="20"/>
        <v>6.1145130829487471E-4</v>
      </c>
    </row>
    <row r="1443" spans="1:7">
      <c r="A1443" s="44">
        <v>162.05799500000003</v>
      </c>
      <c r="B1443" s="44">
        <v>162.24250500000005</v>
      </c>
      <c r="C1443" s="44">
        <v>156.98650000000004</v>
      </c>
      <c r="D1443" s="44">
        <v>157.99950000000001</v>
      </c>
      <c r="E1443" s="44">
        <v>136780819.99999997</v>
      </c>
      <c r="F1443" s="44" t="s">
        <v>1371</v>
      </c>
      <c r="G1443" s="25">
        <f t="shared" si="20"/>
        <v>2.5686758502400542E-2</v>
      </c>
    </row>
    <row r="1444" spans="1:7">
      <c r="A1444" s="44">
        <v>152.42049500000005</v>
      </c>
      <c r="B1444" s="44">
        <v>153.74499500000002</v>
      </c>
      <c r="C1444" s="44">
        <v>149.04900000000004</v>
      </c>
      <c r="D1444" s="44">
        <v>150.92650000000003</v>
      </c>
      <c r="E1444" s="44">
        <v>97957599.999999985</v>
      </c>
      <c r="F1444" s="44" t="s">
        <v>1372</v>
      </c>
      <c r="G1444" s="25">
        <f t="shared" si="20"/>
        <v>9.8988249247151661E-3</v>
      </c>
    </row>
    <row r="1445" spans="1:7">
      <c r="A1445" s="44">
        <v>150.22400000000002</v>
      </c>
      <c r="B1445" s="44">
        <v>153.98525500000002</v>
      </c>
      <c r="C1445" s="44">
        <v>147.50600500000004</v>
      </c>
      <c r="D1445" s="44">
        <v>153.08700000000002</v>
      </c>
      <c r="E1445" s="44">
        <v>145146999.99999997</v>
      </c>
      <c r="F1445" s="44" t="s">
        <v>1373</v>
      </c>
      <c r="G1445" s="25">
        <f t="shared" si="20"/>
        <v>-1.8701783952915663E-2</v>
      </c>
    </row>
    <row r="1446" spans="1:7">
      <c r="A1446" s="44">
        <v>151.80749500000002</v>
      </c>
      <c r="B1446" s="44">
        <v>158.35019500000004</v>
      </c>
      <c r="C1446" s="44">
        <v>150.95000000000002</v>
      </c>
      <c r="D1446" s="44">
        <v>157.88750000000002</v>
      </c>
      <c r="E1446" s="44">
        <v>167921619.99999997</v>
      </c>
      <c r="F1446" s="44" t="s">
        <v>1374</v>
      </c>
      <c r="G1446" s="25">
        <f t="shared" si="20"/>
        <v>-3.8508463304568141E-2</v>
      </c>
    </row>
    <row r="1447" spans="1:7">
      <c r="A1447" s="44">
        <v>160.55050000000003</v>
      </c>
      <c r="B1447" s="44">
        <v>162.86250000000004</v>
      </c>
      <c r="C1447" s="44">
        <v>158.20000000000002</v>
      </c>
      <c r="D1447" s="44">
        <v>160.06350000000003</v>
      </c>
      <c r="E1447" s="44">
        <v>131930579.99999997</v>
      </c>
      <c r="F1447" s="44" t="s">
        <v>1375</v>
      </c>
      <c r="G1447" s="25">
        <f t="shared" si="20"/>
        <v>3.0425424909488186E-3</v>
      </c>
    </row>
    <row r="1448" spans="1:7">
      <c r="A1448" s="44">
        <v>158.13900000000004</v>
      </c>
      <c r="B1448" s="44">
        <v>163.20100000000002</v>
      </c>
      <c r="C1448" s="44">
        <v>158.12350000000001</v>
      </c>
      <c r="D1448" s="44">
        <v>162.46500000000003</v>
      </c>
      <c r="E1448" s="44">
        <v>111766599.99999999</v>
      </c>
      <c r="F1448" s="44" t="s">
        <v>1376</v>
      </c>
      <c r="G1448" s="25">
        <f t="shared" si="20"/>
        <v>-2.6627273566614318E-2</v>
      </c>
    </row>
    <row r="1449" spans="1:7">
      <c r="A1449" s="44">
        <v>164.31650500000003</v>
      </c>
      <c r="B1449" s="44">
        <v>164.58299500000004</v>
      </c>
      <c r="C1449" s="44">
        <v>160.56500000000003</v>
      </c>
      <c r="D1449" s="44">
        <v>161.24699500000003</v>
      </c>
      <c r="E1449" s="44">
        <v>85820939.999999985</v>
      </c>
      <c r="F1449" s="44" t="s">
        <v>1377</v>
      </c>
      <c r="G1449" s="25">
        <f t="shared" si="20"/>
        <v>1.9036075680046061E-2</v>
      </c>
    </row>
    <row r="1450" spans="1:7">
      <c r="A1450" s="44">
        <v>160.35200000000003</v>
      </c>
      <c r="B1450" s="44">
        <v>164.14900000000003</v>
      </c>
      <c r="C1450" s="44">
        <v>157.66500000000005</v>
      </c>
      <c r="D1450" s="44">
        <v>159.93700000000001</v>
      </c>
      <c r="E1450" s="44">
        <v>118023019.99999997</v>
      </c>
      <c r="F1450" s="44" t="s">
        <v>1378</v>
      </c>
      <c r="G1450" s="25">
        <f t="shared" si="20"/>
        <v>2.5947716913536922E-3</v>
      </c>
    </row>
    <row r="1451" spans="1:7">
      <c r="A1451" s="44">
        <v>160.21999500000001</v>
      </c>
      <c r="B1451" s="44">
        <v>160.26650500000002</v>
      </c>
      <c r="C1451" s="44">
        <v>157.00000000000003</v>
      </c>
      <c r="D1451" s="44">
        <v>159.55000000000004</v>
      </c>
      <c r="E1451" s="44">
        <v>69333739.999999985</v>
      </c>
      <c r="F1451" s="44" t="s">
        <v>1379</v>
      </c>
      <c r="G1451" s="25">
        <f t="shared" si="20"/>
        <v>4.1992792228140452E-3</v>
      </c>
    </row>
    <row r="1452" spans="1:7">
      <c r="A1452" s="44">
        <v>158.81999500000003</v>
      </c>
      <c r="B1452" s="44">
        <v>159.93750000000003</v>
      </c>
      <c r="C1452" s="44">
        <v>156.09699500000002</v>
      </c>
      <c r="D1452" s="44">
        <v>159.49350500000003</v>
      </c>
      <c r="E1452" s="44">
        <v>84240099.999999985</v>
      </c>
      <c r="F1452" s="44" t="s">
        <v>1380</v>
      </c>
      <c r="G1452" s="25">
        <f t="shared" si="20"/>
        <v>-4.2228051857032822E-3</v>
      </c>
    </row>
    <row r="1453" spans="1:7">
      <c r="A1453" s="44">
        <v>159.24699500000003</v>
      </c>
      <c r="B1453" s="44">
        <v>161.69375000000002</v>
      </c>
      <c r="C1453" s="44">
        <v>158.00000000000003</v>
      </c>
      <c r="D1453" s="44">
        <v>160.62500000000003</v>
      </c>
      <c r="E1453" s="44">
        <v>91854719.999999985</v>
      </c>
      <c r="F1453" s="44" t="s">
        <v>1381</v>
      </c>
      <c r="G1453" s="25">
        <f t="shared" si="20"/>
        <v>-8.5790194552529675E-3</v>
      </c>
    </row>
    <row r="1454" spans="1:7">
      <c r="A1454" s="44">
        <v>160.85050000000004</v>
      </c>
      <c r="B1454" s="44">
        <v>163.30000000000004</v>
      </c>
      <c r="C1454" s="44">
        <v>159.60050000000004</v>
      </c>
      <c r="D1454" s="44">
        <v>161.11400000000003</v>
      </c>
      <c r="E1454" s="44">
        <v>90193559.999999985</v>
      </c>
      <c r="F1454" s="44" t="s">
        <v>1382</v>
      </c>
      <c r="G1454" s="25">
        <f t="shared" si="20"/>
        <v>-1.6354879153890334E-3</v>
      </c>
    </row>
    <row r="1455" spans="1:7">
      <c r="A1455" s="44">
        <v>160.36050000000003</v>
      </c>
      <c r="B1455" s="44">
        <v>166.45000000000005</v>
      </c>
      <c r="C1455" s="44">
        <v>159.63675500000002</v>
      </c>
      <c r="D1455" s="44">
        <v>164.98050500000002</v>
      </c>
      <c r="E1455" s="44">
        <v>104472519.99999999</v>
      </c>
      <c r="F1455" s="44" t="s">
        <v>1383</v>
      </c>
      <c r="G1455" s="25">
        <f t="shared" si="20"/>
        <v>-2.8003338939955325E-2</v>
      </c>
    </row>
    <row r="1456" spans="1:7">
      <c r="A1456" s="44">
        <v>163.63550000000004</v>
      </c>
      <c r="B1456" s="44">
        <v>169.98303000000004</v>
      </c>
      <c r="C1456" s="44">
        <v>158.00000000000003</v>
      </c>
      <c r="D1456" s="44">
        <v>168.16150000000005</v>
      </c>
      <c r="E1456" s="44">
        <v>129487059.99999997</v>
      </c>
      <c r="F1456" s="44" t="s">
        <v>1384</v>
      </c>
      <c r="G1456" s="25">
        <f t="shared" si="20"/>
        <v>-2.6914602926353615E-2</v>
      </c>
    </row>
    <row r="1457" spans="1:7">
      <c r="A1457" s="44">
        <v>166.93249500000002</v>
      </c>
      <c r="B1457" s="44">
        <v>167.79399500000002</v>
      </c>
      <c r="C1457" s="44">
        <v>164.00000000000003</v>
      </c>
      <c r="D1457" s="44">
        <v>164.60050000000004</v>
      </c>
      <c r="E1457" s="44">
        <v>104468959.99999999</v>
      </c>
      <c r="F1457" s="44" t="s">
        <v>1385</v>
      </c>
      <c r="G1457" s="25">
        <f t="shared" si="20"/>
        <v>1.4167605809216832E-2</v>
      </c>
    </row>
    <row r="1458" spans="1:7">
      <c r="A1458" s="44">
        <v>168.18550000000005</v>
      </c>
      <c r="B1458" s="44">
        <v>173.24399500000004</v>
      </c>
      <c r="C1458" s="44">
        <v>167.00000000000003</v>
      </c>
      <c r="D1458" s="44">
        <v>172.35000000000002</v>
      </c>
      <c r="E1458" s="44">
        <v>116578319.99999997</v>
      </c>
      <c r="F1458" s="44" t="s">
        <v>1386</v>
      </c>
      <c r="G1458" s="25">
        <f t="shared" si="20"/>
        <v>-2.4163040324920115E-2</v>
      </c>
    </row>
    <row r="1459" spans="1:7">
      <c r="A1459" s="44">
        <v>172.18149500000004</v>
      </c>
      <c r="B1459" s="44">
        <v>174.61899500000004</v>
      </c>
      <c r="C1459" s="44">
        <v>171.21085000000005</v>
      </c>
      <c r="D1459" s="44">
        <v>173.39950000000002</v>
      </c>
      <c r="E1459" s="44">
        <v>114893939.99999999</v>
      </c>
      <c r="F1459" s="44" t="s">
        <v>1387</v>
      </c>
      <c r="G1459" s="25">
        <f t="shared" ref="G1459:G1496" si="21">A1459/D1459-1</f>
        <v>-7.0242705428791297E-3</v>
      </c>
    </row>
    <row r="1460" spans="1:7">
      <c r="A1460" s="44">
        <v>172.14649500000004</v>
      </c>
      <c r="B1460" s="44">
        <v>174.81200000000001</v>
      </c>
      <c r="C1460" s="44">
        <v>166.97750000000005</v>
      </c>
      <c r="D1460" s="44">
        <v>167.49699500000003</v>
      </c>
      <c r="E1460" s="44">
        <v>167283959.99999997</v>
      </c>
      <c r="F1460" s="44" t="s">
        <v>1388</v>
      </c>
      <c r="G1460" s="25">
        <f t="shared" si="21"/>
        <v>2.7758706954712942E-2</v>
      </c>
    </row>
    <row r="1461" spans="1:7">
      <c r="A1461" s="44">
        <v>164.33249500000002</v>
      </c>
      <c r="B1461" s="44">
        <v>164.44950000000003</v>
      </c>
      <c r="C1461" s="44">
        <v>159.89150500000002</v>
      </c>
      <c r="D1461" s="44">
        <v>160.50000000000003</v>
      </c>
      <c r="E1461" s="44">
        <v>98157419.999999985</v>
      </c>
      <c r="F1461" s="44" t="s">
        <v>1389</v>
      </c>
      <c r="G1461" s="25">
        <f t="shared" si="21"/>
        <v>2.3878473520249077E-2</v>
      </c>
    </row>
    <row r="1462" spans="1:7">
      <c r="A1462" s="44">
        <v>159.52750000000003</v>
      </c>
      <c r="B1462" s="44">
        <v>161.66472000000005</v>
      </c>
      <c r="C1462" s="44">
        <v>158.74950000000001</v>
      </c>
      <c r="D1462" s="44">
        <v>161.24950000000001</v>
      </c>
      <c r="E1462" s="44">
        <v>63482279.999999985</v>
      </c>
      <c r="F1462" s="44" t="s">
        <v>1390</v>
      </c>
      <c r="G1462" s="25">
        <f t="shared" si="21"/>
        <v>-1.0679102880939095E-2</v>
      </c>
    </row>
    <row r="1463" spans="1:7">
      <c r="A1463" s="44">
        <v>159.78449500000002</v>
      </c>
      <c r="B1463" s="44">
        <v>160.00000000000003</v>
      </c>
      <c r="C1463" s="44">
        <v>156.61925000000005</v>
      </c>
      <c r="D1463" s="44">
        <v>156.75000000000003</v>
      </c>
      <c r="E1463" s="44">
        <v>86188779.999999985</v>
      </c>
      <c r="F1463" s="44" t="s">
        <v>1391</v>
      </c>
      <c r="G1463" s="25">
        <f t="shared" si="21"/>
        <v>1.9358819776714498E-2</v>
      </c>
    </row>
    <row r="1464" spans="1:7">
      <c r="A1464" s="44">
        <v>154.99800000000002</v>
      </c>
      <c r="B1464" s="44">
        <v>159.10000000000002</v>
      </c>
      <c r="C1464" s="44">
        <v>154.50000000000003</v>
      </c>
      <c r="D1464" s="44">
        <v>158.25000000000003</v>
      </c>
      <c r="E1464" s="44">
        <v>101737139.99999999</v>
      </c>
      <c r="F1464" s="44" t="s">
        <v>1392</v>
      </c>
      <c r="G1464" s="25">
        <f t="shared" si="21"/>
        <v>-2.0549763033175461E-2</v>
      </c>
    </row>
    <row r="1465" spans="1:7">
      <c r="A1465" s="44">
        <v>159.96</v>
      </c>
      <c r="B1465" s="44">
        <v>160.12650000000005</v>
      </c>
      <c r="C1465" s="44">
        <v>157.04250500000003</v>
      </c>
      <c r="D1465" s="44">
        <v>157.29200500000002</v>
      </c>
      <c r="E1465" s="44">
        <v>75506639.999999985</v>
      </c>
      <c r="F1465" s="44" t="s">
        <v>1393</v>
      </c>
      <c r="G1465" s="25">
        <f t="shared" si="21"/>
        <v>1.6962050931959238E-2</v>
      </c>
    </row>
    <row r="1466" spans="1:7">
      <c r="A1466" s="44">
        <v>156.25000000000003</v>
      </c>
      <c r="B1466" s="44">
        <v>159.78982000000005</v>
      </c>
      <c r="C1466" s="44">
        <v>156.15000000000003</v>
      </c>
      <c r="D1466" s="44">
        <v>157.68149500000001</v>
      </c>
      <c r="E1466" s="44">
        <v>112261959.99999999</v>
      </c>
      <c r="F1466" s="44" t="s">
        <v>1394</v>
      </c>
      <c r="G1466" s="25">
        <f t="shared" si="21"/>
        <v>-9.0783956608223582E-3</v>
      </c>
    </row>
    <row r="1467" spans="1:7">
      <c r="A1467" s="44">
        <v>161.06300000000005</v>
      </c>
      <c r="B1467" s="44">
        <v>161.20000000000005</v>
      </c>
      <c r="C1467" s="44">
        <v>158.60000000000002</v>
      </c>
      <c r="D1467" s="44">
        <v>160.40000000000003</v>
      </c>
      <c r="E1467" s="44">
        <v>99438439.999999985</v>
      </c>
      <c r="F1467" s="44" t="s">
        <v>1395</v>
      </c>
      <c r="G1467" s="25">
        <f t="shared" si="21"/>
        <v>4.133416458852901E-3</v>
      </c>
    </row>
    <row r="1468" spans="1:7">
      <c r="A1468" s="44">
        <v>157.43650000000002</v>
      </c>
      <c r="B1468" s="44">
        <v>160.64399500000002</v>
      </c>
      <c r="C1468" s="44">
        <v>156.69950000000003</v>
      </c>
      <c r="D1468" s="44">
        <v>157.05699500000003</v>
      </c>
      <c r="E1468" s="44">
        <v>97922019.999999985</v>
      </c>
      <c r="F1468" s="44" t="s">
        <v>1396</v>
      </c>
      <c r="G1468" s="25">
        <f t="shared" si="21"/>
        <v>2.4163521019868739E-3</v>
      </c>
    </row>
    <row r="1469" spans="1:7">
      <c r="A1469" s="44">
        <v>157.24399500000001</v>
      </c>
      <c r="B1469" s="44">
        <v>159.41300000000004</v>
      </c>
      <c r="C1469" s="44">
        <v>156.62700000000004</v>
      </c>
      <c r="D1469" s="44">
        <v>158.76949500000003</v>
      </c>
      <c r="E1469" s="44">
        <v>70067959.999999985</v>
      </c>
      <c r="F1469" s="44" t="s">
        <v>1397</v>
      </c>
      <c r="G1469" s="25">
        <f t="shared" si="21"/>
        <v>-9.6082688932154214E-3</v>
      </c>
    </row>
    <row r="1470" spans="1:7">
      <c r="A1470" s="44">
        <v>158.70250000000004</v>
      </c>
      <c r="B1470" s="44">
        <v>158.75200000000004</v>
      </c>
      <c r="C1470" s="44">
        <v>155.85842500000004</v>
      </c>
      <c r="D1470" s="44">
        <v>157.44250500000004</v>
      </c>
      <c r="E1470" s="44">
        <v>84483299.999999985</v>
      </c>
      <c r="F1470" s="44" t="s">
        <v>1398</v>
      </c>
      <c r="G1470" s="25">
        <f t="shared" si="21"/>
        <v>8.0028896897950119E-3</v>
      </c>
    </row>
    <row r="1471" spans="1:7">
      <c r="A1471" s="44">
        <v>154.75649500000003</v>
      </c>
      <c r="B1471" s="44">
        <v>155.07700000000003</v>
      </c>
      <c r="C1471" s="44">
        <v>149.95000000000002</v>
      </c>
      <c r="D1471" s="44">
        <v>152.74300500000001</v>
      </c>
      <c r="E1471" s="44">
        <v>92304039.999999985</v>
      </c>
      <c r="F1471" s="44" t="s">
        <v>1399</v>
      </c>
      <c r="G1471" s="25">
        <f t="shared" si="21"/>
        <v>1.3182207591110329E-2</v>
      </c>
    </row>
    <row r="1472" spans="1:7">
      <c r="A1472" s="44">
        <v>150.98950000000002</v>
      </c>
      <c r="B1472" s="44">
        <v>153.46500000000003</v>
      </c>
      <c r="C1472" s="44">
        <v>148.25000000000003</v>
      </c>
      <c r="D1472" s="44">
        <v>148.88950000000003</v>
      </c>
      <c r="E1472" s="44">
        <v>110587839.99999999</v>
      </c>
      <c r="F1472" s="44" t="s">
        <v>1400</v>
      </c>
      <c r="G1472" s="25">
        <f t="shared" si="21"/>
        <v>1.4104419720665229E-2</v>
      </c>
    </row>
    <row r="1473" spans="1:7">
      <c r="A1473" s="44">
        <v>149.99300500000001</v>
      </c>
      <c r="B1473" s="44">
        <v>156.34995000000001</v>
      </c>
      <c r="C1473" s="44">
        <v>149.61880000000005</v>
      </c>
      <c r="D1473" s="44">
        <v>156.02149500000004</v>
      </c>
      <c r="E1473" s="44">
        <v>113053299.99999999</v>
      </c>
      <c r="F1473" s="44" t="s">
        <v>1401</v>
      </c>
      <c r="G1473" s="25">
        <f t="shared" si="21"/>
        <v>-3.8638842679978413E-2</v>
      </c>
    </row>
    <row r="1474" spans="1:7">
      <c r="A1474" s="44">
        <v>156.44950000000003</v>
      </c>
      <c r="B1474" s="44">
        <v>156.69950000000003</v>
      </c>
      <c r="C1474" s="44">
        <v>150.01000000000002</v>
      </c>
      <c r="D1474" s="44">
        <v>151.69175000000004</v>
      </c>
      <c r="E1474" s="44">
        <v>138976319.99999997</v>
      </c>
      <c r="F1474" s="44" t="s">
        <v>1402</v>
      </c>
      <c r="G1474" s="25">
        <f t="shared" si="21"/>
        <v>3.136459299863037E-2</v>
      </c>
    </row>
    <row r="1475" spans="1:7">
      <c r="A1475" s="44">
        <v>148.02350000000001</v>
      </c>
      <c r="B1475" s="44">
        <v>148.10000000000002</v>
      </c>
      <c r="C1475" s="44">
        <v>143.55000000000004</v>
      </c>
      <c r="D1475" s="44">
        <v>145.32500000000002</v>
      </c>
      <c r="E1475" s="44">
        <v>122358499.99999997</v>
      </c>
      <c r="F1475" s="44" t="s">
        <v>1403</v>
      </c>
      <c r="G1475" s="25">
        <f t="shared" si="21"/>
        <v>1.8568725270944331E-2</v>
      </c>
    </row>
    <row r="1476" spans="1:7">
      <c r="A1476" s="44">
        <v>147.74549500000003</v>
      </c>
      <c r="B1476" s="44">
        <v>151.89000000000004</v>
      </c>
      <c r="C1476" s="44">
        <v>145.27700000000002</v>
      </c>
      <c r="D1476" s="44">
        <v>151.58700000000002</v>
      </c>
      <c r="E1476" s="44">
        <v>177851599.99999997</v>
      </c>
      <c r="F1476" s="44" t="s">
        <v>1404</v>
      </c>
      <c r="G1476" s="25">
        <f t="shared" si="21"/>
        <v>-2.5341915863497433E-2</v>
      </c>
    </row>
    <row r="1477" spans="1:7">
      <c r="A1477" s="44">
        <v>150.43650000000002</v>
      </c>
      <c r="B1477" s="44">
        <v>151.47159500000004</v>
      </c>
      <c r="C1477" s="44">
        <v>148.62750000000003</v>
      </c>
      <c r="D1477" s="44">
        <v>150.46250000000003</v>
      </c>
      <c r="E1477" s="44">
        <v>128980999.99999997</v>
      </c>
      <c r="F1477" s="44" t="s">
        <v>1405</v>
      </c>
      <c r="G1477" s="25">
        <f t="shared" si="21"/>
        <v>-1.7280053169399512E-4</v>
      </c>
    </row>
    <row r="1478" spans="1:7">
      <c r="A1478" s="44">
        <v>153.90500500000005</v>
      </c>
      <c r="B1478" s="44">
        <v>159.36190000000002</v>
      </c>
      <c r="C1478" s="44">
        <v>153.70749500000002</v>
      </c>
      <c r="D1478" s="44">
        <v>158.99950000000001</v>
      </c>
      <c r="E1478" s="44">
        <v>90623779.999999985</v>
      </c>
      <c r="F1478" s="44" t="s">
        <v>1406</v>
      </c>
      <c r="G1478" s="25">
        <f t="shared" si="21"/>
        <v>-3.2040949814307385E-2</v>
      </c>
    </row>
    <row r="1479" spans="1:7">
      <c r="A1479" s="44">
        <v>157.80649500000001</v>
      </c>
      <c r="B1479" s="44">
        <v>158.75100000000003</v>
      </c>
      <c r="C1479" s="44">
        <v>155.44599500000001</v>
      </c>
      <c r="D1479" s="44">
        <v>156.80799500000003</v>
      </c>
      <c r="E1479" s="44">
        <v>80430699.999999985</v>
      </c>
      <c r="F1479" s="44" t="s">
        <v>1407</v>
      </c>
      <c r="G1479" s="25">
        <f t="shared" si="21"/>
        <v>6.3676600163147246E-3</v>
      </c>
    </row>
    <row r="1480" spans="1:7">
      <c r="A1480" s="44">
        <v>155.14850000000001</v>
      </c>
      <c r="B1480" s="44">
        <v>159.36949500000003</v>
      </c>
      <c r="C1480" s="44">
        <v>154.80000000000004</v>
      </c>
      <c r="D1480" s="44">
        <v>158.64686500000002</v>
      </c>
      <c r="E1480" s="44">
        <v>90591919.999999985</v>
      </c>
      <c r="F1480" s="44" t="s">
        <v>1408</v>
      </c>
      <c r="G1480" s="25">
        <f t="shared" si="21"/>
        <v>-2.205127091543857E-2</v>
      </c>
    </row>
    <row r="1481" spans="1:7">
      <c r="A1481" s="44">
        <v>155.81100000000001</v>
      </c>
      <c r="B1481" s="44">
        <v>160.86704000000003</v>
      </c>
      <c r="C1481" s="44">
        <v>154.19900000000004</v>
      </c>
      <c r="D1481" s="44">
        <v>160.43449500000003</v>
      </c>
      <c r="E1481" s="44">
        <v>101879639.99999999</v>
      </c>
      <c r="F1481" s="44" t="s">
        <v>1409</v>
      </c>
      <c r="G1481" s="25">
        <f t="shared" si="21"/>
        <v>-2.8818584182909168E-2</v>
      </c>
    </row>
    <row r="1482" spans="1:7">
      <c r="A1482" s="44">
        <v>158.75550500000003</v>
      </c>
      <c r="B1482" s="44">
        <v>167.49449500000003</v>
      </c>
      <c r="C1482" s="44">
        <v>158.52750000000003</v>
      </c>
      <c r="D1482" s="44">
        <v>165.36094000000003</v>
      </c>
      <c r="E1482" s="44">
        <v>106614819.99999999</v>
      </c>
      <c r="F1482" s="44" t="s">
        <v>1410</v>
      </c>
      <c r="G1482" s="25">
        <f t="shared" si="21"/>
        <v>-3.9945557880839311E-2</v>
      </c>
    </row>
    <row r="1483" spans="1:7">
      <c r="A1483" s="44">
        <v>163.43050500000004</v>
      </c>
      <c r="B1483" s="44">
        <v>165.15875000000005</v>
      </c>
      <c r="C1483" s="44">
        <v>159.25000000000003</v>
      </c>
      <c r="D1483" s="44">
        <v>160.14950000000002</v>
      </c>
      <c r="E1483" s="44">
        <v>103773499.99999999</v>
      </c>
      <c r="F1483" s="44" t="s">
        <v>1411</v>
      </c>
      <c r="G1483" s="25">
        <f t="shared" si="21"/>
        <v>2.0487138579889486E-2</v>
      </c>
    </row>
    <row r="1484" spans="1:7">
      <c r="A1484" s="44">
        <v>157.49200500000003</v>
      </c>
      <c r="B1484" s="44">
        <v>162.54225000000002</v>
      </c>
      <c r="C1484" s="44">
        <v>156.50000000000003</v>
      </c>
      <c r="D1484" s="44">
        <v>157.20000000000002</v>
      </c>
      <c r="E1484" s="44">
        <v>121884099.99999997</v>
      </c>
      <c r="F1484" s="44" t="s">
        <v>1412</v>
      </c>
      <c r="G1484" s="25">
        <f t="shared" si="21"/>
        <v>1.857538167939099E-3</v>
      </c>
    </row>
    <row r="1485" spans="1:7">
      <c r="A1485" s="44">
        <v>164.73100500000004</v>
      </c>
      <c r="B1485" s="44">
        <v>169.07500000000005</v>
      </c>
      <c r="C1485" s="44">
        <v>155.55649500000001</v>
      </c>
      <c r="D1485" s="44">
        <v>165.90000000000003</v>
      </c>
      <c r="E1485" s="44">
        <v>175635079.99999997</v>
      </c>
      <c r="F1485" s="44" t="s">
        <v>1413</v>
      </c>
      <c r="G1485" s="25">
        <f t="shared" si="21"/>
        <v>-7.0463833634719641E-3</v>
      </c>
    </row>
    <row r="1486" spans="1:7">
      <c r="A1486" s="44">
        <v>168.40000000000003</v>
      </c>
      <c r="B1486" s="44">
        <v>174.42049500000005</v>
      </c>
      <c r="C1486" s="44">
        <v>165.15000000000003</v>
      </c>
      <c r="D1486" s="44">
        <v>174.25000000000003</v>
      </c>
      <c r="E1486" s="44">
        <v>163222259.99999997</v>
      </c>
      <c r="F1486" s="44" t="s">
        <v>1414</v>
      </c>
      <c r="G1486" s="25">
        <f t="shared" si="21"/>
        <v>-3.3572453371592537E-2</v>
      </c>
    </row>
    <row r="1487" spans="1:7">
      <c r="A1487" s="44">
        <v>176.57250000000002</v>
      </c>
      <c r="B1487" s="44">
        <v>177.61250000000004</v>
      </c>
      <c r="C1487" s="44">
        <v>174.33425500000004</v>
      </c>
      <c r="D1487" s="44">
        <v>177.35000000000002</v>
      </c>
      <c r="E1487" s="44">
        <v>78629519.999999985</v>
      </c>
      <c r="F1487" s="44" t="s">
        <v>1415</v>
      </c>
      <c r="G1487" s="25">
        <f t="shared" si="21"/>
        <v>-4.3839864674373175E-3</v>
      </c>
    </row>
    <row r="1488" spans="1:7">
      <c r="A1488" s="44">
        <v>174.95600500000003</v>
      </c>
      <c r="B1488" s="44">
        <v>175.69350500000004</v>
      </c>
      <c r="C1488" s="44">
        <v>173.35000000000002</v>
      </c>
      <c r="D1488" s="44">
        <v>174.47900500000003</v>
      </c>
      <c r="E1488" s="44">
        <v>69528139.999999985</v>
      </c>
      <c r="F1488" s="44" t="s">
        <v>1416</v>
      </c>
      <c r="G1488" s="25">
        <f t="shared" si="21"/>
        <v>2.7338532793672599E-3</v>
      </c>
    </row>
    <row r="1489" spans="1:7">
      <c r="A1489" s="44">
        <v>172.54800000000003</v>
      </c>
      <c r="B1489" s="44">
        <v>174.75000000000003</v>
      </c>
      <c r="C1489" s="44">
        <v>170.25000000000003</v>
      </c>
      <c r="D1489" s="44">
        <v>170.44950000000003</v>
      </c>
      <c r="E1489" s="44">
        <v>83717699.999999985</v>
      </c>
      <c r="F1489" s="44" t="s">
        <v>1417</v>
      </c>
      <c r="G1489" s="25">
        <f t="shared" si="21"/>
        <v>1.2311564422306853E-2</v>
      </c>
    </row>
    <row r="1490" spans="1:7">
      <c r="A1490" s="44">
        <v>170.09000000000003</v>
      </c>
      <c r="B1490" s="44">
        <v>171.66849500000004</v>
      </c>
      <c r="C1490" s="44">
        <v>169.32500000000005</v>
      </c>
      <c r="D1490" s="44">
        <v>171.15000000000003</v>
      </c>
      <c r="E1490" s="44">
        <v>57939559.999999985</v>
      </c>
      <c r="F1490" s="44" t="s">
        <v>1418</v>
      </c>
      <c r="G1490" s="25">
        <f t="shared" si="21"/>
        <v>-6.1933976044405981E-3</v>
      </c>
    </row>
    <row r="1491" spans="1:7">
      <c r="A1491" s="44">
        <v>170.00000000000003</v>
      </c>
      <c r="B1491" s="44">
        <v>172.65000000000003</v>
      </c>
      <c r="C1491" s="44">
        <v>168.90000000000003</v>
      </c>
      <c r="D1491" s="44">
        <v>172.50250000000005</v>
      </c>
      <c r="E1491" s="44">
        <v>85295899.999999985</v>
      </c>
      <c r="F1491" s="44" t="s">
        <v>1419</v>
      </c>
      <c r="G1491" s="25">
        <f t="shared" si="21"/>
        <v>-1.4507036129911333E-2</v>
      </c>
    </row>
    <row r="1492" spans="1:7">
      <c r="A1492" s="44">
        <v>172.09250500000005</v>
      </c>
      <c r="B1492" s="44">
        <v>172.58694000000003</v>
      </c>
      <c r="C1492" s="44">
        <v>167.22837000000004</v>
      </c>
      <c r="D1492" s="44">
        <v>167.55550500000004</v>
      </c>
      <c r="E1492" s="44">
        <v>130174859.99999997</v>
      </c>
      <c r="F1492" s="44" t="s">
        <v>1420</v>
      </c>
      <c r="G1492" s="25">
        <f t="shared" si="21"/>
        <v>2.7077594376860414E-2</v>
      </c>
    </row>
    <row r="1493" spans="1:7">
      <c r="A1493" s="44">
        <v>167.32450000000003</v>
      </c>
      <c r="B1493" s="44">
        <v>167.86999500000002</v>
      </c>
      <c r="C1493" s="44">
        <v>163.35000000000002</v>
      </c>
      <c r="D1493" s="44">
        <v>164.74950000000001</v>
      </c>
      <c r="E1493" s="44">
        <v>79856839.999999985</v>
      </c>
      <c r="F1493" s="44" t="s">
        <v>1421</v>
      </c>
      <c r="G1493" s="25">
        <f t="shared" si="21"/>
        <v>1.562978946825333E-2</v>
      </c>
    </row>
    <row r="1494" spans="1:7">
      <c r="A1494" s="44">
        <v>165.37300000000005</v>
      </c>
      <c r="B1494" s="44">
        <v>169.01574500000004</v>
      </c>
      <c r="C1494" s="44">
        <v>162.87804000000006</v>
      </c>
      <c r="D1494" s="44">
        <v>165.50749500000003</v>
      </c>
      <c r="E1494" s="44">
        <v>93325159.999999985</v>
      </c>
      <c r="F1494" s="44" t="s">
        <v>1422</v>
      </c>
      <c r="G1494" s="25">
        <f t="shared" si="21"/>
        <v>-8.1262180906060966E-4</v>
      </c>
    </row>
    <row r="1495" spans="1:7">
      <c r="A1495" s="44">
        <v>164.23600000000002</v>
      </c>
      <c r="B1495" s="44">
        <v>165.71981000000005</v>
      </c>
      <c r="C1495" s="44">
        <v>163.76949500000003</v>
      </c>
      <c r="D1495" s="44">
        <v>164.75000000000003</v>
      </c>
      <c r="E1495" s="44">
        <v>71517239.999999985</v>
      </c>
      <c r="F1495" s="44" t="s">
        <v>1423</v>
      </c>
      <c r="G1495" s="25">
        <f t="shared" si="21"/>
        <v>-3.1198786039454696E-3</v>
      </c>
    </row>
    <row r="1496" spans="1:7">
      <c r="A1496" s="44">
        <v>164.86850500000003</v>
      </c>
      <c r="B1496" s="44">
        <v>165.63100500000004</v>
      </c>
      <c r="C1496" s="44">
        <v>161.90000000000003</v>
      </c>
      <c r="D1496" s="44">
        <v>162.60000000000002</v>
      </c>
      <c r="E1496" s="44">
        <v>66649559.999999985</v>
      </c>
      <c r="F1496" s="44" t="s">
        <v>1424</v>
      </c>
      <c r="G1496" s="25">
        <f t="shared" si="21"/>
        <v>1.3951445264452689E-2</v>
      </c>
    </row>
    <row r="1497" spans="1:7">
      <c r="A1497" s="44">
        <v>163.02400000000003</v>
      </c>
      <c r="B1497" s="44">
        <v>165.79499500000003</v>
      </c>
      <c r="C1497" s="44">
        <v>162.80000000000004</v>
      </c>
      <c r="D1497" s="44">
        <v>165.15050000000005</v>
      </c>
      <c r="E1497" s="44">
        <v>83702739.999999985</v>
      </c>
      <c r="F1497" s="44" t="s">
        <v>1425</v>
      </c>
      <c r="G1497" s="25">
        <f>A1497/D1497-1</f>
        <v>-1.2876134192751576E-2</v>
      </c>
    </row>
    <row r="1498" spans="1:7">
      <c r="G1498" s="25"/>
    </row>
    <row r="1499" spans="1:7">
      <c r="G1499" s="25"/>
    </row>
    <row r="1500" spans="1:7">
      <c r="G1500" s="25"/>
    </row>
    <row r="1501" spans="1:7">
      <c r="G1501" s="25"/>
    </row>
    <row r="1502" spans="1:7">
      <c r="G1502" s="25"/>
    </row>
    <row r="1503" spans="1:7">
      <c r="G1503" s="25"/>
    </row>
    <row r="1504" spans="1:7">
      <c r="G1504" s="25"/>
    </row>
    <row r="1505" spans="7:7">
      <c r="G1505" s="25"/>
    </row>
    <row r="1506" spans="7:7">
      <c r="G1506" s="25"/>
    </row>
    <row r="1507" spans="7:7">
      <c r="G1507" s="25"/>
    </row>
    <row r="1508" spans="7:7">
      <c r="G1508" s="25"/>
    </row>
    <row r="1509" spans="7:7">
      <c r="G1509" s="25"/>
    </row>
    <row r="1510" spans="7:7">
      <c r="G1510" s="25"/>
    </row>
    <row r="1511" spans="7:7">
      <c r="G1511" s="25"/>
    </row>
    <row r="1512" spans="7:7">
      <c r="G1512" s="25"/>
    </row>
    <row r="1513" spans="7:7">
      <c r="G1513" s="25"/>
    </row>
    <row r="1514" spans="7:7">
      <c r="G1514" s="25"/>
    </row>
    <row r="1515" spans="7:7">
      <c r="G1515" s="25"/>
    </row>
    <row r="1516" spans="7:7">
      <c r="G1516" s="25"/>
    </row>
    <row r="1517" spans="7:7">
      <c r="G1517" s="25"/>
    </row>
    <row r="1518" spans="7:7">
      <c r="G1518" s="25"/>
    </row>
    <row r="1519" spans="7:7">
      <c r="G1519" s="25"/>
    </row>
    <row r="1520" spans="7:7">
      <c r="G1520" s="25"/>
    </row>
    <row r="1521" spans="7:7">
      <c r="G1521" s="25"/>
    </row>
    <row r="1522" spans="7:7">
      <c r="G1522" s="25"/>
    </row>
    <row r="1523" spans="7:7">
      <c r="G1523" s="25"/>
    </row>
    <row r="1524" spans="7:7">
      <c r="G1524" s="25"/>
    </row>
    <row r="1525" spans="7:7">
      <c r="G1525" s="25"/>
    </row>
    <row r="1526" spans="7:7">
      <c r="G1526" s="25"/>
    </row>
    <row r="1527" spans="7:7">
      <c r="G1527" s="25"/>
    </row>
    <row r="1528" spans="7:7">
      <c r="G1528" s="25"/>
    </row>
    <row r="1529" spans="7:7">
      <c r="G1529" s="25"/>
    </row>
    <row r="1530" spans="7:7">
      <c r="G1530" s="25"/>
    </row>
    <row r="1531" spans="7:7">
      <c r="G1531" s="25"/>
    </row>
    <row r="1532" spans="7:7">
      <c r="G1532" s="25"/>
    </row>
    <row r="1533" spans="7:7">
      <c r="G1533" s="25"/>
    </row>
    <row r="1534" spans="7:7">
      <c r="G1534" s="25"/>
    </row>
    <row r="1535" spans="7:7">
      <c r="G1535" s="25"/>
    </row>
    <row r="1536" spans="7:7">
      <c r="G1536" s="25"/>
    </row>
    <row r="1537" spans="7:7">
      <c r="G1537" s="25"/>
    </row>
    <row r="1538" spans="7:7">
      <c r="G1538" s="25"/>
    </row>
    <row r="1539" spans="7:7">
      <c r="G1539" s="25"/>
    </row>
    <row r="1540" spans="7:7">
      <c r="G1540" s="25"/>
    </row>
    <row r="1541" spans="7:7">
      <c r="G1541" s="25"/>
    </row>
    <row r="1542" spans="7:7">
      <c r="G1542" s="25"/>
    </row>
    <row r="1543" spans="7:7">
      <c r="G1543" s="25"/>
    </row>
    <row r="1544" spans="7:7">
      <c r="G1544" s="25"/>
    </row>
    <row r="1545" spans="7:7">
      <c r="G1545" s="25"/>
    </row>
    <row r="1546" spans="7:7">
      <c r="G1546" s="25"/>
    </row>
    <row r="1547" spans="7:7">
      <c r="G1547" s="25"/>
    </row>
    <row r="1548" spans="7:7">
      <c r="G1548" s="25"/>
    </row>
    <row r="1549" spans="7:7">
      <c r="G1549" s="25"/>
    </row>
    <row r="1550" spans="7:7">
      <c r="G1550" s="25"/>
    </row>
    <row r="1551" spans="7:7">
      <c r="G1551" s="25"/>
    </row>
    <row r="1552" spans="7:7">
      <c r="G1552" s="25"/>
    </row>
    <row r="1553" spans="7:7">
      <c r="G1553" s="25"/>
    </row>
    <row r="1554" spans="7:7">
      <c r="G1554" s="25"/>
    </row>
    <row r="1555" spans="7:7">
      <c r="G1555" s="25"/>
    </row>
    <row r="1556" spans="7:7">
      <c r="G1556" s="25"/>
    </row>
    <row r="1557" spans="7:7">
      <c r="G1557" s="25"/>
    </row>
    <row r="1558" spans="7:7">
      <c r="G1558" s="25"/>
    </row>
    <row r="1559" spans="7:7">
      <c r="G1559" s="25"/>
    </row>
    <row r="1560" spans="7:7">
      <c r="G1560" s="25"/>
    </row>
    <row r="1561" spans="7:7">
      <c r="G1561" s="25"/>
    </row>
    <row r="1562" spans="7:7">
      <c r="G1562" s="25"/>
    </row>
    <row r="1563" spans="7:7">
      <c r="G1563" s="25"/>
    </row>
    <row r="1564" spans="7:7">
      <c r="G1564" s="25"/>
    </row>
    <row r="1565" spans="7:7">
      <c r="G1565" s="25"/>
    </row>
    <row r="1566" spans="7:7">
      <c r="G1566" s="25"/>
    </row>
    <row r="1567" spans="7:7">
      <c r="G1567" s="25"/>
    </row>
    <row r="1568" spans="7:7">
      <c r="G1568" s="25"/>
    </row>
    <row r="1569" spans="7:7">
      <c r="G1569" s="25"/>
    </row>
    <row r="1570" spans="7:7">
      <c r="G1570" s="25"/>
    </row>
    <row r="1571" spans="7:7">
      <c r="G1571" s="25"/>
    </row>
    <row r="1572" spans="7:7">
      <c r="G1572" s="25"/>
    </row>
    <row r="1573" spans="7:7">
      <c r="G1573" s="25"/>
    </row>
    <row r="1574" spans="7:7">
      <c r="G1574" s="25"/>
    </row>
    <row r="1575" spans="7:7">
      <c r="G1575" s="25"/>
    </row>
    <row r="1576" spans="7:7">
      <c r="G1576" s="25"/>
    </row>
    <row r="1577" spans="7:7">
      <c r="G1577" s="25"/>
    </row>
    <row r="1578" spans="7:7">
      <c r="G1578" s="25"/>
    </row>
    <row r="1579" spans="7:7">
      <c r="G1579" s="25"/>
    </row>
    <row r="1580" spans="7:7">
      <c r="G1580" s="25"/>
    </row>
    <row r="1581" spans="7:7">
      <c r="G1581" s="25"/>
    </row>
    <row r="1582" spans="7:7">
      <c r="G1582" s="25"/>
    </row>
    <row r="1583" spans="7:7">
      <c r="G1583" s="25"/>
    </row>
    <row r="1584" spans="7:7">
      <c r="G1584" s="25"/>
    </row>
    <row r="1585" spans="7:7">
      <c r="G1585" s="25"/>
    </row>
    <row r="1586" spans="7:7">
      <c r="G1586" s="25"/>
    </row>
    <row r="1587" spans="7:7">
      <c r="G1587" s="25"/>
    </row>
    <row r="1588" spans="7:7">
      <c r="G1588" s="25"/>
    </row>
    <row r="1589" spans="7:7">
      <c r="G1589" s="25"/>
    </row>
    <row r="1590" spans="7:7">
      <c r="G1590" s="25"/>
    </row>
    <row r="1591" spans="7:7">
      <c r="G1591" s="25"/>
    </row>
    <row r="1592" spans="7:7">
      <c r="G1592" s="25"/>
    </row>
    <row r="1593" spans="7:7">
      <c r="G1593" s="25"/>
    </row>
    <row r="1594" spans="7:7">
      <c r="G1594" s="25"/>
    </row>
    <row r="1595" spans="7:7">
      <c r="G1595" s="25"/>
    </row>
    <row r="1596" spans="7:7">
      <c r="G1596" s="25"/>
    </row>
    <row r="1597" spans="7:7">
      <c r="G1597" s="25"/>
    </row>
    <row r="1598" spans="7:7">
      <c r="G1598" s="25"/>
    </row>
    <row r="1599" spans="7:7">
      <c r="G1599" s="25"/>
    </row>
    <row r="1600" spans="7:7">
      <c r="G1600" s="25"/>
    </row>
    <row r="1601" spans="7:7">
      <c r="G1601" s="25"/>
    </row>
    <row r="1602" spans="7:7">
      <c r="G1602" s="25"/>
    </row>
    <row r="1603" spans="7:7">
      <c r="G1603" s="25"/>
    </row>
    <row r="1604" spans="7:7">
      <c r="G1604" s="25"/>
    </row>
    <row r="1605" spans="7:7">
      <c r="G1605" s="25"/>
    </row>
    <row r="1606" spans="7:7">
      <c r="G1606" s="25"/>
    </row>
    <row r="1607" spans="7:7">
      <c r="G1607" s="25"/>
    </row>
    <row r="1608" spans="7:7">
      <c r="G1608" s="25"/>
    </row>
    <row r="1609" spans="7:7">
      <c r="G1609" s="25"/>
    </row>
    <row r="1610" spans="7:7">
      <c r="G1610" s="25"/>
    </row>
    <row r="1611" spans="7:7">
      <c r="G1611" s="25"/>
    </row>
    <row r="1612" spans="7:7">
      <c r="G1612" s="25"/>
    </row>
    <row r="1613" spans="7:7">
      <c r="G1613" s="25"/>
    </row>
  </sheetData>
  <sortState xmlns:xlrd2="http://schemas.microsoft.com/office/spreadsheetml/2017/richdata2" ref="I210:I260">
    <sortCondition ref="I210"/>
  </sortState>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63948-7FD9-4D33-AAA7-BDE5D55568DA}">
  <dimension ref="A1"/>
  <sheetViews>
    <sheetView workbookViewId="0">
      <selection activeCell="I29" sqref="I29"/>
    </sheetView>
  </sheetViews>
  <sheetFormatPr defaultColWidth="9.140625" defaultRowHeight="14.25"/>
  <cols>
    <col min="1" max="1" width="3" style="1" customWidth="1"/>
    <col min="2" max="16384" width="9.140625" style="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B49D2-8FCE-44AA-BF1B-9BD0EBBDB1A2}">
  <dimension ref="B2:L238"/>
  <sheetViews>
    <sheetView workbookViewId="0">
      <selection activeCell="L5" sqref="L5"/>
    </sheetView>
  </sheetViews>
  <sheetFormatPr defaultRowHeight="14.25"/>
  <cols>
    <col min="1" max="1" width="3.28515625" style="1" customWidth="1"/>
    <col min="2" max="2" width="52.28515625" style="1" customWidth="1"/>
    <col min="3" max="3" width="53.140625" style="1" customWidth="1"/>
    <col min="4" max="4" width="15.42578125" style="1" customWidth="1"/>
    <col min="5" max="5" width="39.5703125" style="1" customWidth="1"/>
    <col min="6" max="6" width="22" style="1" customWidth="1"/>
    <col min="7" max="7" width="3.28515625" style="1" customWidth="1"/>
    <col min="8" max="8" width="30" style="1" bestFit="1" customWidth="1"/>
    <col min="9" max="9" width="32" style="1" bestFit="1" customWidth="1"/>
    <col min="10" max="10" width="13.42578125" style="1" bestFit="1" customWidth="1"/>
    <col min="11" max="11" width="30.7109375" style="1" bestFit="1" customWidth="1"/>
    <col min="12" max="12" width="27" style="1" bestFit="1" customWidth="1"/>
    <col min="13" max="16384" width="9.140625" style="1"/>
  </cols>
  <sheetData>
    <row r="2" spans="2:12" ht="30" customHeight="1">
      <c r="B2" s="51" t="s">
        <v>1566</v>
      </c>
      <c r="H2" s="52" t="s">
        <v>1567</v>
      </c>
      <c r="I2"/>
      <c r="J2"/>
      <c r="K2"/>
      <c r="L2"/>
    </row>
    <row r="4" spans="2:12" ht="15">
      <c r="B4" s="48" t="s">
        <v>1428</v>
      </c>
      <c r="C4" s="48" t="s">
        <v>1429</v>
      </c>
      <c r="D4" s="3" t="s">
        <v>1430</v>
      </c>
      <c r="E4" s="49" t="s">
        <v>1431</v>
      </c>
      <c r="F4" s="50" t="s">
        <v>1432</v>
      </c>
      <c r="H4" s="48" t="s">
        <v>1428</v>
      </c>
      <c r="I4" s="48" t="s">
        <v>1429</v>
      </c>
      <c r="J4" s="3" t="s">
        <v>1430</v>
      </c>
      <c r="K4" s="49" t="s">
        <v>1431</v>
      </c>
      <c r="L4" s="50" t="s">
        <v>1432</v>
      </c>
    </row>
    <row r="5" spans="2:12" ht="15" customHeight="1">
      <c r="B5" t="s">
        <v>1434</v>
      </c>
      <c r="C5" t="s">
        <v>1600</v>
      </c>
      <c r="D5" s="55" t="s">
        <v>1678</v>
      </c>
      <c r="E5" s="57" t="s">
        <v>1435</v>
      </c>
      <c r="F5" s="53">
        <v>35912</v>
      </c>
      <c r="H5" t="s">
        <v>1568</v>
      </c>
      <c r="I5" t="s">
        <v>1767</v>
      </c>
      <c r="J5" s="55" t="s">
        <v>1596</v>
      </c>
      <c r="K5" s="57"/>
      <c r="L5" s="58">
        <v>36209</v>
      </c>
    </row>
    <row r="6" spans="2:12" ht="15">
      <c r="B6" t="s">
        <v>1436</v>
      </c>
      <c r="C6" t="s">
        <v>1601</v>
      </c>
      <c r="D6" s="56" t="s">
        <v>1803</v>
      </c>
      <c r="E6" s="57" t="s">
        <v>1437</v>
      </c>
      <c r="F6" s="53">
        <v>35912</v>
      </c>
      <c r="H6" t="s">
        <v>1569</v>
      </c>
      <c r="I6" t="s">
        <v>1768</v>
      </c>
      <c r="J6" s="56" t="s">
        <v>1802</v>
      </c>
      <c r="K6" s="57"/>
      <c r="L6" s="58">
        <v>36215</v>
      </c>
    </row>
    <row r="7" spans="2:12" ht="15">
      <c r="B7" t="s">
        <v>1438</v>
      </c>
      <c r="C7" t="s">
        <v>1602</v>
      </c>
      <c r="D7" s="55" t="s">
        <v>1678</v>
      </c>
      <c r="E7" s="57" t="s">
        <v>1642</v>
      </c>
      <c r="F7" s="53">
        <v>35912</v>
      </c>
      <c r="H7" t="s">
        <v>1570</v>
      </c>
      <c r="I7" t="s">
        <v>1571</v>
      </c>
      <c r="J7" s="55" t="s">
        <v>1599</v>
      </c>
      <c r="K7" s="57"/>
      <c r="L7" s="58">
        <v>36299</v>
      </c>
    </row>
    <row r="8" spans="2:12" ht="15.75" customHeight="1">
      <c r="B8" t="s">
        <v>1439</v>
      </c>
      <c r="C8" t="s">
        <v>1603</v>
      </c>
      <c r="D8" s="55" t="s">
        <v>1680</v>
      </c>
      <c r="E8" s="57" t="s">
        <v>1643</v>
      </c>
      <c r="F8" s="53">
        <v>36011</v>
      </c>
      <c r="H8" t="s">
        <v>1572</v>
      </c>
      <c r="I8" t="s">
        <v>1769</v>
      </c>
      <c r="J8" s="56" t="s">
        <v>1802</v>
      </c>
      <c r="K8" s="57" t="s">
        <v>1770</v>
      </c>
      <c r="L8" s="58">
        <v>36356</v>
      </c>
    </row>
    <row r="9" spans="2:12" ht="15">
      <c r="B9" t="s">
        <v>1440</v>
      </c>
      <c r="C9" t="s">
        <v>1604</v>
      </c>
      <c r="D9" s="55" t="s">
        <v>1594</v>
      </c>
      <c r="E9" s="57" t="s">
        <v>1644</v>
      </c>
      <c r="F9" s="53">
        <v>36011</v>
      </c>
      <c r="H9" t="s">
        <v>1573</v>
      </c>
      <c r="I9" t="s">
        <v>1771</v>
      </c>
      <c r="J9" s="55" t="s">
        <v>1598</v>
      </c>
      <c r="K9" s="57"/>
      <c r="L9" s="58">
        <v>36495</v>
      </c>
    </row>
    <row r="10" spans="2:12" ht="15">
      <c r="B10" t="s">
        <v>1441</v>
      </c>
      <c r="C10" t="s">
        <v>1605</v>
      </c>
      <c r="D10" s="55" t="s">
        <v>1804</v>
      </c>
      <c r="E10" s="57" t="s">
        <v>1645</v>
      </c>
      <c r="F10" s="53">
        <v>36262</v>
      </c>
      <c r="H10" t="s">
        <v>1574</v>
      </c>
      <c r="I10" t="s">
        <v>1575</v>
      </c>
      <c r="J10" s="56" t="s">
        <v>1802</v>
      </c>
      <c r="K10" s="57"/>
      <c r="L10" s="57">
        <v>1999</v>
      </c>
    </row>
    <row r="11" spans="2:12" ht="15">
      <c r="B11" t="s">
        <v>1442</v>
      </c>
      <c r="C11" t="s">
        <v>1606</v>
      </c>
      <c r="D11" s="55" t="s">
        <v>1805</v>
      </c>
      <c r="E11" s="57" t="s">
        <v>1646</v>
      </c>
      <c r="F11" s="53">
        <v>36277</v>
      </c>
      <c r="H11" t="s">
        <v>1576</v>
      </c>
      <c r="I11" t="s">
        <v>1772</v>
      </c>
      <c r="J11" s="56" t="s">
        <v>1802</v>
      </c>
      <c r="K11" s="57"/>
      <c r="L11" s="57">
        <v>1999</v>
      </c>
    </row>
    <row r="12" spans="2:12" ht="15">
      <c r="B12" t="s">
        <v>1443</v>
      </c>
      <c r="C12" t="s">
        <v>1607</v>
      </c>
      <c r="D12" s="55" t="s">
        <v>1680</v>
      </c>
      <c r="E12" s="57" t="s">
        <v>1647</v>
      </c>
      <c r="F12" s="53">
        <v>36277</v>
      </c>
      <c r="H12" t="s">
        <v>1577</v>
      </c>
      <c r="I12" t="s">
        <v>1773</v>
      </c>
      <c r="J12" s="56" t="s">
        <v>1802</v>
      </c>
      <c r="K12" s="57"/>
      <c r="L12" s="57">
        <v>1999</v>
      </c>
    </row>
    <row r="13" spans="2:12" ht="15">
      <c r="B13" t="s">
        <v>1444</v>
      </c>
      <c r="C13" t="s">
        <v>1608</v>
      </c>
      <c r="D13" s="56" t="s">
        <v>1802</v>
      </c>
      <c r="E13" s="57" t="s">
        <v>1648</v>
      </c>
      <c r="F13" s="53">
        <v>36277</v>
      </c>
      <c r="H13" t="s">
        <v>1578</v>
      </c>
      <c r="I13" t="s">
        <v>1774</v>
      </c>
      <c r="J13" s="56" t="s">
        <v>1802</v>
      </c>
      <c r="K13" s="57"/>
      <c r="L13" s="58">
        <v>36248</v>
      </c>
    </row>
    <row r="14" spans="2:12" ht="15">
      <c r="B14" t="s">
        <v>1445</v>
      </c>
      <c r="C14" t="s">
        <v>1609</v>
      </c>
      <c r="D14" s="55" t="s">
        <v>1679</v>
      </c>
      <c r="E14" s="57" t="s">
        <v>1649</v>
      </c>
      <c r="F14" s="53">
        <v>36437</v>
      </c>
      <c r="H14" t="s">
        <v>1579</v>
      </c>
      <c r="I14" t="s">
        <v>1580</v>
      </c>
      <c r="J14" s="55" t="s">
        <v>1596</v>
      </c>
      <c r="K14" s="57"/>
      <c r="L14" s="58">
        <v>36559</v>
      </c>
    </row>
    <row r="15" spans="2:12" ht="15">
      <c r="B15" t="s">
        <v>1650</v>
      </c>
      <c r="C15" t="s">
        <v>1610</v>
      </c>
      <c r="D15" s="56" t="s">
        <v>1802</v>
      </c>
      <c r="E15" s="57" t="s">
        <v>1651</v>
      </c>
      <c r="F15" s="53">
        <v>36473</v>
      </c>
      <c r="H15" t="s">
        <v>1581</v>
      </c>
      <c r="I15" t="s">
        <v>1775</v>
      </c>
      <c r="J15" s="55" t="s">
        <v>1597</v>
      </c>
      <c r="K15" s="57"/>
      <c r="L15" s="58">
        <v>36613</v>
      </c>
    </row>
    <row r="16" spans="2:12" ht="15">
      <c r="B16" t="s">
        <v>1446</v>
      </c>
      <c r="C16" t="s">
        <v>1611</v>
      </c>
      <c r="D16" s="56" t="s">
        <v>1802</v>
      </c>
      <c r="E16" s="57" t="s">
        <v>1652</v>
      </c>
      <c r="F16" s="53">
        <v>36494</v>
      </c>
      <c r="H16" t="s">
        <v>1582</v>
      </c>
      <c r="I16" t="s">
        <v>1776</v>
      </c>
      <c r="J16" s="56" t="s">
        <v>1802</v>
      </c>
      <c r="K16" s="57"/>
      <c r="L16" s="57">
        <v>2000</v>
      </c>
    </row>
    <row r="17" spans="2:12" ht="15">
      <c r="B17" t="s">
        <v>1447</v>
      </c>
      <c r="C17" t="s">
        <v>1612</v>
      </c>
      <c r="D17" s="56" t="s">
        <v>1802</v>
      </c>
      <c r="E17" s="57" t="s">
        <v>1653</v>
      </c>
      <c r="F17" s="53">
        <v>36525</v>
      </c>
      <c r="H17" t="s">
        <v>1583</v>
      </c>
      <c r="I17" t="s">
        <v>1584</v>
      </c>
      <c r="J17" s="56" t="s">
        <v>1802</v>
      </c>
      <c r="K17" s="57"/>
      <c r="L17" s="57">
        <v>2000</v>
      </c>
    </row>
    <row r="18" spans="2:12" ht="15">
      <c r="B18" t="s">
        <v>1448</v>
      </c>
      <c r="C18" t="s">
        <v>1613</v>
      </c>
      <c r="D18" s="56" t="s">
        <v>1802</v>
      </c>
      <c r="E18" s="57" t="s">
        <v>1654</v>
      </c>
      <c r="F18">
        <v>1999</v>
      </c>
      <c r="H18" t="s">
        <v>1585</v>
      </c>
      <c r="I18" t="s">
        <v>1777</v>
      </c>
      <c r="J18" s="55" t="s">
        <v>1596</v>
      </c>
      <c r="K18" s="57"/>
      <c r="L18" s="57">
        <v>2001</v>
      </c>
    </row>
    <row r="19" spans="2:12" ht="15">
      <c r="B19" t="s">
        <v>1449</v>
      </c>
      <c r="C19" t="s">
        <v>1614</v>
      </c>
      <c r="D19" s="55" t="s">
        <v>1806</v>
      </c>
      <c r="E19" s="57" t="s">
        <v>1655</v>
      </c>
      <c r="F19" s="53">
        <v>37230</v>
      </c>
      <c r="H19" t="s">
        <v>1586</v>
      </c>
      <c r="I19" t="s">
        <v>1778</v>
      </c>
      <c r="J19" s="56" t="s">
        <v>1802</v>
      </c>
      <c r="K19" s="57" t="s">
        <v>1779</v>
      </c>
      <c r="L19" s="57">
        <v>2001</v>
      </c>
    </row>
    <row r="20" spans="2:12" ht="15">
      <c r="B20" t="s">
        <v>1450</v>
      </c>
      <c r="C20" t="s">
        <v>1615</v>
      </c>
      <c r="D20" s="56" t="s">
        <v>1802</v>
      </c>
      <c r="E20" s="57" t="s">
        <v>1656</v>
      </c>
      <c r="F20" s="54">
        <v>37226</v>
      </c>
      <c r="H20" t="s">
        <v>1477</v>
      </c>
      <c r="I20" t="s">
        <v>1780</v>
      </c>
      <c r="J20" s="56" t="s">
        <v>1802</v>
      </c>
      <c r="K20" s="57" t="s">
        <v>1781</v>
      </c>
      <c r="L20" s="58">
        <v>39301</v>
      </c>
    </row>
    <row r="21" spans="2:12" ht="15">
      <c r="B21" t="s">
        <v>1451</v>
      </c>
      <c r="C21" t="s">
        <v>1616</v>
      </c>
      <c r="D21" s="55" t="s">
        <v>1807</v>
      </c>
      <c r="E21" s="57" t="s">
        <v>1452</v>
      </c>
      <c r="F21" s="53">
        <v>38218</v>
      </c>
      <c r="H21" t="s">
        <v>1587</v>
      </c>
      <c r="I21" t="s">
        <v>1782</v>
      </c>
      <c r="J21" s="55" t="s">
        <v>1595</v>
      </c>
      <c r="K21" s="57" t="s">
        <v>1783</v>
      </c>
      <c r="L21" s="57" t="s">
        <v>1784</v>
      </c>
    </row>
    <row r="22" spans="2:12" ht="15">
      <c r="B22" t="s">
        <v>1453</v>
      </c>
      <c r="C22" t="s">
        <v>1617</v>
      </c>
      <c r="D22" s="56" t="s">
        <v>1802</v>
      </c>
      <c r="E22" s="57" t="s">
        <v>1657</v>
      </c>
      <c r="F22" s="53">
        <v>38446</v>
      </c>
      <c r="H22" t="s">
        <v>1785</v>
      </c>
      <c r="I22" t="s">
        <v>1588</v>
      </c>
      <c r="J22" s="56" t="s">
        <v>1802</v>
      </c>
      <c r="K22" s="57"/>
      <c r="L22" s="58">
        <v>43153</v>
      </c>
    </row>
    <row r="23" spans="2:12" ht="15">
      <c r="B23" t="s">
        <v>1455</v>
      </c>
      <c r="C23" t="s">
        <v>1618</v>
      </c>
      <c r="D23" s="56" t="s">
        <v>1802</v>
      </c>
      <c r="E23" s="57" t="s">
        <v>1658</v>
      </c>
      <c r="F23" s="53">
        <v>38463</v>
      </c>
      <c r="H23" t="s">
        <v>1589</v>
      </c>
      <c r="I23" t="s">
        <v>1786</v>
      </c>
      <c r="J23" s="56" t="s">
        <v>1802</v>
      </c>
      <c r="K23" s="57"/>
      <c r="L23" s="58">
        <v>43223</v>
      </c>
    </row>
    <row r="24" spans="2:12" ht="15">
      <c r="B24" t="s">
        <v>1456</v>
      </c>
      <c r="C24" t="s">
        <v>1619</v>
      </c>
      <c r="D24" s="56" t="s">
        <v>1802</v>
      </c>
      <c r="E24" s="57" t="s">
        <v>1454</v>
      </c>
      <c r="F24" s="53">
        <v>38539</v>
      </c>
      <c r="H24" t="s">
        <v>1427</v>
      </c>
      <c r="I24" t="s">
        <v>1787</v>
      </c>
      <c r="J24" s="55" t="s">
        <v>1594</v>
      </c>
      <c r="K24" s="57" t="s">
        <v>1788</v>
      </c>
      <c r="L24" s="58">
        <v>43363</v>
      </c>
    </row>
    <row r="25" spans="2:12" ht="15">
      <c r="B25" t="s">
        <v>1457</v>
      </c>
      <c r="C25" t="s">
        <v>1620</v>
      </c>
      <c r="D25" s="56" t="s">
        <v>1802</v>
      </c>
      <c r="E25" s="57" t="s">
        <v>1458</v>
      </c>
      <c r="F25">
        <v>2005</v>
      </c>
      <c r="H25" t="s">
        <v>1590</v>
      </c>
      <c r="I25" t="s">
        <v>1789</v>
      </c>
      <c r="J25" s="56" t="s">
        <v>1802</v>
      </c>
      <c r="K25" s="57" t="s">
        <v>1500</v>
      </c>
      <c r="L25" s="58">
        <v>43390</v>
      </c>
    </row>
    <row r="26" spans="2:12" ht="15">
      <c r="B26" t="s">
        <v>1459</v>
      </c>
      <c r="C26" t="s">
        <v>1621</v>
      </c>
      <c r="D26" s="56" t="s">
        <v>1802</v>
      </c>
      <c r="E26" s="57" t="s">
        <v>1659</v>
      </c>
      <c r="F26" s="53">
        <v>38775</v>
      </c>
      <c r="H26" t="s">
        <v>1591</v>
      </c>
      <c r="I26" t="s">
        <v>1790</v>
      </c>
      <c r="J26" s="56" t="s">
        <v>1802</v>
      </c>
      <c r="K26" s="57" t="s">
        <v>1791</v>
      </c>
      <c r="L26" s="57" t="s">
        <v>1792</v>
      </c>
    </row>
    <row r="27" spans="2:12" ht="15">
      <c r="B27" t="s">
        <v>1460</v>
      </c>
      <c r="C27" t="s">
        <v>1622</v>
      </c>
      <c r="D27" s="55" t="s">
        <v>1808</v>
      </c>
      <c r="E27" s="57" t="s">
        <v>1461</v>
      </c>
      <c r="F27" s="53">
        <v>38991</v>
      </c>
      <c r="H27" t="s">
        <v>1592</v>
      </c>
      <c r="I27" t="s">
        <v>1793</v>
      </c>
      <c r="J27" s="56" t="s">
        <v>1802</v>
      </c>
      <c r="K27" s="57"/>
      <c r="L27" s="57" t="s">
        <v>1794</v>
      </c>
    </row>
    <row r="28" spans="2:12" ht="15">
      <c r="B28" t="s">
        <v>1462</v>
      </c>
      <c r="C28" t="s">
        <v>1623</v>
      </c>
      <c r="D28" s="56" t="s">
        <v>1802</v>
      </c>
      <c r="E28" s="57" t="s">
        <v>1660</v>
      </c>
      <c r="F28" s="53">
        <v>39216</v>
      </c>
      <c r="H28" t="s">
        <v>1593</v>
      </c>
      <c r="I28" t="s">
        <v>1795</v>
      </c>
      <c r="J28" s="56" t="s">
        <v>1829</v>
      </c>
      <c r="K28" s="57" t="s">
        <v>1796</v>
      </c>
      <c r="L28" s="57" t="s">
        <v>1797</v>
      </c>
    </row>
    <row r="29" spans="2:12" ht="15">
      <c r="B29" t="s">
        <v>1463</v>
      </c>
      <c r="C29" t="s">
        <v>1624</v>
      </c>
      <c r="D29" s="56" t="s">
        <v>1802</v>
      </c>
      <c r="E29" s="57" t="s">
        <v>1661</v>
      </c>
      <c r="F29" s="53">
        <v>39225</v>
      </c>
      <c r="H29"/>
      <c r="I29"/>
      <c r="J29"/>
      <c r="K29"/>
      <c r="L29"/>
    </row>
    <row r="30" spans="2:12" ht="15">
      <c r="B30" t="s">
        <v>1464</v>
      </c>
      <c r="C30" t="s">
        <v>1625</v>
      </c>
      <c r="D30" s="56" t="s">
        <v>1802</v>
      </c>
      <c r="E30" s="57" t="s">
        <v>1662</v>
      </c>
      <c r="F30" s="53">
        <v>39463</v>
      </c>
      <c r="H30"/>
      <c r="I30"/>
      <c r="J30"/>
      <c r="K30"/>
      <c r="L30"/>
    </row>
    <row r="31" spans="2:12" ht="15">
      <c r="B31" t="s">
        <v>1465</v>
      </c>
      <c r="C31" t="s">
        <v>1626</v>
      </c>
      <c r="D31" s="55" t="s">
        <v>1804</v>
      </c>
      <c r="E31" s="57" t="s">
        <v>1663</v>
      </c>
      <c r="F31" s="53">
        <v>39475</v>
      </c>
      <c r="H31"/>
      <c r="I31"/>
      <c r="J31"/>
      <c r="K31"/>
      <c r="L31"/>
    </row>
    <row r="32" spans="2:12" ht="15">
      <c r="B32" t="s">
        <v>1466</v>
      </c>
      <c r="C32" t="s">
        <v>1627</v>
      </c>
      <c r="D32" s="56" t="s">
        <v>1802</v>
      </c>
      <c r="E32" s="57" t="s">
        <v>1664</v>
      </c>
      <c r="F32" s="53">
        <v>39624</v>
      </c>
    </row>
    <row r="33" spans="2:6" ht="15">
      <c r="B33" t="s">
        <v>1467</v>
      </c>
      <c r="C33" t="s">
        <v>1628</v>
      </c>
      <c r="D33" s="56" t="s">
        <v>1802</v>
      </c>
      <c r="E33" s="57" t="s">
        <v>1665</v>
      </c>
      <c r="F33" s="53">
        <v>39661</v>
      </c>
    </row>
    <row r="34" spans="2:6" ht="15">
      <c r="B34" t="s">
        <v>1468</v>
      </c>
      <c r="C34" t="s">
        <v>1629</v>
      </c>
      <c r="D34" s="56" t="s">
        <v>1802</v>
      </c>
      <c r="E34" s="57" t="s">
        <v>1666</v>
      </c>
      <c r="F34" s="53">
        <v>39686</v>
      </c>
    </row>
    <row r="35" spans="2:6" ht="15">
      <c r="B35" t="s">
        <v>1470</v>
      </c>
      <c r="C35" t="s">
        <v>1630</v>
      </c>
      <c r="D35" s="56" t="s">
        <v>1802</v>
      </c>
      <c r="E35" s="57" t="s">
        <v>1667</v>
      </c>
      <c r="F35" s="53">
        <v>39742</v>
      </c>
    </row>
    <row r="36" spans="2:6" ht="15">
      <c r="B36" t="s">
        <v>1471</v>
      </c>
      <c r="C36" t="s">
        <v>1631</v>
      </c>
      <c r="D36" s="56" t="s">
        <v>1802</v>
      </c>
      <c r="E36" s="57" t="s">
        <v>1668</v>
      </c>
      <c r="F36" s="53">
        <v>39799</v>
      </c>
    </row>
    <row r="37" spans="2:6" ht="15">
      <c r="B37" t="s">
        <v>1472</v>
      </c>
      <c r="C37" t="s">
        <v>1632</v>
      </c>
      <c r="D37" s="56" t="s">
        <v>1802</v>
      </c>
      <c r="E37" s="57" t="s">
        <v>1669</v>
      </c>
      <c r="F37" s="53">
        <v>39930</v>
      </c>
    </row>
    <row r="38" spans="2:6" ht="15">
      <c r="B38" t="s">
        <v>1473</v>
      </c>
      <c r="C38" t="s">
        <v>1633</v>
      </c>
      <c r="D38" s="56" t="s">
        <v>1802</v>
      </c>
      <c r="E38" s="57" t="s">
        <v>1670</v>
      </c>
      <c r="F38" s="53">
        <v>39982</v>
      </c>
    </row>
    <row r="39" spans="2:6" ht="15">
      <c r="B39" t="s">
        <v>1474</v>
      </c>
      <c r="C39" t="s">
        <v>1634</v>
      </c>
      <c r="D39" s="55" t="s">
        <v>1798</v>
      </c>
      <c r="E39" s="57" t="s">
        <v>1671</v>
      </c>
      <c r="F39" s="53">
        <v>40119</v>
      </c>
    </row>
    <row r="40" spans="2:6" ht="15">
      <c r="B40" t="s">
        <v>1475</v>
      </c>
      <c r="C40" t="s">
        <v>1635</v>
      </c>
      <c r="D40" s="56" t="s">
        <v>1802</v>
      </c>
      <c r="E40" s="57" t="s">
        <v>1672</v>
      </c>
      <c r="F40" s="53">
        <v>40212</v>
      </c>
    </row>
    <row r="41" spans="2:6" ht="15">
      <c r="B41" t="s">
        <v>1476</v>
      </c>
      <c r="C41" t="s">
        <v>1636</v>
      </c>
      <c r="D41" s="55" t="s">
        <v>1809</v>
      </c>
      <c r="E41" s="57" t="s">
        <v>1673</v>
      </c>
      <c r="F41" s="53">
        <v>40361</v>
      </c>
    </row>
    <row r="42" spans="2:6" ht="15">
      <c r="B42" t="s">
        <v>1477</v>
      </c>
      <c r="C42" t="s">
        <v>1637</v>
      </c>
      <c r="D42" s="56" t="s">
        <v>1802</v>
      </c>
      <c r="E42" s="57" t="s">
        <v>1674</v>
      </c>
      <c r="F42" s="53">
        <v>40429</v>
      </c>
    </row>
    <row r="43" spans="2:6" ht="15">
      <c r="B43" t="s">
        <v>1478</v>
      </c>
      <c r="C43" t="s">
        <v>1638</v>
      </c>
      <c r="D43" s="55" t="s">
        <v>1810</v>
      </c>
      <c r="E43" s="57" t="s">
        <v>1675</v>
      </c>
      <c r="F43" s="53">
        <v>40455</v>
      </c>
    </row>
    <row r="44" spans="2:6" ht="15">
      <c r="B44" t="s">
        <v>1479</v>
      </c>
      <c r="C44" t="s">
        <v>1639</v>
      </c>
      <c r="D44" s="55" t="s">
        <v>1811</v>
      </c>
      <c r="E44" s="57" t="s">
        <v>1676</v>
      </c>
      <c r="F44" s="53">
        <v>40490</v>
      </c>
    </row>
    <row r="45" spans="2:6" ht="15">
      <c r="B45" t="s">
        <v>1480</v>
      </c>
      <c r="C45" t="s">
        <v>1640</v>
      </c>
      <c r="D45" s="56" t="s">
        <v>1802</v>
      </c>
      <c r="E45" s="57" t="s">
        <v>1654</v>
      </c>
      <c r="F45" s="53">
        <v>40500</v>
      </c>
    </row>
    <row r="46" spans="2:6" ht="15">
      <c r="B46" t="s">
        <v>1481</v>
      </c>
      <c r="C46" t="s">
        <v>1641</v>
      </c>
      <c r="D46" s="55" t="s">
        <v>1812</v>
      </c>
      <c r="E46" s="57" t="s">
        <v>1677</v>
      </c>
      <c r="F46" s="53">
        <v>40563</v>
      </c>
    </row>
    <row r="47" spans="2:6" ht="15">
      <c r="B47" t="s">
        <v>1483</v>
      </c>
      <c r="C47" t="s">
        <v>1681</v>
      </c>
      <c r="D47" s="56" t="s">
        <v>1802</v>
      </c>
      <c r="E47" s="57" t="s">
        <v>1682</v>
      </c>
      <c r="F47" s="53">
        <v>40728</v>
      </c>
    </row>
    <row r="48" spans="2:6" ht="15">
      <c r="B48" t="s">
        <v>1484</v>
      </c>
      <c r="C48" t="s">
        <v>1683</v>
      </c>
      <c r="D48" s="56" t="s">
        <v>1802</v>
      </c>
      <c r="E48" s="57"/>
      <c r="F48" s="53">
        <v>40752</v>
      </c>
    </row>
    <row r="49" spans="2:6" ht="15">
      <c r="B49" t="s">
        <v>1485</v>
      </c>
      <c r="C49" t="s">
        <v>1684</v>
      </c>
      <c r="D49" s="56" t="s">
        <v>1802</v>
      </c>
      <c r="E49" s="57" t="s">
        <v>1486</v>
      </c>
      <c r="F49" s="54">
        <v>40787</v>
      </c>
    </row>
    <row r="50" spans="2:6" ht="15">
      <c r="B50" t="s">
        <v>1487</v>
      </c>
      <c r="C50" t="s">
        <v>1685</v>
      </c>
      <c r="D50" s="56" t="s">
        <v>1802</v>
      </c>
      <c r="E50" s="57" t="s">
        <v>1686</v>
      </c>
      <c r="F50" s="53">
        <v>40791</v>
      </c>
    </row>
    <row r="51" spans="2:6" ht="15">
      <c r="B51" t="s">
        <v>1488</v>
      </c>
      <c r="C51" t="s">
        <v>1687</v>
      </c>
      <c r="D51" s="56" t="s">
        <v>1802</v>
      </c>
      <c r="E51" s="57"/>
      <c r="F51" s="53">
        <v>40941</v>
      </c>
    </row>
    <row r="52" spans="2:6" ht="15">
      <c r="B52" t="s">
        <v>1489</v>
      </c>
      <c r="C52" t="s">
        <v>1688</v>
      </c>
      <c r="D52" s="55" t="s">
        <v>1813</v>
      </c>
      <c r="E52" s="57" t="s">
        <v>1490</v>
      </c>
      <c r="F52" s="53">
        <v>40987</v>
      </c>
    </row>
    <row r="53" spans="2:6" ht="15">
      <c r="B53" t="s">
        <v>1491</v>
      </c>
      <c r="C53" t="s">
        <v>1689</v>
      </c>
      <c r="D53" s="55" t="s">
        <v>1814</v>
      </c>
      <c r="E53" s="57" t="s">
        <v>1690</v>
      </c>
      <c r="F53" s="53">
        <v>41016</v>
      </c>
    </row>
    <row r="54" spans="2:6" ht="15">
      <c r="B54" t="s">
        <v>1492</v>
      </c>
      <c r="C54" t="s">
        <v>1640</v>
      </c>
      <c r="D54" s="56" t="s">
        <v>1802</v>
      </c>
      <c r="E54" s="57" t="s">
        <v>1493</v>
      </c>
      <c r="F54" s="53">
        <v>41016</v>
      </c>
    </row>
    <row r="55" spans="2:6" ht="15">
      <c r="B55" t="s">
        <v>1494</v>
      </c>
      <c r="C55" t="s">
        <v>1691</v>
      </c>
      <c r="D55" s="56" t="s">
        <v>1802</v>
      </c>
      <c r="E55" s="57" t="s">
        <v>1692</v>
      </c>
      <c r="F55" s="53">
        <v>41092</v>
      </c>
    </row>
    <row r="56" spans="2:6" ht="15">
      <c r="B56" t="s">
        <v>1495</v>
      </c>
      <c r="C56" t="s">
        <v>1693</v>
      </c>
      <c r="D56" s="56" t="s">
        <v>1802</v>
      </c>
      <c r="E56" s="57" t="s">
        <v>1694</v>
      </c>
      <c r="F56" s="53">
        <v>41298</v>
      </c>
    </row>
    <row r="57" spans="2:6" ht="15">
      <c r="B57" t="s">
        <v>1469</v>
      </c>
      <c r="C57" t="s">
        <v>1695</v>
      </c>
      <c r="D57" s="56" t="s">
        <v>1802</v>
      </c>
      <c r="E57" s="57" t="s">
        <v>1469</v>
      </c>
      <c r="F57" s="53">
        <v>41361</v>
      </c>
    </row>
    <row r="58" spans="2:6" ht="15">
      <c r="B58" t="s">
        <v>1496</v>
      </c>
      <c r="C58" t="s">
        <v>1696</v>
      </c>
      <c r="D58" s="56" t="s">
        <v>1802</v>
      </c>
      <c r="E58" s="57" t="s">
        <v>1697</v>
      </c>
      <c r="F58" s="53">
        <v>41407</v>
      </c>
    </row>
    <row r="59" spans="2:6" ht="15">
      <c r="B59" t="s">
        <v>1497</v>
      </c>
      <c r="C59" t="s">
        <v>1698</v>
      </c>
      <c r="D59" s="56" t="s">
        <v>1802</v>
      </c>
      <c r="E59" s="57" t="s">
        <v>1497</v>
      </c>
      <c r="F59" s="53">
        <v>41557</v>
      </c>
    </row>
    <row r="60" spans="2:6" ht="15">
      <c r="B60" t="s">
        <v>1498</v>
      </c>
      <c r="C60" t="s">
        <v>1699</v>
      </c>
      <c r="D60" s="56" t="s">
        <v>1802</v>
      </c>
      <c r="E60" s="57" t="s">
        <v>1498</v>
      </c>
      <c r="F60" s="53">
        <v>41739</v>
      </c>
    </row>
    <row r="61" spans="2:6" ht="15">
      <c r="B61" t="s">
        <v>1499</v>
      </c>
      <c r="C61" t="s">
        <v>1700</v>
      </c>
      <c r="D61" s="56" t="s">
        <v>1802</v>
      </c>
      <c r="E61" s="57" t="s">
        <v>1500</v>
      </c>
      <c r="F61" s="54">
        <v>41760</v>
      </c>
    </row>
    <row r="62" spans="2:6" ht="15">
      <c r="B62" t="s">
        <v>1501</v>
      </c>
      <c r="C62" t="s">
        <v>1701</v>
      </c>
      <c r="D62" s="55" t="s">
        <v>1815</v>
      </c>
      <c r="E62" s="57" t="s">
        <v>1702</v>
      </c>
      <c r="F62" s="53">
        <v>41876</v>
      </c>
    </row>
    <row r="63" spans="2:6" ht="15">
      <c r="B63" t="s">
        <v>1502</v>
      </c>
      <c r="C63" t="s">
        <v>1703</v>
      </c>
      <c r="D63" s="56" t="s">
        <v>1802</v>
      </c>
      <c r="E63" s="57" t="s">
        <v>1465</v>
      </c>
      <c r="F63" s="53">
        <v>41876</v>
      </c>
    </row>
    <row r="64" spans="2:6" ht="15">
      <c r="B64" t="s">
        <v>1503</v>
      </c>
      <c r="C64" t="s">
        <v>1704</v>
      </c>
      <c r="D64" s="56" t="s">
        <v>1802</v>
      </c>
      <c r="E64" s="57" t="s">
        <v>1501</v>
      </c>
      <c r="F64" s="53">
        <v>41982</v>
      </c>
    </row>
    <row r="65" spans="2:6" ht="15">
      <c r="B65" t="s">
        <v>1504</v>
      </c>
      <c r="C65" t="s">
        <v>1705</v>
      </c>
      <c r="D65" s="56" t="s">
        <v>1816</v>
      </c>
      <c r="E65" s="57" t="s">
        <v>1706</v>
      </c>
      <c r="F65" s="53">
        <v>42026</v>
      </c>
    </row>
    <row r="66" spans="2:6" ht="15">
      <c r="B66" t="s">
        <v>1505</v>
      </c>
      <c r="C66" t="s">
        <v>1707</v>
      </c>
      <c r="D66" s="56" t="s">
        <v>1802</v>
      </c>
      <c r="E66" s="57" t="s">
        <v>1500</v>
      </c>
      <c r="F66" s="53">
        <v>42075</v>
      </c>
    </row>
    <row r="67" spans="2:6" ht="15">
      <c r="B67" t="s">
        <v>1506</v>
      </c>
      <c r="C67" t="s">
        <v>1708</v>
      </c>
      <c r="D67" s="56" t="s">
        <v>1802</v>
      </c>
      <c r="E67" s="57"/>
      <c r="F67" s="53">
        <v>42104</v>
      </c>
    </row>
    <row r="68" spans="2:6" ht="15" customHeight="1">
      <c r="B68" t="s">
        <v>1507</v>
      </c>
      <c r="C68" t="s">
        <v>1709</v>
      </c>
      <c r="D68" s="55" t="s">
        <v>1817</v>
      </c>
      <c r="E68" s="57" t="s">
        <v>1500</v>
      </c>
      <c r="F68" s="53">
        <v>42123</v>
      </c>
    </row>
    <row r="69" spans="2:6" ht="15">
      <c r="B69" t="s">
        <v>1508</v>
      </c>
      <c r="C69" t="s">
        <v>1710</v>
      </c>
      <c r="D69" s="56" t="s">
        <v>1802</v>
      </c>
      <c r="E69" s="57" t="s">
        <v>1500</v>
      </c>
      <c r="F69" s="53">
        <v>42199</v>
      </c>
    </row>
    <row r="70" spans="2:6" ht="15">
      <c r="B70" t="s">
        <v>1509</v>
      </c>
      <c r="C70" t="s">
        <v>1711</v>
      </c>
      <c r="D70" s="55" t="s">
        <v>1818</v>
      </c>
      <c r="E70" s="57" t="s">
        <v>1510</v>
      </c>
      <c r="F70" s="53">
        <v>42250</v>
      </c>
    </row>
    <row r="71" spans="2:6" ht="15">
      <c r="B71" t="s">
        <v>1511</v>
      </c>
      <c r="C71" t="s">
        <v>1712</v>
      </c>
      <c r="D71" s="56" t="s">
        <v>1802</v>
      </c>
      <c r="E71" s="57" t="s">
        <v>1564</v>
      </c>
      <c r="F71" s="53">
        <v>42272</v>
      </c>
    </row>
    <row r="72" spans="2:6" ht="15">
      <c r="B72" t="s">
        <v>1512</v>
      </c>
      <c r="C72" t="s">
        <v>1713</v>
      </c>
      <c r="D72" s="56" t="s">
        <v>1802</v>
      </c>
      <c r="E72" s="57" t="s">
        <v>1513</v>
      </c>
      <c r="F72" s="54">
        <v>42248</v>
      </c>
    </row>
    <row r="73" spans="2:6" ht="15">
      <c r="B73" t="s">
        <v>1514</v>
      </c>
      <c r="C73" t="s">
        <v>1714</v>
      </c>
      <c r="D73" s="56" t="s">
        <v>1802</v>
      </c>
      <c r="E73" s="57" t="s">
        <v>1564</v>
      </c>
      <c r="F73" s="53">
        <v>42339</v>
      </c>
    </row>
    <row r="74" spans="2:6" ht="15">
      <c r="B74" t="s">
        <v>1715</v>
      </c>
      <c r="C74" t="s">
        <v>1716</v>
      </c>
      <c r="D74" s="56" t="s">
        <v>1802</v>
      </c>
      <c r="E74" s="57"/>
      <c r="F74" s="53">
        <v>42380</v>
      </c>
    </row>
    <row r="75" spans="2:6" ht="15" customHeight="1">
      <c r="B75" t="s">
        <v>1515</v>
      </c>
      <c r="C75" t="s">
        <v>1717</v>
      </c>
      <c r="D75" s="56" t="s">
        <v>1802</v>
      </c>
      <c r="E75" s="57" t="s">
        <v>1564</v>
      </c>
      <c r="F75" s="53">
        <v>42412</v>
      </c>
    </row>
    <row r="76" spans="2:6" ht="15">
      <c r="B76" t="s">
        <v>1516</v>
      </c>
      <c r="C76" t="s">
        <v>1718</v>
      </c>
      <c r="D76" s="56" t="s">
        <v>1802</v>
      </c>
      <c r="E76" s="57" t="s">
        <v>1500</v>
      </c>
      <c r="F76" s="53">
        <v>42416</v>
      </c>
    </row>
    <row r="77" spans="2:6" ht="15">
      <c r="B77" t="s">
        <v>1517</v>
      </c>
      <c r="C77" t="s">
        <v>1719</v>
      </c>
      <c r="D77" s="56" t="s">
        <v>1802</v>
      </c>
      <c r="E77" s="57" t="s">
        <v>1564</v>
      </c>
      <c r="F77" s="53">
        <v>42565</v>
      </c>
    </row>
    <row r="78" spans="2:6" ht="15">
      <c r="B78" t="s">
        <v>1518</v>
      </c>
      <c r="C78" t="s">
        <v>1720</v>
      </c>
      <c r="D78" s="56" t="s">
        <v>1802</v>
      </c>
      <c r="E78" s="57" t="s">
        <v>1519</v>
      </c>
      <c r="F78" s="53">
        <v>42598</v>
      </c>
    </row>
    <row r="79" spans="2:6" ht="15">
      <c r="B79" t="s">
        <v>1520</v>
      </c>
      <c r="C79" t="s">
        <v>1721</v>
      </c>
      <c r="D79" s="56" t="s">
        <v>1802</v>
      </c>
      <c r="E79" s="57" t="s">
        <v>1520</v>
      </c>
      <c r="F79" s="53">
        <v>42671</v>
      </c>
    </row>
    <row r="80" spans="2:6" ht="15.75" customHeight="1">
      <c r="B80" t="s">
        <v>1521</v>
      </c>
      <c r="C80" t="s">
        <v>1722</v>
      </c>
      <c r="D80" s="56" t="s">
        <v>1802</v>
      </c>
      <c r="E80" s="57" t="s">
        <v>1723</v>
      </c>
      <c r="F80" s="53">
        <v>42676</v>
      </c>
    </row>
    <row r="81" spans="2:6" ht="15" customHeight="1">
      <c r="B81" t="s">
        <v>1522</v>
      </c>
      <c r="C81" t="s">
        <v>1724</v>
      </c>
      <c r="D81" s="55" t="s">
        <v>1819</v>
      </c>
      <c r="E81" s="57" t="s">
        <v>1564</v>
      </c>
      <c r="F81" s="53">
        <v>42744</v>
      </c>
    </row>
    <row r="82" spans="2:6" ht="15">
      <c r="B82" t="s">
        <v>1523</v>
      </c>
      <c r="C82" t="s">
        <v>1725</v>
      </c>
      <c r="D82" s="56" t="s">
        <v>1802</v>
      </c>
      <c r="E82" s="57" t="s">
        <v>1564</v>
      </c>
      <c r="F82" s="53">
        <v>42800</v>
      </c>
    </row>
    <row r="83" spans="2:6" ht="15">
      <c r="B83" t="s">
        <v>1524</v>
      </c>
      <c r="C83" t="s">
        <v>1433</v>
      </c>
      <c r="D83" s="56" t="s">
        <v>1802</v>
      </c>
      <c r="E83" s="57" t="s">
        <v>1564</v>
      </c>
      <c r="F83" s="53">
        <v>42802</v>
      </c>
    </row>
    <row r="84" spans="2:6" ht="15">
      <c r="B84" t="s">
        <v>1525</v>
      </c>
      <c r="C84" t="s">
        <v>1726</v>
      </c>
      <c r="D84" s="55" t="s">
        <v>1801</v>
      </c>
      <c r="E84" s="57" t="s">
        <v>1525</v>
      </c>
      <c r="F84" s="53">
        <v>42902</v>
      </c>
    </row>
    <row r="85" spans="2:6" ht="15">
      <c r="B85" t="s">
        <v>1526</v>
      </c>
      <c r="C85" t="s">
        <v>1727</v>
      </c>
      <c r="D85" s="55" t="s">
        <v>1820</v>
      </c>
      <c r="E85" s="57" t="s">
        <v>1526</v>
      </c>
      <c r="F85" s="53">
        <v>42919</v>
      </c>
    </row>
    <row r="86" spans="2:6" ht="15">
      <c r="B86" t="s">
        <v>1527</v>
      </c>
      <c r="C86" t="s">
        <v>1728</v>
      </c>
      <c r="D86" s="55" t="s">
        <v>1821</v>
      </c>
      <c r="E86" s="57" t="s">
        <v>1729</v>
      </c>
      <c r="F86" s="53">
        <v>42936</v>
      </c>
    </row>
    <row r="87" spans="2:6" ht="15">
      <c r="B87" t="s">
        <v>1528</v>
      </c>
      <c r="C87" t="s">
        <v>1730</v>
      </c>
      <c r="D87" s="55" t="s">
        <v>1598</v>
      </c>
      <c r="E87" s="57" t="s">
        <v>1528</v>
      </c>
      <c r="F87" s="53">
        <v>42944</v>
      </c>
    </row>
    <row r="88" spans="2:6" ht="15">
      <c r="B88" t="s">
        <v>1529</v>
      </c>
      <c r="C88" t="s">
        <v>1731</v>
      </c>
      <c r="D88" s="56" t="s">
        <v>1802</v>
      </c>
      <c r="E88" s="57" t="s">
        <v>1526</v>
      </c>
      <c r="F88" s="53">
        <v>42984</v>
      </c>
    </row>
    <row r="89" spans="2:6" ht="15">
      <c r="B89" t="s">
        <v>1530</v>
      </c>
      <c r="C89" t="s">
        <v>1732</v>
      </c>
      <c r="D89" s="55" t="s">
        <v>1822</v>
      </c>
      <c r="E89" s="57" t="s">
        <v>1733</v>
      </c>
      <c r="F89" s="53">
        <v>43011</v>
      </c>
    </row>
    <row r="90" spans="2:6" ht="15">
      <c r="B90" t="s">
        <v>1531</v>
      </c>
      <c r="C90" t="s">
        <v>1734</v>
      </c>
      <c r="D90" s="56" t="s">
        <v>1802</v>
      </c>
      <c r="E90" s="57" t="s">
        <v>1532</v>
      </c>
      <c r="F90" s="53">
        <v>43067</v>
      </c>
    </row>
    <row r="91" spans="2:6" ht="15">
      <c r="B91" t="s">
        <v>1533</v>
      </c>
      <c r="C91" t="s">
        <v>1735</v>
      </c>
      <c r="D91" s="56" t="s">
        <v>1802</v>
      </c>
      <c r="E91" s="57" t="s">
        <v>1534</v>
      </c>
      <c r="F91" s="54">
        <v>43040</v>
      </c>
    </row>
    <row r="92" spans="2:6" ht="15">
      <c r="B92" t="s">
        <v>1535</v>
      </c>
      <c r="C92" t="s">
        <v>1736</v>
      </c>
      <c r="D92" s="55" t="s">
        <v>1823</v>
      </c>
      <c r="E92" s="57" t="s">
        <v>1535</v>
      </c>
      <c r="F92" s="54">
        <v>43070</v>
      </c>
    </row>
    <row r="93" spans="2:6" ht="15">
      <c r="B93" t="s">
        <v>1536</v>
      </c>
      <c r="C93" t="s">
        <v>1737</v>
      </c>
      <c r="D93" s="55" t="s">
        <v>1824</v>
      </c>
      <c r="E93" s="57" t="s">
        <v>1564</v>
      </c>
      <c r="F93" s="53">
        <v>43123</v>
      </c>
    </row>
    <row r="94" spans="2:6" ht="15">
      <c r="B94" t="s">
        <v>1537</v>
      </c>
      <c r="C94" t="s">
        <v>1738</v>
      </c>
      <c r="D94" s="55" t="s">
        <v>1825</v>
      </c>
      <c r="E94" s="57" t="s">
        <v>1537</v>
      </c>
      <c r="F94" s="53">
        <v>43158</v>
      </c>
    </row>
    <row r="95" spans="2:6" ht="15">
      <c r="B95" t="s">
        <v>1538</v>
      </c>
      <c r="C95" t="s">
        <v>1739</v>
      </c>
      <c r="D95" s="55" t="s">
        <v>1826</v>
      </c>
      <c r="E95" s="57" t="s">
        <v>1539</v>
      </c>
      <c r="F95" s="53">
        <v>43279</v>
      </c>
    </row>
    <row r="96" spans="2:6" ht="15">
      <c r="B96" t="s">
        <v>1540</v>
      </c>
      <c r="C96" t="s">
        <v>1740</v>
      </c>
      <c r="D96" s="55" t="s">
        <v>1824</v>
      </c>
      <c r="E96" s="57" t="s">
        <v>1541</v>
      </c>
      <c r="F96" s="53">
        <v>43340</v>
      </c>
    </row>
    <row r="97" spans="2:6" ht="15">
      <c r="B97" t="s">
        <v>1542</v>
      </c>
      <c r="C97" t="s">
        <v>1741</v>
      </c>
      <c r="D97" s="55" t="s">
        <v>1680</v>
      </c>
      <c r="E97" s="57" t="s">
        <v>1564</v>
      </c>
      <c r="F97" s="53">
        <v>43475</v>
      </c>
    </row>
    <row r="98" spans="2:6" ht="15">
      <c r="B98" t="s">
        <v>1543</v>
      </c>
      <c r="C98" t="s">
        <v>1742</v>
      </c>
      <c r="D98" s="56" t="s">
        <v>1802</v>
      </c>
      <c r="E98" s="57" t="s">
        <v>1543</v>
      </c>
      <c r="F98" s="53">
        <v>43479</v>
      </c>
    </row>
    <row r="99" spans="2:6" ht="15" customHeight="1">
      <c r="B99" t="s">
        <v>1544</v>
      </c>
      <c r="C99" t="s">
        <v>1743</v>
      </c>
      <c r="D99" s="55" t="s">
        <v>1827</v>
      </c>
      <c r="E99" s="57" t="s">
        <v>1544</v>
      </c>
      <c r="F99" s="53">
        <v>43507</v>
      </c>
    </row>
    <row r="100" spans="2:6" ht="15">
      <c r="B100" t="s">
        <v>1545</v>
      </c>
      <c r="C100" t="s">
        <v>1744</v>
      </c>
      <c r="D100" s="56" t="s">
        <v>1802</v>
      </c>
      <c r="E100" s="57" t="s">
        <v>1490</v>
      </c>
      <c r="F100" s="53">
        <v>43565</v>
      </c>
    </row>
    <row r="101" spans="2:6" ht="15">
      <c r="B101" t="s">
        <v>1745</v>
      </c>
      <c r="C101" t="s">
        <v>1746</v>
      </c>
      <c r="D101" s="56" t="s">
        <v>1802</v>
      </c>
      <c r="E101" s="57" t="s">
        <v>1564</v>
      </c>
      <c r="F101" s="53">
        <v>43616</v>
      </c>
    </row>
    <row r="102" spans="2:6" ht="15">
      <c r="B102" t="s">
        <v>1546</v>
      </c>
      <c r="C102" t="s">
        <v>1747</v>
      </c>
      <c r="D102" s="55" t="s">
        <v>1828</v>
      </c>
      <c r="E102" s="57" t="s">
        <v>1501</v>
      </c>
      <c r="F102" s="53">
        <v>43634</v>
      </c>
    </row>
    <row r="103" spans="2:6" ht="15">
      <c r="B103" t="s">
        <v>1547</v>
      </c>
      <c r="C103" t="s">
        <v>1748</v>
      </c>
      <c r="D103" s="56" t="s">
        <v>1802</v>
      </c>
      <c r="E103" s="57" t="s">
        <v>1564</v>
      </c>
      <c r="F103" s="53">
        <v>43677</v>
      </c>
    </row>
    <row r="104" spans="2:6" ht="15">
      <c r="B104" t="s">
        <v>1548</v>
      </c>
      <c r="C104" t="s">
        <v>1749</v>
      </c>
      <c r="D104" s="56" t="s">
        <v>1802</v>
      </c>
      <c r="E104" s="57" t="s">
        <v>1501</v>
      </c>
      <c r="F104" s="53">
        <v>43725</v>
      </c>
    </row>
    <row r="105" spans="2:6" ht="15.75" customHeight="1">
      <c r="B105" t="s">
        <v>1549</v>
      </c>
      <c r="C105" t="s">
        <v>1750</v>
      </c>
      <c r="D105" s="56" t="s">
        <v>1802</v>
      </c>
      <c r="E105" s="57"/>
      <c r="F105" s="53">
        <v>43732</v>
      </c>
    </row>
    <row r="106" spans="2:6" ht="15">
      <c r="B106" t="s">
        <v>1550</v>
      </c>
      <c r="C106" t="s">
        <v>1751</v>
      </c>
      <c r="D106" s="55" t="s">
        <v>1798</v>
      </c>
      <c r="E106" s="57" t="s">
        <v>1752</v>
      </c>
      <c r="F106" s="53">
        <v>44008</v>
      </c>
    </row>
    <row r="107" spans="2:6" ht="15">
      <c r="B107" t="s">
        <v>1551</v>
      </c>
      <c r="C107" t="s">
        <v>1753</v>
      </c>
      <c r="D107" s="55" t="s">
        <v>1804</v>
      </c>
      <c r="E107" s="57" t="s">
        <v>1552</v>
      </c>
      <c r="F107" s="53">
        <v>44195</v>
      </c>
    </row>
    <row r="108" spans="2:6" ht="15">
      <c r="B108" t="s">
        <v>1553</v>
      </c>
      <c r="C108" t="s">
        <v>1754</v>
      </c>
      <c r="D108" s="56" t="s">
        <v>1802</v>
      </c>
      <c r="E108" s="57" t="s">
        <v>1490</v>
      </c>
      <c r="F108" s="53">
        <v>44218</v>
      </c>
    </row>
    <row r="109" spans="2:6" ht="15">
      <c r="B109" t="s">
        <v>1554</v>
      </c>
      <c r="C109" t="s">
        <v>1755</v>
      </c>
      <c r="D109" s="55" t="s">
        <v>1799</v>
      </c>
      <c r="E109" s="57" t="s">
        <v>1756</v>
      </c>
      <c r="F109" s="53">
        <v>44342</v>
      </c>
    </row>
    <row r="110" spans="2:6" ht="15">
      <c r="B110" t="s">
        <v>1555</v>
      </c>
      <c r="C110" t="s">
        <v>1757</v>
      </c>
      <c r="D110" s="56" t="s">
        <v>1802</v>
      </c>
      <c r="E110" s="57" t="s">
        <v>1552</v>
      </c>
      <c r="F110" s="53">
        <v>44371</v>
      </c>
    </row>
    <row r="111" spans="2:6" ht="15">
      <c r="B111" t="s">
        <v>1556</v>
      </c>
      <c r="C111" t="s">
        <v>1758</v>
      </c>
      <c r="D111" s="56" t="s">
        <v>1802</v>
      </c>
      <c r="E111" s="57" t="s">
        <v>1564</v>
      </c>
      <c r="F111" s="53">
        <v>44372</v>
      </c>
    </row>
    <row r="112" spans="2:6" ht="15">
      <c r="B112" t="s">
        <v>1557</v>
      </c>
      <c r="C112" t="s">
        <v>1759</v>
      </c>
      <c r="D112" s="56" t="s">
        <v>1802</v>
      </c>
      <c r="E112" s="57" t="s">
        <v>1557</v>
      </c>
      <c r="F112" s="53">
        <v>44501</v>
      </c>
    </row>
    <row r="113" spans="2:6" ht="15">
      <c r="B113" t="s">
        <v>1558</v>
      </c>
      <c r="C113" t="s">
        <v>1760</v>
      </c>
      <c r="D113" s="56" t="s">
        <v>1802</v>
      </c>
      <c r="E113" s="57" t="s">
        <v>1550</v>
      </c>
      <c r="F113" s="53">
        <v>44627</v>
      </c>
    </row>
    <row r="114" spans="2:6" ht="15">
      <c r="B114" t="s">
        <v>1559</v>
      </c>
      <c r="C114" t="s">
        <v>1761</v>
      </c>
      <c r="D114" s="56" t="s">
        <v>1802</v>
      </c>
      <c r="E114" s="57"/>
      <c r="F114" s="53">
        <v>44672</v>
      </c>
    </row>
    <row r="115" spans="2:6" ht="15">
      <c r="B115" t="s">
        <v>1560</v>
      </c>
      <c r="C115" t="s">
        <v>1762</v>
      </c>
      <c r="D115" s="55" t="s">
        <v>1800</v>
      </c>
      <c r="E115" s="57" t="s">
        <v>1560</v>
      </c>
      <c r="F115" s="53">
        <v>44763</v>
      </c>
    </row>
    <row r="116" spans="2:6" ht="15">
      <c r="B116" t="s">
        <v>1561</v>
      </c>
      <c r="C116" t="s">
        <v>1763</v>
      </c>
      <c r="D116" s="56" t="s">
        <v>1802</v>
      </c>
      <c r="E116" s="57" t="s">
        <v>1490</v>
      </c>
      <c r="F116" s="53">
        <v>44813</v>
      </c>
    </row>
    <row r="117" spans="2:6" ht="15">
      <c r="B117" t="s">
        <v>1562</v>
      </c>
      <c r="C117" t="s">
        <v>1764</v>
      </c>
      <c r="D117" s="56" t="s">
        <v>1802</v>
      </c>
      <c r="E117" s="57" t="s">
        <v>1501</v>
      </c>
      <c r="F117" s="53">
        <v>44887</v>
      </c>
    </row>
    <row r="118" spans="2:6" ht="15">
      <c r="B118" t="s">
        <v>1563</v>
      </c>
      <c r="C118" t="s">
        <v>1765</v>
      </c>
      <c r="D118" s="56" t="s">
        <v>1802</v>
      </c>
      <c r="E118" s="57" t="s">
        <v>1564</v>
      </c>
      <c r="F118" s="53">
        <v>45166</v>
      </c>
    </row>
    <row r="119" spans="2:6" ht="15">
      <c r="B119" t="s">
        <v>1565</v>
      </c>
      <c r="C119" t="s">
        <v>1766</v>
      </c>
      <c r="D119" s="56" t="s">
        <v>1802</v>
      </c>
      <c r="E119" s="57" t="s">
        <v>1482</v>
      </c>
      <c r="F119" s="53">
        <v>45572</v>
      </c>
    </row>
    <row r="120" spans="2:6" ht="15">
      <c r="B120"/>
      <c r="C120"/>
      <c r="D120"/>
      <c r="E120"/>
      <c r="F120"/>
    </row>
    <row r="121" spans="2:6" ht="30" customHeight="1"/>
    <row r="151" spans="2:6" ht="15">
      <c r="B151"/>
      <c r="C151"/>
      <c r="D151"/>
      <c r="E151"/>
      <c r="F151"/>
    </row>
    <row r="152" spans="2:6" ht="15">
      <c r="B152"/>
      <c r="C152"/>
      <c r="D152"/>
      <c r="E152"/>
      <c r="F152"/>
    </row>
    <row r="153" spans="2:6" ht="15">
      <c r="B153"/>
      <c r="C153"/>
      <c r="D153"/>
      <c r="E153"/>
      <c r="F153"/>
    </row>
    <row r="154" spans="2:6" ht="15">
      <c r="B154"/>
      <c r="C154"/>
      <c r="D154"/>
      <c r="E154"/>
      <c r="F154"/>
    </row>
    <row r="155" spans="2:6" ht="15">
      <c r="B155"/>
      <c r="C155"/>
      <c r="D155"/>
      <c r="E155"/>
      <c r="F155"/>
    </row>
    <row r="156" spans="2:6" ht="15">
      <c r="B156"/>
      <c r="C156"/>
      <c r="D156"/>
      <c r="E156"/>
      <c r="F156"/>
    </row>
    <row r="157" spans="2:6" ht="15">
      <c r="B157"/>
      <c r="C157"/>
      <c r="D157"/>
      <c r="E157"/>
      <c r="F157"/>
    </row>
    <row r="158" spans="2:6" ht="15">
      <c r="B158"/>
      <c r="C158"/>
      <c r="D158"/>
      <c r="E158"/>
      <c r="F158"/>
    </row>
    <row r="159" spans="2:6" ht="15">
      <c r="B159"/>
      <c r="C159"/>
      <c r="D159"/>
      <c r="E159"/>
      <c r="F159"/>
    </row>
    <row r="160" spans="2:6" ht="15">
      <c r="B160"/>
      <c r="C160"/>
      <c r="D160"/>
      <c r="E160"/>
      <c r="F160"/>
    </row>
    <row r="161" spans="2:6" ht="15">
      <c r="B161"/>
      <c r="C161"/>
      <c r="D161"/>
      <c r="E161"/>
      <c r="F161"/>
    </row>
    <row r="162" spans="2:6" ht="15">
      <c r="B162"/>
      <c r="C162"/>
      <c r="D162"/>
      <c r="E162"/>
      <c r="F162"/>
    </row>
    <row r="163" spans="2:6" ht="15">
      <c r="B163"/>
      <c r="C163"/>
      <c r="D163"/>
      <c r="E163"/>
      <c r="F163"/>
    </row>
    <row r="164" spans="2:6" ht="15">
      <c r="B164"/>
      <c r="C164"/>
      <c r="D164"/>
      <c r="E164"/>
      <c r="F164"/>
    </row>
    <row r="165" spans="2:6" ht="15">
      <c r="B165"/>
      <c r="C165"/>
      <c r="D165"/>
      <c r="E165"/>
      <c r="F165"/>
    </row>
    <row r="166" spans="2:6" ht="15">
      <c r="B166"/>
      <c r="C166"/>
      <c r="D166"/>
      <c r="E166"/>
      <c r="F166"/>
    </row>
    <row r="167" spans="2:6" ht="15">
      <c r="B167"/>
      <c r="C167"/>
      <c r="D167"/>
      <c r="E167"/>
      <c r="F167"/>
    </row>
    <row r="168" spans="2:6" ht="15">
      <c r="B168"/>
      <c r="C168"/>
      <c r="D168"/>
      <c r="E168"/>
      <c r="F168"/>
    </row>
    <row r="169" spans="2:6" ht="15">
      <c r="B169"/>
      <c r="C169"/>
      <c r="D169"/>
      <c r="E169"/>
      <c r="F169"/>
    </row>
    <row r="170" spans="2:6" ht="15">
      <c r="B170"/>
      <c r="C170"/>
      <c r="D170"/>
      <c r="E170"/>
      <c r="F170"/>
    </row>
    <row r="171" spans="2:6" ht="15">
      <c r="B171"/>
      <c r="C171"/>
      <c r="D171"/>
      <c r="E171"/>
      <c r="F171"/>
    </row>
    <row r="172" spans="2:6" ht="15">
      <c r="B172"/>
      <c r="C172"/>
      <c r="D172"/>
      <c r="E172"/>
      <c r="F172"/>
    </row>
    <row r="173" spans="2:6" ht="15">
      <c r="B173"/>
      <c r="C173"/>
      <c r="D173"/>
      <c r="E173"/>
      <c r="F173"/>
    </row>
    <row r="174" spans="2:6" ht="15">
      <c r="B174"/>
      <c r="C174"/>
      <c r="D174"/>
      <c r="E174"/>
      <c r="F174"/>
    </row>
    <row r="175" spans="2:6" ht="15">
      <c r="B175"/>
      <c r="C175"/>
      <c r="D175"/>
      <c r="E175"/>
      <c r="F175"/>
    </row>
    <row r="176" spans="2:6" ht="15">
      <c r="B176"/>
      <c r="C176"/>
      <c r="D176"/>
      <c r="E176"/>
      <c r="F176"/>
    </row>
    <row r="177" spans="2:6" ht="15">
      <c r="B177"/>
      <c r="C177"/>
      <c r="D177"/>
      <c r="E177"/>
      <c r="F177"/>
    </row>
    <row r="178" spans="2:6" ht="15">
      <c r="B178"/>
      <c r="C178"/>
      <c r="D178"/>
      <c r="E178"/>
      <c r="F178"/>
    </row>
    <row r="179" spans="2:6" ht="15">
      <c r="B179"/>
      <c r="C179"/>
      <c r="D179"/>
      <c r="E179"/>
      <c r="F179"/>
    </row>
    <row r="180" spans="2:6" ht="15">
      <c r="B180"/>
      <c r="C180"/>
      <c r="D180"/>
      <c r="E180"/>
      <c r="F180"/>
    </row>
    <row r="181" spans="2:6" ht="15">
      <c r="B181"/>
      <c r="C181"/>
      <c r="D181"/>
      <c r="E181"/>
      <c r="F181"/>
    </row>
    <row r="182" spans="2:6" ht="15">
      <c r="B182"/>
      <c r="C182"/>
      <c r="D182"/>
      <c r="E182"/>
      <c r="F182"/>
    </row>
    <row r="183" spans="2:6" ht="15">
      <c r="B183"/>
      <c r="C183"/>
      <c r="D183"/>
      <c r="E183"/>
      <c r="F183"/>
    </row>
    <row r="184" spans="2:6" ht="15">
      <c r="B184"/>
      <c r="C184"/>
      <c r="D184"/>
      <c r="E184"/>
      <c r="F184"/>
    </row>
    <row r="185" spans="2:6" ht="15">
      <c r="B185"/>
      <c r="C185"/>
      <c r="D185"/>
      <c r="E185"/>
      <c r="F185"/>
    </row>
    <row r="186" spans="2:6" ht="15">
      <c r="B186"/>
      <c r="C186"/>
      <c r="D186"/>
      <c r="E186"/>
      <c r="F186"/>
    </row>
    <row r="187" spans="2:6" ht="15">
      <c r="B187"/>
      <c r="C187"/>
      <c r="D187"/>
      <c r="E187"/>
      <c r="F187"/>
    </row>
    <row r="188" spans="2:6" ht="15">
      <c r="B188"/>
      <c r="C188"/>
      <c r="D188"/>
      <c r="E188"/>
      <c r="F188"/>
    </row>
    <row r="189" spans="2:6" ht="15">
      <c r="B189"/>
      <c r="C189"/>
      <c r="D189"/>
      <c r="E189"/>
      <c r="F189"/>
    </row>
    <row r="190" spans="2:6" ht="15">
      <c r="B190"/>
      <c r="C190"/>
      <c r="D190"/>
      <c r="E190"/>
      <c r="F190"/>
    </row>
    <row r="191" spans="2:6" ht="15">
      <c r="B191"/>
      <c r="C191"/>
      <c r="D191"/>
      <c r="E191"/>
      <c r="F191"/>
    </row>
    <row r="192" spans="2:6" ht="15">
      <c r="B192"/>
      <c r="C192"/>
      <c r="D192"/>
      <c r="E192"/>
      <c r="F192"/>
    </row>
    <row r="193" spans="2:6" ht="15">
      <c r="B193"/>
      <c r="C193"/>
      <c r="D193"/>
      <c r="E193"/>
      <c r="F193"/>
    </row>
    <row r="194" spans="2:6" ht="15">
      <c r="B194"/>
      <c r="C194"/>
      <c r="D194"/>
      <c r="E194"/>
      <c r="F194"/>
    </row>
    <row r="195" spans="2:6" ht="15">
      <c r="B195"/>
      <c r="C195"/>
      <c r="D195"/>
      <c r="E195"/>
      <c r="F195"/>
    </row>
    <row r="196" spans="2:6" ht="15">
      <c r="B196"/>
      <c r="C196"/>
      <c r="D196"/>
      <c r="E196"/>
      <c r="F196"/>
    </row>
    <row r="197" spans="2:6" ht="15">
      <c r="B197"/>
      <c r="C197"/>
      <c r="D197"/>
      <c r="E197"/>
      <c r="F197"/>
    </row>
    <row r="198" spans="2:6" ht="15">
      <c r="B198"/>
      <c r="C198"/>
      <c r="D198"/>
      <c r="E198"/>
      <c r="F198"/>
    </row>
    <row r="199" spans="2:6" ht="15">
      <c r="B199"/>
      <c r="C199"/>
      <c r="D199"/>
      <c r="E199"/>
      <c r="F199"/>
    </row>
    <row r="200" spans="2:6" ht="15">
      <c r="B200"/>
      <c r="C200"/>
      <c r="D200"/>
      <c r="E200"/>
      <c r="F200"/>
    </row>
    <row r="201" spans="2:6" ht="15">
      <c r="B201"/>
      <c r="C201"/>
      <c r="D201"/>
      <c r="E201"/>
      <c r="F201"/>
    </row>
    <row r="202" spans="2:6" ht="15">
      <c r="B202"/>
      <c r="C202"/>
      <c r="D202"/>
      <c r="E202"/>
      <c r="F202"/>
    </row>
    <row r="203" spans="2:6" ht="15">
      <c r="B203"/>
      <c r="C203"/>
      <c r="D203"/>
      <c r="E203"/>
      <c r="F203"/>
    </row>
    <row r="204" spans="2:6" ht="15">
      <c r="B204"/>
      <c r="C204"/>
      <c r="D204"/>
      <c r="E204"/>
      <c r="F204"/>
    </row>
    <row r="205" spans="2:6" ht="15">
      <c r="B205"/>
      <c r="C205"/>
      <c r="D205"/>
      <c r="E205"/>
      <c r="F205"/>
    </row>
    <row r="206" spans="2:6" ht="15">
      <c r="B206"/>
      <c r="C206"/>
      <c r="D206"/>
      <c r="E206"/>
      <c r="F206"/>
    </row>
    <row r="207" spans="2:6" ht="15">
      <c r="B207"/>
      <c r="C207"/>
      <c r="D207"/>
      <c r="E207"/>
      <c r="F207"/>
    </row>
    <row r="208" spans="2:6" ht="15">
      <c r="B208"/>
      <c r="C208"/>
      <c r="D208"/>
      <c r="E208"/>
      <c r="F208"/>
    </row>
    <row r="209" spans="2:6" ht="15">
      <c r="B209"/>
      <c r="C209"/>
      <c r="D209"/>
      <c r="E209"/>
      <c r="F209"/>
    </row>
    <row r="210" spans="2:6" ht="15">
      <c r="B210"/>
      <c r="C210"/>
      <c r="D210"/>
      <c r="E210"/>
      <c r="F210"/>
    </row>
    <row r="211" spans="2:6" ht="15">
      <c r="B211"/>
      <c r="C211"/>
      <c r="D211"/>
      <c r="E211"/>
      <c r="F211"/>
    </row>
    <row r="212" spans="2:6" ht="15">
      <c r="B212"/>
      <c r="C212"/>
      <c r="D212"/>
      <c r="E212"/>
      <c r="F212"/>
    </row>
    <row r="213" spans="2:6" ht="15">
      <c r="B213"/>
      <c r="C213"/>
      <c r="D213"/>
      <c r="E213"/>
      <c r="F213"/>
    </row>
    <row r="214" spans="2:6" ht="15">
      <c r="B214"/>
      <c r="C214"/>
      <c r="D214"/>
      <c r="E214"/>
      <c r="F214"/>
    </row>
    <row r="215" spans="2:6" ht="15">
      <c r="B215"/>
      <c r="C215"/>
      <c r="D215"/>
      <c r="E215"/>
      <c r="F215"/>
    </row>
    <row r="216" spans="2:6" ht="15">
      <c r="B216"/>
      <c r="C216"/>
      <c r="D216"/>
      <c r="E216"/>
      <c r="F216"/>
    </row>
    <row r="217" spans="2:6" ht="15">
      <c r="B217"/>
      <c r="C217"/>
      <c r="D217"/>
      <c r="E217"/>
      <c r="F217"/>
    </row>
    <row r="218" spans="2:6" ht="15">
      <c r="B218"/>
      <c r="C218"/>
      <c r="D218"/>
      <c r="E218"/>
      <c r="F218"/>
    </row>
    <row r="219" spans="2:6" ht="15">
      <c r="B219"/>
      <c r="C219"/>
      <c r="D219"/>
      <c r="E219"/>
      <c r="F219"/>
    </row>
    <row r="220" spans="2:6" ht="15">
      <c r="B220"/>
      <c r="C220"/>
      <c r="D220"/>
      <c r="E220"/>
      <c r="F220"/>
    </row>
    <row r="221" spans="2:6" ht="15">
      <c r="B221"/>
      <c r="C221"/>
      <c r="D221"/>
      <c r="E221"/>
      <c r="F221"/>
    </row>
    <row r="222" spans="2:6" ht="15">
      <c r="B222"/>
      <c r="C222"/>
      <c r="D222"/>
      <c r="E222"/>
      <c r="F222"/>
    </row>
    <row r="223" spans="2:6" ht="15">
      <c r="B223"/>
      <c r="C223"/>
      <c r="D223"/>
      <c r="E223"/>
      <c r="F223"/>
    </row>
    <row r="224" spans="2:6" ht="15">
      <c r="B224"/>
      <c r="C224"/>
      <c r="D224"/>
      <c r="E224"/>
      <c r="F224"/>
    </row>
    <row r="225" spans="2:6" ht="15">
      <c r="B225"/>
      <c r="C225"/>
      <c r="D225"/>
      <c r="E225"/>
      <c r="F225"/>
    </row>
    <row r="226" spans="2:6" ht="15">
      <c r="B226"/>
      <c r="C226"/>
      <c r="D226"/>
      <c r="E226"/>
      <c r="F226"/>
    </row>
    <row r="227" spans="2:6" ht="15">
      <c r="B227"/>
      <c r="C227"/>
      <c r="D227"/>
      <c r="E227"/>
      <c r="F227"/>
    </row>
    <row r="228" spans="2:6" ht="15">
      <c r="B228"/>
      <c r="C228"/>
      <c r="D228"/>
      <c r="E228"/>
      <c r="F228"/>
    </row>
    <row r="229" spans="2:6" ht="15">
      <c r="B229"/>
      <c r="C229"/>
      <c r="D229"/>
      <c r="E229"/>
      <c r="F229"/>
    </row>
    <row r="230" spans="2:6" ht="15">
      <c r="B230"/>
      <c r="C230"/>
      <c r="D230"/>
      <c r="E230"/>
      <c r="F230"/>
    </row>
    <row r="231" spans="2:6" ht="15">
      <c r="B231"/>
      <c r="C231"/>
      <c r="D231"/>
      <c r="E231"/>
      <c r="F231"/>
    </row>
    <row r="232" spans="2:6" ht="15">
      <c r="B232"/>
      <c r="C232"/>
      <c r="D232"/>
      <c r="E232"/>
      <c r="F232"/>
    </row>
    <row r="233" spans="2:6" ht="15">
      <c r="B233"/>
      <c r="C233"/>
      <c r="D233"/>
      <c r="E233"/>
      <c r="F233"/>
    </row>
    <row r="234" spans="2:6" ht="15">
      <c r="B234"/>
      <c r="C234"/>
      <c r="D234"/>
      <c r="E234"/>
      <c r="F234"/>
    </row>
    <row r="235" spans="2:6" ht="15">
      <c r="B235"/>
      <c r="C235"/>
      <c r="D235"/>
      <c r="E235"/>
      <c r="F235"/>
    </row>
    <row r="236" spans="2:6" ht="15">
      <c r="B236"/>
      <c r="C236"/>
      <c r="D236"/>
      <c r="E236"/>
      <c r="F236"/>
    </row>
    <row r="237" spans="2:6" ht="15">
      <c r="B237"/>
      <c r="C237"/>
      <c r="D237"/>
      <c r="E237"/>
      <c r="F237"/>
    </row>
    <row r="238" spans="2:6" ht="15">
      <c r="B238"/>
      <c r="C238"/>
      <c r="D238"/>
      <c r="E238"/>
      <c r="F238"/>
    </row>
  </sheetData>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36E60-677E-467E-9C59-7853ADE8E695}">
  <dimension ref="A1"/>
  <sheetViews>
    <sheetView workbookViewId="0">
      <selection sqref="A1:XFD1048576"/>
    </sheetView>
  </sheetViews>
  <sheetFormatPr defaultColWidth="9.140625" defaultRowHeight="14.25"/>
  <cols>
    <col min="1" max="1" width="3" style="1" customWidth="1"/>
    <col min="2" max="16384" width="9.140625" style="1"/>
  </cols>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C31F-8910-447E-89B3-28B6120F3B0A}">
  <dimension ref="B2:Z8"/>
  <sheetViews>
    <sheetView workbookViewId="0">
      <selection activeCell="D15" sqref="D15"/>
    </sheetView>
  </sheetViews>
  <sheetFormatPr defaultColWidth="9.140625" defaultRowHeight="14.25"/>
  <cols>
    <col min="1" max="1" width="3.140625" style="1" customWidth="1"/>
    <col min="2" max="16384" width="9.140625" style="1"/>
  </cols>
  <sheetData>
    <row r="2" spans="2:26" ht="15">
      <c r="B2" s="3" t="s">
        <v>10</v>
      </c>
      <c r="C2" s="4"/>
      <c r="D2" s="4"/>
      <c r="E2" s="4"/>
      <c r="F2" s="4"/>
      <c r="G2" s="3" t="s">
        <v>10</v>
      </c>
      <c r="H2" s="5"/>
      <c r="I2" s="5"/>
      <c r="J2" s="5"/>
      <c r="K2" s="5"/>
      <c r="L2" s="5"/>
      <c r="M2" s="5"/>
      <c r="N2" s="5"/>
      <c r="O2" s="5"/>
      <c r="P2" s="5"/>
      <c r="Q2" s="5"/>
      <c r="R2" s="5"/>
      <c r="S2" s="5"/>
      <c r="T2" s="5"/>
      <c r="U2" s="5"/>
      <c r="V2" s="5"/>
      <c r="W2" s="5"/>
      <c r="X2" s="5"/>
      <c r="Y2" s="5"/>
      <c r="Z2" s="6"/>
    </row>
    <row r="3" spans="2:26" ht="15">
      <c r="B3" s="7" t="s">
        <v>11</v>
      </c>
      <c r="C3" s="8"/>
      <c r="D3" s="8"/>
      <c r="E3" s="8"/>
      <c r="F3" s="9"/>
      <c r="G3" s="10" t="s">
        <v>12</v>
      </c>
      <c r="H3" s="10"/>
      <c r="I3" s="10"/>
      <c r="J3" s="10"/>
      <c r="K3" s="10"/>
      <c r="L3" s="10"/>
      <c r="M3" s="10"/>
      <c r="N3" s="10"/>
      <c r="O3" s="10"/>
      <c r="P3" s="10"/>
      <c r="Q3" s="10"/>
      <c r="R3" s="10"/>
      <c r="S3" s="10"/>
      <c r="T3" s="10"/>
      <c r="U3" s="10"/>
      <c r="V3" s="10"/>
      <c r="W3" s="10"/>
      <c r="X3" s="10"/>
      <c r="Y3" s="10"/>
      <c r="Z3" s="11"/>
    </row>
    <row r="4" spans="2:26" ht="15">
      <c r="B4" s="12" t="s">
        <v>11</v>
      </c>
      <c r="C4" s="13"/>
      <c r="D4" s="13"/>
      <c r="E4" s="13"/>
      <c r="F4" s="14"/>
      <c r="G4" s="15" t="s">
        <v>13</v>
      </c>
      <c r="H4" s="15"/>
      <c r="I4" s="15"/>
      <c r="J4" s="15"/>
      <c r="K4" s="15"/>
      <c r="L4" s="15"/>
      <c r="M4" s="15"/>
      <c r="N4" s="15"/>
      <c r="O4" s="15"/>
      <c r="P4" s="15"/>
      <c r="Q4" s="15"/>
      <c r="R4" s="15"/>
      <c r="S4" s="15"/>
      <c r="T4" s="15"/>
      <c r="U4" s="15"/>
      <c r="V4" s="15"/>
      <c r="W4" s="15"/>
      <c r="X4" s="15"/>
      <c r="Y4" s="15"/>
      <c r="Z4" s="16"/>
    </row>
    <row r="5" spans="2:26" ht="15">
      <c r="B5" s="12" t="s">
        <v>11</v>
      </c>
      <c r="C5" s="13"/>
      <c r="D5" s="13"/>
      <c r="E5" s="13"/>
      <c r="F5" s="14"/>
      <c r="G5" s="17" t="s">
        <v>12</v>
      </c>
      <c r="H5" s="17"/>
      <c r="I5" s="17"/>
      <c r="J5" s="17"/>
      <c r="K5" s="17"/>
      <c r="L5" s="17"/>
      <c r="M5" s="17"/>
      <c r="N5" s="17"/>
      <c r="O5" s="17"/>
      <c r="P5" s="17"/>
      <c r="Q5" s="17"/>
      <c r="R5" s="17"/>
      <c r="S5" s="17"/>
      <c r="T5" s="17"/>
      <c r="U5" s="17"/>
      <c r="V5" s="17"/>
      <c r="W5" s="17"/>
      <c r="X5" s="17"/>
      <c r="Y5" s="17"/>
      <c r="Z5" s="18"/>
    </row>
    <row r="6" spans="2:26" ht="15">
      <c r="B6" s="12" t="s">
        <v>11</v>
      </c>
      <c r="C6" s="13"/>
      <c r="D6" s="13"/>
      <c r="E6" s="13"/>
      <c r="F6" s="14"/>
      <c r="G6" s="15" t="s">
        <v>13</v>
      </c>
      <c r="H6" s="15"/>
      <c r="I6" s="15"/>
      <c r="J6" s="15"/>
      <c r="K6" s="15"/>
      <c r="L6" s="15"/>
      <c r="M6" s="15"/>
      <c r="N6" s="15"/>
      <c r="O6" s="15"/>
      <c r="P6" s="15"/>
      <c r="Q6" s="15"/>
      <c r="R6" s="15"/>
      <c r="S6" s="15"/>
      <c r="T6" s="15"/>
      <c r="U6" s="15"/>
      <c r="V6" s="15"/>
      <c r="W6" s="15"/>
      <c r="X6" s="15"/>
      <c r="Y6" s="15"/>
      <c r="Z6" s="16"/>
    </row>
    <row r="7" spans="2:26" ht="15">
      <c r="B7" s="12" t="s">
        <v>11</v>
      </c>
      <c r="C7" s="13"/>
      <c r="D7" s="13"/>
      <c r="E7" s="13"/>
      <c r="F7" s="14"/>
      <c r="G7" s="17" t="s">
        <v>12</v>
      </c>
      <c r="H7" s="17"/>
      <c r="I7" s="17"/>
      <c r="J7" s="17"/>
      <c r="K7" s="17"/>
      <c r="L7" s="17"/>
      <c r="M7" s="17"/>
      <c r="N7" s="17"/>
      <c r="O7" s="17"/>
      <c r="P7" s="17"/>
      <c r="Q7" s="17"/>
      <c r="R7" s="17"/>
      <c r="S7" s="17"/>
      <c r="T7" s="17"/>
      <c r="U7" s="17"/>
      <c r="V7" s="17"/>
      <c r="W7" s="17"/>
      <c r="X7" s="17"/>
      <c r="Y7" s="17"/>
      <c r="Z7" s="18"/>
    </row>
    <row r="8" spans="2:26" ht="15">
      <c r="B8" s="19" t="s">
        <v>11</v>
      </c>
      <c r="C8" s="20"/>
      <c r="D8" s="20"/>
      <c r="E8" s="20"/>
      <c r="F8" s="21"/>
      <c r="G8" s="22" t="s">
        <v>13</v>
      </c>
      <c r="H8" s="22"/>
      <c r="I8" s="22"/>
      <c r="J8" s="22"/>
      <c r="K8" s="22"/>
      <c r="L8" s="22"/>
      <c r="M8" s="22"/>
      <c r="N8" s="22"/>
      <c r="O8" s="22"/>
      <c r="P8" s="22"/>
      <c r="Q8" s="22"/>
      <c r="R8" s="22"/>
      <c r="S8" s="22"/>
      <c r="T8" s="22"/>
      <c r="U8" s="22"/>
      <c r="V8" s="22"/>
      <c r="W8" s="22"/>
      <c r="X8" s="22"/>
      <c r="Y8" s="22"/>
      <c r="Z8" s="2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54C1202-000E-4E52-8CFA-58AC417D1F8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Main</vt:lpstr>
      <vt:lpstr>Model</vt:lpstr>
      <vt:lpstr>Notes | Quant Analysis</vt:lpstr>
      <vt:lpstr>Product Lines</vt:lpstr>
      <vt:lpstr>M&amp;A</vt:lpstr>
      <vt:lpstr>Management</vt:lpstr>
      <vt:lpstr>Table 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Jacob H</cp:lastModifiedBy>
  <dcterms:created xsi:type="dcterms:W3CDTF">2015-06-05T18:17:20Z</dcterms:created>
  <dcterms:modified xsi:type="dcterms:W3CDTF">2026-01-10T11:27:38Z</dcterms:modified>
</cp:coreProperties>
</file>