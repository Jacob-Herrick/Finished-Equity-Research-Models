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User\OneDrive\Desktop\Equity Research\Models\Health Care\MedTech\"/>
    </mc:Choice>
  </mc:AlternateContent>
  <xr:revisionPtr revIDLastSave="0" documentId="13_ncr:1_{4EF322FC-1A08-4E46-9F45-E63FD1C79AB3}" xr6:coauthVersionLast="47" xr6:coauthVersionMax="47" xr10:uidLastSave="{00000000-0000-0000-0000-000000000000}"/>
  <bookViews>
    <workbookView xWindow="28680" yWindow="-120" windowWidth="29040" windowHeight="15720" activeTab="2"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9" i="3" l="1"/>
  <c r="K198" i="3"/>
  <c r="K197" i="3"/>
  <c r="K196" i="3"/>
  <c r="K195"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440" i="3"/>
  <c r="C7" i="1" l="1"/>
  <c r="CJ3" i="2" l="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EJ3" i="2" s="1"/>
  <c r="EK3" i="2" s="1"/>
  <c r="EL3" i="2" s="1"/>
  <c r="EM3" i="2" s="1"/>
  <c r="EN3" i="2" s="1"/>
  <c r="EO3" i="2" s="1"/>
  <c r="EP3" i="2" s="1"/>
  <c r="EQ3" i="2" s="1"/>
  <c r="ER3" i="2" s="1"/>
  <c r="ES3" i="2" s="1"/>
  <c r="ET3" i="2" s="1"/>
  <c r="EU3" i="2" s="1"/>
  <c r="EV3" i="2" s="1"/>
  <c r="EW3" i="2" s="1"/>
  <c r="EX3" i="2" s="1"/>
  <c r="EY3" i="2" s="1"/>
  <c r="EZ3" i="2" s="1"/>
  <c r="FA3" i="2" s="1"/>
  <c r="FB3" i="2" s="1"/>
  <c r="FC3" i="2" s="1"/>
  <c r="FD3" i="2" s="1"/>
  <c r="FE3" i="2" s="1"/>
  <c r="FF3" i="2" s="1"/>
  <c r="FG3" i="2" s="1"/>
  <c r="K200" i="3"/>
  <c r="C5" i="1"/>
  <c r="C8" i="1" l="1"/>
</calcChain>
</file>

<file path=xl/sharedStrings.xml><?xml version="1.0" encoding="utf-8"?>
<sst xmlns="http://schemas.openxmlformats.org/spreadsheetml/2006/main" count="1541" uniqueCount="1518">
  <si>
    <t>Master</t>
  </si>
  <si>
    <t xml:space="preserve">Price </t>
  </si>
  <si>
    <t>SO</t>
  </si>
  <si>
    <t>MC</t>
  </si>
  <si>
    <t>Cash</t>
  </si>
  <si>
    <t>Debt</t>
  </si>
  <si>
    <t>EV</t>
  </si>
  <si>
    <t>Investor Relations Contact:</t>
  </si>
  <si>
    <t>SEC filings</t>
  </si>
  <si>
    <t>Godel Terminal</t>
  </si>
  <si>
    <t>Company Overview:</t>
  </si>
  <si>
    <t>Business Segements and Geographical Info:</t>
  </si>
  <si>
    <t xml:space="preserve">[Begin researching fundementals / core business … begin with SEC filings, but expand and use all public resources available] </t>
  </si>
  <si>
    <t>[Bold Title]</t>
  </si>
  <si>
    <t>Line Titles</t>
  </si>
  <si>
    <t>&lt;-- General</t>
  </si>
  <si>
    <t>&lt;-- Info</t>
  </si>
  <si>
    <t>Institutional Ownership Snapshot (4/14/2025)</t>
  </si>
  <si>
    <t>[Godel Snapshot]</t>
  </si>
  <si>
    <t>[Company] Major Acquisitions (1990s - Present)</t>
  </si>
  <si>
    <t>19--'s</t>
  </si>
  <si>
    <t>2000s</t>
  </si>
  <si>
    <t>2010s</t>
  </si>
  <si>
    <t>2020s</t>
  </si>
  <si>
    <t>Revenue Breakdown by Segment (Build graph for this section if applicable…. See example below)</t>
  </si>
  <si>
    <t>Notes:</t>
  </si>
  <si>
    <t>[X]</t>
  </si>
  <si>
    <t>[Y]</t>
  </si>
  <si>
    <t>[Z]</t>
  </si>
  <si>
    <t>Total Revenues, Net Income, FCF</t>
  </si>
  <si>
    <t>Close</t>
  </si>
  <si>
    <t>High</t>
  </si>
  <si>
    <t>Low</t>
  </si>
  <si>
    <t>Open</t>
  </si>
  <si>
    <t>Volume</t>
  </si>
  <si>
    <t>UTC Date</t>
  </si>
  <si>
    <t>Change</t>
  </si>
  <si>
    <t xml:space="preserve">[Ticker] Historical Return Histogram (Date Built) </t>
  </si>
  <si>
    <t>Min</t>
  </si>
  <si>
    <t>Max</t>
  </si>
  <si>
    <t>Mean μ</t>
  </si>
  <si>
    <t>Median</t>
  </si>
  <si>
    <t>SD σ</t>
  </si>
  <si>
    <t xml:space="preserve">  3σ 1-Day Δ: ±</t>
  </si>
  <si>
    <t>&lt;- Shapre Ratio (Risk Adjusted Return)</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</si>
  <si>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</si>
  <si>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</si>
  <si>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</si>
  <si>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</si>
  <si>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</si>
  <si>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</si>
  <si>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</si>
  <si>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</si>
  <si>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</si>
  <si>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</si>
  <si>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</si>
  <si>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</si>
  <si>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Q2 2008</t>
  </si>
  <si>
    <t>Q3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</si>
  <si>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</si>
  <si>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</si>
  <si>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</si>
  <si>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</si>
  <si>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</si>
  <si>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</si>
  <si>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</si>
  <si>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</si>
  <si>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</si>
  <si>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</si>
  <si>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</si>
  <si>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</si>
  <si>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</si>
  <si>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</si>
  <si>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</si>
  <si>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</si>
  <si>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</si>
  <si>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</si>
  <si>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</si>
  <si>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</si>
  <si>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</si>
  <si>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</si>
  <si>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</si>
  <si>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</si>
  <si>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</si>
  <si>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</si>
  <si>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</si>
  <si>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</si>
  <si>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</si>
  <si>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</si>
  <si>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</si>
  <si>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</si>
  <si>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</si>
  <si>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</si>
  <si>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</si>
  <si>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</si>
  <si>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</si>
  <si>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</si>
  <si>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</si>
  <si>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</si>
  <si>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</si>
  <si>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</si>
  <si>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</si>
  <si>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</si>
  <si>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</si>
  <si>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</si>
  <si>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</si>
  <si>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</si>
  <si>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</si>
  <si>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</si>
  <si>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</si>
  <si>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</si>
  <si>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</si>
  <si>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</si>
  <si>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</si>
  <si>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</si>
  <si>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</si>
  <si>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</si>
  <si>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</si>
  <si>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</si>
  <si>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</si>
  <si>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</si>
  <si>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</si>
  <si>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</si>
  <si>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</si>
  <si>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</si>
  <si>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</si>
  <si>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</si>
  <si>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</si>
  <si>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</si>
  <si>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</si>
  <si>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</si>
  <si>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</si>
  <si>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</si>
  <si>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</si>
  <si>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</si>
  <si>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Q1 2008</t>
  </si>
  <si>
    <t>Q4 2008</t>
  </si>
  <si>
    <t>[Segement A] Ttl Revenues</t>
  </si>
  <si>
    <t>Product D</t>
  </si>
  <si>
    <t>[Segement B] Ttl Revenues</t>
  </si>
  <si>
    <t>Product A</t>
  </si>
  <si>
    <t>Product B</t>
  </si>
  <si>
    <t>Product C</t>
  </si>
  <si>
    <t>Product E</t>
  </si>
  <si>
    <t>Product F</t>
  </si>
  <si>
    <t>Product G</t>
  </si>
  <si>
    <t>Product H</t>
  </si>
  <si>
    <t>Product I</t>
  </si>
  <si>
    <t>Product J</t>
  </si>
  <si>
    <t>[Segment A] % of Ttl Revenues</t>
  </si>
  <si>
    <t>[Segment B] % of Ttl Revenues</t>
  </si>
  <si>
    <t>Product A Growth Y/y</t>
  </si>
  <si>
    <t>Product B Growth Y/y</t>
  </si>
  <si>
    <t>Product C Growth Y/y</t>
  </si>
  <si>
    <t>Product D Growth Y/y</t>
  </si>
  <si>
    <t>Product E Growth Y/y</t>
  </si>
  <si>
    <t>Product F Growth Y/y</t>
  </si>
  <si>
    <t>Product J Growth Y/y</t>
  </si>
  <si>
    <t>Product H Growth Y/y</t>
  </si>
  <si>
    <t>Product G Growth Y/y</t>
  </si>
  <si>
    <t>Product I Growth Y/y</t>
  </si>
  <si>
    <t>U.S. Revenues</t>
  </si>
  <si>
    <t>[Region C] Revenues</t>
  </si>
  <si>
    <t>[Region B] Revenues</t>
  </si>
  <si>
    <t>[Region A] Revenues</t>
  </si>
  <si>
    <t>U.S. % of Revenues</t>
  </si>
  <si>
    <t>[Region A] Revenues % of Revenues</t>
  </si>
  <si>
    <t>[Region B] Revenues % of Revenues</t>
  </si>
  <si>
    <t>[Region C] Revenues % of Revenues</t>
  </si>
  <si>
    <t>[Region A] Revenue Growth Y/y</t>
  </si>
  <si>
    <t>[Region B] Revenue Growth Y/y</t>
  </si>
  <si>
    <t>U.S. Revenue Growth Y/y</t>
  </si>
  <si>
    <t>[Region C] Revenue Growth Y/y</t>
  </si>
  <si>
    <t>COGS</t>
  </si>
  <si>
    <t>GP</t>
  </si>
  <si>
    <t>Gross Profit Margin</t>
  </si>
  <si>
    <t>R&amp;D as % of Revenue</t>
  </si>
  <si>
    <t>SG&amp;A as % of Revenue</t>
  </si>
  <si>
    <t>Operating Profit Margin</t>
  </si>
  <si>
    <t>Effective Tax Rate</t>
  </si>
  <si>
    <t>Net Profit Margin</t>
  </si>
  <si>
    <t xml:space="preserve">Cash &amp; CEs </t>
  </si>
  <si>
    <t>ST Investments</t>
  </si>
  <si>
    <t>Marketable Securities</t>
  </si>
  <si>
    <t>Current Ratio</t>
  </si>
  <si>
    <t>Quick Ratio</t>
  </si>
  <si>
    <t>Cash Ratio</t>
  </si>
  <si>
    <t>Ttl Asset Turnover</t>
  </si>
  <si>
    <t>Inventory Turnover Ratio</t>
  </si>
  <si>
    <t>Return on Assets</t>
  </si>
  <si>
    <t>Return on Equity</t>
  </si>
  <si>
    <t>Net Income</t>
  </si>
  <si>
    <t>CFFO</t>
  </si>
  <si>
    <t>CapEx, net</t>
  </si>
  <si>
    <t>FCF</t>
  </si>
  <si>
    <t>SC</t>
  </si>
  <si>
    <t>FCF per Share</t>
  </si>
  <si>
    <t>General Notes/Observations (Updated Q1'25)</t>
  </si>
  <si>
    <t>Financial Stmts. Notes/Observations (Updated Q1'25)</t>
  </si>
  <si>
    <t>Revenues:</t>
  </si>
  <si>
    <t>[Godel Snapshot of projected sales]</t>
  </si>
  <si>
    <t>Earnings Scope:</t>
  </si>
  <si>
    <t>[Godel Snapshot of projected earnings/EPS]</t>
  </si>
  <si>
    <t>Balance Sheet Scope:</t>
  </si>
  <si>
    <t>[Godel Snapshot of projected balances (assets, liabilities, equity)]</t>
  </si>
  <si>
    <t>[Equity Preformance Compared to Peers]</t>
  </si>
  <si>
    <t>Use Godel CMS command</t>
  </si>
  <si>
    <t>Mean</t>
  </si>
  <si>
    <t>-3σ</t>
  </si>
  <si>
    <t>-2σ</t>
  </si>
  <si>
    <t>-1σ</t>
  </si>
  <si>
    <t>1σ</t>
  </si>
  <si>
    <t>2σ</t>
  </si>
  <si>
    <t>3σ</t>
  </si>
  <si>
    <t>BDX</t>
  </si>
  <si>
    <t xml:space="preserve">Becton, Dickinson </t>
  </si>
  <si>
    <t>Founded: 1897</t>
  </si>
  <si>
    <t>Headquarters: Franklin Lake, NJ</t>
  </si>
  <si>
    <t>Registered Exchange: NYSE</t>
  </si>
  <si>
    <t>Becton, Dickinson and Company develops, manufactures, and sells medical supplies, devices, laboratory equipment, and diagnostic products for healthcare institutions, physicians, life science researchers, clinical laboratories, pharmaceutical industry, and the general public worldwide</t>
  </si>
  <si>
    <t>IV medication and infusion therapy delivery systems, medication compounding workflow systems, automated Medication dispensing and supply management systems, and medication inventory optimization and tracking systems</t>
  </si>
  <si>
    <t>Syringes, pen needles, and other products for diabetes; and prefillable drug delivery systems</t>
  </si>
  <si>
    <t>The Company's BD Life Sciences segment provides specimen and blood collection products; automated blood and tuberculosis culturing, molecular testing, microorganism identification and drug susceptibility, and liquid-based cytology systems, as well as rapid diagnostic assays, microbiology laboratory automation products, and plated media products</t>
  </si>
  <si>
    <t>The Company's BD Medical segment offers peripheral intravenous (IV) and advanced peripheral catheters, central lines, acute dialysis catheters, vascular care and preparation products, needle-free IV connectors and extensions sets, closed-system drug transfer devices, hazardous drug detections, hypodermic syringes and needles, anesthesia needles and trays, enteral syringes, and sharps disposal systems</t>
  </si>
  <si>
    <t>The Company's BD Interventional segment offers hernia and soft tissue repair, biological and bioresorbable grafts, biosurgery, and other surgical products</t>
  </si>
  <si>
    <t>Surgical infection prevention, surgical and laparoscopic instrumentation products</t>
  </si>
  <si>
    <t>Fluorescence-activated cell sorters and analyzers, antibodies and kits, reagent systems, and solutions for single-cell gene expression analysis, as well as clinical oncology, immunological, and transplantation diagnostic/monitoring reagents and analyzers</t>
  </si>
  <si>
    <t>Peripheral intervention products; and urology and critical care products</t>
  </si>
  <si>
    <t>Employees: 70,000</t>
  </si>
  <si>
    <t>The Company was founded in 1897 and is headquartered in Franklin Lakes, New Jersey</t>
  </si>
  <si>
    <t>Sector: Communication Services</t>
  </si>
  <si>
    <t>Industry: Internet Content &amp; Information</t>
  </si>
  <si>
    <t>IPO: Aug. 19, 2004 -- $23B valuation</t>
  </si>
  <si>
    <t>Resources:</t>
  </si>
  <si>
    <t>Peripheral Catheters</t>
  </si>
  <si>
    <t>Investors Relation Department</t>
  </si>
  <si>
    <t>Phone:</t>
  </si>
  <si>
    <t xml:space="preserve">Email: </t>
  </si>
  <si>
    <t>Company Homepage</t>
  </si>
  <si>
    <t>Company IR Page</t>
  </si>
  <si>
    <t>Earnings Calls</t>
  </si>
  <si>
    <t>Equity Analysis</t>
  </si>
  <si>
    <t>MacroTrends</t>
  </si>
  <si>
    <t>ROIC, WACC</t>
  </si>
  <si>
    <t>https://app.godelterminal.com/</t>
  </si>
  <si>
    <t>Founders: Maxwell Becton, Fairleigh Dickinson</t>
  </si>
  <si>
    <t>9/19/25</t>
  </si>
  <si>
    <t>Q2'25</t>
  </si>
  <si>
    <t>https://www.sec.gov/edgar/browse/?CIK=10795&amp;owner=exclude</t>
  </si>
  <si>
    <t>https://stockanalysis.com/stocks/bdx/</t>
  </si>
  <si>
    <t>Current CEO: Thomas Polen Jr.</t>
  </si>
  <si>
    <t>https://www.macrotrends.net/stocks/charts/BDX/becton-dickinson/income-statement?freq=A</t>
  </si>
  <si>
    <t>https://www.gurufocus.com/term/wacc/BDX</t>
  </si>
  <si>
    <t>https://seekingalpha.com/symbol/BDX/earnings/transcripts</t>
  </si>
  <si>
    <t>https://www.bd.com/en-us</t>
  </si>
  <si>
    <t>https://investors.bd.com/</t>
  </si>
  <si>
    <t>(201) 847-6800</t>
  </si>
  <si>
    <t>Address: 1 Becton Drive, Franklin Lakes, NJ 07417-1880 U.S.</t>
  </si>
  <si>
    <t>investor_relations@bd.com</t>
  </si>
  <si>
    <t>Fiscal Year: [January - December]</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</si>
  <si>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</si>
  <si>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</si>
  <si>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</si>
  <si>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</si>
  <si>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</si>
  <si>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</si>
  <si>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</si>
  <si>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</si>
  <si>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</si>
  <si>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</si>
  <si>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</si>
  <si>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</si>
  <si>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</si>
  <si>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</si>
  <si>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</si>
  <si>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</si>
  <si>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</si>
  <si>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</si>
  <si>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</si>
  <si>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</si>
  <si>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</si>
  <si>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</si>
  <si>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</si>
  <si>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</si>
  <si>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</si>
  <si>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</si>
  <si>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</si>
  <si>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</si>
  <si>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</si>
  <si>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</si>
  <si>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</si>
  <si>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</si>
  <si>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</si>
  <si>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</si>
  <si>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</si>
  <si>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</si>
  <si>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</si>
  <si>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</si>
  <si>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</si>
  <si>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</si>
  <si>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</si>
  <si>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</si>
  <si>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</si>
  <si>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</si>
  <si>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</si>
  <si>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</si>
  <si>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</si>
  <si>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</si>
  <si>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</si>
  <si>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</si>
  <si>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</si>
  <si>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</si>
  <si>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</si>
  <si>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</si>
  <si>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</si>
  <si>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</si>
  <si>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</si>
  <si>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</si>
  <si>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</si>
  <si>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</si>
  <si>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</si>
  <si>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</si>
  <si>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</si>
  <si>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</si>
  <si>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</si>
  <si>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</si>
  <si>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</si>
  <si>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</si>
  <si>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</si>
  <si>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</si>
  <si>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</si>
  <si>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</si>
  <si>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</si>
  <si>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</si>
  <si>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</si>
  <si>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</si>
  <si>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</si>
  <si>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</si>
  <si>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</si>
  <si>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</si>
  <si>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</si>
  <si>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</si>
  <si>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</si>
  <si>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</si>
  <si>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</si>
  <si>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</si>
  <si>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</si>
  <si>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</si>
  <si>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</si>
  <si>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</si>
  <si>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</si>
  <si>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</si>
  <si>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</si>
  <si>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</si>
  <si>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</si>
  <si>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</si>
  <si>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</si>
  <si>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</si>
  <si>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</si>
  <si>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</si>
  <si>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</si>
  <si>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</si>
  <si>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</si>
  <si>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</si>
  <si>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</si>
  <si>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</si>
  <si>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</si>
  <si>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</si>
  <si>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</si>
  <si>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</si>
  <si>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</si>
  <si>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</si>
  <si>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</si>
  <si>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</si>
  <si>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</si>
  <si>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</si>
  <si>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</si>
  <si>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</si>
  <si>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</si>
  <si>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</si>
  <si>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</si>
  <si>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</si>
  <si>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</si>
  <si>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</si>
  <si>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</si>
  <si>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</si>
  <si>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</si>
  <si>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</si>
  <si>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</si>
  <si>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</si>
  <si>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</si>
  <si>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</si>
  <si>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</si>
  <si>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</si>
  <si>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</si>
  <si>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</si>
  <si>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</si>
  <si>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</si>
  <si>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</si>
  <si>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</si>
  <si>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</si>
  <si>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</si>
  <si>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</si>
  <si>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</si>
  <si>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</si>
  <si>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</si>
  <si>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</si>
  <si>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</si>
  <si>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</si>
  <si>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</si>
  <si>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</si>
  <si>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</si>
  <si>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</si>
  <si>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</si>
  <si>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</si>
  <si>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</si>
  <si>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</si>
  <si>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</si>
  <si>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</si>
  <si>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</si>
  <si>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</si>
  <si>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</si>
  <si>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</si>
  <si>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</si>
  <si>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</si>
  <si>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</si>
  <si>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</si>
  <si>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</si>
  <si>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</si>
  <si>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</si>
  <si>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</si>
  <si>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</si>
  <si>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</si>
  <si>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</si>
  <si>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</si>
  <si>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</si>
  <si>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</si>
  <si>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</si>
  <si>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</si>
  <si>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</si>
  <si>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</si>
  <si>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</si>
  <si>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</si>
  <si>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</si>
  <si>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</si>
  <si>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</si>
  <si>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</si>
  <si>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</si>
  <si>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</si>
  <si>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</si>
  <si>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</si>
  <si>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</si>
  <si>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</si>
  <si>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</si>
  <si>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</si>
  <si>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</si>
  <si>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</si>
  <si>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</si>
  <si>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</si>
  <si>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</si>
  <si>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</si>
  <si>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</si>
  <si>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</si>
  <si>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</si>
  <si>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</si>
  <si>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</si>
  <si>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</si>
  <si>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</si>
  <si>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</si>
  <si>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</si>
  <si>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</si>
  <si>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</si>
  <si>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</si>
  <si>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</si>
  <si>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</si>
  <si>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</si>
  <si>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</si>
  <si>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</si>
  <si>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</si>
  <si>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</si>
  <si>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</si>
  <si>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</si>
  <si>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</si>
  <si>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</si>
  <si>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</si>
  <si>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</si>
  <si>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</si>
  <si>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</si>
  <si>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</si>
  <si>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</si>
  <si>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</si>
  <si>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</si>
  <si>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</si>
  <si>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</si>
  <si>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</si>
  <si>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</si>
  <si>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</si>
  <si>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</si>
  <si>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</si>
  <si>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</si>
  <si>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</si>
  <si>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</si>
  <si>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</si>
  <si>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</si>
  <si>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</si>
  <si>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</si>
  <si>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</si>
  <si>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</si>
  <si>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</si>
  <si>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</si>
  <si>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</si>
  <si>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</si>
  <si>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</si>
  <si>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</si>
  <si>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</si>
  <si>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</si>
  <si>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</si>
  <si>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</si>
  <si>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</si>
  <si>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</si>
  <si>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</si>
  <si>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</si>
  <si>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</si>
  <si>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</si>
  <si>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</si>
  <si>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</si>
  <si>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</si>
  <si>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</si>
  <si>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</si>
  <si>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</si>
  <si>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</si>
  <si>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</si>
  <si>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</si>
  <si>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</si>
  <si>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</si>
  <si>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</si>
  <si>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</si>
  <si>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</si>
  <si>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</si>
  <si>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</si>
  <si>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</si>
  <si>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</si>
  <si>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</si>
  <si>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</si>
  <si>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</si>
  <si>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</si>
  <si>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</si>
  <si>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</si>
  <si>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</si>
  <si>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</si>
  <si>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</si>
  <si>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</si>
  <si>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</si>
  <si>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</si>
  <si>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</si>
  <si>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</si>
  <si>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</si>
  <si>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</si>
  <si>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</si>
  <si>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</si>
  <si>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</si>
  <si>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</si>
  <si>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</si>
  <si>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</si>
  <si>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</si>
  <si>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</si>
  <si>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</si>
  <si>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</si>
  <si>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</si>
  <si>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</si>
  <si>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</si>
  <si>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</si>
  <si>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</si>
  <si>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</si>
  <si>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</si>
  <si>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</si>
  <si>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</si>
  <si>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</si>
  <si>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</si>
  <si>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</si>
  <si>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</si>
  <si>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</si>
  <si>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</si>
  <si>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</si>
  <si>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</si>
  <si>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</si>
  <si>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</si>
  <si>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</si>
  <si>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</si>
  <si>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</si>
  <si>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</si>
  <si>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</si>
  <si>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</si>
  <si>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</si>
  <si>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</si>
  <si>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</si>
  <si>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</si>
  <si>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</si>
  <si>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</si>
  <si>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</si>
  <si>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</si>
  <si>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</si>
  <si>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</si>
  <si>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</si>
  <si>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</si>
  <si>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</si>
  <si>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</si>
  <si>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</si>
  <si>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</si>
  <si>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</si>
  <si>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</si>
  <si>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</si>
  <si>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</si>
  <si>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</si>
  <si>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</si>
  <si>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</si>
  <si>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</si>
  <si>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</si>
  <si>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</si>
  <si>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</si>
  <si>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</si>
  <si>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</si>
  <si>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</si>
  <si>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</si>
  <si>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</si>
  <si>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</si>
  <si>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</si>
  <si>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</si>
  <si>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</si>
  <si>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</si>
  <si>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</si>
  <si>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</si>
  <si>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</si>
  <si>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</si>
  <si>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</si>
  <si>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</si>
  <si>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</si>
  <si>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</si>
  <si>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</si>
  <si>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</si>
  <si>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</si>
  <si>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</si>
  <si>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</si>
  <si>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</si>
  <si>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</si>
  <si>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</si>
  <si>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</si>
  <si>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</si>
  <si>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</si>
  <si>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</si>
  <si>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</si>
  <si>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</si>
  <si>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</si>
  <si>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</si>
  <si>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</si>
  <si>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</si>
  <si>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</si>
  <si>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</si>
  <si>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</si>
  <si>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</si>
  <si>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</si>
  <si>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</si>
  <si>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</si>
  <si>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</si>
  <si>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</si>
  <si>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</si>
  <si>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</si>
  <si>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</si>
  <si>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</si>
  <si>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</si>
  <si>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</si>
  <si>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</si>
  <si>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</si>
  <si>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</si>
  <si>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</si>
  <si>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</si>
  <si>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</si>
  <si>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</si>
  <si>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</si>
  <si>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</si>
  <si>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</si>
  <si>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</si>
  <si>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</si>
  <si>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</si>
  <si>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</si>
  <si>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</si>
  <si>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</si>
  <si>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</si>
  <si>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</si>
  <si>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</si>
  <si>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</si>
  <si>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</si>
  <si>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</si>
  <si>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</si>
  <si>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</si>
  <si>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</si>
  <si>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</si>
  <si>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</si>
  <si>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</si>
  <si>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</si>
  <si>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</si>
  <si>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</si>
  <si>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</si>
  <si>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</si>
  <si>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</si>
  <si>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</si>
  <si>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</si>
  <si>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</si>
  <si>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</si>
  <si>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</si>
  <si>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</si>
  <si>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</si>
  <si>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</si>
  <si>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</si>
  <si>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</si>
  <si>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</si>
  <si>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</si>
  <si>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</si>
  <si>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</si>
  <si>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</si>
  <si>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</si>
  <si>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</si>
  <si>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</si>
  <si>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</si>
  <si>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</si>
  <si>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</si>
  <si>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</si>
  <si>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</si>
  <si>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</si>
  <si>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</si>
  <si>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</si>
  <si>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</si>
  <si>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</si>
  <si>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</si>
  <si>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</si>
  <si>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</si>
  <si>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</si>
  <si>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</si>
  <si>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</si>
  <si>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</si>
  <si>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</si>
  <si>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</si>
  <si>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</si>
  <si>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</si>
  <si>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</si>
  <si>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</si>
  <si>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</si>
  <si>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</si>
  <si>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</si>
  <si>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</si>
  <si>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</si>
  <si>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</si>
  <si>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</si>
  <si>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</si>
  <si>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</si>
  <si>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</si>
  <si>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</si>
  <si>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</si>
  <si>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</si>
  <si>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</si>
  <si>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</si>
  <si>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</si>
  <si>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</si>
  <si>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</si>
  <si>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</si>
  <si>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</si>
  <si>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</si>
  <si>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</si>
  <si>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</si>
  <si>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</si>
  <si>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</si>
  <si>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</si>
  <si>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</si>
  <si>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</si>
  <si>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</si>
  <si>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</si>
  <si>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</si>
  <si>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</si>
  <si>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</si>
  <si>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</si>
  <si>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</si>
  <si>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</si>
  <si>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</si>
  <si>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</si>
  <si>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</si>
  <si>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</si>
  <si>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</si>
  <si>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</si>
  <si>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</si>
  <si>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</si>
  <si>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</si>
  <si>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</si>
  <si>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</si>
  <si>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</si>
  <si>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</si>
  <si>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</si>
  <si>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</si>
  <si>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</si>
  <si>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</si>
  <si>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</si>
  <si>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</si>
  <si>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</si>
  <si>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</si>
  <si>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</si>
  <si>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</si>
  <si>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</si>
  <si>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</si>
  <si>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</si>
  <si>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</si>
  <si>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</si>
  <si>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</si>
  <si>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</si>
  <si>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</si>
  <si>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</si>
  <si>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</si>
  <si>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</si>
  <si>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</si>
  <si>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</si>
  <si>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</si>
  <si>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</si>
  <si>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</si>
  <si>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</si>
  <si>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</si>
  <si>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</si>
  <si>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</si>
  <si>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</si>
  <si>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</si>
  <si>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</si>
  <si>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</si>
  <si>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</si>
  <si>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</si>
  <si>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</si>
  <si>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</si>
  <si>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</si>
  <si>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</si>
  <si>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</si>
  <si>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</si>
  <si>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</si>
  <si>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</si>
  <si>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</si>
  <si>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</si>
  <si>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</si>
  <si>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</si>
  <si>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</si>
  <si>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</si>
  <si>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</si>
  <si>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</si>
  <si>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</si>
  <si>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</si>
  <si>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</si>
  <si>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</si>
  <si>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</si>
  <si>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</si>
  <si>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</si>
  <si>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</si>
  <si>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</si>
  <si>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</si>
  <si>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</si>
  <si>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</si>
  <si>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</si>
  <si>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</si>
  <si>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</si>
  <si>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</si>
  <si>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</si>
  <si>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</si>
  <si>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</si>
  <si>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</si>
  <si>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</si>
  <si>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</si>
  <si>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</si>
  <si>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</si>
  <si>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</si>
  <si>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</si>
  <si>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</si>
  <si>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</si>
  <si>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</si>
  <si>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</si>
  <si>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</si>
  <si>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</si>
  <si>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</si>
  <si>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</si>
  <si>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</si>
  <si>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</si>
  <si>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</si>
  <si>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</si>
  <si>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</si>
  <si>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</si>
  <si>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</si>
  <si>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</si>
  <si>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</si>
  <si>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</si>
  <si>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</si>
  <si>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</si>
  <si>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</si>
  <si>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</si>
  <si>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</si>
  <si>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</si>
  <si>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</si>
  <si>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</si>
  <si>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</si>
  <si>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</si>
  <si>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</si>
  <si>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</si>
  <si>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</si>
  <si>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</si>
  <si>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</si>
  <si>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</si>
  <si>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</si>
  <si>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</si>
  <si>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</si>
  <si>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</si>
  <si>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</si>
  <si>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</si>
  <si>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</si>
  <si>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</si>
  <si>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</si>
  <si>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</si>
  <si>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</si>
  <si>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</si>
  <si>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</si>
  <si>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</si>
  <si>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</si>
  <si>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</si>
  <si>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</si>
  <si>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</si>
  <si>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</si>
  <si>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</si>
  <si>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</si>
  <si>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</si>
  <si>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</si>
  <si>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</si>
  <si>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</si>
  <si>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</si>
  <si>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</si>
  <si>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</si>
  <si>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</si>
  <si>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</si>
  <si>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</si>
  <si>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</si>
  <si>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</si>
  <si>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</si>
  <si>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</si>
  <si>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</si>
  <si>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</si>
  <si>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</si>
  <si>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</si>
  <si>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</si>
  <si>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</si>
  <si>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</si>
  <si>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</si>
  <si>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</si>
  <si>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</si>
  <si>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</si>
  <si>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</si>
  <si>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</si>
  <si>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</si>
  <si>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</si>
  <si>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</si>
  <si>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</si>
  <si>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</si>
  <si>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</si>
  <si>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</si>
  <si>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</si>
  <si>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</si>
  <si>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</si>
  <si>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</si>
  <si>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</si>
  <si>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</si>
  <si>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</si>
  <si>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</si>
  <si>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</si>
  <si>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</si>
  <si>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</si>
  <si>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</si>
  <si>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</si>
  <si>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</si>
  <si>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</si>
  <si>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</si>
  <si>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</si>
  <si>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</si>
  <si>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</si>
  <si>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</si>
  <si>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</si>
  <si>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</si>
  <si>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</si>
  <si>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</si>
  <si>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</si>
  <si>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</si>
  <si>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</si>
  <si>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</si>
  <si>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</si>
  <si>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</si>
  <si>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</si>
  <si>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</si>
  <si>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</si>
  <si>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</si>
  <si>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</si>
  <si>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</si>
  <si>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</si>
  <si>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</si>
  <si>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</si>
  <si>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</si>
  <si>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</si>
  <si>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</si>
  <si>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</si>
  <si>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</si>
  <si>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</si>
  <si>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</si>
  <si>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</si>
  <si>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</si>
  <si>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</si>
  <si>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</si>
  <si>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</si>
  <si>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</si>
  <si>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</si>
  <si>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</si>
  <si>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</si>
  <si>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</si>
  <si>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</si>
  <si>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</si>
  <si>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</si>
  <si>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</si>
  <si>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</si>
  <si>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</si>
  <si>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</si>
  <si>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</si>
  <si>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</si>
  <si>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</si>
  <si>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</si>
  <si>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</si>
  <si>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</si>
  <si>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</si>
  <si>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</si>
  <si>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</si>
  <si>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</si>
  <si>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</si>
  <si>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</si>
  <si>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</si>
  <si>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</si>
  <si>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</si>
  <si>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</si>
  <si>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</si>
  <si>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</si>
  <si>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</si>
  <si>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</si>
  <si>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</si>
  <si>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</si>
  <si>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</si>
  <si>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</si>
  <si>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</si>
  <si>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</si>
  <si>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</si>
  <si>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</si>
  <si>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</si>
  <si>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</si>
  <si>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</si>
  <si>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</si>
  <si>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</si>
  <si>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</si>
  <si>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</si>
  <si>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</si>
  <si>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</si>
  <si>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</si>
  <si>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</si>
  <si>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</si>
  <si>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</si>
  <si>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</si>
  <si>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</si>
  <si>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</si>
  <si>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</si>
  <si>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</si>
  <si>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</si>
  <si>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</si>
  <si>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</si>
  <si>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</si>
  <si>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</si>
  <si>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</si>
  <si>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</si>
  <si>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</si>
  <si>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</si>
  <si>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</si>
  <si>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</si>
  <si>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</si>
  <si>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</si>
  <si>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</si>
  <si>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</si>
  <si>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</si>
  <si>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</si>
  <si>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</si>
  <si>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</si>
  <si>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</si>
  <si>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</si>
  <si>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</si>
  <si>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</si>
  <si>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</si>
  <si>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</si>
  <si>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</si>
  <si>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</si>
  <si>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</si>
  <si>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</si>
  <si>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</si>
  <si>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</si>
  <si>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</si>
  <si>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</si>
  <si>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</si>
  <si>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</si>
  <si>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</si>
  <si>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</si>
  <si>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</si>
  <si>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</si>
  <si>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</si>
  <si>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</si>
  <si>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</si>
  <si>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</si>
  <si>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</si>
  <si>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</si>
  <si>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</si>
  <si>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</si>
  <si>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</si>
  <si>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</si>
  <si>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</si>
  <si>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</si>
  <si>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</si>
  <si>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</si>
  <si>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</si>
  <si>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</si>
  <si>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</si>
  <si>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</si>
  <si>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</si>
  <si>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</si>
  <si>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</si>
  <si>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</si>
  <si>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</si>
  <si>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</si>
  <si>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</si>
  <si>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</si>
  <si>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</si>
  <si>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</si>
  <si>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</si>
  <si>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</si>
  <si>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</si>
  <si>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</si>
  <si>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</si>
  <si>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</si>
  <si>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</si>
  <si>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</si>
  <si>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</si>
  <si>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</si>
  <si>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</si>
  <si>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</si>
  <si>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</si>
  <si>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</si>
  <si>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</si>
  <si>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</si>
  <si>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</si>
  <si>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</si>
  <si>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</si>
  <si>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</si>
  <si>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</si>
  <si>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</si>
  <si>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</si>
  <si>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</si>
  <si>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</si>
  <si>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</si>
  <si>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</si>
  <si>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</si>
  <si>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</si>
  <si>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</si>
  <si>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</si>
  <si>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</si>
  <si>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</si>
  <si>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</si>
  <si>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</si>
  <si>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</si>
  <si>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</si>
  <si>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</si>
  <si>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</si>
  <si>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</si>
  <si>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</si>
  <si>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</si>
  <si>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</si>
  <si>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</si>
  <si>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</si>
  <si>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</si>
  <si>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</si>
  <si>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</si>
  <si>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</si>
  <si>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</si>
  <si>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</si>
  <si>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</si>
  <si>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</si>
  <si>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</si>
  <si>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</si>
  <si>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</si>
  <si>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</si>
  <si>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</si>
  <si>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</si>
  <si>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</si>
  <si>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</si>
  <si>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</si>
  <si>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</si>
  <si>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</si>
  <si>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</si>
  <si>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</si>
  <si>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</si>
  <si>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</si>
  <si>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</si>
  <si>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</si>
  <si>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</si>
  <si>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</si>
  <si>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</si>
  <si>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</si>
  <si>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</si>
  <si>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</si>
  <si>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</si>
  <si>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</si>
  <si>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</si>
  <si>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</si>
  <si>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</si>
  <si>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</si>
  <si>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</si>
  <si>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</si>
  <si>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</si>
  <si>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</si>
  <si>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</si>
  <si>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</si>
  <si>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</si>
  <si>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</si>
  <si>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</si>
  <si>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</si>
  <si>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</si>
  <si>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</si>
  <si>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</si>
  <si>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</si>
  <si>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</si>
  <si>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</si>
  <si>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</si>
  <si>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</si>
  <si>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</si>
  <si>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</si>
  <si>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</si>
  <si>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</si>
  <si>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</si>
  <si>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</si>
  <si>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</si>
  <si>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</si>
  <si>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</si>
  <si>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</si>
  <si>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</si>
  <si>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</si>
  <si>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</si>
  <si>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</si>
  <si>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</si>
  <si>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</si>
  <si>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</si>
  <si>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</si>
  <si>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</si>
  <si>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</si>
  <si>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</si>
  <si>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</si>
  <si>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</si>
  <si>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</si>
  <si>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</si>
  <si>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</si>
  <si>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</si>
  <si>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</si>
  <si>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</si>
  <si>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</si>
  <si>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</si>
  <si>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</si>
  <si>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</si>
  <si>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</si>
  <si>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</si>
  <si>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</si>
  <si>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</si>
  <si>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</si>
  <si>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</si>
  <si>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</si>
  <si>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</si>
  <si>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</si>
  <si>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</si>
  <si>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</si>
  <si>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</si>
  <si>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</si>
  <si>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</si>
  <si>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</si>
  <si>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</si>
  <si>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</si>
  <si>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</si>
  <si>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</si>
  <si>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</si>
  <si>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</si>
  <si>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</si>
  <si>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</si>
  <si>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</si>
  <si>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</si>
  <si>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</si>
  <si>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</si>
  <si>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</si>
  <si>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</si>
  <si>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</si>
  <si>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</si>
  <si>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</si>
  <si>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</si>
  <si>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</si>
  <si>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</si>
  <si>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</si>
  <si>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</si>
  <si>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</si>
  <si>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</si>
  <si>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</si>
  <si>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</si>
  <si>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</si>
  <si>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</si>
  <si>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</si>
  <si>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</si>
  <si>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</si>
  <si>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</si>
  <si>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</si>
  <si>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</si>
  <si>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</si>
  <si>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</si>
  <si>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</si>
  <si>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</si>
  <si>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</si>
  <si>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</si>
  <si>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</si>
  <si>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</si>
  <si>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</si>
  <si>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</si>
  <si>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</si>
  <si>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</si>
  <si>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</si>
  <si>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</si>
  <si>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</si>
  <si>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</si>
  <si>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</si>
  <si>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</si>
  <si>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</si>
  <si>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</si>
  <si>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</si>
  <si>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</si>
  <si>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</si>
  <si>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</si>
  <si>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</si>
  <si>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</si>
  <si>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</si>
  <si>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</si>
  <si>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</si>
  <si>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</si>
  <si>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</si>
  <si>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</si>
  <si>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</si>
  <si>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</si>
  <si>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</si>
  <si>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</si>
  <si>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</si>
  <si>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</si>
  <si>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</si>
  <si>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</si>
  <si>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</si>
  <si>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</si>
  <si>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</si>
  <si>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</si>
  <si>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</si>
  <si>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</si>
  <si>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</si>
  <si>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</si>
  <si>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</si>
  <si>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</si>
  <si>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</si>
  <si>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</si>
  <si>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</si>
  <si>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</si>
  <si>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</si>
  <si>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</si>
  <si>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</si>
  <si>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</si>
  <si>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</si>
  <si>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</si>
  <si>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</si>
  <si>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</si>
  <si>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</si>
  <si>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</si>
  <si>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</si>
  <si>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</si>
  <si>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</si>
  <si>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</si>
  <si>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</si>
  <si>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</si>
  <si>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</si>
  <si>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</si>
  <si>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</si>
  <si>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</si>
  <si>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</si>
  <si>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</si>
  <si>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</si>
  <si>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</si>
  <si>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</si>
  <si>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</si>
  <si>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</si>
  <si>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</si>
  <si>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</si>
  <si>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</si>
  <si>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</si>
  <si>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</si>
  <si>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</si>
  <si>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</si>
  <si>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</si>
  <si>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</si>
  <si>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</si>
  <si>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</si>
  <si>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</si>
  <si>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</si>
  <si>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</si>
  <si>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</si>
  <si>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</si>
  <si>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</si>
  <si>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</si>
  <si>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</si>
  <si>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</si>
  <si>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</si>
  <si>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</si>
  <si>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</si>
  <si>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</si>
  <si>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</si>
  <si>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</si>
  <si>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</si>
  <si>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</si>
  <si>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</si>
  <si>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</si>
  <si>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</si>
  <si>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</si>
  <si>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</si>
  <si>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</si>
  <si>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</si>
  <si>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</si>
  <si>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</si>
  <si>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</si>
  <si>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</si>
  <si>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</si>
  <si>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</si>
  <si>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</si>
  <si>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</si>
  <si>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</si>
  <si>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</si>
  <si>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</si>
  <si>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</si>
  <si>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</si>
  <si>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</si>
  <si>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</si>
  <si>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</si>
  <si>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</si>
  <si>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</si>
  <si>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</si>
  <si>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</si>
  <si>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</si>
  <si>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</si>
  <si>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</si>
  <si>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</si>
  <si>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</si>
  <si>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</si>
  <si>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</si>
  <si>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</si>
  <si>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</si>
  <si>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</si>
  <si>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</si>
  <si>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</si>
  <si>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</si>
  <si>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</si>
  <si>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</si>
  <si>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</si>
  <si>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</si>
  <si>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</si>
  <si>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</si>
  <si>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</si>
  <si>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</si>
  <si>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</si>
  <si>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</si>
  <si>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</si>
  <si>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</si>
  <si>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</si>
  <si>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</si>
  <si>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</si>
  <si>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</si>
  <si>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</si>
  <si>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</si>
  <si>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</si>
  <si>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</si>
  <si>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</si>
  <si>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</si>
  <si>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</si>
  <si>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</si>
  <si>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</si>
  <si>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</si>
  <si>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</si>
  <si>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</si>
  <si>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</si>
  <si>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</si>
  <si>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</si>
  <si>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</si>
  <si>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</si>
  <si>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</si>
  <si>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</si>
  <si>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</si>
  <si>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</si>
  <si>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</si>
  <si>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</si>
  <si>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</si>
  <si>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</si>
  <si>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</si>
  <si>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</si>
  <si>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</si>
  <si>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</si>
  <si>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</si>
  <si>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</si>
  <si>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1256 Trading Days? (From: 9/20/20 - 9/20/25)</t>
  </si>
  <si>
    <t>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</si>
</sst>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19">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u/>
      <sz val="11"/>
      <color rgb="FF00B0F0"/>
      <name val="Calibri"/>
      <family val="2"/>
      <scheme val="minor"/>
    </font>
    <font>
      <sz val="10"/>
      <name val="Arial"/>
      <family val="2"/>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4" fontId="1" fillId="0" borderId="0" applyFont="0" applyFill="0" applyBorder="0" applyAlignment="0" applyProtection="0"/>
  </cellStyleXfs>
  <cellXfs count="56">
    <xf numFmtId="0" fontId="0" fillId="0" borderId="0" xfId="0"/>
    <xf numFmtId="0" fontId="2" fillId="0" borderId="0" xfId="0" applyFont="1"/>
    <xf numFmtId="0" fontId="3" fillId="0" borderId="0" xfId="0" applyFont="1"/>
    <xf numFmtId="44" fontId="2" fillId="0" borderId="0" xfId="0" applyNumberFormat="1" applyFont="1" applyAlignment="1">
      <alignment horizontal="right"/>
    </xf>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0" fontId="3" fillId="0" borderId="10" xfId="0" applyFont="1" applyBorder="1"/>
    <xf numFmtId="1" fontId="2" fillId="0" borderId="0" xfId="0" applyNumberFormat="1" applyFont="1" applyAlignment="1">
      <alignment horizontal="right"/>
    </xf>
    <xf numFmtId="164" fontId="2" fillId="0" borderId="0" xfId="3" applyNumberFormat="1" applyFont="1" applyAlignment="1">
      <alignment horizontal="right"/>
    </xf>
    <xf numFmtId="164" fontId="2" fillId="0" borderId="0" xfId="3" applyNumberFormat="1" applyFont="1"/>
    <xf numFmtId="0" fontId="16" fillId="0" borderId="0" xfId="2" applyFont="1"/>
    <xf numFmtId="0" fontId="17" fillId="0" borderId="0" xfId="2" applyFont="1"/>
    <xf numFmtId="49" fontId="2" fillId="0" borderId="0" xfId="0" applyNumberFormat="1" applyFont="1"/>
    <xf numFmtId="2" fontId="8" fillId="5" borderId="0" xfId="0" applyNumberFormat="1" applyFont="1" applyFill="1" applyAlignment="1">
      <alignment horizontal="center" vertical="center"/>
    </xf>
    <xf numFmtId="0" fontId="18" fillId="0" borderId="0" xfId="0" applyFont="1"/>
    <xf numFmtId="10" fontId="0" fillId="0" borderId="0" xfId="0" applyNumberFormat="1"/>
    <xf numFmtId="0" fontId="0" fillId="0" borderId="18" xfId="0" applyBorder="1"/>
    <xf numFmtId="0" fontId="9" fillId="0" borderId="17" xfId="0" applyFont="1" applyBorder="1" applyAlignment="1">
      <alignment horizontal="center"/>
    </xf>
  </cellXfs>
  <cellStyles count="4">
    <cellStyle name="Currency" xfId="3" builtinId="4"/>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(Ticker) Revenue</a:t>
            </a:r>
            <a:r>
              <a:rPr lang="en-US" baseline="0"/>
              <a:t> by Segment </a:t>
            </a:r>
            <a:r>
              <a:rPr lang="en-US" sz="1400" b="0" i="0" u="none" strike="noStrike" kern="1200" spc="0" baseline="0">
                <a:solidFill>
                  <a:sysClr val="windowText" lastClr="000000">
                    <a:lumMod val="65000"/>
                    <a:lumOff val="35000"/>
                  </a:sysClr>
                </a:solidFill>
                <a:latin typeface="Calibre"/>
              </a:rPr>
              <a:t>(in $ millions)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633357178109E-2"/>
          <c:y val="0.14901473139105822"/>
          <c:w val="0.91230188559511793"/>
          <c:h val="0.72540809322799749"/>
        </c:manualLayout>
      </c:layout>
      <c:barChart>
        <c:barDir val="col"/>
        <c:grouping val="stacked"/>
        <c:varyColors val="0"/>
        <c:ser>
          <c:idx val="2"/>
          <c:order val="0"/>
          <c:tx>
            <c:strRef>
              <c:f>[1]Model!$B$6</c:f>
              <c:strCache>
                <c:ptCount val="1"/>
                <c:pt idx="0">
                  <c:v>Medical</c:v>
                </c:pt>
              </c:strCache>
            </c:strRef>
          </c:tx>
          <c:spPr>
            <a:solidFill>
              <a:srgbClr val="7030A0"/>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[1]Model!$AW$6:$BQ$6</c:f>
              <c:numCache>
                <c:formatCode>General</c:formatCode>
                <c:ptCount val="21"/>
                <c:pt idx="0">
                  <c:v>600</c:v>
                </c:pt>
                <c:pt idx="1">
                  <c:v>705</c:v>
                </c:pt>
                <c:pt idx="2">
                  <c:v>622</c:v>
                </c:pt>
                <c:pt idx="3">
                  <c:v>640</c:v>
                </c:pt>
                <c:pt idx="4">
                  <c:v>636</c:v>
                </c:pt>
                <c:pt idx="5">
                  <c:v>709</c:v>
                </c:pt>
                <c:pt idx="6">
                  <c:v>664</c:v>
                </c:pt>
                <c:pt idx="7">
                  <c:v>666</c:v>
                </c:pt>
                <c:pt idx="8">
                  <c:v>765</c:v>
                </c:pt>
                <c:pt idx="9">
                  <c:v>936</c:v>
                </c:pt>
                <c:pt idx="10">
                  <c:v>778</c:v>
                </c:pt>
                <c:pt idx="11">
                  <c:v>841</c:v>
                </c:pt>
                <c:pt idx="12">
                  <c:v>798</c:v>
                </c:pt>
                <c:pt idx="13">
                  <c:v>1042</c:v>
                </c:pt>
                <c:pt idx="14">
                  <c:v>864</c:v>
                </c:pt>
                <c:pt idx="15">
                  <c:v>908</c:v>
                </c:pt>
                <c:pt idx="16">
                  <c:v>938</c:v>
                </c:pt>
                <c:pt idx="17">
                  <c:v>1142</c:v>
                </c:pt>
                <c:pt idx="18">
                  <c:v>945</c:v>
                </c:pt>
                <c:pt idx="19">
                  <c:v>990</c:v>
                </c:pt>
              </c:numCache>
            </c:numRef>
          </c:val>
          <c:extLst>
            <c:ext xmlns:c16="http://schemas.microsoft.com/office/drawing/2014/chart" uri="{C3380CC4-5D6E-409C-BE32-E72D297353CC}">
              <c16:uniqueId val="{00000000-7D89-48EF-8E73-FB13163B6C32}"/>
            </c:ext>
          </c:extLst>
        </c:ser>
        <c:ser>
          <c:idx val="7"/>
          <c:order val="1"/>
          <c:tx>
            <c:strRef>
              <c:f>[1]Model!$B$12</c:f>
              <c:strCache>
                <c:ptCount val="1"/>
                <c:pt idx="0">
                  <c:v>Trauma and Extremities</c:v>
                </c:pt>
              </c:strCache>
            </c:strRef>
          </c:tx>
          <c:spPr>
            <a:solidFill>
              <a:srgbClr val="33CCCC"/>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[1]Model!$AW$12:$BQ$12</c:f>
              <c:numCache>
                <c:formatCode>General</c:formatCode>
                <c:ptCount val="21"/>
                <c:pt idx="0">
                  <c:v>430</c:v>
                </c:pt>
                <c:pt idx="1">
                  <c:v>570</c:v>
                </c:pt>
                <c:pt idx="2">
                  <c:v>640</c:v>
                </c:pt>
                <c:pt idx="3">
                  <c:v>674</c:v>
                </c:pt>
                <c:pt idx="4">
                  <c:v>639</c:v>
                </c:pt>
                <c:pt idx="5">
                  <c:v>711</c:v>
                </c:pt>
                <c:pt idx="6">
                  <c:v>685</c:v>
                </c:pt>
                <c:pt idx="7">
                  <c:v>676</c:v>
                </c:pt>
                <c:pt idx="8">
                  <c:v>672</c:v>
                </c:pt>
                <c:pt idx="9">
                  <c:v>774</c:v>
                </c:pt>
                <c:pt idx="10">
                  <c:v>769</c:v>
                </c:pt>
                <c:pt idx="11">
                  <c:v>766</c:v>
                </c:pt>
                <c:pt idx="12">
                  <c:v>752</c:v>
                </c:pt>
                <c:pt idx="13">
                  <c:v>860</c:v>
                </c:pt>
                <c:pt idx="14">
                  <c:v>830</c:v>
                </c:pt>
                <c:pt idx="15">
                  <c:v>832</c:v>
                </c:pt>
                <c:pt idx="16">
                  <c:v>849</c:v>
                </c:pt>
                <c:pt idx="17">
                  <c:v>996</c:v>
                </c:pt>
                <c:pt idx="18">
                  <c:v>945</c:v>
                </c:pt>
                <c:pt idx="19">
                  <c:v>957</c:v>
                </c:pt>
              </c:numCache>
            </c:numRef>
          </c:val>
          <c:extLst>
            <c:ext xmlns:c16="http://schemas.microsoft.com/office/drawing/2014/chart" uri="{C3380CC4-5D6E-409C-BE32-E72D297353CC}">
              <c16:uniqueId val="{00000001-7D89-48EF-8E73-FB13163B6C32}"/>
            </c:ext>
          </c:extLst>
        </c:ser>
        <c:ser>
          <c:idx val="1"/>
          <c:order val="2"/>
          <c:tx>
            <c:strRef>
              <c:f>[1]Model!$B$5</c:f>
              <c:strCache>
                <c:ptCount val="1"/>
                <c:pt idx="0">
                  <c:v>Endoscopy</c:v>
                </c:pt>
              </c:strCache>
            </c:strRef>
          </c:tx>
          <c:spPr>
            <a:solidFill>
              <a:srgbClr val="CC0066"/>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[1]Model!$AW$5:$BQ$5</c:f>
              <c:numCache>
                <c:formatCode>General</c:formatCode>
                <c:ptCount val="21"/>
                <c:pt idx="0">
                  <c:v>467</c:v>
                </c:pt>
                <c:pt idx="1">
                  <c:v>525</c:v>
                </c:pt>
                <c:pt idx="2">
                  <c:v>469</c:v>
                </c:pt>
                <c:pt idx="3">
                  <c:v>518</c:v>
                </c:pt>
                <c:pt idx="4">
                  <c:v>525</c:v>
                </c:pt>
                <c:pt idx="5">
                  <c:v>629</c:v>
                </c:pt>
                <c:pt idx="6">
                  <c:v>538</c:v>
                </c:pt>
                <c:pt idx="7">
                  <c:v>600</c:v>
                </c:pt>
                <c:pt idx="8">
                  <c:v>590</c:v>
                </c:pt>
                <c:pt idx="9">
                  <c:v>997</c:v>
                </c:pt>
                <c:pt idx="10">
                  <c:v>707</c:v>
                </c:pt>
                <c:pt idx="11">
                  <c:v>713</c:v>
                </c:pt>
                <c:pt idx="12">
                  <c:v>746</c:v>
                </c:pt>
                <c:pt idx="13">
                  <c:v>902</c:v>
                </c:pt>
                <c:pt idx="14">
                  <c:v>778</c:v>
                </c:pt>
                <c:pt idx="15">
                  <c:v>768</c:v>
                </c:pt>
                <c:pt idx="16">
                  <c:v>837</c:v>
                </c:pt>
                <c:pt idx="17">
                  <c:v>1006</c:v>
                </c:pt>
                <c:pt idx="18">
                  <c:v>867</c:v>
                </c:pt>
                <c:pt idx="19">
                  <c:v>899</c:v>
                </c:pt>
              </c:numCache>
            </c:numRef>
          </c:val>
          <c:extLst>
            <c:ext xmlns:c16="http://schemas.microsoft.com/office/drawing/2014/chart" uri="{C3380CC4-5D6E-409C-BE32-E72D297353CC}">
              <c16:uniqueId val="{00000002-7D89-48EF-8E73-FB13163B6C32}"/>
            </c:ext>
          </c:extLst>
        </c:ser>
        <c:ser>
          <c:idx val="0"/>
          <c:order val="3"/>
          <c:tx>
            <c:strRef>
              <c:f>[1]Model!$B$4</c:f>
              <c:strCache>
                <c:ptCount val="1"/>
                <c:pt idx="0">
                  <c:v>Instruments</c:v>
                </c:pt>
              </c:strCache>
            </c:strRef>
          </c:tx>
          <c:spPr>
            <a:solidFill>
              <a:srgbClr val="92D050"/>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[1]Model!$AW$4:$BQ$4</c:f>
              <c:numCache>
                <c:formatCode>General</c:formatCode>
                <c:ptCount val="21"/>
                <c:pt idx="0">
                  <c:v>467</c:v>
                </c:pt>
                <c:pt idx="1">
                  <c:v>555</c:v>
                </c:pt>
                <c:pt idx="2">
                  <c:v>469</c:v>
                </c:pt>
                <c:pt idx="3">
                  <c:v>517</c:v>
                </c:pt>
                <c:pt idx="4">
                  <c:v>525</c:v>
                </c:pt>
                <c:pt idx="5">
                  <c:v>600</c:v>
                </c:pt>
                <c:pt idx="6">
                  <c:v>528</c:v>
                </c:pt>
                <c:pt idx="7">
                  <c:v>563</c:v>
                </c:pt>
                <c:pt idx="8">
                  <c:v>535</c:v>
                </c:pt>
                <c:pt idx="9">
                  <c:v>653</c:v>
                </c:pt>
                <c:pt idx="10">
                  <c:v>566</c:v>
                </c:pt>
                <c:pt idx="11">
                  <c:v>622</c:v>
                </c:pt>
                <c:pt idx="12">
                  <c:v>620</c:v>
                </c:pt>
                <c:pt idx="13">
                  <c:v>726</c:v>
                </c:pt>
                <c:pt idx="14">
                  <c:v>667</c:v>
                </c:pt>
                <c:pt idx="15">
                  <c:v>698</c:v>
                </c:pt>
                <c:pt idx="16">
                  <c:v>679</c:v>
                </c:pt>
                <c:pt idx="17">
                  <c:v>790</c:v>
                </c:pt>
                <c:pt idx="18">
                  <c:v>730</c:v>
                </c:pt>
                <c:pt idx="19">
                  <c:v>768</c:v>
                </c:pt>
              </c:numCache>
            </c:numRef>
          </c:val>
          <c:extLst>
            <c:ext xmlns:c16="http://schemas.microsoft.com/office/drawing/2014/chart" uri="{C3380CC4-5D6E-409C-BE32-E72D297353CC}">
              <c16:uniqueId val="{00000003-7D89-48EF-8E73-FB13163B6C32}"/>
            </c:ext>
          </c:extLst>
        </c:ser>
        <c:ser>
          <c:idx val="5"/>
          <c:order val="4"/>
          <c:tx>
            <c:strRef>
              <c:f>[1]Model!$B$10</c:f>
              <c:strCache>
                <c:ptCount val="1"/>
                <c:pt idx="0">
                  <c:v>Knees</c:v>
                </c:pt>
              </c:strCache>
            </c:strRef>
          </c:tx>
          <c:spPr>
            <a:solidFill>
              <a:srgbClr val="0070C0"/>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[1]Model!$AW$10:$BQ$10</c:f>
              <c:numCache>
                <c:formatCode>General</c:formatCode>
                <c:ptCount val="21"/>
                <c:pt idx="0">
                  <c:v>435</c:v>
                </c:pt>
                <c:pt idx="1">
                  <c:v>459</c:v>
                </c:pt>
                <c:pt idx="2">
                  <c:v>412</c:v>
                </c:pt>
                <c:pt idx="3">
                  <c:v>474</c:v>
                </c:pt>
                <c:pt idx="4">
                  <c:v>439</c:v>
                </c:pt>
                <c:pt idx="5">
                  <c:v>523</c:v>
                </c:pt>
                <c:pt idx="6">
                  <c:v>464</c:v>
                </c:pt>
                <c:pt idx="7">
                  <c:v>500</c:v>
                </c:pt>
                <c:pt idx="8">
                  <c:v>481</c:v>
                </c:pt>
                <c:pt idx="9">
                  <c:v>552</c:v>
                </c:pt>
                <c:pt idx="10">
                  <c:v>566</c:v>
                </c:pt>
                <c:pt idx="11">
                  <c:v>562</c:v>
                </c:pt>
                <c:pt idx="12">
                  <c:v>515</c:v>
                </c:pt>
                <c:pt idx="13">
                  <c:v>630</c:v>
                </c:pt>
                <c:pt idx="14">
                  <c:v>588</c:v>
                </c:pt>
                <c:pt idx="15">
                  <c:v>602</c:v>
                </c:pt>
                <c:pt idx="16">
                  <c:v>570</c:v>
                </c:pt>
                <c:pt idx="17">
                  <c:v>687</c:v>
                </c:pt>
                <c:pt idx="18">
                  <c:v>639</c:v>
                </c:pt>
                <c:pt idx="19">
                  <c:v>640</c:v>
                </c:pt>
              </c:numCache>
            </c:numRef>
          </c:val>
          <c:extLst>
            <c:ext xmlns:c16="http://schemas.microsoft.com/office/drawing/2014/chart" uri="{C3380CC4-5D6E-409C-BE32-E72D297353CC}">
              <c16:uniqueId val="{00000004-7D89-48EF-8E73-FB13163B6C32}"/>
            </c:ext>
          </c:extLst>
        </c:ser>
        <c:ser>
          <c:idx val="4"/>
          <c:order val="5"/>
          <c:tx>
            <c:strRef>
              <c:f>[1]Model!$B$8</c:f>
              <c:strCache>
                <c:ptCount val="1"/>
                <c:pt idx="0">
                  <c:v>Neuro Cranial</c:v>
                </c:pt>
              </c:strCache>
            </c:strRef>
          </c:tx>
          <c:spPr>
            <a:solidFill>
              <a:srgbClr val="FFC000"/>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[1]Model!$AW$8:$BQ$8</c:f>
              <c:numCache>
                <c:formatCode>General</c:formatCode>
                <c:ptCount val="21"/>
                <c:pt idx="0">
                  <c:v>518</c:v>
                </c:pt>
                <c:pt idx="1">
                  <c:v>312</c:v>
                </c:pt>
                <c:pt idx="2">
                  <c:v>281</c:v>
                </c:pt>
                <c:pt idx="3">
                  <c:v>310</c:v>
                </c:pt>
                <c:pt idx="4">
                  <c:v>299</c:v>
                </c:pt>
                <c:pt idx="5">
                  <c:v>324</c:v>
                </c:pt>
                <c:pt idx="6">
                  <c:v>323</c:v>
                </c:pt>
                <c:pt idx="7">
                  <c:v>337</c:v>
                </c:pt>
                <c:pt idx="8">
                  <c:v>332</c:v>
                </c:pt>
                <c:pt idx="9">
                  <c:v>384</c:v>
                </c:pt>
                <c:pt idx="10">
                  <c:v>355</c:v>
                </c:pt>
                <c:pt idx="11">
                  <c:v>373</c:v>
                </c:pt>
                <c:pt idx="12">
                  <c:v>384</c:v>
                </c:pt>
                <c:pt idx="13">
                  <c:v>764</c:v>
                </c:pt>
                <c:pt idx="14">
                  <c:v>478</c:v>
                </c:pt>
                <c:pt idx="15">
                  <c:v>416</c:v>
                </c:pt>
                <c:pt idx="16">
                  <c:v>441</c:v>
                </c:pt>
                <c:pt idx="17">
                  <c:v>801</c:v>
                </c:pt>
                <c:pt idx="18">
                  <c:v>563</c:v>
                </c:pt>
                <c:pt idx="19">
                  <c:v>616</c:v>
                </c:pt>
              </c:numCache>
            </c:numRef>
          </c:val>
          <c:extLst>
            <c:ext xmlns:c16="http://schemas.microsoft.com/office/drawing/2014/chart" uri="{C3380CC4-5D6E-409C-BE32-E72D297353CC}">
              <c16:uniqueId val="{00000005-7D89-48EF-8E73-FB13163B6C32}"/>
            </c:ext>
          </c:extLst>
        </c:ser>
        <c:ser>
          <c:idx val="6"/>
          <c:order val="6"/>
          <c:tx>
            <c:strRef>
              <c:f>[1]Model!$B$11</c:f>
              <c:strCache>
                <c:ptCount val="1"/>
                <c:pt idx="0">
                  <c:v>Hips</c:v>
                </c:pt>
              </c:strCache>
            </c:strRef>
          </c:tx>
          <c:spPr>
            <a:solidFill>
              <a:srgbClr val="339933"/>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[1]Model!$AW$11:$BQ$11</c:f>
              <c:numCache>
                <c:formatCode>General</c:formatCode>
                <c:ptCount val="21"/>
                <c:pt idx="0">
                  <c:v>334</c:v>
                </c:pt>
                <c:pt idx="1">
                  <c:v>340</c:v>
                </c:pt>
                <c:pt idx="2">
                  <c:v>309</c:v>
                </c:pt>
                <c:pt idx="3">
                  <c:v>353</c:v>
                </c:pt>
                <c:pt idx="4">
                  <c:v>328</c:v>
                </c:pt>
                <c:pt idx="5">
                  <c:v>352</c:v>
                </c:pt>
                <c:pt idx="6">
                  <c:v>327</c:v>
                </c:pt>
                <c:pt idx="7">
                  <c:v>364</c:v>
                </c:pt>
                <c:pt idx="8">
                  <c:v>347</c:v>
                </c:pt>
                <c:pt idx="9">
                  <c:v>375</c:v>
                </c:pt>
                <c:pt idx="10">
                  <c:v>375</c:v>
                </c:pt>
                <c:pt idx="11">
                  <c:v>393</c:v>
                </c:pt>
                <c:pt idx="12">
                  <c:v>362</c:v>
                </c:pt>
                <c:pt idx="13">
                  <c:v>414</c:v>
                </c:pt>
                <c:pt idx="14">
                  <c:v>393</c:v>
                </c:pt>
                <c:pt idx="15">
                  <c:v>428</c:v>
                </c:pt>
                <c:pt idx="16">
                  <c:v>420</c:v>
                </c:pt>
                <c:pt idx="17">
                  <c:v>463</c:v>
                </c:pt>
                <c:pt idx="18">
                  <c:v>443</c:v>
                </c:pt>
                <c:pt idx="19">
                  <c:v>466</c:v>
                </c:pt>
              </c:numCache>
            </c:numRef>
          </c:val>
          <c:extLst>
            <c:ext xmlns:c16="http://schemas.microsoft.com/office/drawing/2014/chart" uri="{C3380CC4-5D6E-409C-BE32-E72D297353CC}">
              <c16:uniqueId val="{00000006-7D89-48EF-8E73-FB13163B6C32}"/>
            </c:ext>
          </c:extLst>
        </c:ser>
        <c:ser>
          <c:idx val="3"/>
          <c:order val="7"/>
          <c:tx>
            <c:strRef>
              <c:f>[1]Model!$B$7</c:f>
              <c:strCache>
                <c:ptCount val="1"/>
                <c:pt idx="0">
                  <c:v>Vascular</c:v>
                </c:pt>
              </c:strCache>
            </c:strRef>
          </c:tx>
          <c:spPr>
            <a:solidFill>
              <a:srgbClr val="FF99CC"/>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[1]Model!$AW$7:$BQ$7</c:f>
              <c:numCache>
                <c:formatCode>General</c:formatCode>
                <c:ptCount val="21"/>
                <c:pt idx="0">
                  <c:v>66</c:v>
                </c:pt>
                <c:pt idx="1">
                  <c:v>82</c:v>
                </c:pt>
                <c:pt idx="2">
                  <c:v>289</c:v>
                </c:pt>
                <c:pt idx="3">
                  <c:v>301</c:v>
                </c:pt>
                <c:pt idx="4">
                  <c:v>295</c:v>
                </c:pt>
                <c:pt idx="5">
                  <c:v>303</c:v>
                </c:pt>
                <c:pt idx="6">
                  <c:v>301</c:v>
                </c:pt>
                <c:pt idx="7">
                  <c:v>306</c:v>
                </c:pt>
                <c:pt idx="8">
                  <c:v>294</c:v>
                </c:pt>
                <c:pt idx="9">
                  <c:v>299</c:v>
                </c:pt>
                <c:pt idx="10">
                  <c:v>284</c:v>
                </c:pt>
                <c:pt idx="11">
                  <c:v>311</c:v>
                </c:pt>
                <c:pt idx="12">
                  <c:v>311</c:v>
                </c:pt>
                <c:pt idx="13">
                  <c:v>320</c:v>
                </c:pt>
                <c:pt idx="14">
                  <c:v>310</c:v>
                </c:pt>
                <c:pt idx="15">
                  <c:v>327</c:v>
                </c:pt>
                <c:pt idx="16">
                  <c:v>329</c:v>
                </c:pt>
                <c:pt idx="17">
                  <c:v>341</c:v>
                </c:pt>
                <c:pt idx="18">
                  <c:v>406</c:v>
                </c:pt>
                <c:pt idx="19">
                  <c:v>498</c:v>
                </c:pt>
              </c:numCache>
            </c:numRef>
          </c:val>
          <c:extLst>
            <c:ext xmlns:c16="http://schemas.microsoft.com/office/drawing/2014/chart" uri="{C3380CC4-5D6E-409C-BE32-E72D297353CC}">
              <c16:uniqueId val="{00000007-7D89-48EF-8E73-FB13163B6C32}"/>
            </c:ext>
          </c:extLst>
        </c:ser>
        <c:ser>
          <c:idx val="8"/>
          <c:order val="8"/>
          <c:tx>
            <c:strRef>
              <c:f>[1]Model!$B$13</c:f>
              <c:strCache>
                <c:ptCount val="1"/>
                <c:pt idx="0">
                  <c:v>Spinal Implants</c:v>
                </c:pt>
              </c:strCache>
            </c:strRef>
          </c:tx>
          <c:spPr>
            <a:solidFill>
              <a:srgbClr val="00B0F0"/>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[1]Model!$AW$13:$BQ$13</c:f>
              <c:numCache>
                <c:formatCode>General</c:formatCode>
                <c:ptCount val="21"/>
                <c:pt idx="0">
                  <c:v>302</c:v>
                </c:pt>
                <c:pt idx="1">
                  <c:v>307</c:v>
                </c:pt>
                <c:pt idx="2">
                  <c:v>278</c:v>
                </c:pt>
                <c:pt idx="3">
                  <c:v>307</c:v>
                </c:pt>
                <c:pt idx="4">
                  <c:v>282</c:v>
                </c:pt>
                <c:pt idx="5">
                  <c:v>300</c:v>
                </c:pt>
                <c:pt idx="6">
                  <c:v>279</c:v>
                </c:pt>
                <c:pt idx="7">
                  <c:v>290</c:v>
                </c:pt>
                <c:pt idx="8">
                  <c:v>280</c:v>
                </c:pt>
                <c:pt idx="9">
                  <c:v>297</c:v>
                </c:pt>
                <c:pt idx="10">
                  <c:v>284</c:v>
                </c:pt>
                <c:pt idx="11">
                  <c:v>296</c:v>
                </c:pt>
                <c:pt idx="12">
                  <c:v>291</c:v>
                </c:pt>
                <c:pt idx="13">
                  <c:v>122</c:v>
                </c:pt>
                <c:pt idx="14">
                  <c:v>171</c:v>
                </c:pt>
                <c:pt idx="15">
                  <c:v>307</c:v>
                </c:pt>
                <c:pt idx="16">
                  <c:v>304</c:v>
                </c:pt>
                <c:pt idx="17">
                  <c:v>85</c:v>
                </c:pt>
                <c:pt idx="18">
                  <c:v>166</c:v>
                </c:pt>
                <c:pt idx="19">
                  <c:v>5</c:v>
                </c:pt>
              </c:numCache>
            </c:numRef>
          </c:val>
          <c:extLst>
            <c:ext xmlns:c16="http://schemas.microsoft.com/office/drawing/2014/chart" uri="{C3380CC4-5D6E-409C-BE32-E72D297353CC}">
              <c16:uniqueId val="{00000008-7D89-48EF-8E73-FB13163B6C32}"/>
            </c:ext>
          </c:extLst>
        </c:ser>
        <c:ser>
          <c:idx val="9"/>
          <c:order val="9"/>
          <c:tx>
            <c:strRef>
              <c:f>[1]Model!$B$14</c:f>
              <c:strCache>
                <c:ptCount val="1"/>
                <c:pt idx="0">
                  <c:v>Other</c:v>
                </c:pt>
              </c:strCache>
            </c:strRef>
          </c:tx>
          <c:spPr>
            <a:solidFill>
              <a:srgbClr val="009999"/>
            </a:solidFill>
            <a:ln>
              <a:noFill/>
            </a:ln>
            <a:effectLst/>
          </c:spPr>
          <c:invertIfNegative val="0"/>
          <c:cat>
            <c:strRef>
              <c:f>[1]Model!$AW$1:$BQ$1</c:f>
              <c:strCache>
                <c:ptCount val="21"/>
                <c:pt idx="2">
                  <c:v>Q1 2021</c:v>
                </c:pt>
                <c:pt idx="6">
                  <c:v>Q1 2022</c:v>
                </c:pt>
                <c:pt idx="10">
                  <c:v>Q1 2023</c:v>
                </c:pt>
                <c:pt idx="14">
                  <c:v>Q1 2024</c:v>
                </c:pt>
                <c:pt idx="18">
                  <c:v>Q1 2025</c:v>
                </c:pt>
              </c:strCache>
            </c:strRef>
          </c:cat>
          <c:val>
            <c:numRef>
              <c:f>[1]Model!$AW$14:$BQ$14</c:f>
              <c:numCache>
                <c:formatCode>General</c:formatCode>
                <c:ptCount val="21"/>
                <c:pt idx="0">
                  <c:v>118</c:v>
                </c:pt>
                <c:pt idx="1">
                  <c:v>157</c:v>
                </c:pt>
                <c:pt idx="2">
                  <c:v>123</c:v>
                </c:pt>
                <c:pt idx="3">
                  <c:v>127</c:v>
                </c:pt>
                <c:pt idx="4">
                  <c:v>123</c:v>
                </c:pt>
                <c:pt idx="5">
                  <c:v>176</c:v>
                </c:pt>
                <c:pt idx="6">
                  <c:v>97</c:v>
                </c:pt>
                <c:pt idx="7">
                  <c:v>114</c:v>
                </c:pt>
                <c:pt idx="8">
                  <c:v>111</c:v>
                </c:pt>
                <c:pt idx="9">
                  <c:v>153</c:v>
                </c:pt>
                <c:pt idx="10">
                  <c:v>94</c:v>
                </c:pt>
                <c:pt idx="11">
                  <c:v>119</c:v>
                </c:pt>
                <c:pt idx="12">
                  <c:v>130</c:v>
                </c:pt>
                <c:pt idx="13">
                  <c:v>35</c:v>
                </c:pt>
                <c:pt idx="14">
                  <c:v>164</c:v>
                </c:pt>
                <c:pt idx="15">
                  <c:v>136</c:v>
                </c:pt>
                <c:pt idx="16">
                  <c:v>127</c:v>
                </c:pt>
                <c:pt idx="17">
                  <c:v>125</c:v>
                </c:pt>
                <c:pt idx="18">
                  <c:v>162</c:v>
                </c:pt>
                <c:pt idx="19">
                  <c:v>183</c:v>
                </c:pt>
              </c:numCache>
            </c:numRef>
          </c:val>
          <c:extLst>
            <c:ext xmlns:c16="http://schemas.microsoft.com/office/drawing/2014/chart" uri="{C3380CC4-5D6E-409C-BE32-E72D297353CC}">
              <c16:uniqueId val="{00000009-7D89-48EF-8E73-FB13163B6C32}"/>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Calibre"/>
              </a:rPr>
              <a:t>(Ticker) Quarterly Ttl Revenues, Net Income, Free Cash Flows (in $ millions)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4.9696565868628952E-2"/>
          <c:y val="0.11926285133821504"/>
          <c:w val="0.91977768729031639"/>
          <c:h val="0.79540493468968432"/>
        </c:manualLayout>
      </c:layout>
      <c:barChart>
        <c:barDir val="col"/>
        <c:grouping val="clustered"/>
        <c:varyColors val="0"/>
        <c:ser>
          <c:idx val="1"/>
          <c:order val="1"/>
          <c:tx>
            <c:v>Net Income</c:v>
          </c:tx>
          <c:spPr>
            <a:solidFill>
              <a:srgbClr val="00B050"/>
            </a:solidFill>
            <a:ln>
              <a:noFill/>
            </a:ln>
            <a:effectLst/>
          </c:spPr>
          <c:invertIfNegative val="0"/>
          <c:val>
            <c:numRef>
              <c:f>[1]Model!$AW$55:$BQ$55</c:f>
              <c:numCache>
                <c:formatCode>General</c:formatCode>
                <c:ptCount val="21"/>
                <c:pt idx="0">
                  <c:v>780</c:v>
                </c:pt>
                <c:pt idx="1">
                  <c:v>671</c:v>
                </c:pt>
                <c:pt idx="2">
                  <c:v>367</c:v>
                </c:pt>
                <c:pt idx="3">
                  <c:v>662</c:v>
                </c:pt>
                <c:pt idx="4">
                  <c:v>495</c:v>
                </c:pt>
                <c:pt idx="5">
                  <c:v>757</c:v>
                </c:pt>
                <c:pt idx="6">
                  <c:v>386</c:v>
                </c:pt>
                <c:pt idx="7">
                  <c:v>720</c:v>
                </c:pt>
                <c:pt idx="8">
                  <c:v>816</c:v>
                </c:pt>
                <c:pt idx="9">
                  <c:v>761</c:v>
                </c:pt>
                <c:pt idx="10">
                  <c:v>679</c:v>
                </c:pt>
                <c:pt idx="11">
                  <c:v>899</c:v>
                </c:pt>
                <c:pt idx="12">
                  <c:v>869</c:v>
                </c:pt>
                <c:pt idx="13">
                  <c:v>1226</c:v>
                </c:pt>
                <c:pt idx="14">
                  <c:v>923</c:v>
                </c:pt>
                <c:pt idx="15">
                  <c:v>998</c:v>
                </c:pt>
                <c:pt idx="16">
                  <c:v>1043</c:v>
                </c:pt>
                <c:pt idx="17">
                  <c:v>528</c:v>
                </c:pt>
                <c:pt idx="18">
                  <c:v>764</c:v>
                </c:pt>
                <c:pt idx="19">
                  <c:v>1016</c:v>
                </c:pt>
              </c:numCache>
            </c:numRef>
          </c:val>
          <c:extLst>
            <c:ext xmlns:c16="http://schemas.microsoft.com/office/drawing/2014/chart" uri="{C3380CC4-5D6E-409C-BE32-E72D297353CC}">
              <c16:uniqueId val="{00000000-6765-4CA8-9859-855DC88FC5CC}"/>
            </c:ext>
          </c:extLst>
        </c:ser>
        <c:ser>
          <c:idx val="2"/>
          <c:order val="2"/>
          <c:tx>
            <c:v>FCF</c:v>
          </c:tx>
          <c:spPr>
            <a:solidFill>
              <a:srgbClr val="FFC000"/>
            </a:solidFill>
            <a:ln>
              <a:noFill/>
            </a:ln>
            <a:effectLst/>
          </c:spPr>
          <c:invertIfNegative val="0"/>
          <c:val>
            <c:numRef>
              <c:f>[1]Model!$AW$103:$BQ$103</c:f>
              <c:numCache>
                <c:formatCode>General</c:formatCode>
                <c:ptCount val="21"/>
                <c:pt idx="0">
                  <c:v>829</c:v>
                </c:pt>
                <c:pt idx="1">
                  <c:v>1237</c:v>
                </c:pt>
                <c:pt idx="2">
                  <c:v>452</c:v>
                </c:pt>
                <c:pt idx="3">
                  <c:v>878</c:v>
                </c:pt>
                <c:pt idx="4">
                  <c:v>933</c:v>
                </c:pt>
                <c:pt idx="5">
                  <c:v>1000</c:v>
                </c:pt>
                <c:pt idx="6">
                  <c:v>203</c:v>
                </c:pt>
                <c:pt idx="7">
                  <c:v>529</c:v>
                </c:pt>
                <c:pt idx="8">
                  <c:v>889</c:v>
                </c:pt>
                <c:pt idx="9">
                  <c:v>1003</c:v>
                </c:pt>
                <c:pt idx="10">
                  <c:v>445</c:v>
                </c:pt>
                <c:pt idx="11">
                  <c:v>688</c:v>
                </c:pt>
                <c:pt idx="12">
                  <c:v>1050</c:v>
                </c:pt>
                <c:pt idx="13">
                  <c:v>1528</c:v>
                </c:pt>
                <c:pt idx="14">
                  <c:v>204</c:v>
                </c:pt>
                <c:pt idx="15">
                  <c:v>633</c:v>
                </c:pt>
                <c:pt idx="16">
                  <c:v>1474</c:v>
                </c:pt>
                <c:pt idx="17">
                  <c:v>1931</c:v>
                </c:pt>
                <c:pt idx="18">
                  <c:v>250</c:v>
                </c:pt>
                <c:pt idx="19">
                  <c:v>1111</c:v>
                </c:pt>
              </c:numCache>
            </c:numRef>
          </c:val>
          <c:extLst>
            <c:ext xmlns:c16="http://schemas.microsoft.com/office/drawing/2014/chart" uri="{C3380CC4-5D6E-409C-BE32-E72D297353CC}">
              <c16:uniqueId val="{00000001-6765-4CA8-9859-855DC88FC5CC}"/>
            </c:ext>
          </c:extLst>
        </c:ser>
        <c:dLbls>
          <c:showLegendKey val="0"/>
          <c:showVal val="0"/>
          <c:showCatName val="0"/>
          <c:showSerName val="0"/>
          <c:showPercent val="0"/>
          <c:showBubbleSize val="0"/>
        </c:dLbls>
        <c:gapWidth val="150"/>
        <c:axId val="1962507743"/>
        <c:axId val="1962491423"/>
      </c:barChart>
      <c:lineChart>
        <c:grouping val="standard"/>
        <c:varyColors val="0"/>
        <c:ser>
          <c:idx val="0"/>
          <c:order val="0"/>
          <c:tx>
            <c:v>Revenues</c:v>
          </c:tx>
          <c:spPr>
            <a:ln w="28575" cap="rnd">
              <a:solidFill>
                <a:srgbClr val="00B0F0"/>
              </a:solidFill>
              <a:round/>
            </a:ln>
            <a:effectLst/>
          </c:spPr>
          <c:marker>
            <c:symbol val="none"/>
          </c:marker>
          <c:cat>
            <c:strRef>
              <c:f>[1]Model!$AW$1:$BQ$1</c:f>
              <c:strCache>
                <c:ptCount val="21"/>
                <c:pt idx="2">
                  <c:v>Q1 2021</c:v>
                </c:pt>
                <c:pt idx="6">
                  <c:v>Q1 2022</c:v>
                </c:pt>
                <c:pt idx="10">
                  <c:v>Q1 2023</c:v>
                </c:pt>
                <c:pt idx="14">
                  <c:v>Q1 2024</c:v>
                </c:pt>
                <c:pt idx="18">
                  <c:v>Q1 2025</c:v>
                </c:pt>
              </c:strCache>
            </c:strRef>
          </c:cat>
          <c:val>
            <c:numRef>
              <c:f>[1]Model!$AW$44:$BQ$44</c:f>
              <c:numCache>
                <c:formatCode>General</c:formatCode>
                <c:ptCount val="21"/>
                <c:pt idx="0">
                  <c:v>4.1817674937273397E-2</c:v>
                </c:pt>
                <c:pt idx="1">
                  <c:v>3.1711450012103626E-2</c:v>
                </c:pt>
                <c:pt idx="2">
                  <c:v>0.1017279821627648</c:v>
                </c:pt>
                <c:pt idx="3">
                  <c:v>0.55354558610709126</c:v>
                </c:pt>
                <c:pt idx="4">
                  <c:v>0.11319240032111311</c:v>
                </c:pt>
                <c:pt idx="5">
                  <c:v>0.10300328484279686</c:v>
                </c:pt>
                <c:pt idx="6">
                  <c:v>8.1457121173792002E-2</c:v>
                </c:pt>
                <c:pt idx="7">
                  <c:v>4.6343735444806633E-2</c:v>
                </c:pt>
                <c:pt idx="8">
                  <c:v>7.6682692307692202E-2</c:v>
                </c:pt>
                <c:pt idx="9">
                  <c:v>0.10657306955966805</c:v>
                </c:pt>
                <c:pt idx="10">
                  <c:v>0.11766081871345024</c:v>
                </c:pt>
                <c:pt idx="11">
                  <c:v>0.11195192521700426</c:v>
                </c:pt>
                <c:pt idx="12">
                  <c:v>9.6003572225943357E-2</c:v>
                </c:pt>
                <c:pt idx="13">
                  <c:v>0.1178392925797771</c:v>
                </c:pt>
                <c:pt idx="14">
                  <c:v>9.7321054834658804E-2</c:v>
                </c:pt>
                <c:pt idx="15">
                  <c:v>8.526821457165723E-2</c:v>
                </c:pt>
                <c:pt idx="16">
                  <c:v>0.11916887349765726</c:v>
                </c:pt>
                <c:pt idx="17">
                  <c:v>0.10679277730008607</c:v>
                </c:pt>
                <c:pt idx="18">
                  <c:v>0.11882510013351144</c:v>
                </c:pt>
                <c:pt idx="19">
                  <c:v>0.11066027296200653</c:v>
                </c:pt>
              </c:numCache>
            </c:numRef>
          </c:val>
          <c:smooth val="0"/>
          <c:extLst>
            <c:ext xmlns:c16="http://schemas.microsoft.com/office/drawing/2014/chart" uri="{C3380CC4-5D6E-409C-BE32-E72D297353CC}">
              <c16:uniqueId val="{00000002-6765-4CA8-9859-855DC88FC5CC}"/>
            </c:ext>
          </c:extLst>
        </c:ser>
        <c:dLbls>
          <c:showLegendKey val="0"/>
          <c:showVal val="0"/>
          <c:showCatName val="0"/>
          <c:showSerName val="0"/>
          <c:showPercent val="0"/>
          <c:showBubbleSize val="0"/>
        </c:dLbls>
        <c:marker val="1"/>
        <c:smooth val="0"/>
        <c:axId val="1962507743"/>
        <c:axId val="1962491423"/>
      </c:lineChart>
      <c:catAx>
        <c:axId val="1962507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62491423"/>
        <c:crosses val="autoZero"/>
        <c:auto val="1"/>
        <c:lblAlgn val="ctr"/>
        <c:lblOffset val="100"/>
        <c:noMultiLvlLbl val="0"/>
      </c:catAx>
      <c:valAx>
        <c:axId val="1962491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62507743"/>
        <c:crosses val="autoZero"/>
        <c:crossBetween val="between"/>
      </c:valAx>
      <c:spPr>
        <a:noFill/>
        <a:ln>
          <a:noFill/>
        </a:ln>
        <a:effectLst/>
      </c:spPr>
    </c:plotArea>
    <c:legend>
      <c:legendPos val="r"/>
      <c:layout>
        <c:manualLayout>
          <c:xMode val="edge"/>
          <c:yMode val="edge"/>
          <c:x val="0.25557258071268574"/>
          <c:y val="5.4326583577150166E-2"/>
          <c:w val="0.49091764700383861"/>
          <c:h val="7.490080873451561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(Ticker) Historical Return Histogram + Normal Distribution Overlay</a:t>
            </a:r>
          </a:p>
        </c:rich>
      </c:tx>
      <c:layout>
        <c:manualLayout>
          <c:xMode val="edge"/>
          <c:yMode val="edge"/>
          <c:x val="0.30108591378517141"/>
          <c:y val="1.88889486700445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5152794667284949E-2"/>
          <c:y val="7.3102355294668728E-2"/>
          <c:w val="0.94945999344094489"/>
          <c:h val="0.8723512307833301"/>
        </c:manualLayout>
      </c:layout>
      <c:scatterChart>
        <c:scatterStyle val="smoothMarker"/>
        <c:varyColors val="0"/>
        <c:ser>
          <c:idx val="0"/>
          <c:order val="0"/>
          <c:spPr>
            <a:ln w="1905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strRef>
              <c:f>'[1]Notes | Quant Analysis'!$I$182:$I$262</c:f>
              <c:strCache>
                <c:ptCount val="81"/>
                <c:pt idx="6">
                  <c:v>Notes:</c:v>
                </c:pt>
                <c:pt idx="42">
                  <c:v>Notes:</c:v>
                </c:pt>
              </c:strCache>
            </c:strRef>
          </c:xVal>
          <c:yVal>
            <c:numRef>
              <c:f>'[1]Notes | Quant Analysis'!$J$182:$J$262</c:f>
              <c:numCache>
                <c:formatCode>General</c:formatCode>
                <c:ptCount val="81"/>
                <c:pt idx="6">
                  <c:v>0</c:v>
                </c:pt>
                <c:pt idx="7">
                  <c:v>0</c:v>
                </c:pt>
                <c:pt idx="8">
                  <c:v>0</c:v>
                </c:pt>
                <c:pt idx="42">
                  <c:v>0</c:v>
                </c:pt>
                <c:pt idx="43">
                  <c:v>0</c:v>
                </c:pt>
                <c:pt idx="44">
                  <c:v>0</c:v>
                </c:pt>
                <c:pt idx="76">
                  <c:v>0</c:v>
                </c:pt>
                <c:pt idx="77">
                  <c:v>0</c:v>
                </c:pt>
              </c:numCache>
            </c:numRef>
          </c:yVal>
          <c:smooth val="1"/>
          <c:extLst>
            <c:ext xmlns:c16="http://schemas.microsoft.com/office/drawing/2014/chart" uri="{C3380CC4-5D6E-409C-BE32-E72D297353CC}">
              <c16:uniqueId val="{00000000-64C8-46E7-8417-05DC731C65AA}"/>
            </c:ext>
          </c:extLst>
        </c:ser>
        <c:ser>
          <c:idx val="1"/>
          <c:order val="1"/>
          <c:tx>
            <c:strRef>
              <c:f>'[1]Notes | Quant Analysis'!$L$180</c:f>
              <c:strCache>
                <c:ptCount val="1"/>
                <c:pt idx="0">
                  <c:v>#REF!</c:v>
                </c:pt>
              </c:strCache>
            </c:strRef>
          </c:tx>
          <c:spPr>
            <a:ln w="19050" cap="rnd">
              <a:solidFill>
                <a:srgbClr val="FFC000"/>
              </a:solidFill>
              <a:round/>
            </a:ln>
            <a:effectLst/>
          </c:spPr>
          <c:marker>
            <c:symbol val="none"/>
          </c:marker>
          <c:xVal>
            <c:numRef>
              <c:f>'[1]Notes | Quant Analysis'!$L$182:$L$264</c:f>
              <c:numCache>
                <c:formatCode>General</c:formatCode>
                <c:ptCount val="83"/>
              </c:numCache>
            </c:numRef>
          </c:xVal>
          <c:yVal>
            <c:numRef>
              <c:f>'[1]Notes | Quant Analysis'!$M$182:$M$264</c:f>
              <c:numCache>
                <c:formatCode>General</c:formatCode>
                <c:ptCount val="83"/>
              </c:numCache>
            </c:numRef>
          </c:yVal>
          <c:smooth val="1"/>
          <c:extLst>
            <c:ext xmlns:c16="http://schemas.microsoft.com/office/drawing/2014/chart" uri="{C3380CC4-5D6E-409C-BE32-E72D297353CC}">
              <c16:uniqueId val="{00000001-64C8-46E7-8417-05DC731C65AA}"/>
            </c:ext>
          </c:extLst>
        </c:ser>
        <c:ser>
          <c:idx val="2"/>
          <c:order val="2"/>
          <c:tx>
            <c:strRef>
              <c:f>'[1]Notes | Quant Analysis'!$O$182</c:f>
              <c:strCache>
                <c:ptCount val="1"/>
                <c:pt idx="0">
                  <c:v>#REF!</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64C8-46E7-8417-05DC731C65AA}"/>
                </c:ext>
              </c:extLst>
            </c:dLbl>
            <c:dLbl>
              <c:idx val="1"/>
              <c:layout>
                <c:manualLayout>
                  <c:x val="-6.5761321986558208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Analysis'!$P$182:$P$183</c:f>
              <c:numCache>
                <c:formatCode>General</c:formatCode>
                <c:ptCount val="2"/>
              </c:numCache>
            </c:numRef>
          </c:xVal>
          <c:yVal>
            <c:numRef>
              <c:f>'[1]Notes | Quant Analysis'!$Q$182:$Q$183</c:f>
              <c:numCache>
                <c:formatCode>General</c:formatCode>
                <c:ptCount val="2"/>
              </c:numCache>
            </c:numRef>
          </c:yVal>
          <c:smooth val="1"/>
          <c:extLst>
            <c:ext xmlns:c16="http://schemas.microsoft.com/office/drawing/2014/chart" uri="{C3380CC4-5D6E-409C-BE32-E72D297353CC}">
              <c16:uniqueId val="{00000004-64C8-46E7-8417-05DC731C65AA}"/>
            </c:ext>
          </c:extLst>
        </c:ser>
        <c:ser>
          <c:idx val="3"/>
          <c:order val="3"/>
          <c:tx>
            <c:strRef>
              <c:f>'[1]Notes | Quant Analysis'!$O$184</c:f>
              <c:strCache>
                <c:ptCount val="1"/>
                <c:pt idx="0">
                  <c:v>#REF!</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64C8-46E7-8417-05DC731C65AA}"/>
                </c:ext>
              </c:extLst>
            </c:dLbl>
            <c:dLbl>
              <c:idx val="1"/>
              <c:layout>
                <c:manualLayout>
                  <c:x val="-4.0576134842769972E-2"/>
                  <c:y val="-4.9583338213583156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Analysis'!$P$184:$P$185</c:f>
              <c:numCache>
                <c:formatCode>General</c:formatCode>
                <c:ptCount val="2"/>
              </c:numCache>
            </c:numRef>
          </c:xVal>
          <c:yVal>
            <c:numRef>
              <c:f>'[1]Notes | Quant Analysis'!$Q$184:$Q$185</c:f>
              <c:numCache>
                <c:formatCode>General</c:formatCode>
                <c:ptCount val="2"/>
              </c:numCache>
            </c:numRef>
          </c:yVal>
          <c:smooth val="1"/>
          <c:extLst>
            <c:ext xmlns:c16="http://schemas.microsoft.com/office/drawing/2014/chart" uri="{C3380CC4-5D6E-409C-BE32-E72D297353CC}">
              <c16:uniqueId val="{00000007-64C8-46E7-8417-05DC731C65AA}"/>
            </c:ext>
          </c:extLst>
        </c:ser>
        <c:ser>
          <c:idx val="4"/>
          <c:order val="4"/>
          <c:tx>
            <c:strRef>
              <c:f>'[1]Notes | Quant Analysis'!$O$186</c:f>
              <c:strCache>
                <c:ptCount val="1"/>
                <c:pt idx="0">
                  <c:v>#REF!</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64C8-46E7-8417-05DC731C65AA}"/>
                </c:ext>
              </c:extLst>
            </c:dLbl>
            <c:dLbl>
              <c:idx val="1"/>
              <c:layout>
                <c:manualLayout>
                  <c:x val="-5.3168728414664079E-2"/>
                  <c:y val="-3.541667015255957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Analysis'!$P$186:$P$187</c:f>
              <c:numCache>
                <c:formatCode>General</c:formatCode>
                <c:ptCount val="2"/>
              </c:numCache>
            </c:numRef>
          </c:xVal>
          <c:yVal>
            <c:numRef>
              <c:f>'[1]Notes | Quant Analysis'!$Q$186:$Q$187</c:f>
              <c:numCache>
                <c:formatCode>General</c:formatCode>
                <c:ptCount val="2"/>
              </c:numCache>
            </c:numRef>
          </c:yVal>
          <c:smooth val="1"/>
          <c:extLst>
            <c:ext xmlns:c16="http://schemas.microsoft.com/office/drawing/2014/chart" uri="{C3380CC4-5D6E-409C-BE32-E72D297353CC}">
              <c16:uniqueId val="{0000000A-64C8-46E7-8417-05DC731C65AA}"/>
            </c:ext>
          </c:extLst>
        </c:ser>
        <c:ser>
          <c:idx val="5"/>
          <c:order val="5"/>
          <c:tx>
            <c:strRef>
              <c:f>'[1]Notes | Quant Analysis'!$O$188</c:f>
              <c:strCache>
                <c:ptCount val="1"/>
                <c:pt idx="0">
                  <c:v>#REF!</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64C8-46E7-8417-05DC731C65AA}"/>
                </c:ext>
              </c:extLst>
            </c:dLbl>
            <c:dLbl>
              <c:idx val="1"/>
              <c:layout>
                <c:manualLayout>
                  <c:x val="-9.5144040320977827E-2"/>
                  <c:y val="-2.125000209153572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Analysis'!$P$188:$P$189</c:f>
              <c:numCache>
                <c:formatCode>General</c:formatCode>
                <c:ptCount val="2"/>
              </c:numCache>
            </c:numRef>
          </c:xVal>
          <c:yVal>
            <c:numRef>
              <c:f>'[1]Notes | Quant Analysis'!$Q$188:$Q$189</c:f>
              <c:numCache>
                <c:formatCode>General</c:formatCode>
                <c:ptCount val="2"/>
              </c:numCache>
            </c:numRef>
          </c:yVal>
          <c:smooth val="1"/>
          <c:extLst>
            <c:ext xmlns:c16="http://schemas.microsoft.com/office/drawing/2014/chart" uri="{C3380CC4-5D6E-409C-BE32-E72D297353CC}">
              <c16:uniqueId val="{0000000D-64C8-46E7-8417-05DC731C65AA}"/>
            </c:ext>
          </c:extLst>
        </c:ser>
        <c:ser>
          <c:idx val="6"/>
          <c:order val="6"/>
          <c:tx>
            <c:strRef>
              <c:f>'[1]Notes | Quant Analysis'!$O$190</c:f>
              <c:strCache>
                <c:ptCount val="1"/>
                <c:pt idx="0">
                  <c:v>#REF!</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64C8-46E7-8417-05DC731C65AA}"/>
                </c:ext>
              </c:extLst>
            </c:dLbl>
            <c:dLbl>
              <c:idx val="1"/>
              <c:layout>
                <c:manualLayout>
                  <c:x val="-2.3786010080244464E-2"/>
                  <c:y val="-2.8333336122047612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1201295968475098E-2"/>
                      <c:h val="4.9276393738927629E-2"/>
                    </c:manualLayout>
                  </c15:layout>
                </c:ext>
                <c:ext xmlns:c16="http://schemas.microsoft.com/office/drawing/2014/chart" uri="{C3380CC4-5D6E-409C-BE32-E72D297353CC}">
                  <c16:uniqueId val="{0000000F-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Analysis'!$P$190:$P$191</c:f>
              <c:numCache>
                <c:formatCode>General</c:formatCode>
                <c:ptCount val="2"/>
              </c:numCache>
            </c:numRef>
          </c:xVal>
          <c:yVal>
            <c:numRef>
              <c:f>'[1]Notes | Quant Analysis'!$Q$190:$Q$191</c:f>
              <c:numCache>
                <c:formatCode>General</c:formatCode>
                <c:ptCount val="2"/>
              </c:numCache>
            </c:numRef>
          </c:yVal>
          <c:smooth val="1"/>
          <c:extLst>
            <c:ext xmlns:c16="http://schemas.microsoft.com/office/drawing/2014/chart" uri="{C3380CC4-5D6E-409C-BE32-E72D297353CC}">
              <c16:uniqueId val="{00000010-64C8-46E7-8417-05DC731C65AA}"/>
            </c:ext>
          </c:extLst>
        </c:ser>
        <c:ser>
          <c:idx val="7"/>
          <c:order val="7"/>
          <c:tx>
            <c:strRef>
              <c:f>'[1]Notes | Quant Analysis'!$O$192</c:f>
              <c:strCache>
                <c:ptCount val="1"/>
                <c:pt idx="0">
                  <c:v>#REF!</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64C8-46E7-8417-05DC731C65AA}"/>
                </c:ext>
              </c:extLst>
            </c:dLbl>
            <c:dLbl>
              <c:idx val="1"/>
              <c:layout>
                <c:manualLayout>
                  <c:x val="-3.7777780715682475E-2"/>
                  <c:y val="-6.138889493110313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2-64C8-46E7-8417-05DC731C65AA}"/>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Analysis'!$P$192:$P$193</c:f>
              <c:numCache>
                <c:formatCode>General</c:formatCode>
                <c:ptCount val="2"/>
              </c:numCache>
            </c:numRef>
          </c:xVal>
          <c:yVal>
            <c:numRef>
              <c:f>'[1]Notes | Quant Analysis'!$Q$192:$Q$193</c:f>
              <c:numCache>
                <c:formatCode>General</c:formatCode>
                <c:ptCount val="2"/>
              </c:numCache>
            </c:numRef>
          </c:yVal>
          <c:smooth val="1"/>
          <c:extLst>
            <c:ext xmlns:c16="http://schemas.microsoft.com/office/drawing/2014/chart" uri="{C3380CC4-5D6E-409C-BE32-E72D297353CC}">
              <c16:uniqueId val="{00000013-64C8-46E7-8417-05DC731C65AA}"/>
            </c:ext>
          </c:extLst>
        </c:ser>
        <c:ser>
          <c:idx val="8"/>
          <c:order val="8"/>
          <c:tx>
            <c:strRef>
              <c:f>'[1]Notes | Quant Analysis'!$O$194</c:f>
              <c:strCache>
                <c:ptCount val="1"/>
                <c:pt idx="0">
                  <c:v>#REF!</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4-64C8-46E7-8417-05DC731C65AA}"/>
                </c:ext>
              </c:extLst>
            </c:dLbl>
            <c:dLbl>
              <c:idx val="1"/>
              <c:layout>
                <c:manualLayout>
                  <c:x val="-3.3580249525050995E-2"/>
                  <c:y val="-3.77777814960633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64C8-46E7-8417-05DC731C65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'[1]Notes | Quant Analysis'!$P$194:$P$195</c:f>
              <c:numCache>
                <c:formatCode>General</c:formatCode>
                <c:ptCount val="2"/>
              </c:numCache>
            </c:numRef>
          </c:xVal>
          <c:yVal>
            <c:numRef>
              <c:f>'[1]Notes | Quant Analysis'!$Q$194:$Q$195</c:f>
              <c:numCache>
                <c:formatCode>General</c:formatCode>
                <c:ptCount val="2"/>
              </c:numCache>
            </c:numRef>
          </c:yVal>
          <c:smooth val="1"/>
          <c:extLst>
            <c:ext xmlns:c16="http://schemas.microsoft.com/office/drawing/2014/chart" uri="{C3380CC4-5D6E-409C-BE32-E72D297353CC}">
              <c16:uniqueId val="{00000016-64C8-46E7-8417-05DC731C65AA}"/>
            </c:ext>
          </c:extLst>
        </c:ser>
        <c:dLbls>
          <c:showLegendKey val="0"/>
          <c:showVal val="0"/>
          <c:showCatName val="0"/>
          <c:showSerName val="0"/>
          <c:showPercent val="0"/>
          <c:showBubbleSize val="0"/>
        </c:dLbls>
        <c:axId val="1297843279"/>
        <c:axId val="1297840879"/>
      </c:scatterChart>
      <c:valAx>
        <c:axId val="1297843279"/>
        <c:scaling>
          <c:orientation val="minMax"/>
          <c:max val="4.5000000000000012E-2"/>
          <c:min val="-4.5000000000000012E-2"/>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0879"/>
        <c:crosses val="autoZero"/>
        <c:crossBetween val="midCat"/>
        <c:majorUnit val="5.000000000000001E-3"/>
      </c:valAx>
      <c:valAx>
        <c:axId val="129784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843279"/>
        <c:crossesAt val="-10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2</xdr:row>
      <xdr:rowOff>9525</xdr:rowOff>
    </xdr:from>
    <xdr:to>
      <xdr:col>7</xdr:col>
      <xdr:colOff>609599</xdr:colOff>
      <xdr:row>8</xdr:row>
      <xdr:rowOff>171450</xdr:rowOff>
    </xdr:to>
    <xdr:pic>
      <xdr:nvPicPr>
        <xdr:cNvPr id="2" name="Picture 1">
          <a:extLst>
            <a:ext uri="{FF2B5EF4-FFF2-40B4-BE49-F238E27FC236}">
              <a16:creationId xmlns:a16="http://schemas.microsoft.com/office/drawing/2014/main" id="{59B8C815-81D1-9069-5FD5-D584B41ED3F7}"/>
            </a:ext>
          </a:extLst>
        </xdr:cNvPr>
        <xdr:cNvPicPr>
          <a:picLocks noChangeAspect="1"/>
        </xdr:cNvPicPr>
      </xdr:nvPicPr>
      <xdr:blipFill rotWithShape="1">
        <a:blip xmlns:r="http://schemas.openxmlformats.org/officeDocument/2006/relationships" r:embed="rId1"/>
        <a:srcRect l="5023" r="9135"/>
        <a:stretch>
          <a:fillRect/>
        </a:stretch>
      </xdr:blipFill>
      <xdr:spPr>
        <a:xfrm>
          <a:off x="3267075" y="390525"/>
          <a:ext cx="1819274" cy="1247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71</xdr:col>
      <xdr:colOff>0</xdr:colOff>
      <xdr:row>0</xdr:row>
      <xdr:rowOff>0</xdr:rowOff>
    </xdr:from>
    <xdr:to>
      <xdr:col>71</xdr:col>
      <xdr:colOff>0</xdr:colOff>
      <xdr:row>130</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44700825" y="0"/>
          <a:ext cx="0" cy="23774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103</xdr:col>
      <xdr:colOff>0</xdr:colOff>
      <xdr:row>0</xdr:row>
      <xdr:rowOff>0</xdr:rowOff>
    </xdr:from>
    <xdr:to>
      <xdr:col>103</xdr:col>
      <xdr:colOff>0</xdr:colOff>
      <xdr:row>129</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95</xdr:row>
      <xdr:rowOff>190499</xdr:rowOff>
    </xdr:from>
    <xdr:to>
      <xdr:col>23</xdr:col>
      <xdr:colOff>0</xdr:colOff>
      <xdr:row>126</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132</xdr:row>
      <xdr:rowOff>0</xdr:rowOff>
    </xdr:from>
    <xdr:to>
      <xdr:col>23</xdr:col>
      <xdr:colOff>0</xdr:colOff>
      <xdr:row>160</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165</xdr:row>
      <xdr:rowOff>0</xdr:rowOff>
    </xdr:from>
    <xdr:to>
      <xdr:col>23</xdr:col>
      <xdr:colOff>0</xdr:colOff>
      <xdr:row>193</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xdr:row>
      <xdr:rowOff>19049</xdr:rowOff>
    </xdr:from>
    <xdr:to>
      <xdr:col>13</xdr:col>
      <xdr:colOff>0</xdr:colOff>
      <xdr:row>36</xdr:row>
      <xdr:rowOff>119062</xdr:rowOff>
    </xdr:to>
    <xdr:pic>
      <xdr:nvPicPr>
        <xdr:cNvPr id="2" name="Picture 1">
          <a:extLst>
            <a:ext uri="{FF2B5EF4-FFF2-40B4-BE49-F238E27FC236}">
              <a16:creationId xmlns:a16="http://schemas.microsoft.com/office/drawing/2014/main" id="{9ABACE05-6968-A1D8-D346-EA5DB93BF653}"/>
            </a:ext>
          </a:extLst>
        </xdr:cNvPr>
        <xdr:cNvPicPr>
          <a:picLocks noChangeAspect="1"/>
        </xdr:cNvPicPr>
      </xdr:nvPicPr>
      <xdr:blipFill>
        <a:blip xmlns:r="http://schemas.openxmlformats.org/officeDocument/2006/relationships" r:embed="rId1"/>
        <a:stretch>
          <a:fillRect/>
        </a:stretch>
      </xdr:blipFill>
      <xdr:spPr>
        <a:xfrm>
          <a:off x="223838" y="190499"/>
          <a:ext cx="7820025" cy="61007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OneDrive\Desktop\Equity%20Research\Models\Health%20Care\MedTech\SYK_Model.xlsx" TargetMode="External"/><Relationship Id="rId1" Type="http://schemas.openxmlformats.org/officeDocument/2006/relationships/externalLinkPath" Target="SYK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M&amp;A"/>
      <sheetName val="Management"/>
      <sheetName val="Markets | Product Lines"/>
      <sheetName val="NARI"/>
      <sheetName val="Debt Schedule"/>
    </sheetNames>
    <sheetDataSet>
      <sheetData sheetId="0">
        <row r="6">
          <cell r="C6">
            <v>382.16500000000002</v>
          </cell>
        </row>
      </sheetData>
      <sheetData sheetId="1">
        <row r="1">
          <cell r="AY1" t="str">
            <v>Q1 2021</v>
          </cell>
          <cell r="BC1" t="str">
            <v>Q1 2022</v>
          </cell>
          <cell r="BG1" t="str">
            <v>Q1 2023</v>
          </cell>
          <cell r="BK1" t="str">
            <v>Q1 2024</v>
          </cell>
          <cell r="BO1" t="str">
            <v>Q1 2025</v>
          </cell>
        </row>
        <row r="4">
          <cell r="B4" t="str">
            <v>Instruments</v>
          </cell>
          <cell r="AW4">
            <v>467</v>
          </cell>
          <cell r="AX4">
            <v>555</v>
          </cell>
          <cell r="AY4">
            <v>469</v>
          </cell>
          <cell r="AZ4">
            <v>517</v>
          </cell>
          <cell r="BA4">
            <v>525</v>
          </cell>
          <cell r="BB4">
            <v>600</v>
          </cell>
          <cell r="BC4">
            <v>528</v>
          </cell>
          <cell r="BD4">
            <v>563</v>
          </cell>
          <cell r="BE4">
            <v>535</v>
          </cell>
          <cell r="BF4">
            <v>653</v>
          </cell>
          <cell r="BG4">
            <v>566</v>
          </cell>
          <cell r="BH4">
            <v>622</v>
          </cell>
          <cell r="BI4">
            <v>620</v>
          </cell>
          <cell r="BJ4">
            <v>726</v>
          </cell>
          <cell r="BK4">
            <v>667</v>
          </cell>
          <cell r="BL4">
            <v>698</v>
          </cell>
          <cell r="BM4">
            <v>679</v>
          </cell>
          <cell r="BN4">
            <v>790</v>
          </cell>
          <cell r="BO4">
            <v>730</v>
          </cell>
          <cell r="BP4">
            <v>768</v>
          </cell>
          <cell r="BQ4"/>
        </row>
        <row r="5">
          <cell r="B5" t="str">
            <v>Endoscopy</v>
          </cell>
          <cell r="AW5">
            <v>467</v>
          </cell>
          <cell r="AX5">
            <v>525</v>
          </cell>
          <cell r="AY5">
            <v>469</v>
          </cell>
          <cell r="AZ5">
            <v>518</v>
          </cell>
          <cell r="BA5">
            <v>525</v>
          </cell>
          <cell r="BB5">
            <v>629</v>
          </cell>
          <cell r="BC5">
            <v>538</v>
          </cell>
          <cell r="BD5">
            <v>600</v>
          </cell>
          <cell r="BE5">
            <v>590</v>
          </cell>
          <cell r="BF5">
            <v>997</v>
          </cell>
          <cell r="BG5">
            <v>707</v>
          </cell>
          <cell r="BH5">
            <v>713</v>
          </cell>
          <cell r="BI5">
            <v>746</v>
          </cell>
          <cell r="BJ5">
            <v>902</v>
          </cell>
          <cell r="BK5">
            <v>778</v>
          </cell>
          <cell r="BL5">
            <v>768</v>
          </cell>
          <cell r="BM5">
            <v>837</v>
          </cell>
          <cell r="BN5">
            <v>1006</v>
          </cell>
          <cell r="BO5">
            <v>867</v>
          </cell>
          <cell r="BP5">
            <v>899</v>
          </cell>
          <cell r="BQ5"/>
        </row>
        <row r="6">
          <cell r="B6" t="str">
            <v>Medical</v>
          </cell>
          <cell r="AW6">
            <v>600</v>
          </cell>
          <cell r="AX6">
            <v>705</v>
          </cell>
          <cell r="AY6">
            <v>622</v>
          </cell>
          <cell r="AZ6">
            <v>640</v>
          </cell>
          <cell r="BA6">
            <v>636</v>
          </cell>
          <cell r="BB6">
            <v>709</v>
          </cell>
          <cell r="BC6">
            <v>664</v>
          </cell>
          <cell r="BD6">
            <v>666</v>
          </cell>
          <cell r="BE6">
            <v>765</v>
          </cell>
          <cell r="BF6">
            <v>936</v>
          </cell>
          <cell r="BG6">
            <v>778</v>
          </cell>
          <cell r="BH6">
            <v>841</v>
          </cell>
          <cell r="BI6">
            <v>798</v>
          </cell>
          <cell r="BJ6">
            <v>1042</v>
          </cell>
          <cell r="BK6">
            <v>864</v>
          </cell>
          <cell r="BL6">
            <v>908</v>
          </cell>
          <cell r="BM6">
            <v>938</v>
          </cell>
          <cell r="BN6">
            <v>1142</v>
          </cell>
          <cell r="BO6">
            <v>945</v>
          </cell>
          <cell r="BP6">
            <v>990</v>
          </cell>
          <cell r="BQ6"/>
        </row>
        <row r="7">
          <cell r="B7" t="str">
            <v>Vascular</v>
          </cell>
          <cell r="AW7">
            <v>66</v>
          </cell>
          <cell r="AX7">
            <v>82</v>
          </cell>
          <cell r="AY7">
            <v>289</v>
          </cell>
          <cell r="AZ7">
            <v>301</v>
          </cell>
          <cell r="BA7">
            <v>295</v>
          </cell>
          <cell r="BB7">
            <v>303</v>
          </cell>
          <cell r="BC7">
            <v>301</v>
          </cell>
          <cell r="BD7">
            <v>306</v>
          </cell>
          <cell r="BE7">
            <v>294</v>
          </cell>
          <cell r="BF7">
            <v>299</v>
          </cell>
          <cell r="BG7">
            <v>284</v>
          </cell>
          <cell r="BH7">
            <v>311</v>
          </cell>
          <cell r="BI7">
            <v>311</v>
          </cell>
          <cell r="BJ7">
            <v>320</v>
          </cell>
          <cell r="BK7">
            <v>310</v>
          </cell>
          <cell r="BL7">
            <v>327</v>
          </cell>
          <cell r="BM7">
            <v>329</v>
          </cell>
          <cell r="BN7">
            <v>341</v>
          </cell>
          <cell r="BO7">
            <v>406</v>
          </cell>
          <cell r="BP7">
            <v>498</v>
          </cell>
          <cell r="BQ7"/>
        </row>
        <row r="8">
          <cell r="B8" t="str">
            <v>Neuro Cranial</v>
          </cell>
          <cell r="AW8">
            <v>518</v>
          </cell>
          <cell r="AX8">
            <v>312</v>
          </cell>
          <cell r="AY8">
            <v>281</v>
          </cell>
          <cell r="AZ8">
            <v>310</v>
          </cell>
          <cell r="BA8">
            <v>299</v>
          </cell>
          <cell r="BB8">
            <v>324</v>
          </cell>
          <cell r="BC8">
            <v>323</v>
          </cell>
          <cell r="BD8">
            <v>337</v>
          </cell>
          <cell r="BE8">
            <v>332</v>
          </cell>
          <cell r="BF8">
            <v>384</v>
          </cell>
          <cell r="BG8">
            <v>355</v>
          </cell>
          <cell r="BH8">
            <v>373</v>
          </cell>
          <cell r="BI8">
            <v>384</v>
          </cell>
          <cell r="BJ8">
            <v>764</v>
          </cell>
          <cell r="BK8">
            <v>478</v>
          </cell>
          <cell r="BL8">
            <v>416</v>
          </cell>
          <cell r="BM8">
            <v>441</v>
          </cell>
          <cell r="BN8">
            <v>801</v>
          </cell>
          <cell r="BO8">
            <v>563</v>
          </cell>
          <cell r="BP8">
            <v>616</v>
          </cell>
          <cell r="BQ8"/>
        </row>
        <row r="10">
          <cell r="B10" t="str">
            <v>Knees</v>
          </cell>
          <cell r="AW10">
            <v>435</v>
          </cell>
          <cell r="AX10">
            <v>459</v>
          </cell>
          <cell r="AY10">
            <v>412</v>
          </cell>
          <cell r="AZ10">
            <v>474</v>
          </cell>
          <cell r="BA10">
            <v>439</v>
          </cell>
          <cell r="BB10">
            <v>523</v>
          </cell>
          <cell r="BC10">
            <v>464</v>
          </cell>
          <cell r="BD10">
            <v>500</v>
          </cell>
          <cell r="BE10">
            <v>481</v>
          </cell>
          <cell r="BF10">
            <v>552</v>
          </cell>
          <cell r="BG10">
            <v>566</v>
          </cell>
          <cell r="BH10">
            <v>562</v>
          </cell>
          <cell r="BI10">
            <v>515</v>
          </cell>
          <cell r="BJ10">
            <v>630</v>
          </cell>
          <cell r="BK10">
            <v>588</v>
          </cell>
          <cell r="BL10">
            <v>602</v>
          </cell>
          <cell r="BM10">
            <v>570</v>
          </cell>
          <cell r="BN10">
            <v>687</v>
          </cell>
          <cell r="BO10">
            <v>639</v>
          </cell>
          <cell r="BP10">
            <v>640</v>
          </cell>
          <cell r="BQ10"/>
        </row>
        <row r="11">
          <cell r="B11" t="str">
            <v>Hips</v>
          </cell>
          <cell r="AW11">
            <v>334</v>
          </cell>
          <cell r="AX11">
            <v>340</v>
          </cell>
          <cell r="AY11">
            <v>309</v>
          </cell>
          <cell r="AZ11">
            <v>353</v>
          </cell>
          <cell r="BA11">
            <v>328</v>
          </cell>
          <cell r="BB11">
            <v>352</v>
          </cell>
          <cell r="BC11">
            <v>327</v>
          </cell>
          <cell r="BD11">
            <v>364</v>
          </cell>
          <cell r="BE11">
            <v>347</v>
          </cell>
          <cell r="BF11">
            <v>375</v>
          </cell>
          <cell r="BG11">
            <v>375</v>
          </cell>
          <cell r="BH11">
            <v>393</v>
          </cell>
          <cell r="BI11">
            <v>362</v>
          </cell>
          <cell r="BJ11">
            <v>414</v>
          </cell>
          <cell r="BK11">
            <v>393</v>
          </cell>
          <cell r="BL11">
            <v>428</v>
          </cell>
          <cell r="BM11">
            <v>420</v>
          </cell>
          <cell r="BN11">
            <v>463</v>
          </cell>
          <cell r="BO11">
            <v>443</v>
          </cell>
          <cell r="BP11">
            <v>466</v>
          </cell>
          <cell r="BQ11"/>
        </row>
        <row r="12">
          <cell r="B12" t="str">
            <v>Trauma and Extremities</v>
          </cell>
          <cell r="AW12">
            <v>430</v>
          </cell>
          <cell r="AX12">
            <v>570</v>
          </cell>
          <cell r="AY12">
            <v>640</v>
          </cell>
          <cell r="AZ12">
            <v>674</v>
          </cell>
          <cell r="BA12">
            <v>639</v>
          </cell>
          <cell r="BB12">
            <v>711</v>
          </cell>
          <cell r="BC12">
            <v>685</v>
          </cell>
          <cell r="BD12">
            <v>676</v>
          </cell>
          <cell r="BE12">
            <v>672</v>
          </cell>
          <cell r="BF12">
            <v>774</v>
          </cell>
          <cell r="BG12">
            <v>769</v>
          </cell>
          <cell r="BH12">
            <v>766</v>
          </cell>
          <cell r="BI12">
            <v>752</v>
          </cell>
          <cell r="BJ12">
            <v>860</v>
          </cell>
          <cell r="BK12">
            <v>830</v>
          </cell>
          <cell r="BL12">
            <v>832</v>
          </cell>
          <cell r="BM12">
            <v>849</v>
          </cell>
          <cell r="BN12">
            <v>996</v>
          </cell>
          <cell r="BO12">
            <v>945</v>
          </cell>
          <cell r="BP12">
            <v>957</v>
          </cell>
          <cell r="BQ12"/>
        </row>
        <row r="13">
          <cell r="B13" t="str">
            <v>Spinal Implants</v>
          </cell>
          <cell r="AW13">
            <v>302</v>
          </cell>
          <cell r="AX13">
            <v>307</v>
          </cell>
          <cell r="AY13">
            <v>278</v>
          </cell>
          <cell r="AZ13">
            <v>307</v>
          </cell>
          <cell r="BA13">
            <v>282</v>
          </cell>
          <cell r="BB13">
            <v>300</v>
          </cell>
          <cell r="BC13">
            <v>279</v>
          </cell>
          <cell r="BD13">
            <v>290</v>
          </cell>
          <cell r="BE13">
            <v>280</v>
          </cell>
          <cell r="BF13">
            <v>297</v>
          </cell>
          <cell r="BG13">
            <v>284</v>
          </cell>
          <cell r="BH13">
            <v>296</v>
          </cell>
          <cell r="BI13">
            <v>291</v>
          </cell>
          <cell r="BJ13">
            <v>122</v>
          </cell>
          <cell r="BK13">
            <v>171</v>
          </cell>
          <cell r="BL13">
            <v>307</v>
          </cell>
          <cell r="BM13">
            <v>304</v>
          </cell>
          <cell r="BN13">
            <v>85</v>
          </cell>
          <cell r="BO13">
            <v>166</v>
          </cell>
          <cell r="BP13">
            <v>5</v>
          </cell>
          <cell r="BQ13"/>
        </row>
        <row r="14">
          <cell r="B14" t="str">
            <v>Other</v>
          </cell>
          <cell r="AW14">
            <v>118</v>
          </cell>
          <cell r="AX14">
            <v>157</v>
          </cell>
          <cell r="AY14">
            <v>123</v>
          </cell>
          <cell r="AZ14">
            <v>127</v>
          </cell>
          <cell r="BA14">
            <v>123</v>
          </cell>
          <cell r="BB14">
            <v>176</v>
          </cell>
          <cell r="BC14">
            <v>97</v>
          </cell>
          <cell r="BD14">
            <v>114</v>
          </cell>
          <cell r="BE14">
            <v>111</v>
          </cell>
          <cell r="BF14">
            <v>153</v>
          </cell>
          <cell r="BG14">
            <v>94</v>
          </cell>
          <cell r="BH14">
            <v>119</v>
          </cell>
          <cell r="BI14">
            <v>130</v>
          </cell>
          <cell r="BJ14">
            <v>35</v>
          </cell>
          <cell r="BK14">
            <v>164</v>
          </cell>
          <cell r="BL14">
            <v>136</v>
          </cell>
          <cell r="BM14">
            <v>127</v>
          </cell>
          <cell r="BN14">
            <v>125</v>
          </cell>
          <cell r="BO14">
            <v>162</v>
          </cell>
          <cell r="BP14">
            <v>183</v>
          </cell>
          <cell r="BQ14"/>
        </row>
        <row r="44">
          <cell r="AW44">
            <v>4.1817674937273397E-2</v>
          </cell>
          <cell r="AX44">
            <v>3.1711450012103626E-2</v>
          </cell>
          <cell r="AY44">
            <v>0.1017279821627648</v>
          </cell>
          <cell r="AZ44">
            <v>0.55354558610709126</v>
          </cell>
          <cell r="BA44">
            <v>0.11319240032111311</v>
          </cell>
          <cell r="BB44">
            <v>0.10300328484279686</v>
          </cell>
          <cell r="BC44">
            <v>8.1457121173792002E-2</v>
          </cell>
          <cell r="BD44">
            <v>4.6343735444806633E-2</v>
          </cell>
          <cell r="BE44">
            <v>7.6682692307692202E-2</v>
          </cell>
          <cell r="BF44">
            <v>0.10657306955966805</v>
          </cell>
          <cell r="BG44">
            <v>0.11766081871345024</v>
          </cell>
          <cell r="BH44">
            <v>0.11195192521700426</v>
          </cell>
          <cell r="BI44">
            <v>9.6003572225943357E-2</v>
          </cell>
          <cell r="BJ44">
            <v>0.1178392925797771</v>
          </cell>
          <cell r="BK44">
            <v>9.7321054834658804E-2</v>
          </cell>
          <cell r="BL44">
            <v>8.526821457165723E-2</v>
          </cell>
          <cell r="BM44">
            <v>0.11916887349765726</v>
          </cell>
          <cell r="BN44">
            <v>0.10679277730008607</v>
          </cell>
          <cell r="BO44">
            <v>0.11882510013351144</v>
          </cell>
          <cell r="BP44">
            <v>0.11066027296200653</v>
          </cell>
        </row>
        <row r="55">
          <cell r="AW55">
            <v>780</v>
          </cell>
          <cell r="AX55">
            <v>671</v>
          </cell>
          <cell r="AY55">
            <v>367</v>
          </cell>
          <cell r="AZ55">
            <v>662</v>
          </cell>
          <cell r="BA55">
            <v>495</v>
          </cell>
          <cell r="BB55">
            <v>757</v>
          </cell>
          <cell r="BC55">
            <v>386</v>
          </cell>
          <cell r="BD55">
            <v>720</v>
          </cell>
          <cell r="BE55">
            <v>816</v>
          </cell>
          <cell r="BF55">
            <v>761</v>
          </cell>
          <cell r="BG55">
            <v>679</v>
          </cell>
          <cell r="BH55">
            <v>899</v>
          </cell>
          <cell r="BI55">
            <v>869</v>
          </cell>
          <cell r="BJ55">
            <v>1226</v>
          </cell>
          <cell r="BK55">
            <v>923</v>
          </cell>
          <cell r="BL55">
            <v>998</v>
          </cell>
          <cell r="BM55">
            <v>1043</v>
          </cell>
          <cell r="BN55">
            <v>528</v>
          </cell>
          <cell r="BO55">
            <v>764</v>
          </cell>
          <cell r="BP55">
            <v>1016</v>
          </cell>
        </row>
        <row r="103">
          <cell r="AW103">
            <v>829</v>
          </cell>
          <cell r="AX103">
            <v>1237</v>
          </cell>
          <cell r="AY103">
            <v>452</v>
          </cell>
          <cell r="AZ103">
            <v>878</v>
          </cell>
          <cell r="BA103">
            <v>933</v>
          </cell>
          <cell r="BB103">
            <v>1000</v>
          </cell>
          <cell r="BC103">
            <v>203</v>
          </cell>
          <cell r="BD103">
            <v>529</v>
          </cell>
          <cell r="BE103">
            <v>889</v>
          </cell>
          <cell r="BF103">
            <v>1003</v>
          </cell>
          <cell r="BG103">
            <v>445</v>
          </cell>
          <cell r="BH103">
            <v>688</v>
          </cell>
          <cell r="BI103">
            <v>1050</v>
          </cell>
          <cell r="BJ103">
            <v>1528</v>
          </cell>
          <cell r="BK103">
            <v>204</v>
          </cell>
          <cell r="BL103">
            <v>633</v>
          </cell>
          <cell r="BM103">
            <v>1474</v>
          </cell>
          <cell r="BN103">
            <v>1931</v>
          </cell>
          <cell r="BO103">
            <v>250</v>
          </cell>
          <cell r="BP103">
            <v>1111</v>
          </cell>
          <cell r="BQ103"/>
        </row>
      </sheetData>
      <sheetData sheetId="2" refreshError="1">
        <row r="188">
          <cell r="I188" t="str">
            <v>Notes:</v>
          </cell>
          <cell r="J188" t="str">
            <v>[X]</v>
          </cell>
        </row>
        <row r="189">
          <cell r="J189" t="str">
            <v>[Y]</v>
          </cell>
        </row>
        <row r="190">
          <cell r="J190" t="str">
            <v>[Z]</v>
          </cell>
        </row>
        <row r="224">
          <cell r="I224" t="str">
            <v>Notes:</v>
          </cell>
          <cell r="J224" t="str">
            <v>[X]</v>
          </cell>
        </row>
        <row r="225">
          <cell r="J225" t="str">
            <v>[Y]</v>
          </cell>
        </row>
        <row r="226">
          <cell r="J226" t="str">
            <v>[Z]</v>
          </cell>
        </row>
        <row r="258">
          <cell r="J258" t="str">
            <v xml:space="preserve">The return distribution fits a Gaussian curve well, implying that daily change follows a roughly normal distribution </v>
          </cell>
        </row>
        <row r="259">
          <cell r="J259" t="str">
            <v xml:space="preserve">There is slight implied upside to mean 1-day returns </v>
          </cell>
        </row>
      </sheetData>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investor_relations@bd.com" TargetMode="External"/><Relationship Id="rId2" Type="http://schemas.openxmlformats.org/officeDocument/2006/relationships/hyperlink" Target="https://app.godelterminal.com/" TargetMode="External"/><Relationship Id="rId1" Type="http://schemas.openxmlformats.org/officeDocument/2006/relationships/hyperlink" Target="000%20Med-Devices%20Master%20List%20000.xls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5"/>
  <sheetViews>
    <sheetView zoomScale="85" zoomScaleNormal="85" workbookViewId="0">
      <selection activeCell="D3" sqref="D3:D7"/>
    </sheetView>
  </sheetViews>
  <sheetFormatPr defaultColWidth="9.140625" defaultRowHeight="14.25"/>
  <cols>
    <col min="1" max="1" width="3.42578125" style="1" customWidth="1"/>
    <col min="2" max="2" width="11.5703125" style="1" customWidth="1"/>
    <col min="3" max="3" width="13.140625" style="1" customWidth="1"/>
    <col min="4" max="4" width="11.5703125" style="1" customWidth="1"/>
    <col min="5" max="16384" width="9.140625" style="1"/>
  </cols>
  <sheetData>
    <row r="1" spans="1:45" ht="15">
      <c r="A1" s="49" t="s">
        <v>0</v>
      </c>
      <c r="AS1" s="1">
        <v>1</v>
      </c>
    </row>
    <row r="2" spans="1:45" ht="15">
      <c r="B2" s="2" t="s">
        <v>214</v>
      </c>
    </row>
    <row r="3" spans="1:45">
      <c r="B3" s="1" t="s">
        <v>1</v>
      </c>
      <c r="C3" s="3">
        <v>187.04</v>
      </c>
      <c r="D3" s="50" t="s">
        <v>246</v>
      </c>
    </row>
    <row r="4" spans="1:45">
      <c r="B4" s="1" t="s">
        <v>2</v>
      </c>
      <c r="C4" s="45">
        <v>286.62</v>
      </c>
      <c r="D4" s="1" t="s">
        <v>247</v>
      </c>
    </row>
    <row r="5" spans="1:45">
      <c r="B5" s="1" t="s">
        <v>3</v>
      </c>
      <c r="C5" s="46">
        <f>C3*C4</f>
        <v>53609.404799999997</v>
      </c>
    </row>
    <row r="6" spans="1:45">
      <c r="B6" s="1" t="s">
        <v>4</v>
      </c>
      <c r="C6" s="46">
        <v>757</v>
      </c>
      <c r="D6" s="1" t="s">
        <v>247</v>
      </c>
    </row>
    <row r="7" spans="1:45">
      <c r="B7" s="1" t="s">
        <v>5</v>
      </c>
      <c r="C7" s="47">
        <f>1810+17531</f>
        <v>19341</v>
      </c>
      <c r="D7" s="1" t="s">
        <v>247</v>
      </c>
    </row>
    <row r="8" spans="1:45">
      <c r="B8" s="1" t="s">
        <v>6</v>
      </c>
      <c r="C8" s="46">
        <f>C5-C6+C7</f>
        <v>72193.404799999989</v>
      </c>
    </row>
    <row r="10" spans="1:45" ht="15">
      <c r="B10" s="44" t="s">
        <v>215</v>
      </c>
    </row>
    <row r="12" spans="1:45">
      <c r="B12" s="1" t="s">
        <v>245</v>
      </c>
      <c r="F12" s="1" t="s">
        <v>218</v>
      </c>
      <c r="M12" s="1" t="s">
        <v>233</v>
      </c>
    </row>
    <row r="13" spans="1:45" ht="15">
      <c r="B13" s="1" t="s">
        <v>216</v>
      </c>
      <c r="F13" s="1" t="s">
        <v>257</v>
      </c>
      <c r="M13" s="1" t="s">
        <v>8</v>
      </c>
      <c r="P13" s="49" t="s">
        <v>248</v>
      </c>
    </row>
    <row r="14" spans="1:45">
      <c r="B14" s="1" t="s">
        <v>217</v>
      </c>
      <c r="F14" s="1" t="s">
        <v>7</v>
      </c>
      <c r="M14" s="1" t="s">
        <v>238</v>
      </c>
      <c r="P14" s="48" t="s">
        <v>254</v>
      </c>
    </row>
    <row r="15" spans="1:45">
      <c r="B15" s="1" t="s">
        <v>250</v>
      </c>
      <c r="F15" s="1" t="s">
        <v>235</v>
      </c>
      <c r="N15" s="1" t="s">
        <v>239</v>
      </c>
      <c r="Q15" s="48" t="s">
        <v>255</v>
      </c>
    </row>
    <row r="16" spans="1:45" ht="15">
      <c r="B16" s="1" t="s">
        <v>228</v>
      </c>
      <c r="F16" s="1" t="s">
        <v>236</v>
      </c>
      <c r="G16" s="1" t="s">
        <v>256</v>
      </c>
      <c r="I16" s="1" t="s">
        <v>237</v>
      </c>
      <c r="J16" s="49" t="s">
        <v>258</v>
      </c>
      <c r="M16" s="1" t="s">
        <v>240</v>
      </c>
      <c r="P16" s="48" t="s">
        <v>253</v>
      </c>
    </row>
    <row r="17" spans="1:16">
      <c r="B17" s="1" t="s">
        <v>231</v>
      </c>
      <c r="M17" s="1" t="s">
        <v>241</v>
      </c>
      <c r="P17" s="48" t="s">
        <v>249</v>
      </c>
    </row>
    <row r="18" spans="1:16">
      <c r="B18" s="1" t="s">
        <v>230</v>
      </c>
      <c r="M18" s="1" t="s">
        <v>242</v>
      </c>
      <c r="P18" s="48" t="s">
        <v>251</v>
      </c>
    </row>
    <row r="19" spans="1:16">
      <c r="B19" s="1" t="s">
        <v>232</v>
      </c>
      <c r="M19" s="1" t="s">
        <v>243</v>
      </c>
      <c r="P19" s="48" t="s">
        <v>252</v>
      </c>
    </row>
    <row r="20" spans="1:16">
      <c r="B20" s="1" t="s">
        <v>259</v>
      </c>
      <c r="M20" s="1" t="s">
        <v>9</v>
      </c>
      <c r="P20" s="48" t="s">
        <v>244</v>
      </c>
    </row>
    <row r="22" spans="1:16" ht="15">
      <c r="A22" s="2" t="s">
        <v>10</v>
      </c>
    </row>
    <row r="23" spans="1:16">
      <c r="B23" s="1" t="s">
        <v>219</v>
      </c>
    </row>
    <row r="24" spans="1:16">
      <c r="C24" s="1" t="s">
        <v>223</v>
      </c>
    </row>
    <row r="25" spans="1:16">
      <c r="D25" s="1" t="s">
        <v>220</v>
      </c>
    </row>
    <row r="26" spans="1:16">
      <c r="D26" s="1" t="s">
        <v>221</v>
      </c>
    </row>
    <row r="27" spans="1:16">
      <c r="C27" s="1" t="s">
        <v>222</v>
      </c>
    </row>
    <row r="28" spans="1:16">
      <c r="D28" s="1" t="s">
        <v>226</v>
      </c>
    </row>
    <row r="29" spans="1:16">
      <c r="C29" s="1" t="s">
        <v>224</v>
      </c>
    </row>
    <row r="30" spans="1:16">
      <c r="D30" s="1" t="s">
        <v>225</v>
      </c>
    </row>
    <row r="31" spans="1:16">
      <c r="D31" s="1" t="s">
        <v>227</v>
      </c>
    </row>
    <row r="32" spans="1:16">
      <c r="C32" s="1" t="s">
        <v>229</v>
      </c>
    </row>
    <row r="34" spans="1:2" ht="15">
      <c r="A34" s="2" t="s">
        <v>11</v>
      </c>
    </row>
    <row r="35" spans="1:2">
      <c r="B35" s="1" t="s">
        <v>12</v>
      </c>
    </row>
  </sheetData>
  <hyperlinks>
    <hyperlink ref="A1" r:id="rId1" xr:uid="{BD670B26-9A47-4D45-98DF-DC5238763874}"/>
    <hyperlink ref="P20" r:id="rId2" xr:uid="{8278C3A5-BBAB-44B6-B5AA-9BA2CC2979F2}"/>
    <hyperlink ref="J16" r:id="rId3" xr:uid="{41ADECBA-B2CE-4EF5-849F-17A1999A18E8}"/>
  </hyperlinks>
  <pageMargins left="0.7" right="0.7" top="0.75" bottom="0.75" header="0.3" footer="0.3"/>
  <ignoredErrors>
    <ignoredError sqref="D3" twoDigitTextYear="1"/>
  </ignoredError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FJ122"/>
  <sheetViews>
    <sheetView workbookViewId="0">
      <pane xSplit="2" ySplit="3" topLeftCell="CG4" activePane="bottomRight" state="frozen"/>
      <selection pane="topRight" activeCell="C1" sqref="C1"/>
      <selection pane="bottomLeft" activeCell="A4" sqref="A4"/>
      <selection pane="bottomRight" activeCell="BW135" sqref="BW135"/>
    </sheetView>
  </sheetViews>
  <sheetFormatPr defaultColWidth="9.140625" defaultRowHeight="14.25"/>
  <cols>
    <col min="1" max="1" width="3.140625" style="1" customWidth="1"/>
    <col min="2" max="2" width="36.42578125" style="1" customWidth="1"/>
    <col min="3" max="4" width="9.140625" style="1" customWidth="1"/>
    <col min="5" max="71" width="9.140625" style="1"/>
    <col min="72" max="78" width="9.140625" style="36"/>
    <col min="79" max="16384" width="9.140625" style="1"/>
  </cols>
  <sheetData>
    <row r="1" spans="2:166" ht="15">
      <c r="B1" s="1" t="s">
        <v>131</v>
      </c>
      <c r="AY1" s="34" t="s">
        <v>103</v>
      </c>
      <c r="BC1" s="34" t="s">
        <v>107</v>
      </c>
      <c r="BG1" s="34" t="s">
        <v>111</v>
      </c>
      <c r="BK1" s="34" t="s">
        <v>115</v>
      </c>
      <c r="BO1" s="34" t="s">
        <v>119</v>
      </c>
      <c r="BS1" s="34" t="s">
        <v>123</v>
      </c>
    </row>
    <row r="2" spans="2:166">
      <c r="B2" s="1" t="s">
        <v>132</v>
      </c>
    </row>
    <row r="3" spans="2:166" ht="15">
      <c r="B3" s="2" t="s">
        <v>133</v>
      </c>
      <c r="C3" s="2" t="s">
        <v>135</v>
      </c>
      <c r="D3" s="34" t="s">
        <v>57</v>
      </c>
      <c r="E3" s="34" t="s">
        <v>58</v>
      </c>
      <c r="F3" s="34" t="s">
        <v>136</v>
      </c>
      <c r="G3" s="34" t="s">
        <v>59</v>
      </c>
      <c r="H3" s="34" t="s">
        <v>60</v>
      </c>
      <c r="I3" s="34" t="s">
        <v>61</v>
      </c>
      <c r="J3" s="34" t="s">
        <v>62</v>
      </c>
      <c r="K3" s="34" t="s">
        <v>63</v>
      </c>
      <c r="L3" s="34" t="s">
        <v>64</v>
      </c>
      <c r="M3" s="34" t="s">
        <v>65</v>
      </c>
      <c r="N3" s="34" t="s">
        <v>66</v>
      </c>
      <c r="O3" s="34" t="s">
        <v>67</v>
      </c>
      <c r="P3" s="34" t="s">
        <v>68</v>
      </c>
      <c r="Q3" s="34" t="s">
        <v>69</v>
      </c>
      <c r="R3" s="34" t="s">
        <v>70</v>
      </c>
      <c r="S3" s="34" t="s">
        <v>71</v>
      </c>
      <c r="T3" s="34" t="s">
        <v>72</v>
      </c>
      <c r="U3" s="34" t="s">
        <v>73</v>
      </c>
      <c r="V3" s="34" t="s">
        <v>74</v>
      </c>
      <c r="W3" s="34" t="s">
        <v>75</v>
      </c>
      <c r="X3" s="34" t="s">
        <v>76</v>
      </c>
      <c r="Y3" s="34" t="s">
        <v>77</v>
      </c>
      <c r="Z3" s="34" t="s">
        <v>78</v>
      </c>
      <c r="AA3" s="34" t="s">
        <v>79</v>
      </c>
      <c r="AB3" s="34" t="s">
        <v>80</v>
      </c>
      <c r="AC3" s="34" t="s">
        <v>81</v>
      </c>
      <c r="AD3" s="34" t="s">
        <v>82</v>
      </c>
      <c r="AE3" s="34" t="s">
        <v>83</v>
      </c>
      <c r="AF3" s="34" t="s">
        <v>84</v>
      </c>
      <c r="AG3" s="34" t="s">
        <v>85</v>
      </c>
      <c r="AH3" s="34" t="s">
        <v>86</v>
      </c>
      <c r="AI3" s="34" t="s">
        <v>87</v>
      </c>
      <c r="AJ3" s="34" t="s">
        <v>88</v>
      </c>
      <c r="AK3" s="34" t="s">
        <v>89</v>
      </c>
      <c r="AL3" s="34" t="s">
        <v>90</v>
      </c>
      <c r="AM3" s="34" t="s">
        <v>91</v>
      </c>
      <c r="AN3" s="34" t="s">
        <v>92</v>
      </c>
      <c r="AO3" s="34" t="s">
        <v>93</v>
      </c>
      <c r="AP3" s="34" t="s">
        <v>94</v>
      </c>
      <c r="AQ3" s="34" t="s">
        <v>95</v>
      </c>
      <c r="AR3" s="34" t="s">
        <v>96</v>
      </c>
      <c r="AS3" s="34" t="s">
        <v>97</v>
      </c>
      <c r="AT3" s="34" t="s">
        <v>98</v>
      </c>
      <c r="AU3" s="34" t="s">
        <v>99</v>
      </c>
      <c r="AV3" s="34" t="s">
        <v>100</v>
      </c>
      <c r="AW3" s="34" t="s">
        <v>101</v>
      </c>
      <c r="AX3" s="34" t="s">
        <v>102</v>
      </c>
      <c r="AY3" s="34" t="s">
        <v>103</v>
      </c>
      <c r="AZ3" s="34" t="s">
        <v>104</v>
      </c>
      <c r="BA3" s="34" t="s">
        <v>105</v>
      </c>
      <c r="BB3" s="34" t="s">
        <v>106</v>
      </c>
      <c r="BC3" s="34" t="s">
        <v>107</v>
      </c>
      <c r="BD3" s="34" t="s">
        <v>108</v>
      </c>
      <c r="BE3" s="34" t="s">
        <v>109</v>
      </c>
      <c r="BF3" s="34" t="s">
        <v>110</v>
      </c>
      <c r="BG3" s="34" t="s">
        <v>111</v>
      </c>
      <c r="BH3" s="34" t="s">
        <v>112</v>
      </c>
      <c r="BI3" s="34" t="s">
        <v>113</v>
      </c>
      <c r="BJ3" s="34" t="s">
        <v>114</v>
      </c>
      <c r="BK3" s="34" t="s">
        <v>115</v>
      </c>
      <c r="BL3" s="34" t="s">
        <v>116</v>
      </c>
      <c r="BM3" s="34" t="s">
        <v>117</v>
      </c>
      <c r="BN3" s="34" t="s">
        <v>118</v>
      </c>
      <c r="BO3" s="34" t="s">
        <v>119</v>
      </c>
      <c r="BP3" s="34" t="s">
        <v>120</v>
      </c>
      <c r="BQ3" s="34" t="s">
        <v>121</v>
      </c>
      <c r="BR3" s="34" t="s">
        <v>122</v>
      </c>
      <c r="BS3" s="34" t="s">
        <v>123</v>
      </c>
      <c r="BT3" s="35" t="s">
        <v>124</v>
      </c>
      <c r="BU3" s="35" t="s">
        <v>125</v>
      </c>
      <c r="BV3" s="35" t="s">
        <v>126</v>
      </c>
      <c r="BW3" s="35" t="s">
        <v>127</v>
      </c>
      <c r="BX3" s="35" t="s">
        <v>128</v>
      </c>
      <c r="BY3" s="35" t="s">
        <v>129</v>
      </c>
      <c r="BZ3" s="35" t="s">
        <v>130</v>
      </c>
      <c r="CI3" s="2">
        <v>2008</v>
      </c>
      <c r="CJ3" s="2">
        <f>CI3+1</f>
        <v>2009</v>
      </c>
      <c r="CK3" s="2">
        <f t="shared" ref="CK3:EV3" si="0">CJ3+1</f>
        <v>2010</v>
      </c>
      <c r="CL3" s="2">
        <f t="shared" si="0"/>
        <v>2011</v>
      </c>
      <c r="CM3" s="2">
        <f t="shared" si="0"/>
        <v>2012</v>
      </c>
      <c r="CN3" s="2">
        <f t="shared" si="0"/>
        <v>2013</v>
      </c>
      <c r="CO3" s="2">
        <f t="shared" si="0"/>
        <v>2014</v>
      </c>
      <c r="CP3" s="2">
        <f t="shared" si="0"/>
        <v>2015</v>
      </c>
      <c r="CQ3" s="2">
        <f t="shared" si="0"/>
        <v>2016</v>
      </c>
      <c r="CR3" s="2">
        <f t="shared" si="0"/>
        <v>2017</v>
      </c>
      <c r="CS3" s="2">
        <f t="shared" si="0"/>
        <v>2018</v>
      </c>
      <c r="CT3" s="2">
        <f t="shared" si="0"/>
        <v>2019</v>
      </c>
      <c r="CU3" s="2">
        <f t="shared" si="0"/>
        <v>2020</v>
      </c>
      <c r="CV3" s="2">
        <f t="shared" si="0"/>
        <v>2021</v>
      </c>
      <c r="CW3" s="2">
        <f t="shared" si="0"/>
        <v>2022</v>
      </c>
      <c r="CX3" s="2">
        <f t="shared" si="0"/>
        <v>2023</v>
      </c>
      <c r="CY3" s="2">
        <f t="shared" si="0"/>
        <v>2024</v>
      </c>
      <c r="CZ3" s="2">
        <f t="shared" si="0"/>
        <v>2025</v>
      </c>
      <c r="DA3" s="2">
        <f t="shared" si="0"/>
        <v>2026</v>
      </c>
      <c r="DB3" s="2">
        <f t="shared" si="0"/>
        <v>2027</v>
      </c>
      <c r="DC3" s="2">
        <f t="shared" si="0"/>
        <v>2028</v>
      </c>
      <c r="DD3" s="2">
        <f t="shared" si="0"/>
        <v>2029</v>
      </c>
      <c r="DE3" s="2">
        <f t="shared" si="0"/>
        <v>2030</v>
      </c>
      <c r="DF3" s="2">
        <f t="shared" si="0"/>
        <v>2031</v>
      </c>
      <c r="DG3" s="2">
        <f t="shared" si="0"/>
        <v>2032</v>
      </c>
      <c r="DH3" s="2">
        <f t="shared" si="0"/>
        <v>2033</v>
      </c>
      <c r="DI3" s="2">
        <f t="shared" si="0"/>
        <v>2034</v>
      </c>
      <c r="DJ3" s="2">
        <f t="shared" si="0"/>
        <v>2035</v>
      </c>
      <c r="DK3" s="2">
        <f t="shared" si="0"/>
        <v>2036</v>
      </c>
      <c r="DL3" s="2">
        <f t="shared" si="0"/>
        <v>2037</v>
      </c>
      <c r="DM3" s="2">
        <f t="shared" si="0"/>
        <v>2038</v>
      </c>
      <c r="DN3" s="2">
        <f t="shared" si="0"/>
        <v>2039</v>
      </c>
      <c r="DO3" s="2">
        <f t="shared" si="0"/>
        <v>2040</v>
      </c>
      <c r="DP3" s="2">
        <f t="shared" si="0"/>
        <v>2041</v>
      </c>
      <c r="DQ3" s="2">
        <f t="shared" si="0"/>
        <v>2042</v>
      </c>
      <c r="DR3" s="2">
        <f t="shared" si="0"/>
        <v>2043</v>
      </c>
      <c r="DS3" s="2">
        <f t="shared" si="0"/>
        <v>2044</v>
      </c>
      <c r="DT3" s="2">
        <f t="shared" si="0"/>
        <v>2045</v>
      </c>
      <c r="DU3" s="2">
        <f t="shared" si="0"/>
        <v>2046</v>
      </c>
      <c r="DV3" s="2">
        <f t="shared" si="0"/>
        <v>2047</v>
      </c>
      <c r="DW3" s="2">
        <f t="shared" si="0"/>
        <v>2048</v>
      </c>
      <c r="DX3" s="2">
        <f t="shared" si="0"/>
        <v>2049</v>
      </c>
      <c r="DY3" s="2">
        <f t="shared" si="0"/>
        <v>2050</v>
      </c>
      <c r="DZ3" s="2">
        <f t="shared" si="0"/>
        <v>2051</v>
      </c>
      <c r="EA3" s="2">
        <f t="shared" si="0"/>
        <v>2052</v>
      </c>
      <c r="EB3" s="2">
        <f t="shared" si="0"/>
        <v>2053</v>
      </c>
      <c r="EC3" s="2">
        <f t="shared" si="0"/>
        <v>2054</v>
      </c>
      <c r="ED3" s="2">
        <f t="shared" si="0"/>
        <v>2055</v>
      </c>
      <c r="EE3" s="2">
        <f t="shared" si="0"/>
        <v>2056</v>
      </c>
      <c r="EF3" s="2">
        <f t="shared" si="0"/>
        <v>2057</v>
      </c>
      <c r="EG3" s="2">
        <f t="shared" si="0"/>
        <v>2058</v>
      </c>
      <c r="EH3" s="2">
        <f t="shared" si="0"/>
        <v>2059</v>
      </c>
      <c r="EI3" s="2">
        <f t="shared" si="0"/>
        <v>2060</v>
      </c>
      <c r="EJ3" s="2">
        <f t="shared" si="0"/>
        <v>2061</v>
      </c>
      <c r="EK3" s="2">
        <f t="shared" si="0"/>
        <v>2062</v>
      </c>
      <c r="EL3" s="2">
        <f t="shared" si="0"/>
        <v>2063</v>
      </c>
      <c r="EM3" s="2">
        <f t="shared" si="0"/>
        <v>2064</v>
      </c>
      <c r="EN3" s="2">
        <f t="shared" si="0"/>
        <v>2065</v>
      </c>
      <c r="EO3" s="2">
        <f t="shared" si="0"/>
        <v>2066</v>
      </c>
      <c r="EP3" s="2">
        <f t="shared" si="0"/>
        <v>2067</v>
      </c>
      <c r="EQ3" s="2">
        <f t="shared" si="0"/>
        <v>2068</v>
      </c>
      <c r="ER3" s="2">
        <f t="shared" si="0"/>
        <v>2069</v>
      </c>
      <c r="ES3" s="2">
        <f t="shared" si="0"/>
        <v>2070</v>
      </c>
      <c r="ET3" s="2">
        <f t="shared" si="0"/>
        <v>2071</v>
      </c>
      <c r="EU3" s="2">
        <f t="shared" si="0"/>
        <v>2072</v>
      </c>
      <c r="EV3" s="2">
        <f t="shared" si="0"/>
        <v>2073</v>
      </c>
      <c r="EW3" s="2">
        <f t="shared" ref="EW3:FG3" si="1">EV3+1</f>
        <v>2074</v>
      </c>
      <c r="EX3" s="2">
        <f t="shared" si="1"/>
        <v>2075</v>
      </c>
      <c r="EY3" s="2">
        <f t="shared" si="1"/>
        <v>2076</v>
      </c>
      <c r="EZ3" s="2">
        <f t="shared" si="1"/>
        <v>2077</v>
      </c>
      <c r="FA3" s="2">
        <f t="shared" si="1"/>
        <v>2078</v>
      </c>
      <c r="FB3" s="2">
        <f t="shared" si="1"/>
        <v>2079</v>
      </c>
      <c r="FC3" s="2">
        <f t="shared" si="1"/>
        <v>2080</v>
      </c>
      <c r="FD3" s="2">
        <f t="shared" si="1"/>
        <v>2081</v>
      </c>
      <c r="FE3" s="2">
        <f t="shared" si="1"/>
        <v>2082</v>
      </c>
      <c r="FF3" s="2">
        <f t="shared" si="1"/>
        <v>2083</v>
      </c>
      <c r="FG3" s="2">
        <f t="shared" si="1"/>
        <v>2084</v>
      </c>
      <c r="FH3" s="2"/>
      <c r="FI3" s="2"/>
      <c r="FJ3" s="2"/>
    </row>
    <row r="4" spans="2:166">
      <c r="B4" s="37" t="s">
        <v>140</v>
      </c>
    </row>
    <row r="5" spans="2:166">
      <c r="B5" s="37" t="s">
        <v>141</v>
      </c>
    </row>
    <row r="6" spans="2:166">
      <c r="B6" s="37" t="s">
        <v>142</v>
      </c>
    </row>
    <row r="7" spans="2:166">
      <c r="B7" s="37" t="s">
        <v>138</v>
      </c>
    </row>
    <row r="8" spans="2:166">
      <c r="B8" s="37" t="s">
        <v>143</v>
      </c>
    </row>
    <row r="9" spans="2:166" ht="15">
      <c r="B9" s="34" t="s">
        <v>137</v>
      </c>
    </row>
    <row r="10" spans="2:166">
      <c r="B10" s="37" t="s">
        <v>144</v>
      </c>
    </row>
    <row r="11" spans="2:166">
      <c r="B11" s="37" t="s">
        <v>145</v>
      </c>
    </row>
    <row r="12" spans="2:166">
      <c r="B12" s="37" t="s">
        <v>146</v>
      </c>
    </row>
    <row r="13" spans="2:166">
      <c r="B13" s="37" t="s">
        <v>147</v>
      </c>
      <c r="C13" s="37"/>
    </row>
    <row r="14" spans="2:166">
      <c r="B14" s="37" t="s">
        <v>148</v>
      </c>
      <c r="C14" s="37"/>
    </row>
    <row r="15" spans="2:166" ht="15">
      <c r="B15" s="34" t="s">
        <v>139</v>
      </c>
      <c r="C15" s="37"/>
    </row>
    <row r="16" spans="2:166" ht="15">
      <c r="B16" s="34" t="s">
        <v>134</v>
      </c>
      <c r="C16" s="37"/>
    </row>
    <row r="17" spans="2:3">
      <c r="B17" s="37"/>
      <c r="C17" s="37"/>
    </row>
    <row r="18" spans="2:3" ht="15">
      <c r="B18" s="34" t="s">
        <v>149</v>
      </c>
      <c r="C18" s="34"/>
    </row>
    <row r="19" spans="2:3" ht="15">
      <c r="B19" s="34" t="s">
        <v>150</v>
      </c>
      <c r="C19" s="37"/>
    </row>
    <row r="20" spans="2:3">
      <c r="B20" s="37"/>
      <c r="C20" s="37"/>
    </row>
    <row r="21" spans="2:3">
      <c r="B21" s="38" t="s">
        <v>151</v>
      </c>
      <c r="C21" s="37"/>
    </row>
    <row r="22" spans="2:3">
      <c r="B22" s="38" t="s">
        <v>152</v>
      </c>
      <c r="C22" s="37"/>
    </row>
    <row r="23" spans="2:3">
      <c r="B23" s="38" t="s">
        <v>153</v>
      </c>
      <c r="C23" s="37"/>
    </row>
    <row r="24" spans="2:3" ht="15">
      <c r="B24" s="38" t="s">
        <v>154</v>
      </c>
      <c r="C24" s="34"/>
    </row>
    <row r="25" spans="2:3" ht="15">
      <c r="B25" s="38" t="s">
        <v>155</v>
      </c>
      <c r="C25" s="34"/>
    </row>
    <row r="26" spans="2:3">
      <c r="B26" s="38" t="s">
        <v>156</v>
      </c>
    </row>
    <row r="27" spans="2:3">
      <c r="B27" s="38" t="s">
        <v>159</v>
      </c>
    </row>
    <row r="28" spans="2:3">
      <c r="B28" s="38" t="s">
        <v>158</v>
      </c>
    </row>
    <row r="29" spans="2:3">
      <c r="B29" s="38" t="s">
        <v>160</v>
      </c>
    </row>
    <row r="30" spans="2:3">
      <c r="B30" s="38" t="s">
        <v>157</v>
      </c>
    </row>
    <row r="32" spans="2:3">
      <c r="B32" s="1" t="s">
        <v>161</v>
      </c>
    </row>
    <row r="33" spans="2:2">
      <c r="B33" s="1" t="s">
        <v>164</v>
      </c>
    </row>
    <row r="34" spans="2:2">
      <c r="B34" s="1" t="s">
        <v>163</v>
      </c>
    </row>
    <row r="35" spans="2:2">
      <c r="B35" s="1" t="s">
        <v>162</v>
      </c>
    </row>
    <row r="37" spans="2:2">
      <c r="B37" s="39" t="s">
        <v>165</v>
      </c>
    </row>
    <row r="38" spans="2:2">
      <c r="B38" s="1" t="s">
        <v>166</v>
      </c>
    </row>
    <row r="39" spans="2:2">
      <c r="B39" s="1" t="s">
        <v>167</v>
      </c>
    </row>
    <row r="40" spans="2:2">
      <c r="B40" s="1" t="s">
        <v>168</v>
      </c>
    </row>
    <row r="42" spans="2:2">
      <c r="B42" s="1" t="s">
        <v>171</v>
      </c>
    </row>
    <row r="43" spans="2:2">
      <c r="B43" s="1" t="s">
        <v>169</v>
      </c>
    </row>
    <row r="44" spans="2:2">
      <c r="B44" s="1" t="s">
        <v>170</v>
      </c>
    </row>
    <row r="45" spans="2:2">
      <c r="B45" s="1" t="s">
        <v>172</v>
      </c>
    </row>
    <row r="47" spans="2:2" ht="15">
      <c r="B47" s="2" t="s">
        <v>133</v>
      </c>
    </row>
    <row r="48" spans="2:2">
      <c r="B48" s="1" t="s">
        <v>173</v>
      </c>
    </row>
    <row r="49" spans="2:2">
      <c r="B49" s="1" t="s">
        <v>174</v>
      </c>
    </row>
    <row r="67" spans="2:2">
      <c r="B67" s="38" t="s">
        <v>175</v>
      </c>
    </row>
    <row r="68" spans="2:2">
      <c r="B68" s="38" t="s">
        <v>176</v>
      </c>
    </row>
    <row r="69" spans="2:2">
      <c r="B69" s="38" t="s">
        <v>177</v>
      </c>
    </row>
    <row r="70" spans="2:2">
      <c r="B70" s="38" t="s">
        <v>178</v>
      </c>
    </row>
    <row r="71" spans="2:2">
      <c r="B71" s="38" t="s">
        <v>179</v>
      </c>
    </row>
    <row r="72" spans="2:2">
      <c r="B72" s="38" t="s">
        <v>180</v>
      </c>
    </row>
    <row r="74" spans="2:2">
      <c r="B74" s="1" t="s">
        <v>181</v>
      </c>
    </row>
    <row r="75" spans="2:2">
      <c r="B75" s="1" t="s">
        <v>182</v>
      </c>
    </row>
    <row r="76" spans="2:2">
      <c r="B76" s="1" t="s">
        <v>183</v>
      </c>
    </row>
    <row r="109" spans="2:2">
      <c r="B109" s="1" t="s">
        <v>184</v>
      </c>
    </row>
    <row r="110" spans="2:2">
      <c r="B110" s="1" t="s">
        <v>185</v>
      </c>
    </row>
    <row r="111" spans="2:2">
      <c r="B111" s="1" t="s">
        <v>186</v>
      </c>
    </row>
    <row r="112" spans="2:2">
      <c r="B112" s="1" t="s">
        <v>187</v>
      </c>
    </row>
    <row r="113" spans="2:2">
      <c r="B113" s="1" t="s">
        <v>188</v>
      </c>
    </row>
    <row r="114" spans="2:2">
      <c r="B114" s="1" t="s">
        <v>189</v>
      </c>
    </row>
    <row r="115" spans="2:2">
      <c r="B115" s="1" t="s">
        <v>190</v>
      </c>
    </row>
    <row r="117" spans="2:2">
      <c r="B117" s="1" t="s">
        <v>191</v>
      </c>
    </row>
    <row r="118" spans="2:2">
      <c r="B118" s="1" t="s">
        <v>192</v>
      </c>
    </row>
    <row r="119" spans="2:2">
      <c r="B119" s="1" t="s">
        <v>193</v>
      </c>
    </row>
    <row r="120" spans="2:2">
      <c r="B120" s="1" t="s">
        <v>194</v>
      </c>
    </row>
    <row r="121" spans="2:2">
      <c r="B121" s="1" t="s">
        <v>195</v>
      </c>
    </row>
    <row r="122" spans="2:2">
      <c r="B122" s="1" t="s">
        <v>196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618"/>
  <sheetViews>
    <sheetView tabSelected="1" topLeftCell="A145" zoomScale="85" zoomScaleNormal="85" workbookViewId="0">
      <selection activeCell="A183" sqref="A183"/>
    </sheetView>
  </sheetViews>
  <sheetFormatPr defaultColWidth="9.140625" defaultRowHeight="14.25"/>
  <cols>
    <col min="1" max="7" width="9.140625" style="1"/>
    <col min="8" max="8" width="3.140625" style="1" customWidth="1"/>
    <col min="9" max="28" width="9.140625" style="1"/>
    <col min="29" max="29" width="2.85546875" style="1" customWidth="1"/>
    <col min="30" max="16384" width="9.140625" style="1"/>
  </cols>
  <sheetData>
    <row r="1" spans="8:79">
      <c r="CA1" s="1">
        <v>0</v>
      </c>
    </row>
    <row r="2" spans="8:79" ht="15">
      <c r="H2" s="2" t="s">
        <v>17</v>
      </c>
      <c r="AD2" s="2" t="s">
        <v>197</v>
      </c>
    </row>
    <row r="3" spans="8:79">
      <c r="I3" s="1" t="s">
        <v>18</v>
      </c>
    </row>
    <row r="35" spans="8:30" ht="15">
      <c r="H35" s="2" t="s">
        <v>19</v>
      </c>
    </row>
    <row r="36" spans="8:30">
      <c r="I36" s="1" t="s">
        <v>20</v>
      </c>
    </row>
    <row r="37" spans="8:30" ht="15">
      <c r="AD37" s="2" t="s">
        <v>198</v>
      </c>
    </row>
    <row r="38" spans="8:30" ht="15">
      <c r="AD38" s="2" t="s">
        <v>199</v>
      </c>
    </row>
    <row r="39" spans="8:30">
      <c r="AD39" s="1" t="s">
        <v>200</v>
      </c>
    </row>
    <row r="42" spans="8:30">
      <c r="I42" s="1" t="s">
        <v>21</v>
      </c>
    </row>
    <row r="58" spans="9:9">
      <c r="I58" s="1" t="s">
        <v>22</v>
      </c>
    </row>
    <row r="75" spans="9:9">
      <c r="I75" s="1" t="s">
        <v>23</v>
      </c>
    </row>
    <row r="96" spans="8:8" ht="15">
      <c r="H96" s="2" t="s">
        <v>24</v>
      </c>
    </row>
    <row r="128" spans="9:10">
      <c r="I128" s="1" t="s">
        <v>25</v>
      </c>
      <c r="J128" s="1" t="s">
        <v>26</v>
      </c>
    </row>
    <row r="129" spans="8:30">
      <c r="J129" s="1" t="s">
        <v>27</v>
      </c>
    </row>
    <row r="130" spans="8:30">
      <c r="J130" s="1" t="s">
        <v>28</v>
      </c>
    </row>
    <row r="132" spans="8:30" ht="15">
      <c r="H132" s="2" t="s">
        <v>29</v>
      </c>
    </row>
    <row r="137" spans="8:30" ht="15">
      <c r="AD137" s="2" t="s">
        <v>201</v>
      </c>
    </row>
    <row r="138" spans="8:30">
      <c r="AD138" s="1" t="s">
        <v>202</v>
      </c>
    </row>
    <row r="161" spans="8:10">
      <c r="I161" s="1" t="s">
        <v>25</v>
      </c>
      <c r="J161" s="1" t="s">
        <v>26</v>
      </c>
    </row>
    <row r="162" spans="8:10">
      <c r="J162" s="1" t="s">
        <v>27</v>
      </c>
    </row>
    <row r="163" spans="8:10">
      <c r="J163" s="1" t="s">
        <v>28</v>
      </c>
    </row>
    <row r="165" spans="8:10" ht="15">
      <c r="H165" s="2" t="s">
        <v>37</v>
      </c>
    </row>
    <row r="183" spans="1:7">
      <c r="A183" s="1" t="s">
        <v>1516</v>
      </c>
    </row>
    <row r="184" spans="1:7">
      <c r="A184" s="25" t="s">
        <v>30</v>
      </c>
      <c r="B184" s="25" t="s">
        <v>31</v>
      </c>
      <c r="C184" s="25" t="s">
        <v>32</v>
      </c>
      <c r="D184" s="25" t="s">
        <v>33</v>
      </c>
      <c r="E184" s="25" t="s">
        <v>34</v>
      </c>
      <c r="F184" s="25" t="s">
        <v>35</v>
      </c>
      <c r="G184" s="25" t="s">
        <v>36</v>
      </c>
    </row>
    <row r="185" spans="1:7">
      <c r="A185" s="52">
        <v>187.04</v>
      </c>
      <c r="B185" s="52">
        <v>188.85</v>
      </c>
      <c r="C185" s="52">
        <v>185.6</v>
      </c>
      <c r="D185" s="52">
        <v>188.17</v>
      </c>
      <c r="E185" s="52">
        <v>2750943</v>
      </c>
      <c r="F185" s="52" t="s">
        <v>260</v>
      </c>
      <c r="G185" s="26">
        <f t="shared" ref="G185:G248" si="0">A185/D185-1</f>
        <v>-6.0052080565445864E-3</v>
      </c>
    </row>
    <row r="186" spans="1:7">
      <c r="A186" s="52">
        <v>188.37</v>
      </c>
      <c r="B186" s="52">
        <v>189.04</v>
      </c>
      <c r="C186" s="52">
        <v>187.035</v>
      </c>
      <c r="D186" s="52">
        <v>187.81</v>
      </c>
      <c r="E186" s="52">
        <v>1112947</v>
      </c>
      <c r="F186" s="52" t="s">
        <v>261</v>
      </c>
      <c r="G186" s="26">
        <f t="shared" si="0"/>
        <v>2.9817368617219842E-3</v>
      </c>
    </row>
    <row r="187" spans="1:7">
      <c r="A187" s="52">
        <v>187.57</v>
      </c>
      <c r="B187" s="52">
        <v>190.02</v>
      </c>
      <c r="C187" s="52">
        <v>186.715</v>
      </c>
      <c r="D187" s="52">
        <v>186.81</v>
      </c>
      <c r="E187" s="52">
        <v>1060920</v>
      </c>
      <c r="F187" s="52" t="s">
        <v>262</v>
      </c>
      <c r="G187" s="26">
        <f t="shared" si="0"/>
        <v>4.0683046946095036E-3</v>
      </c>
    </row>
    <row r="188" spans="1:7">
      <c r="A188" s="52">
        <v>186.21</v>
      </c>
      <c r="B188" s="52">
        <v>188.04</v>
      </c>
      <c r="C188" s="52">
        <v>185.16</v>
      </c>
      <c r="D188" s="52">
        <v>185.5</v>
      </c>
      <c r="E188" s="52">
        <v>1208882</v>
      </c>
      <c r="F188" s="52" t="s">
        <v>263</v>
      </c>
      <c r="G188" s="26">
        <f t="shared" si="0"/>
        <v>3.8274932614554835E-3</v>
      </c>
    </row>
    <row r="189" spans="1:7">
      <c r="A189" s="52">
        <v>185.74</v>
      </c>
      <c r="B189" s="52">
        <v>188.98</v>
      </c>
      <c r="C189" s="52">
        <v>185.48500000000001</v>
      </c>
      <c r="D189" s="52">
        <v>187.14</v>
      </c>
      <c r="E189" s="52">
        <v>1319515</v>
      </c>
      <c r="F189" s="52" t="s">
        <v>264</v>
      </c>
      <c r="G189" s="26">
        <f t="shared" si="0"/>
        <v>-7.4810302447364529E-3</v>
      </c>
    </row>
    <row r="190" spans="1:7">
      <c r="A190" s="52">
        <v>186.84</v>
      </c>
      <c r="B190" s="52">
        <v>189.9</v>
      </c>
      <c r="C190" s="52">
        <v>186.84</v>
      </c>
      <c r="D190" s="52">
        <v>189.9</v>
      </c>
      <c r="E190" s="52">
        <v>1059915</v>
      </c>
      <c r="F190" s="52" t="s">
        <v>265</v>
      </c>
      <c r="G190" s="26">
        <f t="shared" si="0"/>
        <v>-1.6113744075829439E-2</v>
      </c>
    </row>
    <row r="191" spans="1:7">
      <c r="A191" s="52">
        <v>190.56</v>
      </c>
      <c r="B191" s="52">
        <v>191.32</v>
      </c>
      <c r="C191" s="52">
        <v>188.15</v>
      </c>
      <c r="D191" s="52">
        <v>188.91</v>
      </c>
      <c r="E191" s="52">
        <v>1518633</v>
      </c>
      <c r="F191" s="52" t="s">
        <v>266</v>
      </c>
      <c r="G191" s="26">
        <f t="shared" si="0"/>
        <v>8.7343179291725637E-3</v>
      </c>
    </row>
    <row r="192" spans="1:7">
      <c r="A192" s="52">
        <v>188.43</v>
      </c>
      <c r="B192" s="52">
        <v>189.96</v>
      </c>
      <c r="C192" s="52">
        <v>186.96</v>
      </c>
      <c r="D192" s="52">
        <v>189.25</v>
      </c>
      <c r="E192" s="52">
        <v>1547065</v>
      </c>
      <c r="F192" s="52" t="s">
        <v>267</v>
      </c>
      <c r="G192" s="26">
        <f t="shared" si="0"/>
        <v>-4.3328929986790055E-3</v>
      </c>
    </row>
    <row r="193" spans="1:17">
      <c r="A193" s="52">
        <v>190.49</v>
      </c>
      <c r="B193" s="52">
        <v>192.31</v>
      </c>
      <c r="C193" s="52">
        <v>190.18</v>
      </c>
      <c r="D193" s="52">
        <v>191.08</v>
      </c>
      <c r="E193" s="52">
        <v>1258892</v>
      </c>
      <c r="F193" s="52" t="s">
        <v>268</v>
      </c>
      <c r="G193" s="26">
        <f t="shared" si="0"/>
        <v>-3.0877119531086406E-3</v>
      </c>
    </row>
    <row r="194" spans="1:17">
      <c r="A194" s="52">
        <v>191.58</v>
      </c>
      <c r="B194" s="52">
        <v>191.89</v>
      </c>
      <c r="C194" s="52">
        <v>187.81</v>
      </c>
      <c r="D194" s="52">
        <v>190.98</v>
      </c>
      <c r="E194" s="52">
        <v>2601139</v>
      </c>
      <c r="F194" s="52" t="s">
        <v>269</v>
      </c>
      <c r="G194" s="26">
        <f t="shared" si="0"/>
        <v>3.1416902293435189E-3</v>
      </c>
    </row>
    <row r="195" spans="1:17">
      <c r="A195" s="52">
        <v>192.39</v>
      </c>
      <c r="B195" s="52">
        <v>192.98</v>
      </c>
      <c r="C195" s="52">
        <v>190.83</v>
      </c>
      <c r="D195" s="52">
        <v>191</v>
      </c>
      <c r="E195" s="52">
        <v>1244173</v>
      </c>
      <c r="F195" s="52" t="s">
        <v>270</v>
      </c>
      <c r="G195" s="26">
        <f t="shared" si="0"/>
        <v>7.2774869109946128E-3</v>
      </c>
      <c r="I195" s="27"/>
      <c r="J195" s="27" t="s">
        <v>38</v>
      </c>
      <c r="K195" s="28">
        <f>MIN(G185:G1440)</f>
        <v>-9.7375286163019825E-2</v>
      </c>
    </row>
    <row r="196" spans="1:17">
      <c r="A196" s="52">
        <v>191.26</v>
      </c>
      <c r="B196" s="52">
        <v>191.6</v>
      </c>
      <c r="C196" s="52">
        <v>187.315</v>
      </c>
      <c r="D196" s="52">
        <v>189.13</v>
      </c>
      <c r="E196" s="52">
        <v>1279708</v>
      </c>
      <c r="F196" s="52" t="s">
        <v>271</v>
      </c>
      <c r="G196" s="26">
        <f t="shared" si="0"/>
        <v>1.1262094855390536E-2</v>
      </c>
      <c r="I196" s="27"/>
      <c r="J196" s="27" t="s">
        <v>39</v>
      </c>
      <c r="K196" s="28">
        <f>MAX(G185:G1440)</f>
        <v>5.7269834856825463E-2</v>
      </c>
    </row>
    <row r="197" spans="1:17">
      <c r="A197" s="52">
        <v>189.61</v>
      </c>
      <c r="B197" s="52">
        <v>189.62</v>
      </c>
      <c r="C197" s="52">
        <v>183.72499999999999</v>
      </c>
      <c r="D197" s="52">
        <v>186.55</v>
      </c>
      <c r="E197" s="52">
        <v>3345968</v>
      </c>
      <c r="F197" s="52" t="s">
        <v>272</v>
      </c>
      <c r="G197" s="26">
        <f t="shared" si="0"/>
        <v>1.6403109086035927E-2</v>
      </c>
      <c r="I197" s="27"/>
      <c r="J197" s="27" t="s">
        <v>40</v>
      </c>
      <c r="K197" s="28">
        <f>AVERAGE(G185:G1440)</f>
        <v>-1.9617163131052697E-4</v>
      </c>
    </row>
    <row r="198" spans="1:17">
      <c r="A198" s="52">
        <v>188.15</v>
      </c>
      <c r="B198" s="52">
        <v>193.99</v>
      </c>
      <c r="C198" s="52">
        <v>188.03</v>
      </c>
      <c r="D198" s="52">
        <v>192.74</v>
      </c>
      <c r="E198" s="52">
        <v>1630225</v>
      </c>
      <c r="F198" s="52" t="s">
        <v>273</v>
      </c>
      <c r="G198" s="26">
        <f t="shared" si="0"/>
        <v>-2.3814465082494518E-2</v>
      </c>
      <c r="I198" s="27"/>
      <c r="J198" s="27" t="s">
        <v>41</v>
      </c>
      <c r="K198" s="28">
        <f>MEDIAN(G185:G1440)</f>
        <v>-2.0045704205662318E-5</v>
      </c>
    </row>
    <row r="199" spans="1:17" ht="15">
      <c r="A199" s="52">
        <v>192.98</v>
      </c>
      <c r="B199" s="52">
        <v>193.04</v>
      </c>
      <c r="C199" s="52">
        <v>191</v>
      </c>
      <c r="D199" s="52">
        <v>191.76</v>
      </c>
      <c r="E199" s="52">
        <v>1313367</v>
      </c>
      <c r="F199" s="52" t="s">
        <v>274</v>
      </c>
      <c r="G199" s="26">
        <f t="shared" si="0"/>
        <v>6.362119315811432E-3</v>
      </c>
      <c r="I199" s="27"/>
      <c r="J199" s="27" t="s">
        <v>42</v>
      </c>
      <c r="K199" s="28">
        <f>_xlfn.STDEV.P(G185:G1440)</f>
        <v>1.2048459317770927E-2</v>
      </c>
      <c r="M199" s="2"/>
    </row>
    <row r="200" spans="1:17" ht="15">
      <c r="A200" s="52">
        <v>191.25</v>
      </c>
      <c r="B200" s="52">
        <v>195.3</v>
      </c>
      <c r="C200" s="52">
        <v>190.74</v>
      </c>
      <c r="D200" s="52">
        <v>195.3</v>
      </c>
      <c r="E200" s="52">
        <v>1763049</v>
      </c>
      <c r="F200" s="52" t="s">
        <v>275</v>
      </c>
      <c r="G200" s="26">
        <f t="shared" si="0"/>
        <v>-2.0737327188940169E-2</v>
      </c>
      <c r="I200" s="27"/>
      <c r="J200" s="29" t="s">
        <v>43</v>
      </c>
      <c r="K200" s="28">
        <f>3*K199</f>
        <v>3.6145377953312782E-2</v>
      </c>
      <c r="L200" s="27"/>
      <c r="M200" s="2" t="s">
        <v>44</v>
      </c>
    </row>
    <row r="201" spans="1:17" ht="15">
      <c r="A201" s="52">
        <v>195.4</v>
      </c>
      <c r="B201" s="52">
        <v>195.65</v>
      </c>
      <c r="C201" s="52">
        <v>193.64</v>
      </c>
      <c r="D201" s="52">
        <v>193.64</v>
      </c>
      <c r="E201" s="52">
        <v>1329810</v>
      </c>
      <c r="F201" s="52" t="s">
        <v>276</v>
      </c>
      <c r="G201" s="26">
        <f t="shared" si="0"/>
        <v>9.0890311919025191E-3</v>
      </c>
      <c r="I201" s="27"/>
      <c r="J201" s="29" t="s">
        <v>45</v>
      </c>
      <c r="K201" s="51">
        <v>0.3</v>
      </c>
      <c r="L201" s="27"/>
      <c r="M201" s="2" t="s">
        <v>46</v>
      </c>
    </row>
    <row r="202" spans="1:17">
      <c r="A202" s="52">
        <v>194.07</v>
      </c>
      <c r="B202" s="52">
        <v>195.23</v>
      </c>
      <c r="C202" s="52">
        <v>193.50020000000001</v>
      </c>
      <c r="D202" s="52">
        <v>194.08</v>
      </c>
      <c r="E202" s="52">
        <v>2241522</v>
      </c>
      <c r="F202" s="52" t="s">
        <v>277</v>
      </c>
      <c r="G202" s="26">
        <f t="shared" si="0"/>
        <v>-5.1525144270536671E-5</v>
      </c>
    </row>
    <row r="203" spans="1:17">
      <c r="A203" s="52">
        <v>194.65</v>
      </c>
      <c r="B203" s="52">
        <v>199.47499999999999</v>
      </c>
      <c r="C203" s="52">
        <v>194.03</v>
      </c>
      <c r="D203" s="52">
        <v>199.3</v>
      </c>
      <c r="E203" s="52">
        <v>1227457</v>
      </c>
      <c r="F203" s="52" t="s">
        <v>278</v>
      </c>
      <c r="G203" s="26">
        <f t="shared" si="0"/>
        <v>-2.333166081284499E-2</v>
      </c>
      <c r="I203" s="30" t="s">
        <v>47</v>
      </c>
      <c r="J203" s="31">
        <v>1256</v>
      </c>
    </row>
    <row r="204" spans="1:17" ht="15" thickBot="1">
      <c r="A204" s="52">
        <v>199.66</v>
      </c>
      <c r="B204" s="52">
        <v>200.21</v>
      </c>
      <c r="C204" s="52">
        <v>197.23500000000001</v>
      </c>
      <c r="D204" s="52">
        <v>197.83</v>
      </c>
      <c r="E204" s="52">
        <v>1619782</v>
      </c>
      <c r="F204" s="52" t="s">
        <v>279</v>
      </c>
      <c r="G204" s="26">
        <f t="shared" si="0"/>
        <v>9.2503664762673132E-3</v>
      </c>
      <c r="I204" s="1" t="s">
        <v>48</v>
      </c>
      <c r="L204" s="1" t="s">
        <v>49</v>
      </c>
      <c r="P204" s="1" t="s">
        <v>50</v>
      </c>
    </row>
    <row r="205" spans="1:17" ht="15" customHeight="1">
      <c r="A205" s="52">
        <v>196.63</v>
      </c>
      <c r="B205" s="52">
        <v>198.85</v>
      </c>
      <c r="C205" s="52">
        <v>196.37</v>
      </c>
      <c r="D205" s="52">
        <v>198.46</v>
      </c>
      <c r="E205" s="52">
        <v>1304376</v>
      </c>
      <c r="F205" s="52" t="s">
        <v>280</v>
      </c>
      <c r="G205" s="26">
        <f t="shared" si="0"/>
        <v>-9.2210017131916233E-3</v>
      </c>
      <c r="I205" s="55" t="s">
        <v>51</v>
      </c>
      <c r="J205" s="55" t="s">
        <v>52</v>
      </c>
      <c r="L205" s="32" t="s">
        <v>53</v>
      </c>
      <c r="M205" s="33" t="s">
        <v>54</v>
      </c>
      <c r="P205" s="32" t="s">
        <v>55</v>
      </c>
      <c r="Q205" s="33" t="s">
        <v>56</v>
      </c>
    </row>
    <row r="206" spans="1:17" ht="15">
      <c r="A206" s="52">
        <v>199.2</v>
      </c>
      <c r="B206" s="52">
        <v>200.22</v>
      </c>
      <c r="C206" s="52">
        <v>197.465</v>
      </c>
      <c r="D206" s="52">
        <v>198.06</v>
      </c>
      <c r="E206" s="52">
        <v>2485503</v>
      </c>
      <c r="F206" s="52" t="s">
        <v>281</v>
      </c>
      <c r="G206" s="26">
        <f t="shared" si="0"/>
        <v>5.7558315661920822E-3</v>
      </c>
      <c r="I206" s="53">
        <v>-3.7499999999999999E-2</v>
      </c>
      <c r="J206">
        <v>6</v>
      </c>
      <c r="O206" s="1" t="s">
        <v>207</v>
      </c>
    </row>
    <row r="207" spans="1:17" ht="15">
      <c r="A207" s="52">
        <v>198.03</v>
      </c>
      <c r="B207" s="52">
        <v>198.26</v>
      </c>
      <c r="C207" s="52">
        <v>194.27</v>
      </c>
      <c r="D207" s="52">
        <v>194.82</v>
      </c>
      <c r="E207" s="52">
        <v>1871488</v>
      </c>
      <c r="F207" s="52" t="s">
        <v>282</v>
      </c>
      <c r="G207" s="26">
        <f t="shared" si="0"/>
        <v>1.6476747767169675E-2</v>
      </c>
      <c r="I207" s="53">
        <v>-3.5000000000000003E-2</v>
      </c>
      <c r="J207">
        <v>2</v>
      </c>
    </row>
    <row r="208" spans="1:17" ht="15">
      <c r="A208" s="52">
        <v>195</v>
      </c>
      <c r="B208" s="52">
        <v>197.4188</v>
      </c>
      <c r="C208" s="52">
        <v>194.95500000000001</v>
      </c>
      <c r="D208" s="52">
        <v>195.82</v>
      </c>
      <c r="E208" s="52">
        <v>1763403</v>
      </c>
      <c r="F208" s="52" t="s">
        <v>283</v>
      </c>
      <c r="G208" s="26">
        <f t="shared" si="0"/>
        <v>-4.18751915023996E-3</v>
      </c>
      <c r="I208" s="53">
        <v>-3.2500000000000001E-2</v>
      </c>
      <c r="J208">
        <v>1</v>
      </c>
      <c r="O208" s="40" t="s">
        <v>208</v>
      </c>
    </row>
    <row r="209" spans="1:15" ht="15">
      <c r="A209" s="52">
        <v>195.94</v>
      </c>
      <c r="B209" s="52">
        <v>196.99</v>
      </c>
      <c r="C209" s="52">
        <v>194.64</v>
      </c>
      <c r="D209" s="52">
        <v>196</v>
      </c>
      <c r="E209" s="52">
        <v>2616909</v>
      </c>
      <c r="F209" s="52" t="s">
        <v>284</v>
      </c>
      <c r="G209" s="26">
        <f t="shared" si="0"/>
        <v>-3.0612244897965102E-4</v>
      </c>
      <c r="I209" s="53">
        <v>-0.03</v>
      </c>
      <c r="J209">
        <v>3</v>
      </c>
      <c r="O209" s="41"/>
    </row>
    <row r="210" spans="1:15" ht="15">
      <c r="A210" s="52">
        <v>195</v>
      </c>
      <c r="B210" s="52">
        <v>195.57</v>
      </c>
      <c r="C210" s="52">
        <v>193.4</v>
      </c>
      <c r="D210" s="52">
        <v>195.35</v>
      </c>
      <c r="E210" s="52">
        <v>2284276</v>
      </c>
      <c r="F210" s="52" t="s">
        <v>285</v>
      </c>
      <c r="G210" s="26">
        <f t="shared" si="0"/>
        <v>-1.7916560020475591E-3</v>
      </c>
      <c r="I210" s="53">
        <v>-2.75E-2</v>
      </c>
      <c r="J210">
        <v>7</v>
      </c>
      <c r="O210" s="40" t="s">
        <v>209</v>
      </c>
    </row>
    <row r="211" spans="1:15" ht="15">
      <c r="A211" s="52">
        <v>195.96</v>
      </c>
      <c r="B211" s="52">
        <v>196.27</v>
      </c>
      <c r="C211" s="52">
        <v>193.94</v>
      </c>
      <c r="D211" s="52">
        <v>195.21</v>
      </c>
      <c r="E211" s="52">
        <v>2671829</v>
      </c>
      <c r="F211" s="52" t="s">
        <v>286</v>
      </c>
      <c r="G211" s="26">
        <f t="shared" si="0"/>
        <v>3.8420162901491306E-3</v>
      </c>
      <c r="I211" s="53">
        <v>-2.5000000000000001E-2</v>
      </c>
      <c r="J211">
        <v>7</v>
      </c>
      <c r="O211" s="41"/>
    </row>
    <row r="212" spans="1:15" ht="15">
      <c r="A212" s="52">
        <v>194.96</v>
      </c>
      <c r="B212" s="52">
        <v>194.99</v>
      </c>
      <c r="C212" s="52">
        <v>192.39</v>
      </c>
      <c r="D212" s="52">
        <v>193.5</v>
      </c>
      <c r="E212" s="52">
        <v>3171478</v>
      </c>
      <c r="F212" s="52" t="s">
        <v>287</v>
      </c>
      <c r="G212" s="26">
        <f t="shared" si="0"/>
        <v>7.5452196382428394E-3</v>
      </c>
      <c r="I212" s="53">
        <v>-2.2499999999999999E-2</v>
      </c>
      <c r="J212">
        <v>14</v>
      </c>
      <c r="O212" s="42" t="s">
        <v>210</v>
      </c>
    </row>
    <row r="213" spans="1:15" ht="15">
      <c r="A213" s="52">
        <v>192.5</v>
      </c>
      <c r="B213" s="52">
        <v>194.41</v>
      </c>
      <c r="C213" s="52">
        <v>190.51</v>
      </c>
      <c r="D213" s="52">
        <v>193.54499999999999</v>
      </c>
      <c r="E213" s="52">
        <v>2770591</v>
      </c>
      <c r="F213" s="52" t="s">
        <v>288</v>
      </c>
      <c r="G213" s="26">
        <f t="shared" si="0"/>
        <v>-5.3992611537367896E-3</v>
      </c>
      <c r="I213" s="53">
        <v>-0.02</v>
      </c>
      <c r="J213">
        <v>21</v>
      </c>
    </row>
    <row r="214" spans="1:15" ht="15">
      <c r="A214" s="52">
        <v>193.5</v>
      </c>
      <c r="B214" s="52">
        <v>193.88</v>
      </c>
      <c r="C214" s="52">
        <v>186.87</v>
      </c>
      <c r="D214" s="52">
        <v>186.87</v>
      </c>
      <c r="E214" s="52">
        <v>3955422</v>
      </c>
      <c r="F214" s="52" t="s">
        <v>289</v>
      </c>
      <c r="G214" s="26">
        <f t="shared" si="0"/>
        <v>3.5479210146090789E-2</v>
      </c>
      <c r="I214" s="53">
        <v>-1.7500000000000002E-2</v>
      </c>
      <c r="J214">
        <v>24</v>
      </c>
      <c r="O214" s="1" t="s">
        <v>211</v>
      </c>
    </row>
    <row r="215" spans="1:15" ht="15" customHeight="1">
      <c r="A215" s="52">
        <v>187.68</v>
      </c>
      <c r="B215" s="52">
        <v>190.12</v>
      </c>
      <c r="C215" s="52">
        <v>184.21</v>
      </c>
      <c r="D215" s="52">
        <v>187.35</v>
      </c>
      <c r="E215" s="52">
        <v>4838134</v>
      </c>
      <c r="F215" s="52" t="s">
        <v>290</v>
      </c>
      <c r="G215" s="26">
        <f t="shared" si="0"/>
        <v>1.7614091273019383E-3</v>
      </c>
      <c r="I215" s="53">
        <v>-1.4999999999999999E-2</v>
      </c>
      <c r="J215">
        <v>36</v>
      </c>
    </row>
    <row r="216" spans="1:15" ht="15">
      <c r="A216" s="52">
        <v>172.41</v>
      </c>
      <c r="B216" s="52">
        <v>177.3922</v>
      </c>
      <c r="C216" s="52">
        <v>172.2</v>
      </c>
      <c r="D216" s="52">
        <v>176.88</v>
      </c>
      <c r="E216" s="52">
        <v>4225907</v>
      </c>
      <c r="F216" s="52" t="s">
        <v>291</v>
      </c>
      <c r="G216" s="26">
        <f t="shared" si="0"/>
        <v>-2.5271370420624106E-2</v>
      </c>
      <c r="I216" s="53">
        <v>-1.2500000000000001E-2</v>
      </c>
      <c r="J216">
        <v>49</v>
      </c>
      <c r="O216" s="43" t="s">
        <v>212</v>
      </c>
    </row>
    <row r="217" spans="1:15" ht="15">
      <c r="A217" s="52">
        <v>176.89</v>
      </c>
      <c r="B217" s="52">
        <v>179.68</v>
      </c>
      <c r="C217" s="52">
        <v>176.11</v>
      </c>
      <c r="D217" s="52">
        <v>178.9</v>
      </c>
      <c r="E217" s="52">
        <v>2859465</v>
      </c>
      <c r="F217" s="52" t="s">
        <v>292</v>
      </c>
      <c r="G217" s="26">
        <f t="shared" si="0"/>
        <v>-1.1235326998323192E-2</v>
      </c>
      <c r="I217" s="53">
        <v>-0.01</v>
      </c>
      <c r="J217">
        <v>52</v>
      </c>
    </row>
    <row r="218" spans="1:15" ht="15">
      <c r="A218" s="52">
        <v>178.9</v>
      </c>
      <c r="B218" s="52">
        <v>179.53</v>
      </c>
      <c r="C218" s="52">
        <v>176.3</v>
      </c>
      <c r="D218" s="52">
        <v>176.3</v>
      </c>
      <c r="E218" s="52">
        <v>2046422</v>
      </c>
      <c r="F218" s="52" t="s">
        <v>293</v>
      </c>
      <c r="G218" s="26">
        <f t="shared" si="0"/>
        <v>1.4747589336358446E-2</v>
      </c>
      <c r="I218" s="53">
        <v>-7.4999999999999997E-3</v>
      </c>
      <c r="J218">
        <v>72</v>
      </c>
      <c r="O218" s="43" t="s">
        <v>213</v>
      </c>
    </row>
    <row r="219" spans="1:15" ht="15">
      <c r="A219" s="52">
        <v>176.37</v>
      </c>
      <c r="B219" s="52">
        <v>177.45</v>
      </c>
      <c r="C219" s="52">
        <v>174.49</v>
      </c>
      <c r="D219" s="52">
        <v>177.37</v>
      </c>
      <c r="E219" s="52">
        <v>4688980</v>
      </c>
      <c r="F219" s="52" t="s">
        <v>294</v>
      </c>
      <c r="G219" s="26">
        <f t="shared" si="0"/>
        <v>-5.6379320065399474E-3</v>
      </c>
      <c r="I219" s="53">
        <v>-5.0000000000000001E-3</v>
      </c>
      <c r="J219">
        <v>87</v>
      </c>
      <c r="O219" s="43"/>
    </row>
    <row r="220" spans="1:15" ht="15">
      <c r="A220" s="52">
        <v>178.25</v>
      </c>
      <c r="B220" s="52">
        <v>182.26</v>
      </c>
      <c r="C220" s="52">
        <v>178.25</v>
      </c>
      <c r="D220" s="52">
        <v>180.5</v>
      </c>
      <c r="E220" s="52">
        <v>3724759</v>
      </c>
      <c r="F220" s="52" t="s">
        <v>295</v>
      </c>
      <c r="G220" s="26">
        <f t="shared" si="0"/>
        <v>-1.2465373961218829E-2</v>
      </c>
      <c r="I220" s="53">
        <v>-2.5000000000000001E-3</v>
      </c>
      <c r="J220">
        <v>116</v>
      </c>
    </row>
    <row r="221" spans="1:15" ht="15">
      <c r="A221" s="52">
        <v>181.54</v>
      </c>
      <c r="B221" s="52">
        <v>182.65</v>
      </c>
      <c r="C221" s="52">
        <v>180.33</v>
      </c>
      <c r="D221" s="52">
        <v>182.23</v>
      </c>
      <c r="E221" s="52">
        <v>1845221</v>
      </c>
      <c r="F221" s="52" t="s">
        <v>296</v>
      </c>
      <c r="G221" s="26">
        <f t="shared" si="0"/>
        <v>-3.7864237502057696E-3</v>
      </c>
      <c r="I221" s="53">
        <v>0</v>
      </c>
      <c r="J221">
        <v>133</v>
      </c>
    </row>
    <row r="222" spans="1:15" ht="15">
      <c r="A222" s="52">
        <v>182.38</v>
      </c>
      <c r="B222" s="52">
        <v>183.53</v>
      </c>
      <c r="C222" s="52">
        <v>181.68</v>
      </c>
      <c r="D222" s="52">
        <v>182.63</v>
      </c>
      <c r="E222" s="52">
        <v>1500553</v>
      </c>
      <c r="F222" s="52" t="s">
        <v>297</v>
      </c>
      <c r="G222" s="26">
        <f t="shared" si="0"/>
        <v>-1.3688879154575284E-3</v>
      </c>
      <c r="I222" s="53">
        <v>2.5000000000000001E-3</v>
      </c>
      <c r="J222">
        <v>123</v>
      </c>
    </row>
    <row r="223" spans="1:15" ht="15">
      <c r="A223" s="52">
        <v>182.94</v>
      </c>
      <c r="B223" s="52">
        <v>185.43989999999999</v>
      </c>
      <c r="C223" s="52">
        <v>182.82</v>
      </c>
      <c r="D223" s="52">
        <v>184.89</v>
      </c>
      <c r="E223" s="52">
        <v>1849663</v>
      </c>
      <c r="F223" s="52" t="s">
        <v>298</v>
      </c>
      <c r="G223" s="26">
        <f t="shared" si="0"/>
        <v>-1.0546811617718532E-2</v>
      </c>
      <c r="I223" s="53">
        <v>5.0000000000000001E-3</v>
      </c>
      <c r="J223">
        <v>105</v>
      </c>
    </row>
    <row r="224" spans="1:15" ht="15">
      <c r="A224" s="52">
        <v>185.32</v>
      </c>
      <c r="B224" s="52">
        <v>185.92</v>
      </c>
      <c r="C224" s="52">
        <v>183.42</v>
      </c>
      <c r="D224" s="52">
        <v>184.35</v>
      </c>
      <c r="E224" s="52">
        <v>1788115</v>
      </c>
      <c r="F224" s="52" t="s">
        <v>299</v>
      </c>
      <c r="G224" s="26">
        <f t="shared" si="0"/>
        <v>5.2617304041224777E-3</v>
      </c>
      <c r="I224" s="53">
        <v>7.4999999999999997E-3</v>
      </c>
      <c r="J224">
        <v>102</v>
      </c>
    </row>
    <row r="225" spans="1:30" ht="15">
      <c r="A225" s="52">
        <v>183.63</v>
      </c>
      <c r="B225" s="52">
        <v>185.35</v>
      </c>
      <c r="C225" s="52">
        <v>181.33</v>
      </c>
      <c r="D225" s="52">
        <v>182.28</v>
      </c>
      <c r="E225" s="52">
        <v>1801451</v>
      </c>
      <c r="F225" s="52" t="s">
        <v>300</v>
      </c>
      <c r="G225" s="26">
        <f t="shared" si="0"/>
        <v>7.4061882817642033E-3</v>
      </c>
      <c r="I225" s="53">
        <v>0.01</v>
      </c>
      <c r="J225">
        <v>96</v>
      </c>
    </row>
    <row r="226" spans="1:30" ht="15">
      <c r="A226" s="52">
        <v>182.58</v>
      </c>
      <c r="B226" s="52">
        <v>184.38</v>
      </c>
      <c r="C226" s="52">
        <v>180.14</v>
      </c>
      <c r="D226" s="52">
        <v>183.6</v>
      </c>
      <c r="E226" s="52">
        <v>2623809</v>
      </c>
      <c r="F226" s="52" t="s">
        <v>301</v>
      </c>
      <c r="G226" s="26">
        <f t="shared" si="0"/>
        <v>-5.5555555555554248E-3</v>
      </c>
      <c r="I226" s="53">
        <v>1.2500000000000001E-2</v>
      </c>
      <c r="J226">
        <v>48</v>
      </c>
    </row>
    <row r="227" spans="1:30" ht="15">
      <c r="A227" s="52">
        <v>181.28</v>
      </c>
      <c r="B227" s="52">
        <v>181.63</v>
      </c>
      <c r="C227" s="52">
        <v>176.08500000000001</v>
      </c>
      <c r="D227" s="52">
        <v>176.18</v>
      </c>
      <c r="E227" s="52">
        <v>1884140</v>
      </c>
      <c r="F227" s="52" t="s">
        <v>302</v>
      </c>
      <c r="G227" s="26">
        <f t="shared" si="0"/>
        <v>2.8947667158587764E-2</v>
      </c>
      <c r="I227" s="53">
        <v>1.4999999999999999E-2</v>
      </c>
      <c r="J227">
        <v>45</v>
      </c>
    </row>
    <row r="228" spans="1:30" ht="15">
      <c r="A228" s="52">
        <v>175.33</v>
      </c>
      <c r="B228" s="52">
        <v>179.58</v>
      </c>
      <c r="C228" s="52">
        <v>175.31</v>
      </c>
      <c r="D228" s="52">
        <v>178.84</v>
      </c>
      <c r="E228" s="52">
        <v>3121638</v>
      </c>
      <c r="F228" s="52" t="s">
        <v>303</v>
      </c>
      <c r="G228" s="26">
        <f t="shared" si="0"/>
        <v>-1.9626481771415794E-2</v>
      </c>
      <c r="I228" s="53">
        <v>1.7500000000000002E-2</v>
      </c>
      <c r="J228">
        <v>33</v>
      </c>
    </row>
    <row r="229" spans="1:30" ht="15">
      <c r="A229" s="52">
        <v>178.85</v>
      </c>
      <c r="B229" s="52">
        <v>181.6</v>
      </c>
      <c r="C229" s="52">
        <v>177.96</v>
      </c>
      <c r="D229" s="52">
        <v>181.5</v>
      </c>
      <c r="E229" s="52">
        <v>3458741</v>
      </c>
      <c r="F229" s="52" t="s">
        <v>304</v>
      </c>
      <c r="G229" s="26">
        <f t="shared" si="0"/>
        <v>-1.4600550964187331E-2</v>
      </c>
      <c r="I229" s="53">
        <v>0.02</v>
      </c>
      <c r="J229">
        <v>28</v>
      </c>
    </row>
    <row r="230" spans="1:30" ht="15">
      <c r="A230" s="52">
        <v>180.9</v>
      </c>
      <c r="B230" s="52">
        <v>181.04</v>
      </c>
      <c r="C230" s="52">
        <v>177.1</v>
      </c>
      <c r="D230" s="52">
        <v>178.27</v>
      </c>
      <c r="E230" s="52">
        <v>3888453</v>
      </c>
      <c r="F230" s="52" t="s">
        <v>305</v>
      </c>
      <c r="G230" s="26">
        <f t="shared" si="0"/>
        <v>1.4752902900095233E-2</v>
      </c>
      <c r="I230" s="53">
        <v>2.2499999999999999E-2</v>
      </c>
      <c r="J230">
        <v>13</v>
      </c>
    </row>
    <row r="231" spans="1:30" ht="15">
      <c r="A231" s="52">
        <v>178.27</v>
      </c>
      <c r="B231" s="52">
        <v>179.11</v>
      </c>
      <c r="C231" s="52">
        <v>175.965</v>
      </c>
      <c r="D231" s="52">
        <v>178.31</v>
      </c>
      <c r="E231" s="52">
        <v>4014438</v>
      </c>
      <c r="F231" s="52" t="s">
        <v>306</v>
      </c>
      <c r="G231" s="26">
        <f t="shared" si="0"/>
        <v>-2.2432841680219973E-4</v>
      </c>
      <c r="I231" s="53">
        <v>2.5000000000000001E-2</v>
      </c>
      <c r="J231">
        <v>10</v>
      </c>
    </row>
    <row r="232" spans="1:30" ht="15">
      <c r="A232" s="52">
        <v>178.31</v>
      </c>
      <c r="B232" s="52">
        <v>180.67</v>
      </c>
      <c r="C232" s="52">
        <v>176.06</v>
      </c>
      <c r="D232" s="52">
        <v>177.08</v>
      </c>
      <c r="E232" s="52">
        <v>5954780</v>
      </c>
      <c r="F232" s="52" t="s">
        <v>307</v>
      </c>
      <c r="G232" s="26">
        <f t="shared" si="0"/>
        <v>6.9460131014229543E-3</v>
      </c>
      <c r="I232" s="53">
        <v>2.75E-2</v>
      </c>
      <c r="J232">
        <v>3</v>
      </c>
      <c r="AD232" s="2" t="s">
        <v>203</v>
      </c>
    </row>
    <row r="233" spans="1:30" ht="15">
      <c r="A233" s="52">
        <v>177.09</v>
      </c>
      <c r="B233" s="52">
        <v>177.3</v>
      </c>
      <c r="C233" s="52">
        <v>172.57</v>
      </c>
      <c r="D233" s="52">
        <v>174.96</v>
      </c>
      <c r="E233" s="52">
        <v>6386413</v>
      </c>
      <c r="F233" s="52" t="s">
        <v>308</v>
      </c>
      <c r="G233" s="26">
        <f t="shared" si="0"/>
        <v>1.2174211248285216E-2</v>
      </c>
      <c r="I233" s="53">
        <v>0.03</v>
      </c>
      <c r="J233">
        <v>6</v>
      </c>
      <c r="AD233" s="1" t="s">
        <v>204</v>
      </c>
    </row>
    <row r="234" spans="1:30" ht="15">
      <c r="A234" s="52">
        <v>175.97</v>
      </c>
      <c r="B234" s="52">
        <v>176.48500000000001</v>
      </c>
      <c r="C234" s="52">
        <v>173.87</v>
      </c>
      <c r="D234" s="52">
        <v>176.22</v>
      </c>
      <c r="E234" s="52">
        <v>2428669</v>
      </c>
      <c r="F234" s="52" t="s">
        <v>309</v>
      </c>
      <c r="G234" s="26">
        <f t="shared" si="0"/>
        <v>-1.4186811939620458E-3</v>
      </c>
      <c r="I234" s="53">
        <v>3.2500000000000001E-2</v>
      </c>
      <c r="J234">
        <v>3</v>
      </c>
    </row>
    <row r="235" spans="1:30" ht="15">
      <c r="A235" s="52">
        <v>177.5</v>
      </c>
      <c r="B235" s="52">
        <v>179.76</v>
      </c>
      <c r="C235" s="52">
        <v>174.63</v>
      </c>
      <c r="D235" s="52">
        <v>175.59</v>
      </c>
      <c r="E235" s="52">
        <v>3013897</v>
      </c>
      <c r="F235" s="52" t="s">
        <v>310</v>
      </c>
      <c r="G235" s="26">
        <f t="shared" si="0"/>
        <v>1.087761262030873E-2</v>
      </c>
      <c r="I235" s="53">
        <v>3.5000000000000003E-2</v>
      </c>
      <c r="J235">
        <v>4</v>
      </c>
    </row>
    <row r="236" spans="1:30" ht="15">
      <c r="A236" s="52">
        <v>175.5</v>
      </c>
      <c r="B236" s="52">
        <v>175.63</v>
      </c>
      <c r="C236" s="52">
        <v>173.02</v>
      </c>
      <c r="D236" s="52">
        <v>175</v>
      </c>
      <c r="E236" s="52">
        <v>2207623</v>
      </c>
      <c r="F236" s="52" t="s">
        <v>311</v>
      </c>
      <c r="G236" s="26">
        <f t="shared" si="0"/>
        <v>2.8571428571428914E-3</v>
      </c>
      <c r="I236" s="53">
        <v>3.7499999999999999E-2</v>
      </c>
      <c r="J236">
        <v>3</v>
      </c>
    </row>
    <row r="237" spans="1:30" ht="15.75" thickBot="1">
      <c r="A237" s="52">
        <v>174.63</v>
      </c>
      <c r="B237" s="52">
        <v>175.64500000000001</v>
      </c>
      <c r="C237" s="52">
        <v>172.5</v>
      </c>
      <c r="D237" s="52">
        <v>172.8</v>
      </c>
      <c r="E237" s="52">
        <v>1904299</v>
      </c>
      <c r="F237" s="52" t="s">
        <v>312</v>
      </c>
      <c r="G237" s="26">
        <f t="shared" si="0"/>
        <v>1.0590277777777768E-2</v>
      </c>
      <c r="I237" s="54" t="s">
        <v>1517</v>
      </c>
      <c r="J237" s="54">
        <v>4</v>
      </c>
    </row>
    <row r="238" spans="1:30">
      <c r="A238" s="52">
        <v>172.95</v>
      </c>
      <c r="B238" s="52">
        <v>177.79499999999999</v>
      </c>
      <c r="C238" s="52">
        <v>172.34110000000001</v>
      </c>
      <c r="D238" s="52">
        <v>176.28</v>
      </c>
      <c r="E238" s="52">
        <v>2497056</v>
      </c>
      <c r="F238" s="52" t="s">
        <v>313</v>
      </c>
      <c r="G238" s="26">
        <f t="shared" si="0"/>
        <v>-1.8890401633764542E-2</v>
      </c>
    </row>
    <row r="239" spans="1:30">
      <c r="A239" s="52">
        <v>176.16</v>
      </c>
      <c r="B239" s="52">
        <v>178.3</v>
      </c>
      <c r="C239" s="52">
        <v>175.92500000000001</v>
      </c>
      <c r="D239" s="52">
        <v>178.18</v>
      </c>
      <c r="E239" s="52">
        <v>1057601</v>
      </c>
      <c r="F239" s="52" t="s">
        <v>314</v>
      </c>
      <c r="G239" s="26">
        <f t="shared" si="0"/>
        <v>-1.1336850376024277E-2</v>
      </c>
    </row>
    <row r="240" spans="1:30">
      <c r="A240" s="52">
        <v>177.27</v>
      </c>
      <c r="B240" s="52">
        <v>178.08</v>
      </c>
      <c r="C240" s="52">
        <v>175.59</v>
      </c>
      <c r="D240" s="52">
        <v>177.535</v>
      </c>
      <c r="E240" s="52">
        <v>3268974</v>
      </c>
      <c r="F240" s="52" t="s">
        <v>315</v>
      </c>
      <c r="G240" s="26">
        <f t="shared" si="0"/>
        <v>-1.4926634184807552E-3</v>
      </c>
    </row>
    <row r="241" spans="1:7">
      <c r="A241" s="52">
        <v>177.67</v>
      </c>
      <c r="B241" s="52">
        <v>179.12</v>
      </c>
      <c r="C241" s="52">
        <v>171.32</v>
      </c>
      <c r="D241" s="52">
        <v>172.21</v>
      </c>
      <c r="E241" s="52">
        <v>3211591</v>
      </c>
      <c r="F241" s="52" t="s">
        <v>316</v>
      </c>
      <c r="G241" s="26">
        <f t="shared" si="0"/>
        <v>3.170547587248107E-2</v>
      </c>
    </row>
    <row r="242" spans="1:7">
      <c r="A242" s="52">
        <v>172.25</v>
      </c>
      <c r="B242" s="52">
        <v>172.66</v>
      </c>
      <c r="C242" s="52">
        <v>170.08670000000001</v>
      </c>
      <c r="D242" s="52">
        <v>170.61</v>
      </c>
      <c r="E242" s="52">
        <v>2523093</v>
      </c>
      <c r="F242" s="52" t="s">
        <v>317</v>
      </c>
      <c r="G242" s="26">
        <f t="shared" si="0"/>
        <v>9.6125666725279668E-3</v>
      </c>
    </row>
    <row r="243" spans="1:7">
      <c r="A243" s="52">
        <v>170.86</v>
      </c>
      <c r="B243" s="52">
        <v>172.27</v>
      </c>
      <c r="C243" s="52">
        <v>169.79</v>
      </c>
      <c r="D243" s="52">
        <v>170.38</v>
      </c>
      <c r="E243" s="52">
        <v>3070334</v>
      </c>
      <c r="F243" s="52" t="s">
        <v>318</v>
      </c>
      <c r="G243" s="26">
        <f t="shared" si="0"/>
        <v>2.8172320694919151E-3</v>
      </c>
    </row>
    <row r="244" spans="1:7">
      <c r="A244" s="52">
        <v>169.97</v>
      </c>
      <c r="B244" s="52">
        <v>170.86500000000001</v>
      </c>
      <c r="C244" s="52">
        <v>168.89</v>
      </c>
      <c r="D244" s="52">
        <v>170.74</v>
      </c>
      <c r="E244" s="52">
        <v>2879313</v>
      </c>
      <c r="F244" s="52" t="s">
        <v>319</v>
      </c>
      <c r="G244" s="26">
        <f t="shared" si="0"/>
        <v>-4.5097809534966338E-3</v>
      </c>
    </row>
    <row r="245" spans="1:7">
      <c r="A245" s="52">
        <v>170.9</v>
      </c>
      <c r="B245" s="52">
        <v>172.14</v>
      </c>
      <c r="C245" s="52">
        <v>169.94</v>
      </c>
      <c r="D245" s="52">
        <v>171.08</v>
      </c>
      <c r="E245" s="52">
        <v>2118106</v>
      </c>
      <c r="F245" s="52" t="s">
        <v>320</v>
      </c>
      <c r="G245" s="26">
        <f t="shared" si="0"/>
        <v>-1.0521393500116938E-3</v>
      </c>
    </row>
    <row r="246" spans="1:7">
      <c r="A246" s="52">
        <v>171.57</v>
      </c>
      <c r="B246" s="52">
        <v>171.93</v>
      </c>
      <c r="C246" s="52">
        <v>169.2</v>
      </c>
      <c r="D246" s="52">
        <v>170.35</v>
      </c>
      <c r="E246" s="52">
        <v>2915325</v>
      </c>
      <c r="F246" s="52" t="s">
        <v>321</v>
      </c>
      <c r="G246" s="26">
        <f t="shared" si="0"/>
        <v>7.1617258585265908E-3</v>
      </c>
    </row>
    <row r="247" spans="1:7">
      <c r="A247" s="52">
        <v>169.72</v>
      </c>
      <c r="B247" s="52">
        <v>170.63499999999999</v>
      </c>
      <c r="C247" s="52">
        <v>167.5</v>
      </c>
      <c r="D247" s="52">
        <v>168.16</v>
      </c>
      <c r="E247" s="52">
        <v>3079366</v>
      </c>
      <c r="F247" s="52" t="s">
        <v>322</v>
      </c>
      <c r="G247" s="26">
        <f t="shared" si="0"/>
        <v>9.2768791627022562E-3</v>
      </c>
    </row>
    <row r="248" spans="1:7">
      <c r="A248" s="52">
        <v>168.42</v>
      </c>
      <c r="B248" s="52">
        <v>169.96</v>
      </c>
      <c r="C248" s="52">
        <v>168.07929999999999</v>
      </c>
      <c r="D248" s="52">
        <v>169.31</v>
      </c>
      <c r="E248" s="52">
        <v>5093462</v>
      </c>
      <c r="F248" s="52" t="s">
        <v>323</v>
      </c>
      <c r="G248" s="26">
        <f t="shared" si="0"/>
        <v>-5.2566298505700715E-3</v>
      </c>
    </row>
    <row r="249" spans="1:7">
      <c r="A249" s="52">
        <v>168.59</v>
      </c>
      <c r="B249" s="52">
        <v>170.6</v>
      </c>
      <c r="C249" s="52">
        <v>168.43</v>
      </c>
      <c r="D249" s="52">
        <v>169.7</v>
      </c>
      <c r="E249" s="52">
        <v>2839947</v>
      </c>
      <c r="F249" s="52" t="s">
        <v>324</v>
      </c>
      <c r="G249" s="26">
        <f t="shared" ref="G249:G312" si="1">A249/D249-1</f>
        <v>-6.5409546258101692E-3</v>
      </c>
    </row>
    <row r="250" spans="1:7">
      <c r="A250" s="52">
        <v>169.94</v>
      </c>
      <c r="B250" s="52">
        <v>171.95</v>
      </c>
      <c r="C250" s="52">
        <v>169.81</v>
      </c>
      <c r="D250" s="52">
        <v>171.95</v>
      </c>
      <c r="E250" s="52">
        <v>3782042</v>
      </c>
      <c r="F250" s="52" t="s">
        <v>325</v>
      </c>
      <c r="G250" s="26">
        <f t="shared" si="1"/>
        <v>-1.1689444605990085E-2</v>
      </c>
    </row>
    <row r="251" spans="1:7">
      <c r="A251" s="52">
        <v>172.1</v>
      </c>
      <c r="B251" s="52">
        <v>173.44</v>
      </c>
      <c r="C251" s="52">
        <v>170.85050000000001</v>
      </c>
      <c r="D251" s="52">
        <v>172.37</v>
      </c>
      <c r="E251" s="52">
        <v>2376550</v>
      </c>
      <c r="F251" s="52" t="s">
        <v>326</v>
      </c>
      <c r="G251" s="26">
        <f t="shared" si="1"/>
        <v>-1.5663978650577448E-3</v>
      </c>
    </row>
    <row r="252" spans="1:7">
      <c r="A252" s="52">
        <v>172.21</v>
      </c>
      <c r="B252" s="52">
        <v>176.33</v>
      </c>
      <c r="C252" s="52">
        <v>171.87</v>
      </c>
      <c r="D252" s="52">
        <v>173.03</v>
      </c>
      <c r="E252" s="52">
        <v>2276332</v>
      </c>
      <c r="F252" s="52" t="s">
        <v>327</v>
      </c>
      <c r="G252" s="26">
        <f t="shared" si="1"/>
        <v>-4.7390625903022121E-3</v>
      </c>
    </row>
    <row r="253" spans="1:7">
      <c r="A253" s="52">
        <v>174.46</v>
      </c>
      <c r="B253" s="52">
        <v>175.23</v>
      </c>
      <c r="C253" s="52">
        <v>171.7</v>
      </c>
      <c r="D253" s="52">
        <v>172.41</v>
      </c>
      <c r="E253" s="52">
        <v>1664351</v>
      </c>
      <c r="F253" s="52" t="s">
        <v>328</v>
      </c>
      <c r="G253" s="26">
        <f t="shared" si="1"/>
        <v>1.1890261585755013E-2</v>
      </c>
    </row>
    <row r="254" spans="1:7">
      <c r="A254" s="52">
        <v>172.72</v>
      </c>
      <c r="B254" s="52">
        <v>175.86</v>
      </c>
      <c r="C254" s="52">
        <v>171.91</v>
      </c>
      <c r="D254" s="52">
        <v>174.5</v>
      </c>
      <c r="E254" s="52">
        <v>2361041</v>
      </c>
      <c r="F254" s="52" t="s">
        <v>329</v>
      </c>
      <c r="G254" s="26">
        <f t="shared" si="1"/>
        <v>-1.0200573065902607E-2</v>
      </c>
    </row>
    <row r="255" spans="1:7">
      <c r="A255" s="52">
        <v>174.39</v>
      </c>
      <c r="B255" s="52">
        <v>174.68</v>
      </c>
      <c r="C255" s="52">
        <v>171.83</v>
      </c>
      <c r="D255" s="52">
        <v>173.41</v>
      </c>
      <c r="E255" s="52">
        <v>2921584</v>
      </c>
      <c r="F255" s="52" t="s">
        <v>330</v>
      </c>
      <c r="G255" s="26">
        <f t="shared" si="1"/>
        <v>5.6513465198084756E-3</v>
      </c>
    </row>
    <row r="256" spans="1:7">
      <c r="A256" s="52">
        <v>172.51</v>
      </c>
      <c r="B256" s="52">
        <v>174.67760000000001</v>
      </c>
      <c r="C256" s="52">
        <v>172.1</v>
      </c>
      <c r="D256" s="52">
        <v>173.99</v>
      </c>
      <c r="E256" s="52">
        <v>3447061</v>
      </c>
      <c r="F256" s="52" t="s">
        <v>331</v>
      </c>
      <c r="G256" s="26">
        <f t="shared" si="1"/>
        <v>-8.5062359905743179E-3</v>
      </c>
    </row>
    <row r="257" spans="1:7">
      <c r="A257" s="52">
        <v>172.41000000000008</v>
      </c>
      <c r="B257" s="52">
        <v>173.02876751225145</v>
      </c>
      <c r="C257" s="52">
        <v>170.55180885557806</v>
      </c>
      <c r="D257" s="52">
        <v>170.87923378495253</v>
      </c>
      <c r="E257" s="52">
        <v>2048473.5743286342</v>
      </c>
      <c r="F257" s="52" t="s">
        <v>332</v>
      </c>
      <c r="G257" s="26">
        <f t="shared" si="1"/>
        <v>8.9581757896572967E-3</v>
      </c>
    </row>
    <row r="258" spans="1:7">
      <c r="A258" s="52">
        <v>170.00451023349677</v>
      </c>
      <c r="B258" s="52">
        <v>172.09191870856162</v>
      </c>
      <c r="C258" s="52">
        <v>169.59696857884126</v>
      </c>
      <c r="D258" s="52">
        <v>170.75995330066308</v>
      </c>
      <c r="E258" s="52">
        <v>2873857.5471260352</v>
      </c>
      <c r="F258" s="52" t="s">
        <v>333</v>
      </c>
      <c r="G258" s="26">
        <f t="shared" si="1"/>
        <v>-4.424006053902918E-3</v>
      </c>
    </row>
    <row r="259" spans="1:7">
      <c r="A259" s="52">
        <v>169.91504987027972</v>
      </c>
      <c r="B259" s="52">
        <v>171.02833439031431</v>
      </c>
      <c r="C259" s="52">
        <v>168.82164543096002</v>
      </c>
      <c r="D259" s="52">
        <v>170.18343095993092</v>
      </c>
      <c r="E259" s="52">
        <v>2477821.9317324967</v>
      </c>
      <c r="F259" s="52" t="s">
        <v>334</v>
      </c>
      <c r="G259" s="26">
        <f t="shared" si="1"/>
        <v>-1.5770106886280333E-3</v>
      </c>
    </row>
    <row r="260" spans="1:7">
      <c r="A260" s="52">
        <v>169.63672874027105</v>
      </c>
      <c r="B260" s="52">
        <v>170.38690358604796</v>
      </c>
      <c r="C260" s="52">
        <v>166.92806774286547</v>
      </c>
      <c r="D260" s="52">
        <v>167.70836091092542</v>
      </c>
      <c r="E260" s="52">
        <v>2041011.8340003469</v>
      </c>
      <c r="F260" s="52" t="s">
        <v>335</v>
      </c>
      <c r="G260" s="26">
        <f t="shared" si="1"/>
        <v>1.1498340445708966E-2</v>
      </c>
    </row>
    <row r="261" spans="1:7">
      <c r="A261" s="52">
        <v>168.38428365523214</v>
      </c>
      <c r="B261" s="52">
        <v>170.81462352262909</v>
      </c>
      <c r="C261" s="52">
        <v>166.96285788411654</v>
      </c>
      <c r="D261" s="52">
        <v>170.16355087921599</v>
      </c>
      <c r="E261" s="52">
        <v>3281542.0085841869</v>
      </c>
      <c r="F261" s="52" t="s">
        <v>336</v>
      </c>
      <c r="G261" s="26">
        <f t="shared" si="1"/>
        <v>-1.0456218237046566E-2</v>
      </c>
    </row>
    <row r="262" spans="1:7">
      <c r="A262" s="52">
        <v>171.55515652925925</v>
      </c>
      <c r="B262" s="52">
        <v>172.75690740847517</v>
      </c>
      <c r="C262" s="52">
        <v>170.6207927356588</v>
      </c>
      <c r="D262" s="52">
        <v>172.49946036321714</v>
      </c>
      <c r="E262" s="52">
        <v>3378778.0323067089</v>
      </c>
      <c r="F262" s="52" t="s">
        <v>337</v>
      </c>
      <c r="G262" s="26">
        <f t="shared" si="1"/>
        <v>-5.4742422496253385E-3</v>
      </c>
    </row>
    <row r="263" spans="1:7">
      <c r="A263" s="52">
        <v>172.7777814932258</v>
      </c>
      <c r="B263" s="52">
        <v>173.42388411646016</v>
      </c>
      <c r="C263" s="52">
        <v>170.86432372441635</v>
      </c>
      <c r="D263" s="52">
        <v>172.42988008071498</v>
      </c>
      <c r="E263" s="52">
        <v>2691392.4931848487</v>
      </c>
      <c r="F263" s="52" t="s">
        <v>338</v>
      </c>
      <c r="G263" s="26">
        <f t="shared" si="1"/>
        <v>2.0176399377414E-3</v>
      </c>
    </row>
    <row r="264" spans="1:7">
      <c r="A264" s="52">
        <v>171.9726382242722</v>
      </c>
      <c r="B264" s="52">
        <v>175.37213202652072</v>
      </c>
      <c r="C264" s="52">
        <v>171.88317786105515</v>
      </c>
      <c r="D264" s="52">
        <v>174.05010665897962</v>
      </c>
      <c r="E264" s="52">
        <v>1682219.5281596186</v>
      </c>
      <c r="F264" s="52" t="s">
        <v>339</v>
      </c>
      <c r="G264" s="26">
        <f t="shared" si="1"/>
        <v>-1.1936036550542539E-2</v>
      </c>
    </row>
    <row r="265" spans="1:7">
      <c r="A265" s="52">
        <v>173.46364427788995</v>
      </c>
      <c r="B265" s="52">
        <v>174.47752839435006</v>
      </c>
      <c r="C265" s="52">
        <v>171.00298728740282</v>
      </c>
      <c r="D265" s="52">
        <v>171.91299798212751</v>
      </c>
      <c r="E265" s="52">
        <v>2016400.2639058048</v>
      </c>
      <c r="F265" s="52" t="s">
        <v>340</v>
      </c>
      <c r="G265" s="26">
        <f t="shared" si="1"/>
        <v>9.0199479618384704E-3</v>
      </c>
    </row>
    <row r="266" spans="1:7">
      <c r="A266" s="52">
        <v>170.35241164600757</v>
      </c>
      <c r="B266" s="52">
        <v>171.12773479388881</v>
      </c>
      <c r="C266" s="52">
        <v>168.58308446238118</v>
      </c>
      <c r="D266" s="52">
        <v>169.48762813490927</v>
      </c>
      <c r="E266" s="52">
        <v>1962594.6473522407</v>
      </c>
      <c r="F266" s="52" t="s">
        <v>341</v>
      </c>
      <c r="G266" s="26">
        <f t="shared" si="1"/>
        <v>5.1023400387073536E-3</v>
      </c>
    </row>
    <row r="267" spans="1:7">
      <c r="A267" s="52">
        <v>171.27683539925059</v>
      </c>
      <c r="B267" s="52">
        <v>172.47958028250227</v>
      </c>
      <c r="C267" s="52">
        <v>169.79119696742586</v>
      </c>
      <c r="D267" s="52">
        <v>170.00451023349677</v>
      </c>
      <c r="E267" s="52">
        <v>2110555.8172379783</v>
      </c>
      <c r="F267" s="52" t="s">
        <v>342</v>
      </c>
      <c r="G267" s="26">
        <f t="shared" si="1"/>
        <v>7.4840671227269784E-3</v>
      </c>
    </row>
    <row r="268" spans="1:7">
      <c r="A268" s="52">
        <v>172.10185874891908</v>
      </c>
      <c r="B268" s="52">
        <v>175.68027327760171</v>
      </c>
      <c r="C268" s="52">
        <v>171.89311790141261</v>
      </c>
      <c r="D268" s="52">
        <v>174.94471029115027</v>
      </c>
      <c r="E268" s="52">
        <v>2649193.4693463244</v>
      </c>
      <c r="F268" s="52" t="s">
        <v>343</v>
      </c>
      <c r="G268" s="26">
        <f t="shared" si="1"/>
        <v>-1.6249999999999987E-2</v>
      </c>
    </row>
    <row r="269" spans="1:7">
      <c r="A269" s="52">
        <v>175.61069299509953</v>
      </c>
      <c r="B269" s="52">
        <v>176.03811473046997</v>
      </c>
      <c r="C269" s="52">
        <v>174.56698875756712</v>
      </c>
      <c r="D269" s="52">
        <v>175.5212326318825</v>
      </c>
      <c r="E269" s="52">
        <v>2762367.0541151892</v>
      </c>
      <c r="F269" s="52" t="s">
        <v>344</v>
      </c>
      <c r="G269" s="26">
        <f t="shared" si="1"/>
        <v>5.0968399592221658E-4</v>
      </c>
    </row>
    <row r="270" spans="1:7">
      <c r="A270" s="52">
        <v>175.98841452868271</v>
      </c>
      <c r="B270" s="52">
        <v>176.13751513404446</v>
      </c>
      <c r="C270" s="52">
        <v>172.02233842605946</v>
      </c>
      <c r="D270" s="52">
        <v>173.5829247621794</v>
      </c>
      <c r="E270" s="52">
        <v>3227374.2204628484</v>
      </c>
      <c r="F270" s="52" t="s">
        <v>345</v>
      </c>
      <c r="G270" s="26">
        <f t="shared" si="1"/>
        <v>1.3857870927102889E-2</v>
      </c>
    </row>
    <row r="271" spans="1:7">
      <c r="A271" s="52">
        <v>174.35824791006061</v>
      </c>
      <c r="B271" s="52">
        <v>174.63656904006928</v>
      </c>
      <c r="C271" s="52">
        <v>170.53133237244171</v>
      </c>
      <c r="D271" s="52">
        <v>171.21719515710589</v>
      </c>
      <c r="E271" s="52">
        <v>2266672.8896235707</v>
      </c>
      <c r="F271" s="52" t="s">
        <v>346</v>
      </c>
      <c r="G271" s="26">
        <f t="shared" si="1"/>
        <v>1.8345428156748778E-2</v>
      </c>
    </row>
    <row r="272" spans="1:7">
      <c r="A272" s="52">
        <v>171.23707523782079</v>
      </c>
      <c r="B272" s="52">
        <v>171.39114586336129</v>
      </c>
      <c r="C272" s="52">
        <v>168.01650216200642</v>
      </c>
      <c r="D272" s="52">
        <v>170.29277140386287</v>
      </c>
      <c r="E272" s="52">
        <v>4183267.7237399202</v>
      </c>
      <c r="F272" s="52" t="s">
        <v>347</v>
      </c>
      <c r="G272" s="26">
        <f t="shared" si="1"/>
        <v>5.5451786131217595E-3</v>
      </c>
    </row>
    <row r="273" spans="1:7">
      <c r="A273" s="52">
        <v>169.99457019313934</v>
      </c>
      <c r="B273" s="52">
        <v>173.75190544825608</v>
      </c>
      <c r="C273" s="52">
        <v>169.49756817526674</v>
      </c>
      <c r="D273" s="52">
        <v>173.75190544825608</v>
      </c>
      <c r="E273" s="52">
        <v>3951835.061771357</v>
      </c>
      <c r="F273" s="52" t="s">
        <v>348</v>
      </c>
      <c r="G273" s="26">
        <f t="shared" si="1"/>
        <v>-2.1624713958810049E-2</v>
      </c>
    </row>
    <row r="274" spans="1:7">
      <c r="A274" s="52">
        <v>174.28866762755848</v>
      </c>
      <c r="B274" s="52">
        <v>176.73391755549159</v>
      </c>
      <c r="C274" s="52">
        <v>171.26689535889315</v>
      </c>
      <c r="D274" s="52">
        <v>173.82148573075824</v>
      </c>
      <c r="E274" s="52">
        <v>3795307.5282756202</v>
      </c>
      <c r="F274" s="52" t="s">
        <v>349</v>
      </c>
      <c r="G274" s="26">
        <f t="shared" si="1"/>
        <v>2.6877108709326691E-3</v>
      </c>
    </row>
    <row r="275" spans="1:7">
      <c r="A275" s="52">
        <v>174.28866762755848</v>
      </c>
      <c r="B275" s="52">
        <v>174.37812799077554</v>
      </c>
      <c r="C275" s="52">
        <v>169.58056751225146</v>
      </c>
      <c r="D275" s="52">
        <v>170.30271144422034</v>
      </c>
      <c r="E275" s="52">
        <v>4765462.5430659447</v>
      </c>
      <c r="F275" s="52" t="s">
        <v>350</v>
      </c>
      <c r="G275" s="26">
        <f t="shared" si="1"/>
        <v>2.3405124613319339E-2</v>
      </c>
    </row>
    <row r="276" spans="1:7">
      <c r="A276" s="52">
        <v>166.21735485730767</v>
      </c>
      <c r="B276" s="52">
        <v>169.30870740847516</v>
      </c>
      <c r="C276" s="52">
        <v>165.86945344479687</v>
      </c>
      <c r="D276" s="52">
        <v>167.48968002306148</v>
      </c>
      <c r="E276" s="52">
        <v>4158622.9545849985</v>
      </c>
      <c r="F276" s="52" t="s">
        <v>351</v>
      </c>
      <c r="G276" s="26">
        <f t="shared" si="1"/>
        <v>-7.5964391691394351E-3</v>
      </c>
    </row>
    <row r="277" spans="1:7">
      <c r="A277" s="52">
        <v>166.94297780340165</v>
      </c>
      <c r="B277" s="52">
        <v>169.4677480541944</v>
      </c>
      <c r="C277" s="52">
        <v>165.13389045834543</v>
      </c>
      <c r="D277" s="52">
        <v>166.13783453444805</v>
      </c>
      <c r="E277" s="52">
        <v>4337350.5991531787</v>
      </c>
      <c r="F277" s="52" t="s">
        <v>352</v>
      </c>
      <c r="G277" s="26">
        <f t="shared" si="1"/>
        <v>4.8462366878065932E-3</v>
      </c>
    </row>
    <row r="278" spans="1:7">
      <c r="A278" s="52">
        <v>166.13783453444805</v>
      </c>
      <c r="B278" s="52">
        <v>166.68453675410791</v>
      </c>
      <c r="C278" s="52">
        <v>162.98684174113586</v>
      </c>
      <c r="D278" s="52">
        <v>165.76011300086489</v>
      </c>
      <c r="E278" s="52">
        <v>3431087.679078938</v>
      </c>
      <c r="F278" s="52" t="s">
        <v>353</v>
      </c>
      <c r="G278" s="26">
        <f t="shared" si="1"/>
        <v>2.2787239146078164E-3</v>
      </c>
    </row>
    <row r="279" spans="1:7">
      <c r="A279" s="52">
        <v>164.15976650331518</v>
      </c>
      <c r="B279" s="52">
        <v>166.03843413087353</v>
      </c>
      <c r="C279" s="52">
        <v>162.35067915825897</v>
      </c>
      <c r="D279" s="52">
        <v>165.6805926780053</v>
      </c>
      <c r="E279" s="52">
        <v>3706761.6101154205</v>
      </c>
      <c r="F279" s="52" t="s">
        <v>354</v>
      </c>
      <c r="G279" s="26">
        <f t="shared" si="1"/>
        <v>-9.179265658747271E-3</v>
      </c>
    </row>
    <row r="280" spans="1:7">
      <c r="A280" s="52">
        <v>165.99867396944373</v>
      </c>
      <c r="B280" s="52">
        <v>169.02044623810906</v>
      </c>
      <c r="C280" s="52">
        <v>164.50766791582598</v>
      </c>
      <c r="D280" s="52">
        <v>167.41015970020186</v>
      </c>
      <c r="E280" s="52">
        <v>4371427.925584361</v>
      </c>
      <c r="F280" s="52" t="s">
        <v>355</v>
      </c>
      <c r="G280" s="26">
        <f t="shared" si="1"/>
        <v>-8.4313026956417403E-3</v>
      </c>
    </row>
    <row r="281" spans="1:7">
      <c r="A281" s="52">
        <v>167.76800115307014</v>
      </c>
      <c r="B281" s="52">
        <v>170.23313116171815</v>
      </c>
      <c r="C281" s="52">
        <v>165.11401037763054</v>
      </c>
      <c r="D281" s="52">
        <v>170.23313116171815</v>
      </c>
      <c r="E281" s="52">
        <v>10596316.132764915</v>
      </c>
      <c r="F281" s="52" t="s">
        <v>356</v>
      </c>
      <c r="G281" s="26">
        <f t="shared" si="1"/>
        <v>-1.448090622445386E-2</v>
      </c>
    </row>
    <row r="282" spans="1:7">
      <c r="A282" s="52">
        <v>168.52344422023646</v>
      </c>
      <c r="B282" s="52">
        <v>186.87275872009235</v>
      </c>
      <c r="C282" s="52">
        <v>168.50356413952159</v>
      </c>
      <c r="D282" s="52">
        <v>186.70377803401567</v>
      </c>
      <c r="E282" s="52">
        <v>13230966.401600828</v>
      </c>
      <c r="F282" s="52" t="s">
        <v>357</v>
      </c>
      <c r="G282" s="26">
        <f t="shared" si="1"/>
        <v>-9.7375286163019825E-2</v>
      </c>
    </row>
    <row r="283" spans="1:7">
      <c r="A283" s="52">
        <v>205.84829576246767</v>
      </c>
      <c r="B283" s="52">
        <v>206.07691669068907</v>
      </c>
      <c r="C283" s="52">
        <v>202.28976131449994</v>
      </c>
      <c r="D283" s="52">
        <v>204.89405188815232</v>
      </c>
      <c r="E283" s="52">
        <v>2769290.5672524781</v>
      </c>
      <c r="F283" s="52" t="s">
        <v>358</v>
      </c>
      <c r="G283" s="26">
        <f t="shared" si="1"/>
        <v>4.6572551302574983E-3</v>
      </c>
    </row>
    <row r="284" spans="1:7">
      <c r="A284" s="52">
        <v>205.20219313923332</v>
      </c>
      <c r="B284" s="52">
        <v>205.91787604496983</v>
      </c>
      <c r="C284" s="52">
        <v>202.8364635341598</v>
      </c>
      <c r="D284" s="52">
        <v>203.77082732776026</v>
      </c>
      <c r="E284" s="52">
        <v>1165243.759932718</v>
      </c>
      <c r="F284" s="52" t="s">
        <v>359</v>
      </c>
      <c r="G284" s="26">
        <f t="shared" si="1"/>
        <v>7.0243902439024453E-3</v>
      </c>
    </row>
    <row r="285" spans="1:7">
      <c r="A285" s="52">
        <v>203.40304583453454</v>
      </c>
      <c r="B285" s="52">
        <v>205.74889535889318</v>
      </c>
      <c r="C285" s="52">
        <v>202.16054078985309</v>
      </c>
      <c r="D285" s="52">
        <v>204.98351225136938</v>
      </c>
      <c r="E285" s="52">
        <v>1408802.1271967976</v>
      </c>
      <c r="F285" s="52" t="s">
        <v>360</v>
      </c>
      <c r="G285" s="26">
        <f t="shared" si="1"/>
        <v>-7.7102123945301804E-3</v>
      </c>
    </row>
    <row r="286" spans="1:7">
      <c r="A286" s="52">
        <v>203.85034765061991</v>
      </c>
      <c r="B286" s="52">
        <v>204.14854886134344</v>
      </c>
      <c r="C286" s="52">
        <v>200.77887518016732</v>
      </c>
      <c r="D286" s="52">
        <v>203.19430498702806</v>
      </c>
      <c r="E286" s="52">
        <v>1700754.664172611</v>
      </c>
      <c r="F286" s="52" t="s">
        <v>361</v>
      </c>
      <c r="G286" s="26">
        <f t="shared" si="1"/>
        <v>3.2286469034341625E-3</v>
      </c>
    </row>
    <row r="287" spans="1:7">
      <c r="A287" s="52">
        <v>203.22412510810042</v>
      </c>
      <c r="B287" s="52">
        <v>203.69130700490064</v>
      </c>
      <c r="C287" s="52">
        <v>199.79481118477958</v>
      </c>
      <c r="D287" s="52">
        <v>201.42497780340165</v>
      </c>
      <c r="E287" s="52">
        <v>1353828.5073371606</v>
      </c>
      <c r="F287" s="52" t="s">
        <v>362</v>
      </c>
      <c r="G287" s="26">
        <f t="shared" si="1"/>
        <v>8.9320963284642563E-3</v>
      </c>
    </row>
    <row r="288" spans="1:7">
      <c r="A288" s="52">
        <v>201.10689651196321</v>
      </c>
      <c r="B288" s="52">
        <v>206.78762957624687</v>
      </c>
      <c r="C288" s="52">
        <v>199.84451138656686</v>
      </c>
      <c r="D288" s="52">
        <v>201.35539752089949</v>
      </c>
      <c r="E288" s="52">
        <v>3103610.1354329777</v>
      </c>
      <c r="F288" s="52" t="s">
        <v>363</v>
      </c>
      <c r="G288" s="26">
        <f t="shared" si="1"/>
        <v>-1.2341412844941724E-3</v>
      </c>
    </row>
    <row r="289" spans="1:7">
      <c r="A289" s="52">
        <v>198.68152666474498</v>
      </c>
      <c r="B289" s="52">
        <v>199.15119357163456</v>
      </c>
      <c r="C289" s="52">
        <v>196.21639665609698</v>
      </c>
      <c r="D289" s="52">
        <v>197.44896166042096</v>
      </c>
      <c r="E289" s="52">
        <v>1625087.9693753254</v>
      </c>
      <c r="F289" s="52" t="s">
        <v>364</v>
      </c>
      <c r="G289" s="26">
        <f t="shared" si="1"/>
        <v>6.2424486508256827E-3</v>
      </c>
    </row>
    <row r="290" spans="1:7">
      <c r="A290" s="52">
        <v>195.4311334678583</v>
      </c>
      <c r="B290" s="52">
        <v>197.51854194292315</v>
      </c>
      <c r="C290" s="52">
        <v>192.65786220812925</v>
      </c>
      <c r="D290" s="52">
        <v>197.51854194292315</v>
      </c>
      <c r="E290" s="52">
        <v>2517101.4503219058</v>
      </c>
      <c r="F290" s="52" t="s">
        <v>365</v>
      </c>
      <c r="G290" s="26">
        <f t="shared" si="1"/>
        <v>-1.0568164662070334E-2</v>
      </c>
    </row>
    <row r="291" spans="1:7">
      <c r="A291" s="52">
        <v>197.51854194292315</v>
      </c>
      <c r="B291" s="52">
        <v>200.07313231478824</v>
      </c>
      <c r="C291" s="52">
        <v>197.21040069184212</v>
      </c>
      <c r="D291" s="52">
        <v>198.30380513116182</v>
      </c>
      <c r="E291" s="52">
        <v>4091637.3110608412</v>
      </c>
      <c r="F291" s="52" t="s">
        <v>366</v>
      </c>
      <c r="G291" s="26">
        <f t="shared" si="1"/>
        <v>-3.9598997493733856E-3</v>
      </c>
    </row>
    <row r="292" spans="1:7">
      <c r="A292" s="52">
        <v>199.19840876333248</v>
      </c>
      <c r="B292" s="52">
        <v>203.88016777169224</v>
      </c>
      <c r="C292" s="52">
        <v>197.86644335543394</v>
      </c>
      <c r="D292" s="52">
        <v>201.85239953877209</v>
      </c>
      <c r="E292" s="52">
        <v>1649621.0689635163</v>
      </c>
      <c r="F292" s="52" t="s">
        <v>367</v>
      </c>
      <c r="G292" s="26">
        <f t="shared" si="1"/>
        <v>-1.3148175505983128E-2</v>
      </c>
    </row>
    <row r="293" spans="1:7">
      <c r="A293" s="52">
        <v>200.82857538195455</v>
      </c>
      <c r="B293" s="52">
        <v>205.54015451138667</v>
      </c>
      <c r="C293" s="52">
        <v>200.2570230614011</v>
      </c>
      <c r="D293" s="52">
        <v>205.16243297780352</v>
      </c>
      <c r="E293" s="52">
        <v>2583342.6300678602</v>
      </c>
      <c r="F293" s="52" t="s">
        <v>368</v>
      </c>
      <c r="G293" s="26">
        <f t="shared" si="1"/>
        <v>-2.1124031007752064E-2</v>
      </c>
    </row>
    <row r="294" spans="1:7">
      <c r="A294" s="52">
        <v>204.47657019313934</v>
      </c>
      <c r="B294" s="52">
        <v>205.1027927356588</v>
      </c>
      <c r="C294" s="52">
        <v>201.17647679446534</v>
      </c>
      <c r="D294" s="52">
        <v>203.3931057941771</v>
      </c>
      <c r="E294" s="52">
        <v>1559084.2132126899</v>
      </c>
      <c r="F294" s="52" t="s">
        <v>369</v>
      </c>
      <c r="G294" s="26">
        <f t="shared" si="1"/>
        <v>5.3269475124622101E-3</v>
      </c>
    </row>
    <row r="295" spans="1:7">
      <c r="A295" s="52">
        <v>200.57013433266081</v>
      </c>
      <c r="B295" s="52">
        <v>202.13569068895944</v>
      </c>
      <c r="C295" s="52">
        <v>195.39137330642845</v>
      </c>
      <c r="D295" s="52">
        <v>198.39326549437888</v>
      </c>
      <c r="E295" s="52">
        <v>1861843.5473580409</v>
      </c>
      <c r="F295" s="52" t="s">
        <v>370</v>
      </c>
      <c r="G295" s="26">
        <f t="shared" si="1"/>
        <v>1.0972493611904444E-2</v>
      </c>
    </row>
    <row r="296" spans="1:7">
      <c r="A296" s="52">
        <v>197.92608359757867</v>
      </c>
      <c r="B296" s="52">
        <v>206.01727644854435</v>
      </c>
      <c r="C296" s="52">
        <v>192.97822970884991</v>
      </c>
      <c r="D296" s="52">
        <v>205.20219313923332</v>
      </c>
      <c r="E296" s="52">
        <v>2969724.3611159432</v>
      </c>
      <c r="F296" s="52" t="s">
        <v>371</v>
      </c>
      <c r="G296" s="26">
        <f t="shared" si="1"/>
        <v>-3.5458244526254568E-2</v>
      </c>
    </row>
    <row r="297" spans="1:7">
      <c r="A297" s="52">
        <v>208.09474488325176</v>
      </c>
      <c r="B297" s="52">
        <v>208.69114730469886</v>
      </c>
      <c r="C297" s="52">
        <v>191.87259901989057</v>
      </c>
      <c r="D297" s="52">
        <v>196.82273911790151</v>
      </c>
      <c r="E297" s="52">
        <v>3149551.5988051719</v>
      </c>
      <c r="F297" s="52" t="s">
        <v>372</v>
      </c>
      <c r="G297" s="26">
        <f t="shared" si="1"/>
        <v>5.7269834856825463E-2</v>
      </c>
    </row>
    <row r="298" spans="1:7">
      <c r="A298" s="52">
        <v>199.62583049870292</v>
      </c>
      <c r="B298" s="52">
        <v>210.52508475064869</v>
      </c>
      <c r="C298" s="52">
        <v>196.54441798789287</v>
      </c>
      <c r="D298" s="52">
        <v>208.88000807149044</v>
      </c>
      <c r="E298" s="52">
        <v>2816926.1887361505</v>
      </c>
      <c r="F298" s="52" t="s">
        <v>373</v>
      </c>
      <c r="G298" s="26">
        <f t="shared" si="1"/>
        <v>-4.4303797468354222E-2</v>
      </c>
    </row>
    <row r="299" spans="1:7">
      <c r="A299" s="52">
        <v>203.85034765061991</v>
      </c>
      <c r="B299" s="52">
        <v>208.3134257711157</v>
      </c>
      <c r="C299" s="52">
        <v>198.17458460651494</v>
      </c>
      <c r="D299" s="52">
        <v>203.55214643989632</v>
      </c>
      <c r="E299" s="52">
        <v>3841536.7168377684</v>
      </c>
      <c r="F299" s="52" t="s">
        <v>374</v>
      </c>
      <c r="G299" s="26">
        <f t="shared" si="1"/>
        <v>1.4649868151188628E-3</v>
      </c>
    </row>
    <row r="300" spans="1:7">
      <c r="A300" s="52">
        <v>206.09679677140397</v>
      </c>
      <c r="B300" s="52">
        <v>219.12818968002316</v>
      </c>
      <c r="C300" s="52">
        <v>203.721127125973</v>
      </c>
      <c r="D300" s="52">
        <v>218.20376592678016</v>
      </c>
      <c r="E300" s="52">
        <v>6663747.5923670288</v>
      </c>
      <c r="F300" s="52" t="s">
        <v>375</v>
      </c>
      <c r="G300" s="26">
        <f t="shared" si="1"/>
        <v>-5.548469387755095E-2</v>
      </c>
    </row>
    <row r="301" spans="1:7">
      <c r="A301" s="52">
        <v>220.26135428077268</v>
      </c>
      <c r="B301" s="52">
        <v>225.3208348227156</v>
      </c>
      <c r="C301" s="52">
        <v>218.91944883251671</v>
      </c>
      <c r="D301" s="52">
        <v>224.84371288555789</v>
      </c>
      <c r="E301" s="52">
        <v>2703826.0443129735</v>
      </c>
      <c r="F301" s="52" t="s">
        <v>376</v>
      </c>
      <c r="G301" s="26">
        <f t="shared" si="1"/>
        <v>-2.038019451812545E-2</v>
      </c>
    </row>
    <row r="302" spans="1:7">
      <c r="A302" s="52">
        <v>225.06239377342183</v>
      </c>
      <c r="B302" s="52">
        <v>225.44011530700504</v>
      </c>
      <c r="C302" s="52">
        <v>222.19966215047575</v>
      </c>
      <c r="D302" s="52">
        <v>223.42228711444233</v>
      </c>
      <c r="E302" s="52">
        <v>1643992.3191810211</v>
      </c>
      <c r="F302" s="52" t="s">
        <v>377</v>
      </c>
      <c r="G302" s="26">
        <f t="shared" si="1"/>
        <v>7.3408373003513994E-3</v>
      </c>
    </row>
    <row r="303" spans="1:7">
      <c r="A303" s="52">
        <v>224.68467223983868</v>
      </c>
      <c r="B303" s="52">
        <v>227.62593018160865</v>
      </c>
      <c r="C303" s="52">
        <v>224.1876702219661</v>
      </c>
      <c r="D303" s="52">
        <v>227.37842317670811</v>
      </c>
      <c r="E303" s="52">
        <v>1723958.7953134959</v>
      </c>
      <c r="F303" s="52" t="s">
        <v>378</v>
      </c>
      <c r="G303" s="26">
        <f t="shared" si="1"/>
        <v>-1.1846994535519184E-2</v>
      </c>
    </row>
    <row r="304" spans="1:7">
      <c r="A304" s="52">
        <v>227.68656442778911</v>
      </c>
      <c r="B304" s="52">
        <v>228.41964240415118</v>
      </c>
      <c r="C304" s="52">
        <v>223.77018852695315</v>
      </c>
      <c r="D304" s="52">
        <v>225.62897607379662</v>
      </c>
      <c r="E304" s="52">
        <v>1975563.4075749656</v>
      </c>
      <c r="F304" s="52" t="s">
        <v>379</v>
      </c>
      <c r="G304" s="26">
        <f t="shared" si="1"/>
        <v>9.119344464513679E-3</v>
      </c>
    </row>
    <row r="305" spans="1:30">
      <c r="A305" s="52">
        <v>226.13591813202663</v>
      </c>
      <c r="B305" s="52">
        <v>227.62692418564438</v>
      </c>
      <c r="C305" s="52">
        <v>224.89341308734518</v>
      </c>
      <c r="D305" s="52">
        <v>227.24920265206123</v>
      </c>
      <c r="E305" s="52">
        <v>1666295.0455310007</v>
      </c>
      <c r="F305" s="52" t="s">
        <v>380</v>
      </c>
      <c r="G305" s="26">
        <f t="shared" si="1"/>
        <v>-4.8989589712186143E-3</v>
      </c>
    </row>
    <row r="306" spans="1:30">
      <c r="A306" s="52">
        <v>227.33866301527831</v>
      </c>
      <c r="B306" s="52">
        <v>229.56523205534748</v>
      </c>
      <c r="C306" s="52">
        <v>226.13591813202663</v>
      </c>
      <c r="D306" s="52">
        <v>227.79590487172106</v>
      </c>
      <c r="E306" s="52">
        <v>1611927.0570152535</v>
      </c>
      <c r="F306" s="52" t="s">
        <v>381</v>
      </c>
      <c r="G306" s="26">
        <f t="shared" si="1"/>
        <v>-2.0072435310030112E-3</v>
      </c>
    </row>
    <row r="307" spans="1:30">
      <c r="A307" s="52">
        <v>226.63292014989923</v>
      </c>
      <c r="B307" s="52">
        <v>228.33266705102349</v>
      </c>
      <c r="C307" s="52">
        <v>225.21149437878361</v>
      </c>
      <c r="D307" s="52">
        <v>226.78202075526102</v>
      </c>
      <c r="E307" s="52">
        <v>1377919.9588190932</v>
      </c>
      <c r="F307" s="52" t="s">
        <v>382</v>
      </c>
      <c r="G307" s="26">
        <f t="shared" si="1"/>
        <v>-6.5746219592377475E-4</v>
      </c>
    </row>
    <row r="308" spans="1:30">
      <c r="A308" s="52">
        <v>226.71244047275886</v>
      </c>
      <c r="B308" s="52">
        <v>230.43001556644577</v>
      </c>
      <c r="C308" s="52">
        <v>225.12203401556656</v>
      </c>
      <c r="D308" s="52">
        <v>228.5513479388874</v>
      </c>
      <c r="E308" s="52">
        <v>1685106.8403804875</v>
      </c>
      <c r="F308" s="52" t="s">
        <v>383</v>
      </c>
      <c r="G308" s="26">
        <f t="shared" si="1"/>
        <v>-8.045927021267274E-3</v>
      </c>
    </row>
    <row r="309" spans="1:30">
      <c r="A309" s="52">
        <v>227.81578495243599</v>
      </c>
      <c r="B309" s="52">
        <v>229.4360115307006</v>
      </c>
      <c r="C309" s="52">
        <v>226.65280023061413</v>
      </c>
      <c r="D309" s="52">
        <v>228.77996886710881</v>
      </c>
      <c r="E309" s="52">
        <v>1222013.1471492366</v>
      </c>
      <c r="F309" s="52" t="s">
        <v>384</v>
      </c>
      <c r="G309" s="26">
        <f t="shared" si="1"/>
        <v>-4.2144595064302903E-3</v>
      </c>
    </row>
    <row r="310" spans="1:30">
      <c r="A310" s="52">
        <v>228.84954914961094</v>
      </c>
      <c r="B310" s="52">
        <v>229.88331334678594</v>
      </c>
      <c r="C310" s="52">
        <v>226.56830988757579</v>
      </c>
      <c r="D310" s="52">
        <v>229.7043926203518</v>
      </c>
      <c r="E310" s="52">
        <v>4399407.6912592053</v>
      </c>
      <c r="F310" s="52" t="s">
        <v>385</v>
      </c>
      <c r="G310" s="26">
        <f t="shared" si="1"/>
        <v>-3.7214937902981804E-3</v>
      </c>
    </row>
    <row r="311" spans="1:30">
      <c r="A311" s="52">
        <v>230.45983568751814</v>
      </c>
      <c r="B311" s="52">
        <v>231.67252061112725</v>
      </c>
      <c r="C311" s="52">
        <v>229.1278702796196</v>
      </c>
      <c r="D311" s="52">
        <v>230.36043528394362</v>
      </c>
      <c r="E311" s="52">
        <v>1653554.6546024005</v>
      </c>
      <c r="F311" s="52" t="s">
        <v>386</v>
      </c>
      <c r="G311" s="26">
        <f t="shared" si="1"/>
        <v>4.3149946062559508E-4</v>
      </c>
    </row>
    <row r="312" spans="1:30">
      <c r="A312" s="52">
        <v>230.40019544537341</v>
      </c>
      <c r="B312" s="52">
        <v>232.10988238685511</v>
      </c>
      <c r="C312" s="52">
        <v>228.68305347362363</v>
      </c>
      <c r="D312" s="52">
        <v>229.80379302392632</v>
      </c>
      <c r="E312" s="52">
        <v>2339134.366046052</v>
      </c>
      <c r="F312" s="52" t="s">
        <v>387</v>
      </c>
      <c r="G312" s="26">
        <f t="shared" si="1"/>
        <v>2.5952679614169583E-3</v>
      </c>
    </row>
    <row r="313" spans="1:30">
      <c r="A313" s="52">
        <v>230.72821677716934</v>
      </c>
      <c r="B313" s="52">
        <v>231.37431940040372</v>
      </c>
      <c r="C313" s="52">
        <v>225.0524537330644</v>
      </c>
      <c r="D313" s="52">
        <v>227.04046180455475</v>
      </c>
      <c r="E313" s="52">
        <v>2654227.6541383895</v>
      </c>
      <c r="F313" s="52" t="s">
        <v>388</v>
      </c>
      <c r="G313" s="26">
        <f t="shared" ref="G313:G376" si="2">A313/D313-1</f>
        <v>1.6242721422004225E-2</v>
      </c>
    </row>
    <row r="314" spans="1:30">
      <c r="A314" s="52">
        <v>226.46393946382256</v>
      </c>
      <c r="B314" s="52">
        <v>227.41818333813791</v>
      </c>
      <c r="C314" s="52">
        <v>223.6509080426637</v>
      </c>
      <c r="D314" s="52">
        <v>224.39641106947258</v>
      </c>
      <c r="E314" s="52">
        <v>2044496.7293080436</v>
      </c>
      <c r="F314" s="52" t="s">
        <v>389</v>
      </c>
      <c r="G314" s="26">
        <f t="shared" si="2"/>
        <v>9.2137320044298754E-3</v>
      </c>
    </row>
    <row r="315" spans="1:30">
      <c r="A315" s="52">
        <v>224.62503199769398</v>
      </c>
      <c r="B315" s="52">
        <v>225.11209397520912</v>
      </c>
      <c r="C315" s="52">
        <v>220.64424463534172</v>
      </c>
      <c r="D315" s="52">
        <v>221.13607783222844</v>
      </c>
      <c r="E315" s="52">
        <v>1164153.2211008635</v>
      </c>
      <c r="F315" s="52" t="s">
        <v>390</v>
      </c>
      <c r="G315" s="26">
        <f t="shared" si="2"/>
        <v>1.5777408189868281E-2</v>
      </c>
    </row>
    <row r="316" spans="1:30">
      <c r="A316" s="52">
        <v>221.45415912366687</v>
      </c>
      <c r="B316" s="52">
        <v>223.33282675122527</v>
      </c>
      <c r="C316" s="52">
        <v>220.67883597578563</v>
      </c>
      <c r="D316" s="52">
        <v>221.30505851830509</v>
      </c>
      <c r="E316" s="52">
        <v>2666472.0712255654</v>
      </c>
      <c r="F316" s="52" t="s">
        <v>391</v>
      </c>
      <c r="G316" s="26">
        <f t="shared" si="2"/>
        <v>6.7373338124321336E-4</v>
      </c>
    </row>
    <row r="317" spans="1:30">
      <c r="A317" s="52">
        <v>222.47798328048441</v>
      </c>
      <c r="B317" s="52">
        <v>225.94705736523505</v>
      </c>
      <c r="C317" s="52">
        <v>222.17302284231781</v>
      </c>
      <c r="D317" s="52">
        <v>223.56144767944664</v>
      </c>
      <c r="E317" s="52">
        <v>2219798.8344643572</v>
      </c>
      <c r="F317" s="52" t="s">
        <v>392</v>
      </c>
      <c r="G317" s="26">
        <f t="shared" si="2"/>
        <v>-4.8463829976435058E-3</v>
      </c>
    </row>
    <row r="318" spans="1:30" ht="15">
      <c r="A318" s="52">
        <v>223.57138771980408</v>
      </c>
      <c r="B318" s="52">
        <v>225.95699740559249</v>
      </c>
      <c r="C318" s="52">
        <v>221.96110118189694</v>
      </c>
      <c r="D318" s="52">
        <v>225.27113462092834</v>
      </c>
      <c r="E318" s="52">
        <v>1994103.5737486214</v>
      </c>
      <c r="F318" s="52" t="s">
        <v>393</v>
      </c>
      <c r="G318" s="26">
        <f t="shared" si="2"/>
        <v>-7.5453382164762939E-3</v>
      </c>
      <c r="AD318" s="2" t="s">
        <v>205</v>
      </c>
    </row>
    <row r="319" spans="1:30">
      <c r="A319" s="52">
        <v>226.08621793023937</v>
      </c>
      <c r="B319" s="52">
        <v>233.92890977226878</v>
      </c>
      <c r="C319" s="52">
        <v>225.46993542807738</v>
      </c>
      <c r="D319" s="52">
        <v>227.11998212741437</v>
      </c>
      <c r="E319" s="52">
        <v>2623060.7786671291</v>
      </c>
      <c r="F319" s="52" t="s">
        <v>394</v>
      </c>
      <c r="G319" s="26">
        <f t="shared" si="2"/>
        <v>-4.5516215151648609E-3</v>
      </c>
      <c r="AD319" s="1" t="s">
        <v>206</v>
      </c>
    </row>
    <row r="320" spans="1:30">
      <c r="A320" s="52">
        <v>227.1299221677717</v>
      </c>
      <c r="B320" s="52">
        <v>228.10952756528889</v>
      </c>
      <c r="C320" s="52">
        <v>220.68827455379508</v>
      </c>
      <c r="D320" s="52">
        <v>221.39081983888317</v>
      </c>
      <c r="E320" s="52">
        <v>1832872.4244993837</v>
      </c>
      <c r="F320" s="52" t="s">
        <v>395</v>
      </c>
      <c r="G320" s="26">
        <f t="shared" si="2"/>
        <v>2.5922946276928371E-2</v>
      </c>
    </row>
    <row r="321" spans="1:7">
      <c r="A321" s="52">
        <v>222.97402048133517</v>
      </c>
      <c r="B321" s="52">
        <v>223.69635577445388</v>
      </c>
      <c r="C321" s="52">
        <v>220.19352435302883</v>
      </c>
      <c r="D321" s="52">
        <v>221.69756496335825</v>
      </c>
      <c r="E321" s="52">
        <v>1982080.0445987168</v>
      </c>
      <c r="F321" s="52" t="s">
        <v>396</v>
      </c>
      <c r="G321" s="26">
        <f t="shared" si="2"/>
        <v>5.7576433831734164E-3</v>
      </c>
    </row>
    <row r="322" spans="1:7">
      <c r="A322" s="52">
        <v>221.7668299914655</v>
      </c>
      <c r="B322" s="52">
        <v>223.74513814424947</v>
      </c>
      <c r="C322" s="52">
        <v>219.97583426469168</v>
      </c>
      <c r="D322" s="52">
        <v>220.96533466622418</v>
      </c>
      <c r="E322" s="52">
        <v>1905897.1548462224</v>
      </c>
      <c r="F322" s="52" t="s">
        <v>397</v>
      </c>
      <c r="G322" s="26">
        <f t="shared" si="2"/>
        <v>3.6272446374994161E-3</v>
      </c>
    </row>
    <row r="323" spans="1:7">
      <c r="A323" s="52">
        <v>221.9152550516954</v>
      </c>
      <c r="B323" s="52">
        <v>227.66177863359542</v>
      </c>
      <c r="C323" s="52">
        <v>221.67777495532758</v>
      </c>
      <c r="D323" s="52">
        <v>226.59559195094414</v>
      </c>
      <c r="E323" s="52">
        <v>1409674.0110864679</v>
      </c>
      <c r="F323" s="52" t="s">
        <v>398</v>
      </c>
      <c r="G323" s="26">
        <f t="shared" si="2"/>
        <v>-2.0655021834061094E-2</v>
      </c>
    </row>
    <row r="324" spans="1:7">
      <c r="A324" s="52">
        <v>226.05136673010125</v>
      </c>
      <c r="B324" s="52">
        <v>227.50593232035405</v>
      </c>
      <c r="C324" s="52">
        <v>223.04328550944243</v>
      </c>
      <c r="D324" s="52">
        <v>224.12184094711287</v>
      </c>
      <c r="E324" s="52">
        <v>1640282.3055819438</v>
      </c>
      <c r="F324" s="52" t="s">
        <v>399</v>
      </c>
      <c r="G324" s="26">
        <f t="shared" si="2"/>
        <v>8.6092715231786965E-3</v>
      </c>
    </row>
    <row r="325" spans="1:7">
      <c r="A325" s="52">
        <v>223.16202555762635</v>
      </c>
      <c r="B325" s="52">
        <v>224.51764110772589</v>
      </c>
      <c r="C325" s="52">
        <v>219.31286899566487</v>
      </c>
      <c r="D325" s="52">
        <v>222.786015405044</v>
      </c>
      <c r="E325" s="52">
        <v>2595817.0365791582</v>
      </c>
      <c r="F325" s="52" t="s">
        <v>400</v>
      </c>
      <c r="G325" s="26">
        <f t="shared" si="2"/>
        <v>1.6877637130801038E-3</v>
      </c>
    </row>
    <row r="326" spans="1:7">
      <c r="A326" s="52">
        <v>221.80641000752681</v>
      </c>
      <c r="B326" s="52">
        <v>224.76501620810902</v>
      </c>
      <c r="C326" s="52">
        <v>221.46997987100576</v>
      </c>
      <c r="D326" s="52">
        <v>224.61659114787912</v>
      </c>
      <c r="E326" s="52">
        <v>1544847.2760925721</v>
      </c>
      <c r="F326" s="52" t="s">
        <v>401</v>
      </c>
      <c r="G326" s="26">
        <f t="shared" si="2"/>
        <v>-1.2511013215859013E-2</v>
      </c>
    </row>
    <row r="327" spans="1:7">
      <c r="A327" s="52">
        <v>225.20039638478332</v>
      </c>
      <c r="B327" s="52">
        <v>227.46635230429274</v>
      </c>
      <c r="C327" s="52">
        <v>223.44898067407075</v>
      </c>
      <c r="D327" s="52">
        <v>226.71433199912806</v>
      </c>
      <c r="E327" s="52">
        <v>1629823.4922414217</v>
      </c>
      <c r="F327" s="52" t="s">
        <v>402</v>
      </c>
      <c r="G327" s="26">
        <f t="shared" si="2"/>
        <v>-6.677723463687224E-3</v>
      </c>
    </row>
    <row r="328" spans="1:7">
      <c r="A328" s="52">
        <v>227.63456737255328</v>
      </c>
      <c r="B328" s="52">
        <v>228.50532772590188</v>
      </c>
      <c r="C328" s="52">
        <v>225.38840146107449</v>
      </c>
      <c r="D328" s="52">
        <v>228.03036753316627</v>
      </c>
      <c r="E328" s="52">
        <v>1719264.5878316115</v>
      </c>
      <c r="F328" s="52" t="s">
        <v>403</v>
      </c>
      <c r="G328" s="26">
        <f t="shared" si="2"/>
        <v>-1.7357344326317525E-3</v>
      </c>
    </row>
    <row r="329" spans="1:7">
      <c r="A329" s="52">
        <v>227.89183747695174</v>
      </c>
      <c r="B329" s="52">
        <v>229.43545810334246</v>
      </c>
      <c r="C329" s="52">
        <v>224.42660707078488</v>
      </c>
      <c r="D329" s="52">
        <v>224.70564618401707</v>
      </c>
      <c r="E329" s="52">
        <v>1519842.7384878572</v>
      </c>
      <c r="F329" s="52" t="s">
        <v>404</v>
      </c>
      <c r="G329" s="26">
        <f t="shared" si="2"/>
        <v>1.4179400237791073E-2</v>
      </c>
    </row>
    <row r="330" spans="1:7">
      <c r="A330" s="52">
        <v>225.04207632053811</v>
      </c>
      <c r="B330" s="52">
        <v>227.17939718784834</v>
      </c>
      <c r="C330" s="52">
        <v>223.73593579051521</v>
      </c>
      <c r="D330" s="52">
        <v>224.0921559350669</v>
      </c>
      <c r="E330" s="52">
        <v>1941062.3755435653</v>
      </c>
      <c r="F330" s="52" t="s">
        <v>405</v>
      </c>
      <c r="G330" s="26">
        <f t="shared" si="2"/>
        <v>4.2389720492781446E-3</v>
      </c>
    </row>
    <row r="331" spans="1:7">
      <c r="A331" s="52">
        <v>225.53682652130436</v>
      </c>
      <c r="B331" s="52">
        <v>225.91283667388672</v>
      </c>
      <c r="C331" s="52">
        <v>223.58751073028532</v>
      </c>
      <c r="D331" s="52">
        <v>225.34882144501319</v>
      </c>
      <c r="E331" s="52">
        <v>1440961.5173391704</v>
      </c>
      <c r="F331" s="52" t="s">
        <v>406</v>
      </c>
      <c r="G331" s="26">
        <f t="shared" si="2"/>
        <v>8.3428471063484722E-4</v>
      </c>
    </row>
    <row r="332" spans="1:7">
      <c r="A332" s="52">
        <v>225.17071137273734</v>
      </c>
      <c r="B332" s="52">
        <v>225.86336165381007</v>
      </c>
      <c r="C332" s="52">
        <v>222.14284014404785</v>
      </c>
      <c r="D332" s="52">
        <v>222.63759034481413</v>
      </c>
      <c r="E332" s="52">
        <v>1083733.769424621</v>
      </c>
      <c r="F332" s="52" t="s">
        <v>407</v>
      </c>
      <c r="G332" s="26">
        <f t="shared" si="2"/>
        <v>1.1377777777777709E-2</v>
      </c>
    </row>
    <row r="333" spans="1:7">
      <c r="A333" s="52">
        <v>222.76622539701333</v>
      </c>
      <c r="B333" s="52">
        <v>222.83549042512061</v>
      </c>
      <c r="C333" s="52">
        <v>219.38213402377218</v>
      </c>
      <c r="D333" s="52">
        <v>220.86638462607092</v>
      </c>
      <c r="E333" s="52">
        <v>1349422.3932926157</v>
      </c>
      <c r="F333" s="52" t="s">
        <v>408</v>
      </c>
      <c r="G333" s="26">
        <f t="shared" si="2"/>
        <v>8.6017651538909945E-3</v>
      </c>
    </row>
    <row r="334" spans="1:7">
      <c r="A334" s="52">
        <v>222.43969026450762</v>
      </c>
      <c r="B334" s="52">
        <v>225.06186632856875</v>
      </c>
      <c r="C334" s="52">
        <v>222.41990025647698</v>
      </c>
      <c r="D334" s="52">
        <v>224.86396624826224</v>
      </c>
      <c r="E334" s="52">
        <v>1143465.933159431</v>
      </c>
      <c r="F334" s="52" t="s">
        <v>409</v>
      </c>
      <c r="G334" s="26">
        <f t="shared" si="2"/>
        <v>-1.0781078107810704E-2</v>
      </c>
    </row>
    <row r="335" spans="1:7">
      <c r="A335" s="52">
        <v>222.64748534882943</v>
      </c>
      <c r="B335" s="52">
        <v>223.8150958226378</v>
      </c>
      <c r="C335" s="52">
        <v>221.41060984691379</v>
      </c>
      <c r="D335" s="52">
        <v>223.0630755174731</v>
      </c>
      <c r="E335" s="52">
        <v>1502809.9005285222</v>
      </c>
      <c r="F335" s="52" t="s">
        <v>410</v>
      </c>
      <c r="G335" s="26">
        <f t="shared" si="2"/>
        <v>-1.8631060639666686E-3</v>
      </c>
    </row>
    <row r="336" spans="1:7">
      <c r="A336" s="52">
        <v>223.47866568611673</v>
      </c>
      <c r="B336" s="52">
        <v>226.02168171805528</v>
      </c>
      <c r="C336" s="52">
        <v>223.25108059376427</v>
      </c>
      <c r="D336" s="52">
        <v>225.1113413486454</v>
      </c>
      <c r="E336" s="52">
        <v>1283420.3988529453</v>
      </c>
      <c r="F336" s="52" t="s">
        <v>411</v>
      </c>
      <c r="G336" s="26">
        <f t="shared" si="2"/>
        <v>-7.2527472527473824E-3</v>
      </c>
    </row>
    <row r="337" spans="1:7">
      <c r="A337" s="52">
        <v>227.11013215974106</v>
      </c>
      <c r="B337" s="52">
        <v>228.12931757331955</v>
      </c>
      <c r="C337" s="52">
        <v>224.70564618401707</v>
      </c>
      <c r="D337" s="52">
        <v>226.9814971075418</v>
      </c>
      <c r="E337" s="52">
        <v>1939701.0825133515</v>
      </c>
      <c r="F337" s="52" t="s">
        <v>412</v>
      </c>
      <c r="G337" s="26">
        <f t="shared" si="2"/>
        <v>5.6672043245131754E-4</v>
      </c>
    </row>
    <row r="338" spans="1:7">
      <c r="A338" s="52">
        <v>227.13981717178703</v>
      </c>
      <c r="B338" s="52">
        <v>231.948789123235</v>
      </c>
      <c r="C338" s="52">
        <v>226.22947680237712</v>
      </c>
      <c r="D338" s="52">
        <v>227.43666729224677</v>
      </c>
      <c r="E338" s="52">
        <v>2777501.6520897401</v>
      </c>
      <c r="F338" s="52" t="s">
        <v>413</v>
      </c>
      <c r="G338" s="26">
        <f t="shared" si="2"/>
        <v>-1.3051990428539773E-3</v>
      </c>
    </row>
    <row r="339" spans="1:7">
      <c r="A339" s="52">
        <v>227.43666729224677</v>
      </c>
      <c r="B339" s="52">
        <v>228.42616769377926</v>
      </c>
      <c r="C339" s="52">
        <v>224.17131596718951</v>
      </c>
      <c r="D339" s="52">
        <v>226.74401701117404</v>
      </c>
      <c r="E339" s="52">
        <v>3823253.6279326784</v>
      </c>
      <c r="F339" s="52" t="s">
        <v>414</v>
      </c>
      <c r="G339" s="26">
        <f t="shared" si="2"/>
        <v>3.0547676194632167E-3</v>
      </c>
    </row>
    <row r="340" spans="1:7">
      <c r="A340" s="52">
        <v>224.82438623220096</v>
      </c>
      <c r="B340" s="52">
        <v>236.72807606263703</v>
      </c>
      <c r="C340" s="52">
        <v>221.98946758181032</v>
      </c>
      <c r="D340" s="52">
        <v>231.09781877791707</v>
      </c>
      <c r="E340" s="52">
        <v>5872486.7529112389</v>
      </c>
      <c r="F340" s="52" t="s">
        <v>415</v>
      </c>
      <c r="G340" s="26">
        <f t="shared" si="2"/>
        <v>-2.7146221365874634E-2</v>
      </c>
    </row>
    <row r="341" spans="1:7">
      <c r="A341" s="52">
        <v>242.48696839955622</v>
      </c>
      <c r="B341" s="52">
        <v>242.65172021641135</v>
      </c>
      <c r="C341" s="52">
        <v>240.03736120552233</v>
      </c>
      <c r="D341" s="52">
        <v>241.14124785347198</v>
      </c>
      <c r="E341" s="52">
        <v>2083404.9150532603</v>
      </c>
      <c r="F341" s="52" t="s">
        <v>416</v>
      </c>
      <c r="G341" s="26">
        <f t="shared" si="2"/>
        <v>5.5806319244975366E-3</v>
      </c>
    </row>
    <row r="342" spans="1:7">
      <c r="A342" s="52">
        <v>239.87468733951039</v>
      </c>
      <c r="B342" s="52">
        <v>244.15922407814614</v>
      </c>
      <c r="C342" s="52">
        <v>239.23151207851427</v>
      </c>
      <c r="D342" s="52">
        <v>243.43688878502743</v>
      </c>
      <c r="E342" s="52">
        <v>3069934.0751103326</v>
      </c>
      <c r="F342" s="52" t="s">
        <v>417</v>
      </c>
      <c r="G342" s="26">
        <f t="shared" si="2"/>
        <v>-1.463295667018949E-2</v>
      </c>
    </row>
    <row r="343" spans="1:7">
      <c r="A343" s="52">
        <v>245.01019442346413</v>
      </c>
      <c r="B343" s="52">
        <v>249.33925868016883</v>
      </c>
      <c r="C343" s="52">
        <v>242.97182359630716</v>
      </c>
      <c r="D343" s="52">
        <v>245.71273970855216</v>
      </c>
      <c r="E343" s="52">
        <v>2602592.1727889236</v>
      </c>
      <c r="F343" s="52" t="s">
        <v>418</v>
      </c>
      <c r="G343" s="26">
        <f t="shared" si="2"/>
        <v>-2.8592139175256381E-3</v>
      </c>
    </row>
    <row r="344" spans="1:7">
      <c r="A344" s="52">
        <v>245.00029941944877</v>
      </c>
      <c r="B344" s="52">
        <v>246.741820126146</v>
      </c>
      <c r="C344" s="52">
        <v>244.32743914640665</v>
      </c>
      <c r="D344" s="52">
        <v>245.25756952384725</v>
      </c>
      <c r="E344" s="52">
        <v>2181612.0505425404</v>
      </c>
      <c r="F344" s="52" t="s">
        <v>419</v>
      </c>
      <c r="G344" s="26">
        <f t="shared" si="2"/>
        <v>-1.0489792624870375E-3</v>
      </c>
    </row>
    <row r="345" spans="1:7">
      <c r="A345" s="52">
        <v>245.88095477681273</v>
      </c>
      <c r="B345" s="52">
        <v>247.53342044737198</v>
      </c>
      <c r="C345" s="52">
        <v>243.17961868062895</v>
      </c>
      <c r="D345" s="52">
        <v>245.13882947566333</v>
      </c>
      <c r="E345" s="52">
        <v>1416772.5428193721</v>
      </c>
      <c r="F345" s="52" t="s">
        <v>420</v>
      </c>
      <c r="G345" s="26">
        <f t="shared" si="2"/>
        <v>3.0273674013079344E-3</v>
      </c>
    </row>
    <row r="346" spans="1:7">
      <c r="A346" s="52">
        <v>244.30764913837604</v>
      </c>
      <c r="B346" s="52">
        <v>248.11722568427618</v>
      </c>
      <c r="C346" s="52">
        <v>243.8326889456404</v>
      </c>
      <c r="D346" s="52">
        <v>246.68245010205405</v>
      </c>
      <c r="E346" s="52">
        <v>2138883.4170477805</v>
      </c>
      <c r="F346" s="52" t="s">
        <v>421</v>
      </c>
      <c r="G346" s="26">
        <f t="shared" si="2"/>
        <v>-9.6269554753308784E-3</v>
      </c>
    </row>
    <row r="347" spans="1:7">
      <c r="A347" s="52">
        <v>246.4647600137169</v>
      </c>
      <c r="B347" s="52">
        <v>248.27366569775845</v>
      </c>
      <c r="C347" s="52">
        <v>245.35651956400048</v>
      </c>
      <c r="D347" s="52">
        <v>246.06895985310391</v>
      </c>
      <c r="E347" s="52">
        <v>1759930.5642553493</v>
      </c>
      <c r="F347" s="52" t="s">
        <v>422</v>
      </c>
      <c r="G347" s="26">
        <f t="shared" si="2"/>
        <v>1.6084928422068767E-3</v>
      </c>
    </row>
    <row r="348" spans="1:7">
      <c r="A348" s="52">
        <v>246.08874986113452</v>
      </c>
      <c r="B348" s="52">
        <v>246.87045517834522</v>
      </c>
      <c r="C348" s="52">
        <v>241.57662803014628</v>
      </c>
      <c r="D348" s="52">
        <v>242.42759837546427</v>
      </c>
      <c r="E348" s="52">
        <v>1932826.9064246248</v>
      </c>
      <c r="F348" s="52" t="s">
        <v>423</v>
      </c>
      <c r="G348" s="26">
        <f t="shared" si="2"/>
        <v>1.510204081632649E-2</v>
      </c>
    </row>
    <row r="349" spans="1:7">
      <c r="A349" s="52">
        <v>240.89387275308886</v>
      </c>
      <c r="B349" s="52">
        <v>241.2204078855946</v>
      </c>
      <c r="C349" s="52">
        <v>236.11458581368686</v>
      </c>
      <c r="D349" s="52">
        <v>236.49059596626921</v>
      </c>
      <c r="E349" s="52">
        <v>1734749.1697239177</v>
      </c>
      <c r="F349" s="52" t="s">
        <v>424</v>
      </c>
      <c r="G349" s="26">
        <f t="shared" si="2"/>
        <v>1.8619246861924621E-2</v>
      </c>
    </row>
    <row r="350" spans="1:7">
      <c r="A350" s="52">
        <v>237.94516155652201</v>
      </c>
      <c r="B350" s="52">
        <v>238.326119211112</v>
      </c>
      <c r="C350" s="52">
        <v>234.74907525957201</v>
      </c>
      <c r="D350" s="52">
        <v>235.9760557574723</v>
      </c>
      <c r="E350" s="52">
        <v>1371790.2467727365</v>
      </c>
      <c r="F350" s="52" t="s">
        <v>425</v>
      </c>
      <c r="G350" s="26">
        <f t="shared" si="2"/>
        <v>8.3445152633345732E-3</v>
      </c>
    </row>
    <row r="351" spans="1:7">
      <c r="A351" s="52">
        <v>235.4219355326141</v>
      </c>
      <c r="B351" s="52">
        <v>237.44051635174043</v>
      </c>
      <c r="C351" s="52">
        <v>233.63093980584028</v>
      </c>
      <c r="D351" s="52">
        <v>236.34217090603934</v>
      </c>
      <c r="E351" s="52">
        <v>1360398.6394701602</v>
      </c>
      <c r="F351" s="52" t="s">
        <v>426</v>
      </c>
      <c r="G351" s="26">
        <f t="shared" si="2"/>
        <v>-3.8936571069709824E-3</v>
      </c>
    </row>
    <row r="352" spans="1:7">
      <c r="A352" s="52">
        <v>237.84621151636875</v>
      </c>
      <c r="B352" s="52">
        <v>238.73666292770787</v>
      </c>
      <c r="C352" s="52">
        <v>235.65941562898192</v>
      </c>
      <c r="D352" s="52">
        <v>235.80784068921179</v>
      </c>
      <c r="E352" s="52">
        <v>1938382.2351455495</v>
      </c>
      <c r="F352" s="52" t="s">
        <v>427</v>
      </c>
      <c r="G352" s="26">
        <f t="shared" si="2"/>
        <v>8.6442029289581779E-3</v>
      </c>
    </row>
    <row r="353" spans="1:7">
      <c r="A353" s="52">
        <v>234.88760531578654</v>
      </c>
      <c r="B353" s="52">
        <v>235.98595076148766</v>
      </c>
      <c r="C353" s="52">
        <v>232.9679745368135</v>
      </c>
      <c r="D353" s="52">
        <v>234.02673996645328</v>
      </c>
      <c r="E353" s="52">
        <v>2133083.5204624822</v>
      </c>
      <c r="F353" s="52" t="s">
        <v>428</v>
      </c>
      <c r="G353" s="26">
        <f t="shared" si="2"/>
        <v>3.6784913957126353E-3</v>
      </c>
    </row>
    <row r="354" spans="1:7">
      <c r="A354" s="52">
        <v>233.81894488213146</v>
      </c>
      <c r="B354" s="52">
        <v>234.2741150668364</v>
      </c>
      <c r="C354" s="52">
        <v>228.51522272991721</v>
      </c>
      <c r="D354" s="52">
        <v>230.03905334827726</v>
      </c>
      <c r="E354" s="52">
        <v>2281655.4662366449</v>
      </c>
      <c r="F354" s="52" t="s">
        <v>429</v>
      </c>
      <c r="G354" s="26">
        <f t="shared" si="2"/>
        <v>1.643152099105305E-2</v>
      </c>
    </row>
    <row r="355" spans="1:7">
      <c r="A355" s="52">
        <v>230.14789839244585</v>
      </c>
      <c r="B355" s="52">
        <v>235.50099661469656</v>
      </c>
      <c r="C355" s="52">
        <v>225.26966141289057</v>
      </c>
      <c r="D355" s="52">
        <v>234.51159516320419</v>
      </c>
      <c r="E355" s="52">
        <v>3131534.8586022807</v>
      </c>
      <c r="F355" s="52" t="s">
        <v>430</v>
      </c>
      <c r="G355" s="26">
        <f t="shared" si="2"/>
        <v>-1.8607594936708827E-2</v>
      </c>
    </row>
    <row r="356" spans="1:7">
      <c r="A356" s="52">
        <v>233.32419468136521</v>
      </c>
      <c r="B356" s="52">
        <v>234.90739532381721</v>
      </c>
      <c r="C356" s="52">
        <v>230.56348856108949</v>
      </c>
      <c r="D356" s="52">
        <v>234.01684496243794</v>
      </c>
      <c r="E356" s="52">
        <v>2616026.2249423256</v>
      </c>
      <c r="F356" s="52" t="s">
        <v>431</v>
      </c>
      <c r="G356" s="26">
        <f t="shared" si="2"/>
        <v>-2.9598308668075113E-3</v>
      </c>
    </row>
    <row r="357" spans="1:7">
      <c r="A357" s="52">
        <v>233.71009983796287</v>
      </c>
      <c r="B357" s="52">
        <v>235.6099406089053</v>
      </c>
      <c r="C357" s="52">
        <v>228.93081289856087</v>
      </c>
      <c r="D357" s="52">
        <v>231.81025906702047</v>
      </c>
      <c r="E357" s="52">
        <v>2291839.3933824985</v>
      </c>
      <c r="F357" s="52" t="s">
        <v>432</v>
      </c>
      <c r="G357" s="26">
        <f t="shared" si="2"/>
        <v>8.1956716609039582E-3</v>
      </c>
    </row>
    <row r="358" spans="1:7">
      <c r="A358" s="52">
        <v>231.21655882610094</v>
      </c>
      <c r="B358" s="52">
        <v>233.76946986205482</v>
      </c>
      <c r="C358" s="52">
        <v>229.2177680150053</v>
      </c>
      <c r="D358" s="52">
        <v>229.81146825592478</v>
      </c>
      <c r="E358" s="52">
        <v>2625505.7562143416</v>
      </c>
      <c r="F358" s="52" t="s">
        <v>433</v>
      </c>
      <c r="G358" s="26">
        <f t="shared" si="2"/>
        <v>6.1141011840688542E-3</v>
      </c>
    </row>
    <row r="359" spans="1:7">
      <c r="A359" s="52">
        <v>231.96857913126567</v>
      </c>
      <c r="B359" s="52">
        <v>232.08731917944957</v>
      </c>
      <c r="C359" s="52">
        <v>227.58509235247666</v>
      </c>
      <c r="D359" s="52">
        <v>230.13800338843052</v>
      </c>
      <c r="E359" s="52">
        <v>2216102.1830853303</v>
      </c>
      <c r="F359" s="52" t="s">
        <v>434</v>
      </c>
      <c r="G359" s="26">
        <f t="shared" si="2"/>
        <v>7.9542523002837928E-3</v>
      </c>
    </row>
    <row r="360" spans="1:7">
      <c r="A360" s="52">
        <v>229.71251821577155</v>
      </c>
      <c r="B360" s="52">
        <v>232.89870950870622</v>
      </c>
      <c r="C360" s="52">
        <v>228.52511773393252</v>
      </c>
      <c r="D360" s="52">
        <v>228.52511773393252</v>
      </c>
      <c r="E360" s="52">
        <v>1932544.9459528879</v>
      </c>
      <c r="F360" s="52" t="s">
        <v>435</v>
      </c>
      <c r="G360" s="26">
        <f t="shared" si="2"/>
        <v>5.1959298549471011E-3</v>
      </c>
    </row>
    <row r="361" spans="1:7">
      <c r="A361" s="52">
        <v>228.27774263354939</v>
      </c>
      <c r="B361" s="52">
        <v>230.02421084225429</v>
      </c>
      <c r="C361" s="52">
        <v>225.1113413486454</v>
      </c>
      <c r="D361" s="52">
        <v>225.17071137273734</v>
      </c>
      <c r="E361" s="52">
        <v>1770916.916542992</v>
      </c>
      <c r="F361" s="52" t="s">
        <v>436</v>
      </c>
      <c r="G361" s="26">
        <f t="shared" si="2"/>
        <v>1.3798558621901824E-2</v>
      </c>
    </row>
    <row r="362" spans="1:7">
      <c r="A362" s="52">
        <v>226.06126173411658</v>
      </c>
      <c r="B362" s="52">
        <v>226.90728457742688</v>
      </c>
      <c r="C362" s="52">
        <v>223.52814070619337</v>
      </c>
      <c r="D362" s="52">
        <v>224.73533119606304</v>
      </c>
      <c r="E362" s="52">
        <v>1257590.192053216</v>
      </c>
      <c r="F362" s="52" t="s">
        <v>437</v>
      </c>
      <c r="G362" s="26">
        <f t="shared" si="2"/>
        <v>5.8999647763295915E-3</v>
      </c>
    </row>
    <row r="363" spans="1:7">
      <c r="A363" s="52">
        <v>224.11194594309757</v>
      </c>
      <c r="B363" s="52">
        <v>226.59559195094414</v>
      </c>
      <c r="C363" s="52">
        <v>223.80520081862247</v>
      </c>
      <c r="D363" s="52">
        <v>225.61598655342695</v>
      </c>
      <c r="E363" s="52">
        <v>1719995.259591704</v>
      </c>
      <c r="F363" s="52" t="s">
        <v>438</v>
      </c>
      <c r="G363" s="26">
        <f t="shared" si="2"/>
        <v>-6.6663742818295901E-3</v>
      </c>
    </row>
    <row r="364" spans="1:7">
      <c r="A364" s="52">
        <v>224.48795609567992</v>
      </c>
      <c r="B364" s="52">
        <v>226.83801954931963</v>
      </c>
      <c r="C364" s="52">
        <v>223.47866568611673</v>
      </c>
      <c r="D364" s="52">
        <v>224.99260130046147</v>
      </c>
      <c r="E364" s="52">
        <v>1378659.369806414</v>
      </c>
      <c r="F364" s="52" t="s">
        <v>439</v>
      </c>
      <c r="G364" s="26">
        <f t="shared" si="2"/>
        <v>-2.2429413316913394E-3</v>
      </c>
    </row>
    <row r="365" spans="1:7">
      <c r="A365" s="52">
        <v>224.13173595112818</v>
      </c>
      <c r="B365" s="52">
        <v>226.07244308865393</v>
      </c>
      <c r="C365" s="52">
        <v>222.41495275446931</v>
      </c>
      <c r="D365" s="52">
        <v>225.03218131652278</v>
      </c>
      <c r="E365" s="52">
        <v>1713379.7999214889</v>
      </c>
      <c r="F365" s="52" t="s">
        <v>440</v>
      </c>
      <c r="G365" s="26">
        <f t="shared" si="2"/>
        <v>-4.0014070882069541E-3</v>
      </c>
    </row>
    <row r="366" spans="1:7">
      <c r="A366" s="52">
        <v>226.09094674616259</v>
      </c>
      <c r="B366" s="52">
        <v>227.67414738861459</v>
      </c>
      <c r="C366" s="52">
        <v>224.33953103545002</v>
      </c>
      <c r="D366" s="52">
        <v>224.369216047496</v>
      </c>
      <c r="E366" s="52">
        <v>1436020.6401122103</v>
      </c>
      <c r="F366" s="52" t="s">
        <v>441</v>
      </c>
      <c r="G366" s="26">
        <f t="shared" si="2"/>
        <v>7.6736493936053751E-3</v>
      </c>
    </row>
    <row r="367" spans="1:7">
      <c r="A367" s="52">
        <v>225.72483159759554</v>
      </c>
      <c r="B367" s="52">
        <v>226.79349203125062</v>
      </c>
      <c r="C367" s="52">
        <v>222.89486044921256</v>
      </c>
      <c r="D367" s="52">
        <v>223.95362587885236</v>
      </c>
      <c r="E367" s="52">
        <v>1166813.0687080577</v>
      </c>
      <c r="F367" s="52" t="s">
        <v>442</v>
      </c>
      <c r="G367" s="26">
        <f t="shared" si="2"/>
        <v>7.9088057261520461E-3</v>
      </c>
    </row>
    <row r="368" spans="1:7">
      <c r="A368" s="52">
        <v>224.56711612780251</v>
      </c>
      <c r="B368" s="52">
        <v>224.74522620007835</v>
      </c>
      <c r="C368" s="52">
        <v>221.83114751756511</v>
      </c>
      <c r="D368" s="52">
        <v>224.33953103545002</v>
      </c>
      <c r="E368" s="52">
        <v>497476.3014119186</v>
      </c>
      <c r="F368" s="52" t="s">
        <v>443</v>
      </c>
      <c r="G368" s="26">
        <f t="shared" si="2"/>
        <v>1.0144671841920694E-3</v>
      </c>
    </row>
    <row r="369" spans="1:7">
      <c r="A369" s="52">
        <v>224.06247092302092</v>
      </c>
      <c r="B369" s="52">
        <v>225.47745649721242</v>
      </c>
      <c r="C369" s="52">
        <v>222.93444046527387</v>
      </c>
      <c r="D369" s="52">
        <v>223.96352088286767</v>
      </c>
      <c r="E369" s="52">
        <v>1802582.3913133633</v>
      </c>
      <c r="F369" s="52" t="s">
        <v>444</v>
      </c>
      <c r="G369" s="26">
        <f t="shared" si="2"/>
        <v>4.4181320137837155E-4</v>
      </c>
    </row>
    <row r="370" spans="1:7">
      <c r="A370" s="52">
        <v>225.28945142092124</v>
      </c>
      <c r="B370" s="52">
        <v>226.90233707541921</v>
      </c>
      <c r="C370" s="52">
        <v>221.16323474653066</v>
      </c>
      <c r="D370" s="52">
        <v>221.60850992722033</v>
      </c>
      <c r="E370" s="52">
        <v>3137498.4741711686</v>
      </c>
      <c r="F370" s="52" t="s">
        <v>445</v>
      </c>
      <c r="G370" s="26">
        <f t="shared" si="2"/>
        <v>1.6610108948026392E-2</v>
      </c>
    </row>
    <row r="371" spans="1:7">
      <c r="A371" s="52">
        <v>221.4798748750211</v>
      </c>
      <c r="B371" s="52">
        <v>223.42919066604014</v>
      </c>
      <c r="C371" s="52">
        <v>220.48047946947324</v>
      </c>
      <c r="D371" s="52">
        <v>220.98512467425485</v>
      </c>
      <c r="E371" s="52">
        <v>2778148.4431360187</v>
      </c>
      <c r="F371" s="52" t="s">
        <v>446</v>
      </c>
      <c r="G371" s="26">
        <f t="shared" si="2"/>
        <v>2.2388393856624944E-3</v>
      </c>
    </row>
    <row r="372" spans="1:7">
      <c r="A372" s="52">
        <v>221.73714497941953</v>
      </c>
      <c r="B372" s="52">
        <v>226.52622797279673</v>
      </c>
      <c r="C372" s="52">
        <v>221.58871991918966</v>
      </c>
      <c r="D372" s="52">
        <v>224.93323127636953</v>
      </c>
      <c r="E372" s="52">
        <v>3423410.4349564677</v>
      </c>
      <c r="F372" s="52" t="s">
        <v>447</v>
      </c>
      <c r="G372" s="26">
        <f t="shared" si="2"/>
        <v>-1.4209044518740055E-2</v>
      </c>
    </row>
    <row r="373" spans="1:7">
      <c r="A373" s="52">
        <v>223.27087060179491</v>
      </c>
      <c r="B373" s="52">
        <v>226.73412200715867</v>
      </c>
      <c r="C373" s="52">
        <v>221.06428470637744</v>
      </c>
      <c r="D373" s="52">
        <v>223.72604078649988</v>
      </c>
      <c r="E373" s="52">
        <v>2552987.3419834175</v>
      </c>
      <c r="F373" s="52" t="s">
        <v>448</v>
      </c>
      <c r="G373" s="26">
        <f t="shared" si="2"/>
        <v>-2.0344980097303234E-3</v>
      </c>
    </row>
    <row r="374" spans="1:7">
      <c r="A374" s="52">
        <v>225.17071137273734</v>
      </c>
      <c r="B374" s="52">
        <v>229.30682305114323</v>
      </c>
      <c r="C374" s="52">
        <v>221.45513736498279</v>
      </c>
      <c r="D374" s="52">
        <v>221.94494006374137</v>
      </c>
      <c r="E374" s="52">
        <v>3085770.3496340523</v>
      </c>
      <c r="F374" s="52" t="s">
        <v>449</v>
      </c>
      <c r="G374" s="26">
        <f t="shared" si="2"/>
        <v>1.4534106107891187E-2</v>
      </c>
    </row>
    <row r="375" spans="1:7">
      <c r="A375" s="52">
        <v>223.19171056967232</v>
      </c>
      <c r="B375" s="52">
        <v>224.59680113984848</v>
      </c>
      <c r="C375" s="52">
        <v>220.19352435302883</v>
      </c>
      <c r="D375" s="52">
        <v>224.369216047496</v>
      </c>
      <c r="E375" s="52">
        <v>2777117.6199060124</v>
      </c>
      <c r="F375" s="52" t="s">
        <v>450</v>
      </c>
      <c r="G375" s="26">
        <f t="shared" si="2"/>
        <v>-5.2480705622932611E-3</v>
      </c>
    </row>
    <row r="376" spans="1:7">
      <c r="A376" s="52">
        <v>224.78480621613966</v>
      </c>
      <c r="B376" s="52">
        <v>226.25916181442309</v>
      </c>
      <c r="C376" s="52">
        <v>218.64990372663812</v>
      </c>
      <c r="D376" s="52">
        <v>219.05559889126644</v>
      </c>
      <c r="E376" s="52">
        <v>3526647.3814415713</v>
      </c>
      <c r="F376" s="52" t="s">
        <v>451</v>
      </c>
      <c r="G376" s="26">
        <f t="shared" si="2"/>
        <v>2.615412413045437E-2</v>
      </c>
    </row>
    <row r="377" spans="1:7">
      <c r="A377" s="52">
        <v>218.71916875474537</v>
      </c>
      <c r="B377" s="52">
        <v>220.58932451364183</v>
      </c>
      <c r="C377" s="52">
        <v>216.54226787137387</v>
      </c>
      <c r="D377" s="52">
        <v>219.26339397558826</v>
      </c>
      <c r="E377" s="52">
        <v>1971979.9981666773</v>
      </c>
      <c r="F377" s="52" t="s">
        <v>452</v>
      </c>
      <c r="G377" s="26">
        <f t="shared" ref="G377:G440" si="3">A377/D377-1</f>
        <v>-2.4820614648676242E-3</v>
      </c>
    </row>
    <row r="378" spans="1:7">
      <c r="A378" s="52">
        <v>219.11496891535839</v>
      </c>
      <c r="B378" s="52">
        <v>221.3314498147912</v>
      </c>
      <c r="C378" s="52">
        <v>218.59053370254617</v>
      </c>
      <c r="D378" s="52">
        <v>221.3314498147912</v>
      </c>
      <c r="E378" s="52">
        <v>1823222.0999667095</v>
      </c>
      <c r="F378" s="52" t="s">
        <v>453</v>
      </c>
      <c r="G378" s="26">
        <f t="shared" si="3"/>
        <v>-1.0014306151645225E-2</v>
      </c>
    </row>
    <row r="379" spans="1:7">
      <c r="A379" s="52">
        <v>220.66848454576441</v>
      </c>
      <c r="B379" s="52">
        <v>221.52934989509771</v>
      </c>
      <c r="C379" s="52">
        <v>216.66100791955779</v>
      </c>
      <c r="D379" s="52">
        <v>216.73027294766504</v>
      </c>
      <c r="E379" s="52">
        <v>2293303.7687357129</v>
      </c>
      <c r="F379" s="52" t="s">
        <v>454</v>
      </c>
      <c r="G379" s="26">
        <f t="shared" si="3"/>
        <v>1.8171026799981727E-2</v>
      </c>
    </row>
    <row r="380" spans="1:7">
      <c r="A380" s="52">
        <v>216.68079792758854</v>
      </c>
      <c r="B380" s="52">
        <v>218.70953369584066</v>
      </c>
      <c r="C380" s="52">
        <v>216.02096639131236</v>
      </c>
      <c r="D380" s="52">
        <v>217.66562111606044</v>
      </c>
      <c r="E380" s="52">
        <v>2838000.8033083938</v>
      </c>
      <c r="F380" s="52" t="s">
        <v>455</v>
      </c>
      <c r="G380" s="26">
        <f t="shared" si="3"/>
        <v>-4.5244774228575535E-3</v>
      </c>
    </row>
    <row r="381" spans="1:7">
      <c r="A381" s="52">
        <v>218.86710540599617</v>
      </c>
      <c r="B381" s="52">
        <v>219.80268743504448</v>
      </c>
      <c r="C381" s="52">
        <v>216.82852140585931</v>
      </c>
      <c r="D381" s="52">
        <v>216.90730726093707</v>
      </c>
      <c r="E381" s="52">
        <v>2398502.622247492</v>
      </c>
      <c r="F381" s="52" t="s">
        <v>456</v>
      </c>
      <c r="G381" s="26">
        <f t="shared" si="3"/>
        <v>9.0351872871736738E-3</v>
      </c>
    </row>
    <row r="382" spans="1:7">
      <c r="A382" s="52">
        <v>218.06939862333394</v>
      </c>
      <c r="B382" s="52">
        <v>218.99513242049753</v>
      </c>
      <c r="C382" s="52">
        <v>215.91263584058046</v>
      </c>
      <c r="D382" s="52">
        <v>216.96639665224538</v>
      </c>
      <c r="E382" s="52">
        <v>1807681.8466899726</v>
      </c>
      <c r="F382" s="52" t="s">
        <v>457</v>
      </c>
      <c r="G382" s="26">
        <f t="shared" si="3"/>
        <v>5.0837456311563223E-3</v>
      </c>
    </row>
    <row r="383" spans="1:7">
      <c r="A383" s="52">
        <v>217.90197868129368</v>
      </c>
      <c r="B383" s="52">
        <v>219.43830285530987</v>
      </c>
      <c r="C383" s="52">
        <v>217.645924652291</v>
      </c>
      <c r="D383" s="52">
        <v>219.37921346400154</v>
      </c>
      <c r="E383" s="52">
        <v>2532175.34801288</v>
      </c>
      <c r="F383" s="52" t="s">
        <v>458</v>
      </c>
      <c r="G383" s="26">
        <f t="shared" si="3"/>
        <v>-6.7337044352666631E-3</v>
      </c>
    </row>
    <row r="384" spans="1:7">
      <c r="A384" s="52">
        <v>219.43830285530987</v>
      </c>
      <c r="B384" s="52">
        <v>220.4428225075512</v>
      </c>
      <c r="C384" s="52">
        <v>217.38002239140357</v>
      </c>
      <c r="D384" s="52">
        <v>218.63074784076289</v>
      </c>
      <c r="E384" s="52">
        <v>1915388.4901175972</v>
      </c>
      <c r="F384" s="52" t="s">
        <v>459</v>
      </c>
      <c r="G384" s="26">
        <f t="shared" si="3"/>
        <v>3.693693693693767E-3</v>
      </c>
    </row>
    <row r="385" spans="1:7">
      <c r="A385" s="52">
        <v>218.53226552191572</v>
      </c>
      <c r="B385" s="52">
        <v>219.79283920315976</v>
      </c>
      <c r="C385" s="52">
        <v>216.94670018847594</v>
      </c>
      <c r="D385" s="52">
        <v>217.645924652291</v>
      </c>
      <c r="E385" s="52">
        <v>1228904.8574068239</v>
      </c>
      <c r="F385" s="52" t="s">
        <v>460</v>
      </c>
      <c r="G385" s="26">
        <f t="shared" si="3"/>
        <v>4.0723981900452344E-3</v>
      </c>
    </row>
    <row r="386" spans="1:7">
      <c r="A386" s="52">
        <v>218.61105137699346</v>
      </c>
      <c r="B386" s="52">
        <v>223.23105391875288</v>
      </c>
      <c r="C386" s="52">
        <v>217.0353342754384</v>
      </c>
      <c r="D386" s="52">
        <v>220.8466000148247</v>
      </c>
      <c r="E386" s="52">
        <v>2409803.1278918283</v>
      </c>
      <c r="F386" s="52" t="s">
        <v>461</v>
      </c>
      <c r="G386" s="26">
        <f t="shared" si="3"/>
        <v>-1.0122630992196346E-2</v>
      </c>
    </row>
    <row r="387" spans="1:7">
      <c r="A387" s="52">
        <v>220.8466000148247</v>
      </c>
      <c r="B387" s="52">
        <v>222.15641485549233</v>
      </c>
      <c r="C387" s="52">
        <v>219.32012407269323</v>
      </c>
      <c r="D387" s="52">
        <v>221.90036082648962</v>
      </c>
      <c r="E387" s="52">
        <v>2210103.3215690707</v>
      </c>
      <c r="F387" s="52" t="s">
        <v>462</v>
      </c>
      <c r="G387" s="26">
        <f t="shared" si="3"/>
        <v>-4.7488017042427444E-3</v>
      </c>
    </row>
    <row r="388" spans="1:7">
      <c r="A388" s="52">
        <v>222.05793253664513</v>
      </c>
      <c r="B388" s="52">
        <v>222.69570403349954</v>
      </c>
      <c r="C388" s="52">
        <v>220.51176013074425</v>
      </c>
      <c r="D388" s="52">
        <v>220.77766239163165</v>
      </c>
      <c r="E388" s="52">
        <v>1944095.1659259386</v>
      </c>
      <c r="F388" s="52" t="s">
        <v>463</v>
      </c>
      <c r="G388" s="26">
        <f t="shared" si="3"/>
        <v>5.7989115889016674E-3</v>
      </c>
    </row>
    <row r="389" spans="1:7">
      <c r="A389" s="52">
        <v>220.60039421770671</v>
      </c>
      <c r="B389" s="52">
        <v>222.8063981598838</v>
      </c>
      <c r="C389" s="52">
        <v>219.74359804373614</v>
      </c>
      <c r="D389" s="52">
        <v>222.54049589899637</v>
      </c>
      <c r="E389" s="52">
        <v>1703464.1544164442</v>
      </c>
      <c r="F389" s="52" t="s">
        <v>464</v>
      </c>
      <c r="G389" s="26">
        <f t="shared" si="3"/>
        <v>-8.7179714121343732E-3</v>
      </c>
    </row>
    <row r="390" spans="1:7">
      <c r="A390" s="52">
        <v>222.02838784099097</v>
      </c>
      <c r="B390" s="52">
        <v>222.37307595695614</v>
      </c>
      <c r="C390" s="52">
        <v>217.67546934794515</v>
      </c>
      <c r="D390" s="52">
        <v>218.67998900018651</v>
      </c>
      <c r="E390" s="52">
        <v>1643731.6047683423</v>
      </c>
      <c r="F390" s="52" t="s">
        <v>465</v>
      </c>
      <c r="G390" s="26">
        <f t="shared" si="3"/>
        <v>1.5311866696689824E-2</v>
      </c>
    </row>
    <row r="391" spans="1:7">
      <c r="A391" s="52">
        <v>219.01482888426693</v>
      </c>
      <c r="B391" s="52">
        <v>219.52693694227233</v>
      </c>
      <c r="C391" s="52">
        <v>217.45880824648134</v>
      </c>
      <c r="D391" s="52">
        <v>218.80801601468787</v>
      </c>
      <c r="E391" s="52">
        <v>1442903.6771614749</v>
      </c>
      <c r="F391" s="52" t="s">
        <v>466</v>
      </c>
      <c r="G391" s="26">
        <f t="shared" si="3"/>
        <v>9.4517958412088099E-4</v>
      </c>
    </row>
    <row r="392" spans="1:7">
      <c r="A392" s="52">
        <v>219.2610346813849</v>
      </c>
      <c r="B392" s="52">
        <v>219.61557102923481</v>
      </c>
      <c r="C392" s="52">
        <v>217.19290598559391</v>
      </c>
      <c r="D392" s="52">
        <v>219.13300766688357</v>
      </c>
      <c r="E392" s="52">
        <v>1400448.3405188886</v>
      </c>
      <c r="F392" s="52" t="s">
        <v>467</v>
      </c>
      <c r="G392" s="26">
        <f t="shared" si="3"/>
        <v>5.8424340479068526E-4</v>
      </c>
    </row>
    <row r="393" spans="1:7">
      <c r="A393" s="52">
        <v>220.69887653655391</v>
      </c>
      <c r="B393" s="52">
        <v>224.6184728266721</v>
      </c>
      <c r="C393" s="52">
        <v>220.58069775393727</v>
      </c>
      <c r="D393" s="52">
        <v>221.78218204387298</v>
      </c>
      <c r="E393" s="52">
        <v>1339954.2328482105</v>
      </c>
      <c r="F393" s="52" t="s">
        <v>468</v>
      </c>
      <c r="G393" s="26">
        <f t="shared" si="3"/>
        <v>-4.8845470692716608E-3</v>
      </c>
    </row>
    <row r="394" spans="1:7">
      <c r="A394" s="52">
        <v>221.73294088444942</v>
      </c>
      <c r="B394" s="52">
        <v>224.84498216002063</v>
      </c>
      <c r="C394" s="52">
        <v>220.10108886115145</v>
      </c>
      <c r="D394" s="52">
        <v>223.55486378312244</v>
      </c>
      <c r="E394" s="52">
        <v>1995989.7604056846</v>
      </c>
      <c r="F394" s="52" t="s">
        <v>469</v>
      </c>
      <c r="G394" s="26">
        <f t="shared" si="3"/>
        <v>-8.1497797356827606E-3</v>
      </c>
    </row>
    <row r="395" spans="1:7">
      <c r="A395" s="52">
        <v>223.72228372516264</v>
      </c>
      <c r="B395" s="52">
        <v>226.94265555146578</v>
      </c>
      <c r="C395" s="52">
        <v>222.07270488447222</v>
      </c>
      <c r="D395" s="52">
        <v>226.94265555146578</v>
      </c>
      <c r="E395" s="52">
        <v>2864426.8666917933</v>
      </c>
      <c r="F395" s="52" t="s">
        <v>470</v>
      </c>
      <c r="G395" s="26">
        <f t="shared" si="3"/>
        <v>-1.4190244749175518E-2</v>
      </c>
    </row>
    <row r="396" spans="1:7">
      <c r="A396" s="52">
        <v>227.71081763847386</v>
      </c>
      <c r="B396" s="52">
        <v>228.47897972548196</v>
      </c>
      <c r="C396" s="52">
        <v>225.59344778325928</v>
      </c>
      <c r="D396" s="52">
        <v>227.46461184135589</v>
      </c>
      <c r="E396" s="52">
        <v>1233967.6951409115</v>
      </c>
      <c r="F396" s="52" t="s">
        <v>471</v>
      </c>
      <c r="G396" s="26">
        <f t="shared" si="3"/>
        <v>1.0823916525954935E-3</v>
      </c>
    </row>
    <row r="397" spans="1:7">
      <c r="A397" s="52">
        <v>227.76005879789747</v>
      </c>
      <c r="B397" s="52">
        <v>232.29024546486824</v>
      </c>
      <c r="C397" s="52">
        <v>227.56309416020306</v>
      </c>
      <c r="D397" s="52">
        <v>231.70919978366982</v>
      </c>
      <c r="E397" s="52">
        <v>1205393.02272315</v>
      </c>
      <c r="F397" s="52" t="s">
        <v>472</v>
      </c>
      <c r="G397" s="26">
        <f t="shared" si="3"/>
        <v>-1.7043522611356665E-2</v>
      </c>
    </row>
    <row r="398" spans="1:7">
      <c r="A398" s="52">
        <v>231.04936824739363</v>
      </c>
      <c r="B398" s="52">
        <v>232.41827247936956</v>
      </c>
      <c r="C398" s="52">
        <v>228.43958679794309</v>
      </c>
      <c r="D398" s="52">
        <v>228.86306076898597</v>
      </c>
      <c r="E398" s="52">
        <v>1461843.1174776005</v>
      </c>
      <c r="F398" s="52" t="s">
        <v>473</v>
      </c>
      <c r="G398" s="26">
        <f t="shared" si="3"/>
        <v>9.5529067515816024E-3</v>
      </c>
    </row>
    <row r="399" spans="1:7">
      <c r="A399" s="52">
        <v>228.12444337763205</v>
      </c>
      <c r="B399" s="52">
        <v>230.27135792850081</v>
      </c>
      <c r="C399" s="52">
        <v>222.81624639176849</v>
      </c>
      <c r="D399" s="52">
        <v>225.20936673975524</v>
      </c>
      <c r="E399" s="52">
        <v>3951321.4611020628</v>
      </c>
      <c r="F399" s="52" t="s">
        <v>474</v>
      </c>
      <c r="G399" s="26">
        <f t="shared" si="3"/>
        <v>1.2943851670456308E-2</v>
      </c>
    </row>
    <row r="400" spans="1:7">
      <c r="A400" s="52">
        <v>223.66319433385436</v>
      </c>
      <c r="B400" s="52">
        <v>239.3120347986729</v>
      </c>
      <c r="C400" s="52">
        <v>223.37759560919747</v>
      </c>
      <c r="D400" s="52">
        <v>235.22501856651451</v>
      </c>
      <c r="E400" s="52">
        <v>4104193.5723219491</v>
      </c>
      <c r="F400" s="52" t="s">
        <v>475</v>
      </c>
      <c r="G400" s="26">
        <f t="shared" si="3"/>
        <v>-4.9152187565417504E-2</v>
      </c>
    </row>
    <row r="401" spans="1:7">
      <c r="A401" s="52">
        <v>236.41665462456552</v>
      </c>
      <c r="B401" s="52">
        <v>240.62184963934055</v>
      </c>
      <c r="C401" s="52">
        <v>232.41827247936956</v>
      </c>
      <c r="D401" s="52">
        <v>240.62184963934055</v>
      </c>
      <c r="E401" s="52">
        <v>2260535.7246454698</v>
      </c>
      <c r="F401" s="52" t="s">
        <v>476</v>
      </c>
      <c r="G401" s="26">
        <f t="shared" si="3"/>
        <v>-1.7476363934023631E-2</v>
      </c>
    </row>
    <row r="402" spans="1:7">
      <c r="A402" s="52">
        <v>233.69854262438307</v>
      </c>
      <c r="B402" s="52">
        <v>234.70306227662439</v>
      </c>
      <c r="C402" s="52">
        <v>227.55324592831838</v>
      </c>
      <c r="D402" s="52">
        <v>229.69031224730239</v>
      </c>
      <c r="E402" s="52">
        <v>1906965.6583879029</v>
      </c>
      <c r="F402" s="52" t="s">
        <v>477</v>
      </c>
      <c r="G402" s="26">
        <f t="shared" si="3"/>
        <v>1.7450585259186413E-2</v>
      </c>
    </row>
    <row r="403" spans="1:7">
      <c r="A403" s="52">
        <v>230.77361775462151</v>
      </c>
      <c r="B403" s="52">
        <v>233.81672140699968</v>
      </c>
      <c r="C403" s="52">
        <v>229.43918233424205</v>
      </c>
      <c r="D403" s="52">
        <v>231.64026216047677</v>
      </c>
      <c r="E403" s="52">
        <v>1645474.0495239969</v>
      </c>
      <c r="F403" s="52" t="s">
        <v>478</v>
      </c>
      <c r="G403" s="26">
        <f t="shared" si="3"/>
        <v>-3.7413375281661887E-3</v>
      </c>
    </row>
    <row r="404" spans="1:7">
      <c r="A404" s="52">
        <v>231.66980685613095</v>
      </c>
      <c r="B404" s="52">
        <v>233.12734517506934</v>
      </c>
      <c r="C404" s="52">
        <v>229.14865949364287</v>
      </c>
      <c r="D404" s="52">
        <v>230.94103769666171</v>
      </c>
      <c r="E404" s="52">
        <v>1298083.7727669626</v>
      </c>
      <c r="F404" s="52" t="s">
        <v>479</v>
      </c>
      <c r="G404" s="26">
        <f t="shared" si="3"/>
        <v>3.1556503198295616E-3</v>
      </c>
    </row>
    <row r="405" spans="1:7">
      <c r="A405" s="52">
        <v>230.04484859515227</v>
      </c>
      <c r="B405" s="52">
        <v>233.1470416388388</v>
      </c>
      <c r="C405" s="52">
        <v>229.9069733487662</v>
      </c>
      <c r="D405" s="52">
        <v>231.6599586242462</v>
      </c>
      <c r="E405" s="52">
        <v>1451918.4933273855</v>
      </c>
      <c r="F405" s="52" t="s">
        <v>480</v>
      </c>
      <c r="G405" s="26">
        <f t="shared" si="3"/>
        <v>-6.9718998427071854E-3</v>
      </c>
    </row>
    <row r="406" spans="1:7">
      <c r="A406" s="52">
        <v>233.01901462433744</v>
      </c>
      <c r="B406" s="52">
        <v>234.02845839252112</v>
      </c>
      <c r="C406" s="52">
        <v>232.19176314602106</v>
      </c>
      <c r="D406" s="52">
        <v>232.41827247936956</v>
      </c>
      <c r="E406" s="52">
        <v>862548.73965554812</v>
      </c>
      <c r="F406" s="52" t="s">
        <v>481</v>
      </c>
      <c r="G406" s="26">
        <f t="shared" si="3"/>
        <v>2.5847457627119486E-3</v>
      </c>
    </row>
    <row r="407" spans="1:7">
      <c r="A407" s="52">
        <v>233.90535549396213</v>
      </c>
      <c r="B407" s="52">
        <v>236.43635108833496</v>
      </c>
      <c r="C407" s="52">
        <v>233.83641787076911</v>
      </c>
      <c r="D407" s="52">
        <v>235.14623271143677</v>
      </c>
      <c r="E407" s="52">
        <v>634937.32410001894</v>
      </c>
      <c r="F407" s="52" t="s">
        <v>482</v>
      </c>
      <c r="G407" s="26">
        <f t="shared" si="3"/>
        <v>-5.2770448548814519E-3</v>
      </c>
    </row>
    <row r="408" spans="1:7">
      <c r="A408" s="52">
        <v>235.28410795782281</v>
      </c>
      <c r="B408" s="52">
        <v>237.24390610288191</v>
      </c>
      <c r="C408" s="52">
        <v>234.25989184181205</v>
      </c>
      <c r="D408" s="52">
        <v>234.97881276939651</v>
      </c>
      <c r="E408" s="52">
        <v>939416.34481161786</v>
      </c>
      <c r="F408" s="52" t="s">
        <v>483</v>
      </c>
      <c r="G408" s="26">
        <f t="shared" si="3"/>
        <v>1.2992455993294794E-3</v>
      </c>
    </row>
    <row r="409" spans="1:7">
      <c r="A409" s="52">
        <v>234.51594587081473</v>
      </c>
      <c r="B409" s="52">
        <v>235.77651955205877</v>
      </c>
      <c r="C409" s="52">
        <v>233.29476511710956</v>
      </c>
      <c r="D409" s="52">
        <v>235.1265362476673</v>
      </c>
      <c r="E409" s="52">
        <v>1017429.3332336424</v>
      </c>
      <c r="F409" s="52" t="s">
        <v>484</v>
      </c>
      <c r="G409" s="26">
        <f t="shared" si="3"/>
        <v>-2.5968586387433712E-3</v>
      </c>
    </row>
    <row r="410" spans="1:7">
      <c r="A410" s="52">
        <v>234.99850923316598</v>
      </c>
      <c r="B410" s="52">
        <v>238.19918459569965</v>
      </c>
      <c r="C410" s="52">
        <v>234.89017868243405</v>
      </c>
      <c r="D410" s="52">
        <v>237.14542378403473</v>
      </c>
      <c r="E410" s="52">
        <v>849661.14709216275</v>
      </c>
      <c r="F410" s="52" t="s">
        <v>485</v>
      </c>
      <c r="G410" s="26">
        <f t="shared" si="3"/>
        <v>-9.0531561461794086E-3</v>
      </c>
    </row>
    <row r="411" spans="1:7">
      <c r="A411" s="52">
        <v>236.86967329126259</v>
      </c>
      <c r="B411" s="52">
        <v>236.9878520738792</v>
      </c>
      <c r="C411" s="52">
        <v>233.90535549396213</v>
      </c>
      <c r="D411" s="52">
        <v>235.67803723321157</v>
      </c>
      <c r="E411" s="52">
        <v>958434.98716209119</v>
      </c>
      <c r="F411" s="52" t="s">
        <v>486</v>
      </c>
      <c r="G411" s="26">
        <f t="shared" si="3"/>
        <v>5.0562032510133026E-3</v>
      </c>
    </row>
    <row r="412" spans="1:7">
      <c r="A412" s="52">
        <v>236.07196650860035</v>
      </c>
      <c r="B412" s="52">
        <v>236.80073566806954</v>
      </c>
      <c r="C412" s="52">
        <v>235.04824280418379</v>
      </c>
      <c r="D412" s="52">
        <v>236.48559224775855</v>
      </c>
      <c r="E412" s="52">
        <v>708541.39927667484</v>
      </c>
      <c r="F412" s="52" t="s">
        <v>487</v>
      </c>
      <c r="G412" s="26">
        <f t="shared" si="3"/>
        <v>-1.7490525965101478E-3</v>
      </c>
    </row>
    <row r="413" spans="1:7">
      <c r="A413" s="52">
        <v>236.86967329126259</v>
      </c>
      <c r="B413" s="52">
        <v>239.64687468275335</v>
      </c>
      <c r="C413" s="52">
        <v>236.30930889702208</v>
      </c>
      <c r="D413" s="52">
        <v>239.64687468275335</v>
      </c>
      <c r="E413" s="52">
        <v>595850.10473861359</v>
      </c>
      <c r="F413" s="52" t="s">
        <v>488</v>
      </c>
      <c r="G413" s="26">
        <f t="shared" si="3"/>
        <v>-1.1588723596613781E-2</v>
      </c>
    </row>
    <row r="414" spans="1:7">
      <c r="A414" s="52">
        <v>240.05065219002682</v>
      </c>
      <c r="B414" s="52">
        <v>240.42478651932731</v>
      </c>
      <c r="C414" s="52">
        <v>236.55945398689394</v>
      </c>
      <c r="D414" s="52">
        <v>238.09085404496773</v>
      </c>
      <c r="E414" s="52">
        <v>1099567.9353166372</v>
      </c>
      <c r="F414" s="52" t="s">
        <v>489</v>
      </c>
      <c r="G414" s="26">
        <f t="shared" si="3"/>
        <v>8.2313037723362736E-3</v>
      </c>
    </row>
    <row r="415" spans="1:7">
      <c r="A415" s="52">
        <v>236.68255688545293</v>
      </c>
      <c r="B415" s="52">
        <v>237.40147781303742</v>
      </c>
      <c r="C415" s="52">
        <v>235.36289381290058</v>
      </c>
      <c r="D415" s="52">
        <v>236.77119097241538</v>
      </c>
      <c r="E415" s="52">
        <v>979280.35335605114</v>
      </c>
      <c r="F415" s="52" t="s">
        <v>490</v>
      </c>
      <c r="G415" s="26">
        <f t="shared" si="3"/>
        <v>-3.7434489643117796E-4</v>
      </c>
    </row>
    <row r="416" spans="1:7">
      <c r="A416" s="52">
        <v>236.59392279849047</v>
      </c>
      <c r="B416" s="52">
        <v>239.25294540736459</v>
      </c>
      <c r="C416" s="52">
        <v>235.59432726219146</v>
      </c>
      <c r="D416" s="52">
        <v>237.73631769711787</v>
      </c>
      <c r="E416" s="52">
        <v>1143080.3144945595</v>
      </c>
      <c r="F416" s="52" t="s">
        <v>491</v>
      </c>
      <c r="G416" s="26">
        <f t="shared" si="3"/>
        <v>-4.8053024026512015E-3</v>
      </c>
    </row>
    <row r="417" spans="1:7">
      <c r="A417" s="52">
        <v>238.14994343627606</v>
      </c>
      <c r="B417" s="52">
        <v>240.78926958138078</v>
      </c>
      <c r="C417" s="52">
        <v>236.28862761006417</v>
      </c>
      <c r="D417" s="52">
        <v>236.81058389995428</v>
      </c>
      <c r="E417" s="52">
        <v>1144647.0931996733</v>
      </c>
      <c r="F417" s="52" t="s">
        <v>492</v>
      </c>
      <c r="G417" s="26">
        <f t="shared" si="3"/>
        <v>5.6558263328618796E-3</v>
      </c>
    </row>
    <row r="418" spans="1:7">
      <c r="A418" s="52">
        <v>236.37726169702665</v>
      </c>
      <c r="B418" s="52">
        <v>236.820432131839</v>
      </c>
      <c r="C418" s="52">
        <v>231.87169560976767</v>
      </c>
      <c r="D418" s="52">
        <v>233.02886285622216</v>
      </c>
      <c r="E418" s="52">
        <v>748417.59274946922</v>
      </c>
      <c r="F418" s="52" t="s">
        <v>493</v>
      </c>
      <c r="G418" s="26">
        <f t="shared" si="3"/>
        <v>1.4369030513059045E-2</v>
      </c>
    </row>
    <row r="419" spans="1:7">
      <c r="A419" s="52">
        <v>232.91068407360552</v>
      </c>
      <c r="B419" s="52">
        <v>233.82656963888439</v>
      </c>
      <c r="C419" s="52">
        <v>231.68950331990035</v>
      </c>
      <c r="D419" s="52">
        <v>232.54629949387092</v>
      </c>
      <c r="E419" s="52">
        <v>910436.52352584584</v>
      </c>
      <c r="F419" s="52" t="s">
        <v>494</v>
      </c>
      <c r="G419" s="26">
        <f t="shared" si="3"/>
        <v>1.5669334688519498E-3</v>
      </c>
    </row>
    <row r="420" spans="1:7">
      <c r="A420" s="52">
        <v>231.9652538126725</v>
      </c>
      <c r="B420" s="52">
        <v>234.98866100128126</v>
      </c>
      <c r="C420" s="52">
        <v>231.3546634358199</v>
      </c>
      <c r="D420" s="52">
        <v>234.98866100128126</v>
      </c>
      <c r="E420" s="52">
        <v>863855.57322228921</v>
      </c>
      <c r="F420" s="52" t="s">
        <v>495</v>
      </c>
      <c r="G420" s="26">
        <f t="shared" si="3"/>
        <v>-1.2866183311680213E-2</v>
      </c>
    </row>
    <row r="421" spans="1:7">
      <c r="A421" s="52">
        <v>234.5947317258925</v>
      </c>
      <c r="B421" s="52">
        <v>235.34319734913112</v>
      </c>
      <c r="C421" s="52">
        <v>231.76828917497812</v>
      </c>
      <c r="D421" s="52">
        <v>233.35385450841787</v>
      </c>
      <c r="E421" s="52">
        <v>774887.31879282964</v>
      </c>
      <c r="F421" s="52" t="s">
        <v>496</v>
      </c>
      <c r="G421" s="26">
        <f t="shared" si="3"/>
        <v>5.3175775480061027E-3</v>
      </c>
    </row>
    <row r="422" spans="1:7">
      <c r="A422" s="52">
        <v>233.57051560988168</v>
      </c>
      <c r="B422" s="52">
        <v>234.40761532008284</v>
      </c>
      <c r="C422" s="52">
        <v>231.82737856628643</v>
      </c>
      <c r="D422" s="52">
        <v>233.25537218957069</v>
      </c>
      <c r="E422" s="52">
        <v>854876.29643076565</v>
      </c>
      <c r="F422" s="52" t="s">
        <v>497</v>
      </c>
      <c r="G422" s="26">
        <f t="shared" si="3"/>
        <v>1.3510660755751136E-3</v>
      </c>
    </row>
    <row r="423" spans="1:7">
      <c r="A423" s="52">
        <v>233.85611433453857</v>
      </c>
      <c r="B423" s="52">
        <v>235.68296134915394</v>
      </c>
      <c r="C423" s="52">
        <v>232.54629949387092</v>
      </c>
      <c r="D423" s="52">
        <v>234.60457995777719</v>
      </c>
      <c r="E423" s="52">
        <v>1296548.4717934488</v>
      </c>
      <c r="F423" s="52" t="s">
        <v>498</v>
      </c>
      <c r="G423" s="26">
        <f t="shared" si="3"/>
        <v>-3.1903282679874856E-3</v>
      </c>
    </row>
    <row r="424" spans="1:7">
      <c r="A424" s="52">
        <v>234.60457995777719</v>
      </c>
      <c r="B424" s="52">
        <v>235.28410795782281</v>
      </c>
      <c r="C424" s="52">
        <v>232.98946992868329</v>
      </c>
      <c r="D424" s="52">
        <v>234.01368604469405</v>
      </c>
      <c r="E424" s="52">
        <v>723845.6692983692</v>
      </c>
      <c r="F424" s="52" t="s">
        <v>499</v>
      </c>
      <c r="G424" s="26">
        <f t="shared" si="3"/>
        <v>2.5250399797995815E-3</v>
      </c>
    </row>
    <row r="425" spans="1:7">
      <c r="A425" s="52">
        <v>233.75763201569137</v>
      </c>
      <c r="B425" s="52">
        <v>236.14454797759072</v>
      </c>
      <c r="C425" s="52">
        <v>233.69361850844069</v>
      </c>
      <c r="D425" s="52">
        <v>235.53031375494078</v>
      </c>
      <c r="E425" s="52">
        <v>918864.43230902404</v>
      </c>
      <c r="F425" s="52" t="s">
        <v>500</v>
      </c>
      <c r="G425" s="26">
        <f t="shared" si="3"/>
        <v>-7.5263421976918821E-3</v>
      </c>
    </row>
    <row r="426" spans="1:7">
      <c r="A426" s="52">
        <v>236.12120766802394</v>
      </c>
      <c r="B426" s="52">
        <v>238.40599746527877</v>
      </c>
      <c r="C426" s="52">
        <v>235.55001021871024</v>
      </c>
      <c r="D426" s="52">
        <v>237.77571062465674</v>
      </c>
      <c r="E426" s="52">
        <v>1254245.4467553778</v>
      </c>
      <c r="F426" s="52" t="s">
        <v>501</v>
      </c>
      <c r="G426" s="26">
        <f t="shared" si="3"/>
        <v>-6.958250497017926E-3</v>
      </c>
    </row>
    <row r="427" spans="1:7">
      <c r="A427" s="52">
        <v>238.00221995800527</v>
      </c>
      <c r="B427" s="52">
        <v>240.29685798714482</v>
      </c>
      <c r="C427" s="52">
        <v>236.39695816079606</v>
      </c>
      <c r="D427" s="52">
        <v>240.09004511756569</v>
      </c>
      <c r="E427" s="52">
        <v>1298891.0242708935</v>
      </c>
      <c r="F427" s="52" t="s">
        <v>502</v>
      </c>
      <c r="G427" s="26">
        <f t="shared" si="3"/>
        <v>-8.6960088600844809E-3</v>
      </c>
    </row>
    <row r="428" spans="1:7">
      <c r="A428" s="52">
        <v>237.44087074057629</v>
      </c>
      <c r="B428" s="52">
        <v>238.72606500153213</v>
      </c>
      <c r="C428" s="52">
        <v>234.41253943602518</v>
      </c>
      <c r="D428" s="52">
        <v>237.88404117538866</v>
      </c>
      <c r="E428" s="52">
        <v>1269465.4376892403</v>
      </c>
      <c r="F428" s="52" t="s">
        <v>503</v>
      </c>
      <c r="G428" s="26">
        <f t="shared" si="3"/>
        <v>-1.8629683295384725E-3</v>
      </c>
    </row>
    <row r="429" spans="1:7">
      <c r="A429" s="52">
        <v>237.84464824784976</v>
      </c>
      <c r="B429" s="52">
        <v>240.10974158133516</v>
      </c>
      <c r="C429" s="52">
        <v>234.2303471461579</v>
      </c>
      <c r="D429" s="52">
        <v>234.75230343604798</v>
      </c>
      <c r="E429" s="52">
        <v>1304320.4252665145</v>
      </c>
      <c r="F429" s="52" t="s">
        <v>504</v>
      </c>
      <c r="G429" s="26">
        <f t="shared" si="3"/>
        <v>1.3172798590426638E-2</v>
      </c>
    </row>
    <row r="430" spans="1:7">
      <c r="A430" s="52">
        <v>233.66899792872891</v>
      </c>
      <c r="B430" s="52">
        <v>234.21065068238843</v>
      </c>
      <c r="C430" s="52">
        <v>230.04484859515227</v>
      </c>
      <c r="D430" s="52">
        <v>231.57132453728372</v>
      </c>
      <c r="E430" s="52">
        <v>1058057.9460327423</v>
      </c>
      <c r="F430" s="52" t="s">
        <v>505</v>
      </c>
      <c r="G430" s="26">
        <f t="shared" si="3"/>
        <v>9.0584332737944084E-3</v>
      </c>
    </row>
    <row r="431" spans="1:7">
      <c r="A431" s="52">
        <v>231.63041392859205</v>
      </c>
      <c r="B431" s="52">
        <v>233.40309566784148</v>
      </c>
      <c r="C431" s="52">
        <v>229.33813947510484</v>
      </c>
      <c r="D431" s="52">
        <v>232.95007700114439</v>
      </c>
      <c r="E431" s="52">
        <v>1805017.4090216521</v>
      </c>
      <c r="F431" s="52" t="s">
        <v>506</v>
      </c>
      <c r="G431" s="26">
        <f t="shared" si="3"/>
        <v>-5.6650038048532414E-3</v>
      </c>
    </row>
    <row r="432" spans="1:7">
      <c r="A432" s="52">
        <v>233.35385450841787</v>
      </c>
      <c r="B432" s="52">
        <v>235.07237097230134</v>
      </c>
      <c r="C432" s="52">
        <v>229.68046401541767</v>
      </c>
      <c r="D432" s="52">
        <v>232.16221845036688</v>
      </c>
      <c r="E432" s="52">
        <v>1392007.2313966523</v>
      </c>
      <c r="F432" s="52" t="s">
        <v>507</v>
      </c>
      <c r="G432" s="26">
        <f t="shared" si="3"/>
        <v>5.1327733944175336E-3</v>
      </c>
    </row>
    <row r="433" spans="1:7">
      <c r="A433" s="52">
        <v>231.16754703001024</v>
      </c>
      <c r="B433" s="52">
        <v>231.65011039236148</v>
      </c>
      <c r="C433" s="52">
        <v>228.68579259506106</v>
      </c>
      <c r="D433" s="52">
        <v>230.39938494300216</v>
      </c>
      <c r="E433" s="52">
        <v>1518804.6113342212</v>
      </c>
      <c r="F433" s="52" t="s">
        <v>508</v>
      </c>
      <c r="G433" s="26">
        <f t="shared" si="3"/>
        <v>3.3340457362684983E-3</v>
      </c>
    </row>
    <row r="434" spans="1:7">
      <c r="A434" s="52">
        <v>229.95621450818982</v>
      </c>
      <c r="B434" s="52">
        <v>230.63574250823541</v>
      </c>
      <c r="C434" s="52">
        <v>228.01611282690016</v>
      </c>
      <c r="D434" s="52">
        <v>229.76909810238016</v>
      </c>
      <c r="E434" s="52">
        <v>2266362.1512235273</v>
      </c>
      <c r="F434" s="52" t="s">
        <v>509</v>
      </c>
      <c r="G434" s="26">
        <f t="shared" si="3"/>
        <v>8.1436715100080548E-4</v>
      </c>
    </row>
    <row r="435" spans="1:7">
      <c r="A435" s="52">
        <v>231.06906471116307</v>
      </c>
      <c r="B435" s="52">
        <v>232.08835671123148</v>
      </c>
      <c r="C435" s="52">
        <v>229.02063247914151</v>
      </c>
      <c r="D435" s="52">
        <v>230.74407305896736</v>
      </c>
      <c r="E435" s="52">
        <v>2252271.2969844714</v>
      </c>
      <c r="F435" s="52" t="s">
        <v>510</v>
      </c>
      <c r="G435" s="26">
        <f t="shared" si="3"/>
        <v>1.4084507042253502E-3</v>
      </c>
    </row>
    <row r="436" spans="1:7">
      <c r="A436" s="52">
        <v>228.07520221820849</v>
      </c>
      <c r="B436" s="52">
        <v>231.4679181024942</v>
      </c>
      <c r="C436" s="52">
        <v>226.15706209402174</v>
      </c>
      <c r="D436" s="52">
        <v>228.06535398632377</v>
      </c>
      <c r="E436" s="52">
        <v>1136377.5884851909</v>
      </c>
      <c r="F436" s="52" t="s">
        <v>511</v>
      </c>
      <c r="G436" s="26">
        <f t="shared" si="3"/>
        <v>4.3181621901755562E-5</v>
      </c>
    </row>
    <row r="437" spans="1:7">
      <c r="A437" s="52">
        <v>227.76005879789747</v>
      </c>
      <c r="B437" s="52">
        <v>231.15769879812552</v>
      </c>
      <c r="C437" s="52">
        <v>226.11540407314936</v>
      </c>
      <c r="D437" s="52">
        <v>229.95621450818982</v>
      </c>
      <c r="E437" s="52">
        <v>980587.18692279211</v>
      </c>
      <c r="F437" s="52" t="s">
        <v>512</v>
      </c>
      <c r="G437" s="26">
        <f t="shared" si="3"/>
        <v>-9.5503211991434522E-3</v>
      </c>
    </row>
    <row r="438" spans="1:7">
      <c r="A438" s="52">
        <v>230.48801902996462</v>
      </c>
      <c r="B438" s="52">
        <v>233.39324743595677</v>
      </c>
      <c r="C438" s="52">
        <v>229.31607943568306</v>
      </c>
      <c r="D438" s="52">
        <v>232.20161137790575</v>
      </c>
      <c r="E438" s="52">
        <v>965623.07948451524</v>
      </c>
      <c r="F438" s="52" t="s">
        <v>513</v>
      </c>
      <c r="G438" s="26">
        <f t="shared" si="3"/>
        <v>-7.3797607939605214E-3</v>
      </c>
    </row>
    <row r="439" spans="1:7">
      <c r="A439" s="52">
        <v>230.62589427635072</v>
      </c>
      <c r="B439" s="52">
        <v>233.89058314613507</v>
      </c>
      <c r="C439" s="52">
        <v>230.24181323284665</v>
      </c>
      <c r="D439" s="52">
        <v>232.08343259528911</v>
      </c>
      <c r="E439" s="52">
        <v>784459.595431266</v>
      </c>
      <c r="F439" s="52" t="s">
        <v>514</v>
      </c>
      <c r="G439" s="26">
        <f t="shared" si="3"/>
        <v>-6.2802342357632934E-3</v>
      </c>
    </row>
    <row r="440" spans="1:7">
      <c r="A440" s="52">
        <v>231.92586088513363</v>
      </c>
      <c r="B440" s="52">
        <v>231.98495027644194</v>
      </c>
      <c r="C440" s="52">
        <v>227.96687166747657</v>
      </c>
      <c r="D440" s="52">
        <v>229.87742865311205</v>
      </c>
      <c r="E440" s="52">
        <v>1036117.967107666</v>
      </c>
      <c r="F440" s="52" t="s">
        <v>515</v>
      </c>
      <c r="G440" s="26">
        <f t="shared" si="3"/>
        <v>8.9109759232286478E-3</v>
      </c>
    </row>
    <row r="441" spans="1:7">
      <c r="A441" s="52">
        <v>230.14333091399948</v>
      </c>
      <c r="B441" s="52">
        <v>231.40390459524352</v>
      </c>
      <c r="C441" s="52">
        <v>225.82980534849253</v>
      </c>
      <c r="D441" s="52">
        <v>230.59634958069657</v>
      </c>
      <c r="E441" s="52">
        <v>1423717.4920460349</v>
      </c>
      <c r="F441" s="52" t="s">
        <v>516</v>
      </c>
      <c r="G441" s="26">
        <f t="shared" ref="G441:G504" si="4">A441/D441-1</f>
        <v>-1.9645526371984134E-3</v>
      </c>
    </row>
    <row r="442" spans="1:7">
      <c r="A442" s="52">
        <v>232.11297729094329</v>
      </c>
      <c r="B442" s="52">
        <v>234.27466418963911</v>
      </c>
      <c r="C442" s="52">
        <v>230.33044731980914</v>
      </c>
      <c r="D442" s="52">
        <v>233.34400627653315</v>
      </c>
      <c r="E442" s="52">
        <v>1254088.0580973786</v>
      </c>
      <c r="F442" s="52" t="s">
        <v>517</v>
      </c>
      <c r="G442" s="26">
        <f t="shared" si="4"/>
        <v>-5.2755971976026217E-3</v>
      </c>
    </row>
    <row r="443" spans="1:7">
      <c r="A443" s="52">
        <v>233.6197567693053</v>
      </c>
      <c r="B443" s="52">
        <v>235.34812146507349</v>
      </c>
      <c r="C443" s="52">
        <v>228.85321253710129</v>
      </c>
      <c r="D443" s="52">
        <v>229.14865949364287</v>
      </c>
      <c r="E443" s="52">
        <v>1451282.8462312084</v>
      </c>
      <c r="F443" s="52" t="s">
        <v>518</v>
      </c>
      <c r="G443" s="26">
        <f t="shared" si="4"/>
        <v>1.9511775829465172E-2</v>
      </c>
    </row>
    <row r="444" spans="1:7">
      <c r="A444" s="52">
        <v>228.20322923270987</v>
      </c>
      <c r="B444" s="52">
        <v>231.21429174074453</v>
      </c>
      <c r="C444" s="52">
        <v>226.56528969250863</v>
      </c>
      <c r="D444" s="52">
        <v>229.04671905580753</v>
      </c>
      <c r="E444" s="52">
        <v>1516214.096458565</v>
      </c>
      <c r="F444" s="52" t="s">
        <v>519</v>
      </c>
      <c r="G444" s="26">
        <f t="shared" si="4"/>
        <v>-3.682610371258499E-3</v>
      </c>
    </row>
    <row r="445" spans="1:7">
      <c r="A445" s="52">
        <v>228.77209446224086</v>
      </c>
      <c r="B445" s="52">
        <v>233.27397619249462</v>
      </c>
      <c r="C445" s="52">
        <v>228.44842976268012</v>
      </c>
      <c r="D445" s="52">
        <v>231.79296499147432</v>
      </c>
      <c r="E445" s="52">
        <v>2460891.9078324088</v>
      </c>
      <c r="F445" s="52" t="s">
        <v>520</v>
      </c>
      <c r="G445" s="26">
        <f t="shared" si="4"/>
        <v>-1.3032623873397431E-2</v>
      </c>
    </row>
    <row r="446" spans="1:7">
      <c r="A446" s="52">
        <v>231.80277301267313</v>
      </c>
      <c r="B446" s="52">
        <v>237.81509000754357</v>
      </c>
      <c r="C446" s="52">
        <v>231.30256393153383</v>
      </c>
      <c r="D446" s="52">
        <v>237.33449696880189</v>
      </c>
      <c r="E446" s="52">
        <v>2302372.6745961825</v>
      </c>
      <c r="F446" s="52" t="s">
        <v>521</v>
      </c>
      <c r="G446" s="26">
        <f t="shared" si="4"/>
        <v>-2.3307711381105767E-2</v>
      </c>
    </row>
    <row r="447" spans="1:7">
      <c r="A447" s="52">
        <v>237.5306573927781</v>
      </c>
      <c r="B447" s="52">
        <v>240.27690332844486</v>
      </c>
      <c r="C447" s="52">
        <v>237.05987237523522</v>
      </c>
      <c r="D447" s="52">
        <v>237.35411301119953</v>
      </c>
      <c r="E447" s="52">
        <v>2166797.9268416255</v>
      </c>
      <c r="F447" s="52" t="s">
        <v>522</v>
      </c>
      <c r="G447" s="26">
        <f t="shared" si="4"/>
        <v>7.438016528924507E-4</v>
      </c>
    </row>
    <row r="448" spans="1:7">
      <c r="A448" s="52">
        <v>237.75624188035073</v>
      </c>
      <c r="B448" s="52">
        <v>237.95240230432694</v>
      </c>
      <c r="C448" s="52">
        <v>235.67694138620303</v>
      </c>
      <c r="D448" s="52">
        <v>236.70678361207808</v>
      </c>
      <c r="E448" s="52">
        <v>910899.33625796647</v>
      </c>
      <c r="F448" s="52" t="s">
        <v>523</v>
      </c>
      <c r="G448" s="26">
        <f t="shared" si="4"/>
        <v>4.4335791828953308E-3</v>
      </c>
    </row>
    <row r="449" spans="1:7">
      <c r="A449" s="52">
        <v>236.34388682772209</v>
      </c>
      <c r="B449" s="52">
        <v>236.8244798664638</v>
      </c>
      <c r="C449" s="52">
        <v>234.68633124512323</v>
      </c>
      <c r="D449" s="52">
        <v>235.18654032626253</v>
      </c>
      <c r="E449" s="52">
        <v>721238.24537189491</v>
      </c>
      <c r="F449" s="52" t="s">
        <v>524</v>
      </c>
      <c r="G449" s="26">
        <f t="shared" si="4"/>
        <v>4.9209725176195818E-3</v>
      </c>
    </row>
    <row r="450" spans="1:7">
      <c r="A450" s="52">
        <v>234.31362643956845</v>
      </c>
      <c r="B450" s="52">
        <v>235.06884407187681</v>
      </c>
      <c r="C450" s="52">
        <v>232.55730408349754</v>
      </c>
      <c r="D450" s="52">
        <v>233.64668099804939</v>
      </c>
      <c r="E450" s="52">
        <v>999901.99870183656</v>
      </c>
      <c r="F450" s="52" t="s">
        <v>525</v>
      </c>
      <c r="G450" s="26">
        <f t="shared" si="4"/>
        <v>2.8545042397782883E-3</v>
      </c>
    </row>
    <row r="451" spans="1:7">
      <c r="A451" s="52">
        <v>233.40148046807914</v>
      </c>
      <c r="B451" s="52">
        <v>233.81341735842912</v>
      </c>
      <c r="C451" s="52">
        <v>231.70959681128443</v>
      </c>
      <c r="D451" s="52">
        <v>232.23432594542075</v>
      </c>
      <c r="E451" s="52">
        <v>942019.78286110354</v>
      </c>
      <c r="F451" s="52" t="s">
        <v>526</v>
      </c>
      <c r="G451" s="26">
        <f t="shared" si="4"/>
        <v>5.0257623110061544E-3</v>
      </c>
    </row>
    <row r="452" spans="1:7">
      <c r="A452" s="52">
        <v>231.73411686428145</v>
      </c>
      <c r="B452" s="52">
        <v>234.8726836479006</v>
      </c>
      <c r="C452" s="52">
        <v>231.09659548635881</v>
      </c>
      <c r="D452" s="52">
        <v>232.45010241179457</v>
      </c>
      <c r="E452" s="52">
        <v>793403.66851411702</v>
      </c>
      <c r="F452" s="52" t="s">
        <v>527</v>
      </c>
      <c r="G452" s="26">
        <f t="shared" si="4"/>
        <v>-3.0801687763712948E-3</v>
      </c>
    </row>
    <row r="453" spans="1:7">
      <c r="A453" s="52">
        <v>231.84200509746836</v>
      </c>
      <c r="B453" s="52">
        <v>231.94989333065527</v>
      </c>
      <c r="C453" s="52">
        <v>229.78232064571827</v>
      </c>
      <c r="D453" s="52">
        <v>231.50853237670881</v>
      </c>
      <c r="E453" s="52">
        <v>838177.2259013385</v>
      </c>
      <c r="F453" s="52" t="s">
        <v>528</v>
      </c>
      <c r="G453" s="26">
        <f t="shared" si="4"/>
        <v>1.4404338247755444E-3</v>
      </c>
    </row>
    <row r="454" spans="1:7">
      <c r="A454" s="52">
        <v>230.78273880799691</v>
      </c>
      <c r="B454" s="52">
        <v>231.32217997393144</v>
      </c>
      <c r="C454" s="52">
        <v>229.67443241253136</v>
      </c>
      <c r="D454" s="52">
        <v>231.26333184673857</v>
      </c>
      <c r="E454" s="52">
        <v>1051575.0109972726</v>
      </c>
      <c r="F454" s="52" t="s">
        <v>529</v>
      </c>
      <c r="G454" s="26">
        <f t="shared" si="4"/>
        <v>-2.0781203613383648E-3</v>
      </c>
    </row>
    <row r="455" spans="1:7">
      <c r="A455" s="52">
        <v>230.34137785405045</v>
      </c>
      <c r="B455" s="52">
        <v>231.16525163475046</v>
      </c>
      <c r="C455" s="52">
        <v>229.53712011574802</v>
      </c>
      <c r="D455" s="52">
        <v>230.96909121077428</v>
      </c>
      <c r="E455" s="52">
        <v>1335672.0723227623</v>
      </c>
      <c r="F455" s="52" t="s">
        <v>530</v>
      </c>
      <c r="G455" s="26">
        <f t="shared" si="4"/>
        <v>-2.7177374835449797E-3</v>
      </c>
    </row>
    <row r="456" spans="1:7">
      <c r="A456" s="52">
        <v>230.23348962086354</v>
      </c>
      <c r="B456" s="52">
        <v>231.70469280068502</v>
      </c>
      <c r="C456" s="52">
        <v>229.47336797795577</v>
      </c>
      <c r="D456" s="52">
        <v>231.16525163475046</v>
      </c>
      <c r="E456" s="52">
        <v>806891.6083664546</v>
      </c>
      <c r="F456" s="52" t="s">
        <v>531</v>
      </c>
      <c r="G456" s="26">
        <f t="shared" si="4"/>
        <v>-4.0307183164325355E-3</v>
      </c>
    </row>
    <row r="457" spans="1:7">
      <c r="A457" s="52">
        <v>231.37122007992548</v>
      </c>
      <c r="B457" s="52">
        <v>232.69530294176482</v>
      </c>
      <c r="C457" s="52">
        <v>230.91024308358143</v>
      </c>
      <c r="D457" s="52">
        <v>231.79296499147432</v>
      </c>
      <c r="E457" s="52">
        <v>1045297.4960172406</v>
      </c>
      <c r="F457" s="52" t="s">
        <v>532</v>
      </c>
      <c r="G457" s="26">
        <f t="shared" si="4"/>
        <v>-1.819489696610721E-3</v>
      </c>
    </row>
    <row r="458" spans="1:7">
      <c r="A458" s="52">
        <v>231.79296499147432</v>
      </c>
      <c r="B458" s="52">
        <v>232.58251069797851</v>
      </c>
      <c r="C458" s="52">
        <v>229.9980971120921</v>
      </c>
      <c r="D458" s="52">
        <v>230.25310566326115</v>
      </c>
      <c r="E458" s="52">
        <v>935429.25876967481</v>
      </c>
      <c r="F458" s="52" t="s">
        <v>533</v>
      </c>
      <c r="G458" s="26">
        <f t="shared" si="4"/>
        <v>6.6876810359517425E-3</v>
      </c>
    </row>
    <row r="459" spans="1:7">
      <c r="A459" s="52">
        <v>229.52731209454925</v>
      </c>
      <c r="B459" s="52">
        <v>230.05694523928497</v>
      </c>
      <c r="C459" s="52">
        <v>227.57551587598604</v>
      </c>
      <c r="D459" s="52">
        <v>229.5076960521516</v>
      </c>
      <c r="E459" s="52">
        <v>2177499.3719009752</v>
      </c>
      <c r="F459" s="52" t="s">
        <v>534</v>
      </c>
      <c r="G459" s="26">
        <f t="shared" si="4"/>
        <v>8.5470085470218393E-5</v>
      </c>
    </row>
    <row r="460" spans="1:7">
      <c r="A460" s="52">
        <v>229.58616022174209</v>
      </c>
      <c r="B460" s="52">
        <v>232.17302581292819</v>
      </c>
      <c r="C460" s="52">
        <v>229.13008723599742</v>
      </c>
      <c r="D460" s="52">
        <v>231.18486767714811</v>
      </c>
      <c r="E460" s="52">
        <v>1096074.3030719021</v>
      </c>
      <c r="F460" s="52" t="s">
        <v>535</v>
      </c>
      <c r="G460" s="26">
        <f t="shared" si="4"/>
        <v>-6.9152772474651014E-3</v>
      </c>
    </row>
    <row r="461" spans="1:7">
      <c r="A461" s="52">
        <v>231.74392488548025</v>
      </c>
      <c r="B461" s="52">
        <v>232.27355803021598</v>
      </c>
      <c r="C461" s="52">
        <v>229.01729499221111</v>
      </c>
      <c r="D461" s="52">
        <v>229.39980781896469</v>
      </c>
      <c r="E461" s="52">
        <v>1280451.9632893808</v>
      </c>
      <c r="F461" s="52" t="s">
        <v>536</v>
      </c>
      <c r="G461" s="26">
        <f t="shared" si="4"/>
        <v>1.021847877207227E-2</v>
      </c>
    </row>
    <row r="462" spans="1:7">
      <c r="A462" s="52">
        <v>229.63520032773613</v>
      </c>
      <c r="B462" s="52">
        <v>231.63603665229334</v>
      </c>
      <c r="C462" s="52">
        <v>229.31643963877482</v>
      </c>
      <c r="D462" s="52">
        <v>230.56696234162308</v>
      </c>
      <c r="E462" s="52">
        <v>1356663.0546857473</v>
      </c>
      <c r="F462" s="52" t="s">
        <v>537</v>
      </c>
      <c r="G462" s="26">
        <f t="shared" si="4"/>
        <v>-4.0411774714991244E-3</v>
      </c>
    </row>
    <row r="463" spans="1:7">
      <c r="A463" s="52">
        <v>231.37122007992548</v>
      </c>
      <c r="B463" s="52">
        <v>231.93027728825766</v>
      </c>
      <c r="C463" s="52">
        <v>228.56612601706584</v>
      </c>
      <c r="D463" s="52">
        <v>230.0079051332909</v>
      </c>
      <c r="E463" s="52">
        <v>816839.58849641588</v>
      </c>
      <c r="F463" s="52" t="s">
        <v>538</v>
      </c>
      <c r="G463" s="26">
        <f t="shared" si="4"/>
        <v>5.9272525691869138E-3</v>
      </c>
    </row>
    <row r="464" spans="1:7">
      <c r="A464" s="52">
        <v>229.89020887890518</v>
      </c>
      <c r="B464" s="52">
        <v>231.54776446150407</v>
      </c>
      <c r="C464" s="52">
        <v>227.31069930361818</v>
      </c>
      <c r="D464" s="52">
        <v>228.09534099952299</v>
      </c>
      <c r="E464" s="52">
        <v>1149542.7845698451</v>
      </c>
      <c r="F464" s="52" t="s">
        <v>539</v>
      </c>
      <c r="G464" s="26">
        <f t="shared" si="4"/>
        <v>7.8689370485034438E-3</v>
      </c>
    </row>
    <row r="465" spans="1:7">
      <c r="A465" s="52">
        <v>228.15418912671583</v>
      </c>
      <c r="B465" s="52">
        <v>234.18671064525586</v>
      </c>
      <c r="C465" s="52">
        <v>227.75206025756464</v>
      </c>
      <c r="D465" s="52">
        <v>231.23390778314214</v>
      </c>
      <c r="E465" s="52">
        <v>1126049.7684629918</v>
      </c>
      <c r="F465" s="52" t="s">
        <v>540</v>
      </c>
      <c r="G465" s="26">
        <f t="shared" si="4"/>
        <v>-1.3318629114353553E-2</v>
      </c>
    </row>
    <row r="466" spans="1:7">
      <c r="A466" s="52">
        <v>230.9887072531719</v>
      </c>
      <c r="B466" s="52">
        <v>234.33324248196607</v>
      </c>
      <c r="C466" s="52">
        <v>229.1055671830004</v>
      </c>
      <c r="D466" s="52">
        <v>230.48849817203259</v>
      </c>
      <c r="E466" s="52">
        <v>1302601.1813218989</v>
      </c>
      <c r="F466" s="52" t="s">
        <v>541</v>
      </c>
      <c r="G466" s="26">
        <f t="shared" si="4"/>
        <v>2.1702127659575243E-3</v>
      </c>
    </row>
    <row r="467" spans="1:7">
      <c r="A467" s="52">
        <v>231.25352382553976</v>
      </c>
      <c r="B467" s="52">
        <v>239.09994078458769</v>
      </c>
      <c r="C467" s="52">
        <v>230.38276770350942</v>
      </c>
      <c r="D467" s="52">
        <v>236.5400472516983</v>
      </c>
      <c r="E467" s="52">
        <v>1503102.379284095</v>
      </c>
      <c r="F467" s="52" t="s">
        <v>542</v>
      </c>
      <c r="G467" s="26">
        <f t="shared" si="4"/>
        <v>-2.2349380105319949E-2</v>
      </c>
    </row>
    <row r="468" spans="1:7">
      <c r="A468" s="52">
        <v>237.226608735615</v>
      </c>
      <c r="B468" s="52">
        <v>237.89355417713406</v>
      </c>
      <c r="C468" s="52">
        <v>231.6752687370886</v>
      </c>
      <c r="D468" s="52">
        <v>232.45010241179457</v>
      </c>
      <c r="E468" s="52">
        <v>1838326.9810007953</v>
      </c>
      <c r="F468" s="52" t="s">
        <v>543</v>
      </c>
      <c r="G468" s="26">
        <f t="shared" si="4"/>
        <v>2.0548523206751046E-2</v>
      </c>
    </row>
    <row r="469" spans="1:7">
      <c r="A469" s="52">
        <v>231.47910831311239</v>
      </c>
      <c r="B469" s="52">
        <v>233.16608795930767</v>
      </c>
      <c r="C469" s="52">
        <v>221.66127909310367</v>
      </c>
      <c r="D469" s="52">
        <v>223.18152237891923</v>
      </c>
      <c r="E469" s="52">
        <v>3843687.6548120002</v>
      </c>
      <c r="F469" s="52" t="s">
        <v>544</v>
      </c>
      <c r="G469" s="26">
        <f t="shared" si="4"/>
        <v>3.7178642056690858E-2</v>
      </c>
    </row>
    <row r="470" spans="1:7">
      <c r="A470" s="52">
        <v>236.43215901851138</v>
      </c>
      <c r="B470" s="52">
        <v>238.16327476010133</v>
      </c>
      <c r="C470" s="52">
        <v>232.68549492056601</v>
      </c>
      <c r="D470" s="52">
        <v>235.44154887743161</v>
      </c>
      <c r="E470" s="52">
        <v>3584165.3772389404</v>
      </c>
      <c r="F470" s="52" t="s">
        <v>545</v>
      </c>
      <c r="G470" s="26">
        <f t="shared" si="4"/>
        <v>4.2074567798373597E-3</v>
      </c>
    </row>
    <row r="471" spans="1:7">
      <c r="A471" s="52">
        <v>237.09910446003047</v>
      </c>
      <c r="B471" s="52">
        <v>237.59931354116978</v>
      </c>
      <c r="C471" s="52">
        <v>232.44029439059577</v>
      </c>
      <c r="D471" s="52">
        <v>232.44029439059577</v>
      </c>
      <c r="E471" s="52">
        <v>1752824.5149068439</v>
      </c>
      <c r="F471" s="52" t="s">
        <v>546</v>
      </c>
      <c r="G471" s="26">
        <f t="shared" si="4"/>
        <v>2.0043039790708539E-2</v>
      </c>
    </row>
    <row r="472" spans="1:7">
      <c r="A472" s="52">
        <v>233.27397619249462</v>
      </c>
      <c r="B472" s="52">
        <v>234.28420237597203</v>
      </c>
      <c r="C472" s="52">
        <v>229.38019177656707</v>
      </c>
      <c r="D472" s="52">
        <v>232.40106230580051</v>
      </c>
      <c r="E472" s="52">
        <v>1052882.1044201085</v>
      </c>
      <c r="F472" s="52" t="s">
        <v>547</v>
      </c>
      <c r="G472" s="26">
        <f t="shared" si="4"/>
        <v>3.7560666807343601E-3</v>
      </c>
    </row>
    <row r="473" spans="1:7">
      <c r="A473" s="52">
        <v>232.74434304775889</v>
      </c>
      <c r="B473" s="52">
        <v>234.62748311793038</v>
      </c>
      <c r="C473" s="52">
        <v>227.91879661794439</v>
      </c>
      <c r="D473" s="52">
        <v>230.27272170565877</v>
      </c>
      <c r="E473" s="52">
        <v>1411505.9214676083</v>
      </c>
      <c r="F473" s="52" t="s">
        <v>548</v>
      </c>
      <c r="G473" s="26">
        <f t="shared" si="4"/>
        <v>1.0733452593917781E-2</v>
      </c>
    </row>
    <row r="474" spans="1:7">
      <c r="A474" s="52">
        <v>228.31111746589679</v>
      </c>
      <c r="B474" s="52">
        <v>236.96179216324711</v>
      </c>
      <c r="C474" s="52">
        <v>227.36954743081102</v>
      </c>
      <c r="D474" s="52">
        <v>232.78357513255412</v>
      </c>
      <c r="E474" s="52">
        <v>2110957.9170273668</v>
      </c>
      <c r="F474" s="52" t="s">
        <v>549</v>
      </c>
      <c r="G474" s="26">
        <f t="shared" si="4"/>
        <v>-1.9212943456644593E-2</v>
      </c>
    </row>
    <row r="475" spans="1:7">
      <c r="A475" s="52">
        <v>232.78357513255412</v>
      </c>
      <c r="B475" s="52">
        <v>233.59764089205532</v>
      </c>
      <c r="C475" s="52">
        <v>229.95886502729687</v>
      </c>
      <c r="D475" s="52">
        <v>230.92985912597902</v>
      </c>
      <c r="E475" s="52">
        <v>1250367.403517446</v>
      </c>
      <c r="F475" s="52" t="s">
        <v>550</v>
      </c>
      <c r="G475" s="26">
        <f t="shared" si="4"/>
        <v>8.027181991930421E-3</v>
      </c>
    </row>
    <row r="476" spans="1:7">
      <c r="A476" s="52">
        <v>229.83136075171234</v>
      </c>
      <c r="B476" s="52">
        <v>229.94905700609803</v>
      </c>
      <c r="C476" s="52">
        <v>225.9473843569836</v>
      </c>
      <c r="D476" s="52">
        <v>227.54609181238962</v>
      </c>
      <c r="E476" s="52">
        <v>1380362.0246704577</v>
      </c>
      <c r="F476" s="52" t="s">
        <v>551</v>
      </c>
      <c r="G476" s="26">
        <f t="shared" si="4"/>
        <v>1.004310344827597E-2</v>
      </c>
    </row>
    <row r="477" spans="1:7">
      <c r="A477" s="52">
        <v>226.65356188329793</v>
      </c>
      <c r="B477" s="52">
        <v>227.76186827876344</v>
      </c>
      <c r="C477" s="52">
        <v>224.64291753754188</v>
      </c>
      <c r="D477" s="52">
        <v>226.83010626487652</v>
      </c>
      <c r="E477" s="52">
        <v>883708.32651255932</v>
      </c>
      <c r="F477" s="52" t="s">
        <v>552</v>
      </c>
      <c r="G477" s="26">
        <f t="shared" si="4"/>
        <v>-7.7831106498904568E-4</v>
      </c>
    </row>
    <row r="478" spans="1:7">
      <c r="A478" s="52">
        <v>226.31028114133957</v>
      </c>
      <c r="B478" s="52">
        <v>230.53753827802666</v>
      </c>
      <c r="C478" s="52">
        <v>225.04504640669307</v>
      </c>
      <c r="D478" s="52">
        <v>230.53753827802666</v>
      </c>
      <c r="E478" s="52">
        <v>1096064.1073353745</v>
      </c>
      <c r="F478" s="52" t="s">
        <v>553</v>
      </c>
      <c r="G478" s="26">
        <f t="shared" si="4"/>
        <v>-1.8336524143799271E-2</v>
      </c>
    </row>
    <row r="479" spans="1:7">
      <c r="A479" s="52">
        <v>227.29108326122056</v>
      </c>
      <c r="B479" s="52">
        <v>231.02793933796715</v>
      </c>
      <c r="C479" s="52">
        <v>227.04588273125032</v>
      </c>
      <c r="D479" s="52">
        <v>227.05569075244912</v>
      </c>
      <c r="E479" s="52">
        <v>1084091.2539310355</v>
      </c>
      <c r="F479" s="52" t="s">
        <v>554</v>
      </c>
      <c r="G479" s="26">
        <f t="shared" si="4"/>
        <v>1.0367170626350841E-3</v>
      </c>
    </row>
    <row r="480" spans="1:7">
      <c r="A480" s="52">
        <v>229.55673615814567</v>
      </c>
      <c r="B480" s="52">
        <v>230.78273880799691</v>
      </c>
      <c r="C480" s="52">
        <v>225.3539990744556</v>
      </c>
      <c r="D480" s="52">
        <v>226.1239287385622</v>
      </c>
      <c r="E480" s="52">
        <v>1252494.2341570996</v>
      </c>
      <c r="F480" s="52" t="s">
        <v>555</v>
      </c>
      <c r="G480" s="26">
        <f t="shared" si="4"/>
        <v>1.5181088700932488E-2</v>
      </c>
    </row>
    <row r="481" spans="1:7">
      <c r="A481" s="52">
        <v>226.27104905654431</v>
      </c>
      <c r="B481" s="52">
        <v>226.53586562891221</v>
      </c>
      <c r="C481" s="52">
        <v>221.0727978211751</v>
      </c>
      <c r="D481" s="52">
        <v>222.35764859821919</v>
      </c>
      <c r="E481" s="52">
        <v>1170082.095804658</v>
      </c>
      <c r="F481" s="52" t="s">
        <v>556</v>
      </c>
      <c r="G481" s="26">
        <f t="shared" si="4"/>
        <v>1.759957655154154E-2</v>
      </c>
    </row>
    <row r="482" spans="1:7">
      <c r="A482" s="52">
        <v>221.73974326269416</v>
      </c>
      <c r="B482" s="52">
        <v>226.33970520493602</v>
      </c>
      <c r="C482" s="52">
        <v>221.4749266903263</v>
      </c>
      <c r="D482" s="52">
        <v>224.60368545274665</v>
      </c>
      <c r="E482" s="52">
        <v>1285575.3208944905</v>
      </c>
      <c r="F482" s="52" t="s">
        <v>557</v>
      </c>
      <c r="G482" s="26">
        <f t="shared" si="4"/>
        <v>-1.2751091703056772E-2</v>
      </c>
    </row>
    <row r="483" spans="1:7">
      <c r="A483" s="52">
        <v>224.71157368593359</v>
      </c>
      <c r="B483" s="52">
        <v>225.91796029338718</v>
      </c>
      <c r="C483" s="52">
        <v>220.31758018886671</v>
      </c>
      <c r="D483" s="52">
        <v>221.17087803316318</v>
      </c>
      <c r="E483" s="52">
        <v>2264019.3725003791</v>
      </c>
      <c r="F483" s="52" t="s">
        <v>558</v>
      </c>
      <c r="G483" s="26">
        <f t="shared" si="4"/>
        <v>1.6008869179600982E-2</v>
      </c>
    </row>
    <row r="484" spans="1:7">
      <c r="A484" s="52">
        <v>220.62162884602984</v>
      </c>
      <c r="B484" s="52">
        <v>223.09325018812993</v>
      </c>
      <c r="C484" s="52">
        <v>219.86641121372145</v>
      </c>
      <c r="D484" s="52">
        <v>220.2685400828727</v>
      </c>
      <c r="E484" s="52">
        <v>1885635.1984887735</v>
      </c>
      <c r="F484" s="52" t="s">
        <v>559</v>
      </c>
      <c r="G484" s="26">
        <f t="shared" si="4"/>
        <v>1.6029922522040607E-3</v>
      </c>
    </row>
    <row r="485" spans="1:7">
      <c r="A485" s="52">
        <v>219.57217057775719</v>
      </c>
      <c r="B485" s="52">
        <v>222.26937640742989</v>
      </c>
      <c r="C485" s="52">
        <v>214.55046372396652</v>
      </c>
      <c r="D485" s="52">
        <v>217.15939736284994</v>
      </c>
      <c r="E485" s="52">
        <v>2151233.1154586193</v>
      </c>
      <c r="F485" s="52" t="s">
        <v>560</v>
      </c>
      <c r="G485" s="26">
        <f t="shared" si="4"/>
        <v>1.1110609276907102E-2</v>
      </c>
    </row>
    <row r="486" spans="1:7">
      <c r="A486" s="52">
        <v>217.21824549004279</v>
      </c>
      <c r="B486" s="52">
        <v>221.40381853663493</v>
      </c>
      <c r="C486" s="52">
        <v>216.41398775174039</v>
      </c>
      <c r="D486" s="52">
        <v>220.91586948199415</v>
      </c>
      <c r="E486" s="52">
        <v>1634428.5636276091</v>
      </c>
      <c r="F486" s="52" t="s">
        <v>561</v>
      </c>
      <c r="G486" s="26">
        <f t="shared" si="4"/>
        <v>-1.6737702006748512E-2</v>
      </c>
    </row>
    <row r="487" spans="1:7">
      <c r="A487" s="52">
        <v>221.21011011795841</v>
      </c>
      <c r="B487" s="52">
        <v>224.20155658359545</v>
      </c>
      <c r="C487" s="52">
        <v>220.867515937484</v>
      </c>
      <c r="D487" s="52">
        <v>223.38749082409421</v>
      </c>
      <c r="E487" s="52">
        <v>842587.90152317018</v>
      </c>
      <c r="F487" s="52" t="s">
        <v>562</v>
      </c>
      <c r="G487" s="26">
        <f t="shared" si="4"/>
        <v>-9.747102212855685E-3</v>
      </c>
    </row>
    <row r="488" spans="1:7">
      <c r="A488" s="52">
        <v>223.38749082409421</v>
      </c>
      <c r="B488" s="52">
        <v>224.28982877438474</v>
      </c>
      <c r="C488" s="52">
        <v>221.63185502950725</v>
      </c>
      <c r="D488" s="52">
        <v>224.28982877438474</v>
      </c>
      <c r="E488" s="52">
        <v>629234.97766795754</v>
      </c>
      <c r="F488" s="52" t="s">
        <v>563</v>
      </c>
      <c r="G488" s="26">
        <f t="shared" si="4"/>
        <v>-4.023089032709537E-3</v>
      </c>
    </row>
    <row r="489" spans="1:7">
      <c r="A489" s="52">
        <v>224.4467571135657</v>
      </c>
      <c r="B489" s="52">
        <v>224.91754213110858</v>
      </c>
      <c r="C489" s="52">
        <v>223.13248227292516</v>
      </c>
      <c r="D489" s="52">
        <v>223.62288333286565</v>
      </c>
      <c r="E489" s="52">
        <v>519795.98092820297</v>
      </c>
      <c r="F489" s="52" t="s">
        <v>564</v>
      </c>
      <c r="G489" s="26">
        <f t="shared" si="4"/>
        <v>3.6842105263157343E-3</v>
      </c>
    </row>
    <row r="490" spans="1:7">
      <c r="A490" s="52">
        <v>224.83907796151809</v>
      </c>
      <c r="B490" s="52">
        <v>226.70260198929196</v>
      </c>
      <c r="C490" s="52">
        <v>223.31883467570256</v>
      </c>
      <c r="D490" s="52">
        <v>224.66253357993952</v>
      </c>
      <c r="E490" s="52">
        <v>675962.03817386366</v>
      </c>
      <c r="F490" s="52" t="s">
        <v>565</v>
      </c>
      <c r="G490" s="26">
        <f t="shared" si="4"/>
        <v>7.8582030908935785E-4</v>
      </c>
    </row>
    <row r="491" spans="1:7">
      <c r="A491" s="52">
        <v>224.86850202511454</v>
      </c>
      <c r="B491" s="52">
        <v>233.14156790631068</v>
      </c>
      <c r="C491" s="52">
        <v>224.72138170713237</v>
      </c>
      <c r="D491" s="52">
        <v>229.27230354338016</v>
      </c>
      <c r="E491" s="52">
        <v>1078583.5170588361</v>
      </c>
      <c r="F491" s="52" t="s">
        <v>566</v>
      </c>
      <c r="G491" s="26">
        <f t="shared" si="4"/>
        <v>-1.9207734428473566E-2</v>
      </c>
    </row>
    <row r="492" spans="1:7">
      <c r="A492" s="52">
        <v>229.22326343738612</v>
      </c>
      <c r="B492" s="52">
        <v>230.33156983285164</v>
      </c>
      <c r="C492" s="52">
        <v>226.08469665376694</v>
      </c>
      <c r="D492" s="52">
        <v>227.81090838475751</v>
      </c>
      <c r="E492" s="52">
        <v>2451058.1199515564</v>
      </c>
      <c r="F492" s="52" t="s">
        <v>567</v>
      </c>
      <c r="G492" s="26">
        <f t="shared" si="4"/>
        <v>6.1996814052611704E-3</v>
      </c>
    </row>
    <row r="493" spans="1:7">
      <c r="A493" s="52">
        <v>226.50644156531578</v>
      </c>
      <c r="B493" s="52">
        <v>228.507277889873</v>
      </c>
      <c r="C493" s="52">
        <v>224.67234160113833</v>
      </c>
      <c r="D493" s="52">
        <v>227.82071640595629</v>
      </c>
      <c r="E493" s="52">
        <v>1500578.9344935187</v>
      </c>
      <c r="F493" s="52" t="s">
        <v>568</v>
      </c>
      <c r="G493" s="26">
        <f t="shared" si="4"/>
        <v>-5.7688996039262364E-3</v>
      </c>
    </row>
    <row r="494" spans="1:7">
      <c r="A494" s="52">
        <v>227.17338700683484</v>
      </c>
      <c r="B494" s="52">
        <v>230.10598534527901</v>
      </c>
      <c r="C494" s="52">
        <v>226.26124103534553</v>
      </c>
      <c r="D494" s="52">
        <v>229.56164016874507</v>
      </c>
      <c r="E494" s="52">
        <v>1728542.3487927557</v>
      </c>
      <c r="F494" s="52" t="s">
        <v>569</v>
      </c>
      <c r="G494" s="26">
        <f t="shared" si="4"/>
        <v>-1.0403537630044313E-2</v>
      </c>
    </row>
    <row r="495" spans="1:7">
      <c r="A495" s="52">
        <v>229.38019177656707</v>
      </c>
      <c r="B495" s="52">
        <v>230.9887072531719</v>
      </c>
      <c r="C495" s="52">
        <v>228.7034383138492</v>
      </c>
      <c r="D495" s="52">
        <v>230.76312276559926</v>
      </c>
      <c r="E495" s="52">
        <v>1049024.0377180716</v>
      </c>
      <c r="F495" s="52" t="s">
        <v>570</v>
      </c>
      <c r="G495" s="26">
        <f t="shared" si="4"/>
        <v>-5.9928595715742494E-3</v>
      </c>
    </row>
    <row r="496" spans="1:7">
      <c r="A496" s="52">
        <v>231.38102810112429</v>
      </c>
      <c r="B496" s="52">
        <v>234.9609558386899</v>
      </c>
      <c r="C496" s="52">
        <v>230.81216287159333</v>
      </c>
      <c r="D496" s="52">
        <v>234.14689007918867</v>
      </c>
      <c r="E496" s="52">
        <v>913280.04073715676</v>
      </c>
      <c r="F496" s="52" t="s">
        <v>571</v>
      </c>
      <c r="G496" s="26">
        <f t="shared" si="4"/>
        <v>-1.1812507854061072E-2</v>
      </c>
    </row>
    <row r="497" spans="1:7">
      <c r="A497" s="52">
        <v>233.71533714644104</v>
      </c>
      <c r="B497" s="52">
        <v>234.98057188108754</v>
      </c>
      <c r="C497" s="52">
        <v>232.71491898416244</v>
      </c>
      <c r="D497" s="52">
        <v>234.98057188108754</v>
      </c>
      <c r="E497" s="52">
        <v>2054135.0382118495</v>
      </c>
      <c r="F497" s="52" t="s">
        <v>572</v>
      </c>
      <c r="G497" s="26">
        <f t="shared" si="4"/>
        <v>-5.3844227397947808E-3</v>
      </c>
    </row>
    <row r="498" spans="1:7">
      <c r="A498" s="52">
        <v>233.82322537962796</v>
      </c>
      <c r="B498" s="52">
        <v>234.66671520272561</v>
      </c>
      <c r="C498" s="52">
        <v>227.62455598198011</v>
      </c>
      <c r="D498" s="52">
        <v>228.67401425025275</v>
      </c>
      <c r="E498" s="52">
        <v>1688124.4100501169</v>
      </c>
      <c r="F498" s="52" t="s">
        <v>573</v>
      </c>
      <c r="G498" s="26">
        <f t="shared" si="4"/>
        <v>2.2517692472657114E-2</v>
      </c>
    </row>
    <row r="499" spans="1:7">
      <c r="A499" s="52">
        <v>229.24287947978374</v>
      </c>
      <c r="B499" s="52">
        <v>230.2528114226252</v>
      </c>
      <c r="C499" s="52">
        <v>227.48724368519677</v>
      </c>
      <c r="D499" s="52">
        <v>227.94822068154082</v>
      </c>
      <c r="E499" s="52">
        <v>1056051.9589065337</v>
      </c>
      <c r="F499" s="52" t="s">
        <v>574</v>
      </c>
      <c r="G499" s="26">
        <f t="shared" si="4"/>
        <v>5.6796179166129779E-3</v>
      </c>
    </row>
    <row r="500" spans="1:7">
      <c r="A500" s="52">
        <v>228.28169340230036</v>
      </c>
      <c r="B500" s="52">
        <v>229.66462439133255</v>
      </c>
      <c r="C500" s="52">
        <v>226.07488863256813</v>
      </c>
      <c r="D500" s="52">
        <v>228.16399714791464</v>
      </c>
      <c r="E500" s="52">
        <v>1313804.2566184055</v>
      </c>
      <c r="F500" s="52" t="s">
        <v>575</v>
      </c>
      <c r="G500" s="26">
        <f t="shared" si="4"/>
        <v>5.1584060525300401E-4</v>
      </c>
    </row>
    <row r="501" spans="1:7">
      <c r="A501" s="52">
        <v>229.24287947978374</v>
      </c>
      <c r="B501" s="52">
        <v>229.47827198855518</v>
      </c>
      <c r="C501" s="52">
        <v>226.32008916253838</v>
      </c>
      <c r="D501" s="52">
        <v>228.13457308431822</v>
      </c>
      <c r="E501" s="52">
        <v>1074571.4947352326</v>
      </c>
      <c r="F501" s="52" t="s">
        <v>576</v>
      </c>
      <c r="G501" s="26">
        <f t="shared" si="4"/>
        <v>4.8581255374031684E-3</v>
      </c>
    </row>
    <row r="502" spans="1:7">
      <c r="A502" s="52">
        <v>227.5166677487932</v>
      </c>
      <c r="B502" s="52">
        <v>229.18403135259086</v>
      </c>
      <c r="C502" s="52">
        <v>224.92735015230738</v>
      </c>
      <c r="D502" s="52">
        <v>228.52689393227061</v>
      </c>
      <c r="E502" s="52">
        <v>885979.93661090441</v>
      </c>
      <c r="F502" s="52" t="s">
        <v>577</v>
      </c>
      <c r="G502" s="26">
        <f t="shared" si="4"/>
        <v>-4.4206008583690393E-3</v>
      </c>
    </row>
    <row r="503" spans="1:7">
      <c r="A503" s="52">
        <v>229.49788803095279</v>
      </c>
      <c r="B503" s="52">
        <v>230.88081901998498</v>
      </c>
      <c r="C503" s="52">
        <v>228.67401425025275</v>
      </c>
      <c r="D503" s="52">
        <v>229.90001690010399</v>
      </c>
      <c r="E503" s="52">
        <v>1123068.5351023269</v>
      </c>
      <c r="F503" s="52" t="s">
        <v>578</v>
      </c>
      <c r="G503" s="26">
        <f t="shared" si="4"/>
        <v>-1.7491467576791209E-3</v>
      </c>
    </row>
    <row r="504" spans="1:7">
      <c r="A504" s="52">
        <v>230.42965004483972</v>
      </c>
      <c r="B504" s="52">
        <v>234.60786707553274</v>
      </c>
      <c r="C504" s="52">
        <v>230.11579336647782</v>
      </c>
      <c r="D504" s="52">
        <v>234.0684259095982</v>
      </c>
      <c r="E504" s="52">
        <v>1155159.6158228898</v>
      </c>
      <c r="F504" s="52" t="s">
        <v>579</v>
      </c>
      <c r="G504" s="26">
        <f t="shared" si="4"/>
        <v>-1.5545778336476079E-2</v>
      </c>
    </row>
    <row r="505" spans="1:7">
      <c r="A505" s="52">
        <v>234.91191573269586</v>
      </c>
      <c r="B505" s="52">
        <v>235.7750215981911</v>
      </c>
      <c r="C505" s="52">
        <v>232.91598341873802</v>
      </c>
      <c r="D505" s="52">
        <v>234.71575530871965</v>
      </c>
      <c r="E505" s="52">
        <v>792236.25668170885</v>
      </c>
      <c r="F505" s="52" t="s">
        <v>580</v>
      </c>
      <c r="G505" s="26">
        <f t="shared" ref="G505:G568" si="5">A505/D505-1</f>
        <v>8.3573607454767718E-4</v>
      </c>
    </row>
    <row r="506" spans="1:7">
      <c r="A506" s="52">
        <v>235.0786520930755</v>
      </c>
      <c r="B506" s="52">
        <v>237.60890064446588</v>
      </c>
      <c r="C506" s="52">
        <v>232.55817284111137</v>
      </c>
      <c r="D506" s="52">
        <v>233.70118087397881</v>
      </c>
      <c r="E506" s="52">
        <v>1608198.2253340306</v>
      </c>
      <c r="F506" s="52" t="s">
        <v>581</v>
      </c>
      <c r="G506" s="26">
        <f t="shared" si="5"/>
        <v>5.8941560070229215E-3</v>
      </c>
    </row>
    <row r="507" spans="1:7">
      <c r="A507" s="52">
        <v>234.62926431946948</v>
      </c>
      <c r="B507" s="52">
        <v>235.24473018332122</v>
      </c>
      <c r="C507" s="52">
        <v>229.25614963504978</v>
      </c>
      <c r="D507" s="52">
        <v>230.04746288857339</v>
      </c>
      <c r="E507" s="52">
        <v>1791163.2386903707</v>
      </c>
      <c r="F507" s="52" t="s">
        <v>582</v>
      </c>
      <c r="G507" s="26">
        <f t="shared" si="5"/>
        <v>1.9916765755053634E-2</v>
      </c>
    </row>
    <row r="508" spans="1:7">
      <c r="A508" s="52">
        <v>230.84854544152327</v>
      </c>
      <c r="B508" s="52">
        <v>233.67187297570015</v>
      </c>
      <c r="C508" s="52">
        <v>229.76415320521309</v>
      </c>
      <c r="D508" s="52">
        <v>232.73402023078324</v>
      </c>
      <c r="E508" s="52">
        <v>1194223.8118621125</v>
      </c>
      <c r="F508" s="52" t="s">
        <v>583</v>
      </c>
      <c r="G508" s="26">
        <f t="shared" si="5"/>
        <v>-8.1014145993366649E-3</v>
      </c>
    </row>
    <row r="509" spans="1:7">
      <c r="A509" s="52">
        <v>232.99779131529115</v>
      </c>
      <c r="B509" s="52">
        <v>234.21895374356836</v>
      </c>
      <c r="C509" s="52">
        <v>231.71801309045662</v>
      </c>
      <c r="D509" s="52">
        <v>233.60348787971665</v>
      </c>
      <c r="E509" s="52">
        <v>2154448.2446218622</v>
      </c>
      <c r="F509" s="52" t="s">
        <v>584</v>
      </c>
      <c r="G509" s="26">
        <f t="shared" si="5"/>
        <v>-2.5928404148545248E-3</v>
      </c>
    </row>
    <row r="510" spans="1:7">
      <c r="A510" s="52">
        <v>233.32994749578253</v>
      </c>
      <c r="B510" s="52">
        <v>236.11419783225458</v>
      </c>
      <c r="C510" s="52">
        <v>228.42575918382127</v>
      </c>
      <c r="D510" s="52">
        <v>229.57853651611495</v>
      </c>
      <c r="E510" s="52">
        <v>2130299.1230004216</v>
      </c>
      <c r="F510" s="52" t="s">
        <v>585</v>
      </c>
      <c r="G510" s="26">
        <f t="shared" si="5"/>
        <v>1.6340425531914837E-2</v>
      </c>
    </row>
    <row r="511" spans="1:7">
      <c r="A511" s="52">
        <v>226.61843878997101</v>
      </c>
      <c r="B511" s="52">
        <v>226.85290197620026</v>
      </c>
      <c r="C511" s="52">
        <v>221.09878461415803</v>
      </c>
      <c r="D511" s="52">
        <v>221.96825226309141</v>
      </c>
      <c r="E511" s="52">
        <v>4845715.9448871715</v>
      </c>
      <c r="F511" s="52" t="s">
        <v>586</v>
      </c>
      <c r="G511" s="26">
        <f t="shared" si="5"/>
        <v>2.0949782139870532E-2</v>
      </c>
    </row>
    <row r="512" spans="1:7">
      <c r="A512" s="52">
        <v>221.54817238776405</v>
      </c>
      <c r="B512" s="52">
        <v>221.70448117858353</v>
      </c>
      <c r="C512" s="52">
        <v>218.83435870015506</v>
      </c>
      <c r="D512" s="52">
        <v>220.17070116866736</v>
      </c>
      <c r="E512" s="52">
        <v>1731668.6961809874</v>
      </c>
      <c r="F512" s="52" t="s">
        <v>587</v>
      </c>
      <c r="G512" s="26">
        <f t="shared" si="5"/>
        <v>6.2563783999645128E-3</v>
      </c>
    </row>
    <row r="513" spans="1:7">
      <c r="A513" s="52">
        <v>219.87762218588082</v>
      </c>
      <c r="B513" s="52">
        <v>221.20624690784643</v>
      </c>
      <c r="C513" s="52">
        <v>218.83230714727554</v>
      </c>
      <c r="D513" s="52">
        <v>220.00462307842164</v>
      </c>
      <c r="E513" s="52">
        <v>2743875.3620410091</v>
      </c>
      <c r="F513" s="52" t="s">
        <v>588</v>
      </c>
      <c r="G513" s="26">
        <f t="shared" si="5"/>
        <v>-5.7726465364116297E-4</v>
      </c>
    </row>
    <row r="514" spans="1:7">
      <c r="A514" s="52">
        <v>221.5677109866165</v>
      </c>
      <c r="B514" s="52">
        <v>223.13079889481131</v>
      </c>
      <c r="C514" s="52">
        <v>220.39539505547035</v>
      </c>
      <c r="D514" s="52">
        <v>222.13433035333711</v>
      </c>
      <c r="E514" s="52">
        <v>1487108.6826360847</v>
      </c>
      <c r="F514" s="52" t="s">
        <v>589</v>
      </c>
      <c r="G514" s="26">
        <f t="shared" si="5"/>
        <v>-2.550796024276436E-3</v>
      </c>
    </row>
    <row r="515" spans="1:7">
      <c r="A515" s="52">
        <v>223.5118015724338</v>
      </c>
      <c r="B515" s="52">
        <v>225.38750706226759</v>
      </c>
      <c r="C515" s="52">
        <v>222.82795061259856</v>
      </c>
      <c r="D515" s="52">
        <v>224.7231947012848</v>
      </c>
      <c r="E515" s="52">
        <v>1405816.2618235233</v>
      </c>
      <c r="F515" s="52" t="s">
        <v>590</v>
      </c>
      <c r="G515" s="26">
        <f t="shared" si="5"/>
        <v>-5.3906012259270497E-3</v>
      </c>
    </row>
    <row r="516" spans="1:7">
      <c r="A516" s="52">
        <v>225.03581228292376</v>
      </c>
      <c r="B516" s="52">
        <v>229.1535719910745</v>
      </c>
      <c r="C516" s="52">
        <v>224.25426832882636</v>
      </c>
      <c r="D516" s="52">
        <v>228.37691268669019</v>
      </c>
      <c r="E516" s="52">
        <v>1333346.3774324269</v>
      </c>
      <c r="F516" s="52" t="s">
        <v>591</v>
      </c>
      <c r="G516" s="26">
        <f t="shared" si="5"/>
        <v>-1.462976429824181E-2</v>
      </c>
    </row>
    <row r="517" spans="1:7">
      <c r="A517" s="52">
        <v>229.04122504767298</v>
      </c>
      <c r="B517" s="52">
        <v>230.60431295586784</v>
      </c>
      <c r="C517" s="52">
        <v>228.63091447177186</v>
      </c>
      <c r="D517" s="52">
        <v>229.02168644882056</v>
      </c>
      <c r="E517" s="52">
        <v>1396401.0524019394</v>
      </c>
      <c r="F517" s="52" t="s">
        <v>592</v>
      </c>
      <c r="G517" s="26">
        <f t="shared" si="5"/>
        <v>8.5313313142432179E-5</v>
      </c>
    </row>
    <row r="518" spans="1:7">
      <c r="A518" s="52">
        <v>229.44176632414792</v>
      </c>
      <c r="B518" s="52">
        <v>232.67540443422595</v>
      </c>
      <c r="C518" s="52">
        <v>228.86049300828796</v>
      </c>
      <c r="D518" s="52">
        <v>232.18693946291506</v>
      </c>
      <c r="E518" s="52">
        <v>1594488.9516024285</v>
      </c>
      <c r="F518" s="52" t="s">
        <v>593</v>
      </c>
      <c r="G518" s="26">
        <f t="shared" si="5"/>
        <v>-1.1823116085328267E-2</v>
      </c>
    </row>
    <row r="519" spans="1:7">
      <c r="A519" s="52">
        <v>231.65939729389933</v>
      </c>
      <c r="B519" s="52">
        <v>231.84501398299744</v>
      </c>
      <c r="C519" s="52">
        <v>229.48084352185279</v>
      </c>
      <c r="D519" s="52">
        <v>230.95600773521164</v>
      </c>
      <c r="E519" s="52">
        <v>989911.31073809077</v>
      </c>
      <c r="F519" s="52" t="s">
        <v>594</v>
      </c>
      <c r="G519" s="26">
        <f t="shared" si="5"/>
        <v>3.0455564485427633E-3</v>
      </c>
    </row>
    <row r="520" spans="1:7">
      <c r="A520" s="52">
        <v>230.84854544152327</v>
      </c>
      <c r="B520" s="52">
        <v>231.62032009619446</v>
      </c>
      <c r="C520" s="52">
        <v>229.31476543160707</v>
      </c>
      <c r="D520" s="52">
        <v>231.62032009619446</v>
      </c>
      <c r="E520" s="52">
        <v>1827200.6232192125</v>
      </c>
      <c r="F520" s="52" t="s">
        <v>595</v>
      </c>
      <c r="G520" s="26">
        <f t="shared" si="5"/>
        <v>-3.3320679910582296E-3</v>
      </c>
    </row>
    <row r="521" spans="1:7">
      <c r="A521" s="52">
        <v>231.16116302316223</v>
      </c>
      <c r="B521" s="52">
        <v>232.83659787475855</v>
      </c>
      <c r="C521" s="52">
        <v>230.12561728398316</v>
      </c>
      <c r="D521" s="52">
        <v>231.19047092144089</v>
      </c>
      <c r="E521" s="52">
        <v>1321949.4496546581</v>
      </c>
      <c r="F521" s="52" t="s">
        <v>596</v>
      </c>
      <c r="G521" s="26">
        <f t="shared" si="5"/>
        <v>-1.2676949080925315E-4</v>
      </c>
    </row>
    <row r="522" spans="1:7">
      <c r="A522" s="52">
        <v>231.81570608471881</v>
      </c>
      <c r="B522" s="52">
        <v>232.23578596004617</v>
      </c>
      <c r="C522" s="52">
        <v>229.16822594021383</v>
      </c>
      <c r="D522" s="52">
        <v>230.5945436564416</v>
      </c>
      <c r="E522" s="52">
        <v>1195585.2196171361</v>
      </c>
      <c r="F522" s="52" t="s">
        <v>597</v>
      </c>
      <c r="G522" s="26">
        <f t="shared" si="5"/>
        <v>5.295712591086188E-3</v>
      </c>
    </row>
    <row r="523" spans="1:7">
      <c r="A523" s="52">
        <v>229.57853651611495</v>
      </c>
      <c r="B523" s="52">
        <v>233.43740978947093</v>
      </c>
      <c r="C523" s="52">
        <v>228.95818600255015</v>
      </c>
      <c r="D523" s="52">
        <v>232.53863424225892</v>
      </c>
      <c r="E523" s="52">
        <v>1074250.0093543741</v>
      </c>
      <c r="F523" s="52" t="s">
        <v>598</v>
      </c>
      <c r="G523" s="26">
        <f t="shared" si="5"/>
        <v>-1.2729487879679091E-2</v>
      </c>
    </row>
    <row r="524" spans="1:7">
      <c r="A524" s="52">
        <v>231.4835499042274</v>
      </c>
      <c r="B524" s="52">
        <v>232.96848341701249</v>
      </c>
      <c r="C524" s="52">
        <v>229.86184619947528</v>
      </c>
      <c r="D524" s="52">
        <v>231.14162442430978</v>
      </c>
      <c r="E524" s="52">
        <v>1098493.3035423276</v>
      </c>
      <c r="F524" s="52" t="s">
        <v>599</v>
      </c>
      <c r="G524" s="26">
        <f t="shared" si="5"/>
        <v>1.4792899408284654E-3</v>
      </c>
    </row>
    <row r="525" spans="1:7">
      <c r="A525" s="52">
        <v>230.23307957767153</v>
      </c>
      <c r="B525" s="52">
        <v>230.86808404037569</v>
      </c>
      <c r="C525" s="52">
        <v>228.33783548898532</v>
      </c>
      <c r="D525" s="52">
        <v>229.57853651611495</v>
      </c>
      <c r="E525" s="52">
        <v>2082437.9632999429</v>
      </c>
      <c r="F525" s="52" t="s">
        <v>600</v>
      </c>
      <c r="G525" s="26">
        <f t="shared" si="5"/>
        <v>2.8510638297871704E-3</v>
      </c>
    </row>
    <row r="526" spans="1:7">
      <c r="A526" s="52">
        <v>229.57853651611495</v>
      </c>
      <c r="B526" s="52">
        <v>230.99020028320342</v>
      </c>
      <c r="C526" s="52">
        <v>228.52120523921542</v>
      </c>
      <c r="D526" s="52">
        <v>228.73837676546023</v>
      </c>
      <c r="E526" s="52">
        <v>1967171.7655029965</v>
      </c>
      <c r="F526" s="52" t="s">
        <v>601</v>
      </c>
      <c r="G526" s="26">
        <f t="shared" si="5"/>
        <v>3.6730161441873577E-3</v>
      </c>
    </row>
    <row r="527" spans="1:7">
      <c r="A527" s="52">
        <v>228.19129599759208</v>
      </c>
      <c r="B527" s="52">
        <v>231.54216570078469</v>
      </c>
      <c r="C527" s="52">
        <v>227.80052402054335</v>
      </c>
      <c r="D527" s="52">
        <v>231.54216570078469</v>
      </c>
      <c r="E527" s="52">
        <v>1791190.8762914124</v>
      </c>
      <c r="F527" s="52" t="s">
        <v>602</v>
      </c>
      <c r="G527" s="26">
        <f t="shared" si="5"/>
        <v>-1.447196320830324E-2</v>
      </c>
    </row>
    <row r="528" spans="1:7">
      <c r="A528" s="52">
        <v>231.67893589275175</v>
      </c>
      <c r="B528" s="52">
        <v>234.04310635389643</v>
      </c>
      <c r="C528" s="52">
        <v>230.66273336643661</v>
      </c>
      <c r="D528" s="52">
        <v>232.37255615201323</v>
      </c>
      <c r="E528" s="52">
        <v>1146520.2888490574</v>
      </c>
      <c r="F528" s="52" t="s">
        <v>603</v>
      </c>
      <c r="G528" s="26">
        <f t="shared" si="5"/>
        <v>-2.9849491297403441E-3</v>
      </c>
    </row>
    <row r="529" spans="1:7">
      <c r="A529" s="52">
        <v>231.12208582545736</v>
      </c>
      <c r="B529" s="52">
        <v>232.50932634398026</v>
      </c>
      <c r="C529" s="52">
        <v>230.12561728398316</v>
      </c>
      <c r="D529" s="52">
        <v>231.34677971226037</v>
      </c>
      <c r="E529" s="52">
        <v>1285072.7009460272</v>
      </c>
      <c r="F529" s="52" t="s">
        <v>604</v>
      </c>
      <c r="G529" s="26">
        <f t="shared" si="5"/>
        <v>-9.7124276846416446E-4</v>
      </c>
    </row>
    <row r="530" spans="1:7">
      <c r="A530" s="52">
        <v>229.26591893447599</v>
      </c>
      <c r="B530" s="52">
        <v>236.70035579782763</v>
      </c>
      <c r="C530" s="52">
        <v>228.72860746603402</v>
      </c>
      <c r="D530" s="52">
        <v>233.26156239979903</v>
      </c>
      <c r="E530" s="52">
        <v>1763026.113600079</v>
      </c>
      <c r="F530" s="52" t="s">
        <v>605</v>
      </c>
      <c r="G530" s="26">
        <f t="shared" si="5"/>
        <v>-1.7129455124178183E-2</v>
      </c>
    </row>
    <row r="531" spans="1:7">
      <c r="A531" s="52">
        <v>234.80511170914141</v>
      </c>
      <c r="B531" s="52">
        <v>237.6675164410232</v>
      </c>
      <c r="C531" s="52">
        <v>224.93811928866157</v>
      </c>
      <c r="D531" s="52">
        <v>237.39397605708908</v>
      </c>
      <c r="E531" s="52">
        <v>3879022.2662539263</v>
      </c>
      <c r="F531" s="52" t="s">
        <v>606</v>
      </c>
      <c r="G531" s="26">
        <f t="shared" si="5"/>
        <v>-1.0905349794238628E-2</v>
      </c>
    </row>
    <row r="532" spans="1:7">
      <c r="A532" s="52">
        <v>228.32806618955911</v>
      </c>
      <c r="B532" s="52">
        <v>230.64339015357268</v>
      </c>
      <c r="C532" s="52">
        <v>227.09713446185569</v>
      </c>
      <c r="D532" s="52">
        <v>228.63091447177186</v>
      </c>
      <c r="E532" s="52">
        <v>2785915.2240701956</v>
      </c>
      <c r="F532" s="52" t="s">
        <v>607</v>
      </c>
      <c r="G532" s="26">
        <f t="shared" si="5"/>
        <v>-1.3246165021578715E-3</v>
      </c>
    </row>
    <row r="533" spans="1:7">
      <c r="A533" s="52">
        <v>229.18776453906625</v>
      </c>
      <c r="B533" s="52">
        <v>229.41245842586929</v>
      </c>
      <c r="C533" s="52">
        <v>226.70636248480699</v>
      </c>
      <c r="D533" s="52">
        <v>227.43905994177331</v>
      </c>
      <c r="E533" s="52">
        <v>1725751.1787134751</v>
      </c>
      <c r="F533" s="52" t="s">
        <v>608</v>
      </c>
      <c r="G533" s="26">
        <f t="shared" si="5"/>
        <v>7.6886731669600916E-3</v>
      </c>
    </row>
    <row r="534" spans="1:7">
      <c r="A534" s="52">
        <v>228.05452580562502</v>
      </c>
      <c r="B534" s="52">
        <v>229.09007154480409</v>
      </c>
      <c r="C534" s="52">
        <v>226.49143789743019</v>
      </c>
      <c r="D534" s="52">
        <v>226.49143789743019</v>
      </c>
      <c r="E534" s="52">
        <v>940272.13203725405</v>
      </c>
      <c r="F534" s="52" t="s">
        <v>609</v>
      </c>
      <c r="G534" s="26">
        <f t="shared" si="5"/>
        <v>6.9013112491373985E-3</v>
      </c>
    </row>
    <row r="535" spans="1:7">
      <c r="A535" s="52">
        <v>226.20812821406989</v>
      </c>
      <c r="B535" s="52">
        <v>227.7809854216909</v>
      </c>
      <c r="C535" s="52">
        <v>224.69388680300614</v>
      </c>
      <c r="D535" s="52">
        <v>224.69388680300614</v>
      </c>
      <c r="E535" s="52">
        <v>755585.39849749312</v>
      </c>
      <c r="F535" s="52" t="s">
        <v>610</v>
      </c>
      <c r="G535" s="26">
        <f t="shared" si="5"/>
        <v>6.7391304347825809E-3</v>
      </c>
    </row>
    <row r="536" spans="1:7">
      <c r="A536" s="52">
        <v>225.16281317546458</v>
      </c>
      <c r="B536" s="52">
        <v>229.2756882339022</v>
      </c>
      <c r="C536" s="52">
        <v>225.08465878005484</v>
      </c>
      <c r="D536" s="52">
        <v>228.51368287865725</v>
      </c>
      <c r="E536" s="52">
        <v>906018.90819789039</v>
      </c>
      <c r="F536" s="52" t="s">
        <v>611</v>
      </c>
      <c r="G536" s="26">
        <f t="shared" si="5"/>
        <v>-1.4663759565644918E-2</v>
      </c>
    </row>
    <row r="537" spans="1:7">
      <c r="A537" s="52">
        <v>228.43552848324751</v>
      </c>
      <c r="B537" s="52">
        <v>229.15845664078759</v>
      </c>
      <c r="C537" s="52">
        <v>224.71831005157168</v>
      </c>
      <c r="D537" s="52">
        <v>226.97013356931487</v>
      </c>
      <c r="E537" s="52">
        <v>798271.16149917559</v>
      </c>
      <c r="F537" s="52" t="s">
        <v>612</v>
      </c>
      <c r="G537" s="26">
        <f t="shared" si="5"/>
        <v>6.4563336633236545E-3</v>
      </c>
    </row>
    <row r="538" spans="1:7">
      <c r="A538" s="52">
        <v>228.95330135283706</v>
      </c>
      <c r="B538" s="52">
        <v>230.72642919869554</v>
      </c>
      <c r="C538" s="52">
        <v>228.01056395820703</v>
      </c>
      <c r="D538" s="52">
        <v>229.16822594021383</v>
      </c>
      <c r="E538" s="52">
        <v>819411.8790664702</v>
      </c>
      <c r="F538" s="52" t="s">
        <v>613</v>
      </c>
      <c r="G538" s="26">
        <f t="shared" si="5"/>
        <v>-9.3784636371374575E-4</v>
      </c>
    </row>
    <row r="539" spans="1:7">
      <c r="A539" s="52">
        <v>228.48437498037859</v>
      </c>
      <c r="B539" s="52">
        <v>230.62385155472023</v>
      </c>
      <c r="C539" s="52">
        <v>227.94706351193662</v>
      </c>
      <c r="D539" s="52">
        <v>229.30499613218086</v>
      </c>
      <c r="E539" s="52">
        <v>786562.03119111957</v>
      </c>
      <c r="F539" s="52" t="s">
        <v>614</v>
      </c>
      <c r="G539" s="26">
        <f t="shared" si="5"/>
        <v>-3.5787321063394106E-3</v>
      </c>
    </row>
    <row r="540" spans="1:7">
      <c r="A540" s="52">
        <v>228.71883816660781</v>
      </c>
      <c r="B540" s="52">
        <v>230.19400237996666</v>
      </c>
      <c r="C540" s="52">
        <v>227.69306172685495</v>
      </c>
      <c r="D540" s="52">
        <v>229.28545753332841</v>
      </c>
      <c r="E540" s="52">
        <v>1295042.7096181547</v>
      </c>
      <c r="F540" s="52" t="s">
        <v>615</v>
      </c>
      <c r="G540" s="26">
        <f t="shared" si="5"/>
        <v>-2.4712398806986391E-3</v>
      </c>
    </row>
    <row r="541" spans="1:7">
      <c r="A541" s="52">
        <v>227.77121612226469</v>
      </c>
      <c r="B541" s="52">
        <v>227.86890911652688</v>
      </c>
      <c r="C541" s="52">
        <v>225.15304387603837</v>
      </c>
      <c r="D541" s="52">
        <v>227.24367395324896</v>
      </c>
      <c r="E541" s="52">
        <v>912725.63271737495</v>
      </c>
      <c r="F541" s="52" t="s">
        <v>616</v>
      </c>
      <c r="G541" s="26">
        <f t="shared" si="5"/>
        <v>2.3214823094448445E-3</v>
      </c>
    </row>
    <row r="542" spans="1:7">
      <c r="A542" s="52">
        <v>226.85290197620026</v>
      </c>
      <c r="B542" s="52">
        <v>227.27298185152759</v>
      </c>
      <c r="C542" s="52">
        <v>224.10284418771997</v>
      </c>
      <c r="D542" s="52">
        <v>225.41681496054625</v>
      </c>
      <c r="E542" s="52">
        <v>1546237.7946428037</v>
      </c>
      <c r="F542" s="52" t="s">
        <v>617</v>
      </c>
      <c r="G542" s="26">
        <f t="shared" si="5"/>
        <v>6.3708069688828139E-3</v>
      </c>
    </row>
    <row r="543" spans="1:7">
      <c r="A543" s="52">
        <v>225.6805860450541</v>
      </c>
      <c r="B543" s="52">
        <v>229.67134486066402</v>
      </c>
      <c r="C543" s="52">
        <v>225.38750706226759</v>
      </c>
      <c r="D543" s="52">
        <v>229.40268912644305</v>
      </c>
      <c r="E543" s="52">
        <v>1089279.7462468636</v>
      </c>
      <c r="F543" s="52" t="s">
        <v>618</v>
      </c>
      <c r="G543" s="26">
        <f t="shared" si="5"/>
        <v>-1.6225193765437407E-2</v>
      </c>
    </row>
    <row r="544" spans="1:7">
      <c r="A544" s="52">
        <v>229.30499613218086</v>
      </c>
      <c r="B544" s="52">
        <v>232.57282679025067</v>
      </c>
      <c r="C544" s="52">
        <v>229.21707243734491</v>
      </c>
      <c r="D544" s="52">
        <v>231.63985869504691</v>
      </c>
      <c r="E544" s="52">
        <v>892864.43371683185</v>
      </c>
      <c r="F544" s="52" t="s">
        <v>619</v>
      </c>
      <c r="G544" s="26">
        <f t="shared" si="5"/>
        <v>-1.0079709839315165E-2</v>
      </c>
    </row>
    <row r="545" spans="1:7">
      <c r="A545" s="52">
        <v>229.74461460636064</v>
      </c>
      <c r="B545" s="52">
        <v>234.48272482807624</v>
      </c>
      <c r="C545" s="52">
        <v>228.34760478841156</v>
      </c>
      <c r="D545" s="52">
        <v>233.61325717914286</v>
      </c>
      <c r="E545" s="52">
        <v>1052733.6251358814</v>
      </c>
      <c r="F545" s="52" t="s">
        <v>620</v>
      </c>
      <c r="G545" s="26">
        <f t="shared" si="5"/>
        <v>-1.6560030109145751E-2</v>
      </c>
    </row>
    <row r="546" spans="1:7">
      <c r="A546" s="52">
        <v>235.05911349422308</v>
      </c>
      <c r="B546" s="52">
        <v>237.68705503987562</v>
      </c>
      <c r="C546" s="52">
        <v>234.11149144987994</v>
      </c>
      <c r="D546" s="52">
        <v>235.37173107586204</v>
      </c>
      <c r="E546" s="52">
        <v>1034315.7230786339</v>
      </c>
      <c r="F546" s="52" t="s">
        <v>621</v>
      </c>
      <c r="G546" s="26">
        <f t="shared" si="5"/>
        <v>-1.3281866102187179E-3</v>
      </c>
    </row>
    <row r="547" spans="1:7">
      <c r="A547" s="52">
        <v>235.43034687241934</v>
      </c>
      <c r="B547" s="52">
        <v>238.11690421462922</v>
      </c>
      <c r="C547" s="52">
        <v>233.70118087397881</v>
      </c>
      <c r="D547" s="52">
        <v>237.7359015370067</v>
      </c>
      <c r="E547" s="52">
        <v>851012.91682067129</v>
      </c>
      <c r="F547" s="52" t="s">
        <v>622</v>
      </c>
      <c r="G547" s="26">
        <f t="shared" si="5"/>
        <v>-9.6979658927470735E-3</v>
      </c>
    </row>
    <row r="548" spans="1:7">
      <c r="A548" s="52">
        <v>240.13914919585625</v>
      </c>
      <c r="B548" s="52">
        <v>240.42245887921655</v>
      </c>
      <c r="C548" s="52">
        <v>235.45965477069799</v>
      </c>
      <c r="D548" s="52">
        <v>237.07158917602391</v>
      </c>
      <c r="E548" s="52">
        <v>967316.03646411316</v>
      </c>
      <c r="F548" s="52" t="s">
        <v>623</v>
      </c>
      <c r="G548" s="26">
        <f t="shared" si="5"/>
        <v>1.2939382700787094E-2</v>
      </c>
    </row>
    <row r="549" spans="1:7">
      <c r="A549" s="52">
        <v>236.14350573053324</v>
      </c>
      <c r="B549" s="52">
        <v>239.9437632073319</v>
      </c>
      <c r="C549" s="52">
        <v>235.98719693971375</v>
      </c>
      <c r="D549" s="52">
        <v>239.9437632073319</v>
      </c>
      <c r="E549" s="52">
        <v>2135260.5841948572</v>
      </c>
      <c r="F549" s="52" t="s">
        <v>624</v>
      </c>
      <c r="G549" s="26">
        <f t="shared" si="5"/>
        <v>-1.5838117340499114E-2</v>
      </c>
    </row>
    <row r="550" spans="1:7">
      <c r="A550" s="52">
        <v>240.49084397520008</v>
      </c>
      <c r="B550" s="52">
        <v>240.59830626888848</v>
      </c>
      <c r="C550" s="52">
        <v>236.66127860012276</v>
      </c>
      <c r="D550" s="52">
        <v>237.44282255422019</v>
      </c>
      <c r="E550" s="52">
        <v>1263776.3939210158</v>
      </c>
      <c r="F550" s="52" t="s">
        <v>625</v>
      </c>
      <c r="G550" s="26">
        <f t="shared" si="5"/>
        <v>1.2836864842624918E-2</v>
      </c>
    </row>
    <row r="551" spans="1:7">
      <c r="A551" s="52">
        <v>237.44282255422019</v>
      </c>
      <c r="B551" s="52">
        <v>241.2235414321664</v>
      </c>
      <c r="C551" s="52">
        <v>237.33536026053179</v>
      </c>
      <c r="D551" s="52">
        <v>240.1196105970038</v>
      </c>
      <c r="E551" s="52">
        <v>975045.35222214542</v>
      </c>
      <c r="F551" s="52" t="s">
        <v>626</v>
      </c>
      <c r="G551" s="26">
        <f t="shared" si="5"/>
        <v>-1.1147727735058233E-2</v>
      </c>
    </row>
    <row r="552" spans="1:7">
      <c r="A552" s="52">
        <v>237.97036472323595</v>
      </c>
      <c r="B552" s="52">
        <v>239.59206842798807</v>
      </c>
      <c r="C552" s="52">
        <v>234.77580381086275</v>
      </c>
      <c r="D552" s="52">
        <v>235.9578890414351</v>
      </c>
      <c r="E552" s="52">
        <v>1244488.4192383774</v>
      </c>
      <c r="F552" s="52" t="s">
        <v>627</v>
      </c>
      <c r="G552" s="26">
        <f t="shared" si="5"/>
        <v>8.5289612056473896E-3</v>
      </c>
    </row>
    <row r="553" spans="1:7">
      <c r="A553" s="52">
        <v>235.45965477069799</v>
      </c>
      <c r="B553" s="52">
        <v>237.52097694962993</v>
      </c>
      <c r="C553" s="52">
        <v>234.69764941545301</v>
      </c>
      <c r="D553" s="52">
        <v>237.31582166167934</v>
      </c>
      <c r="E553" s="52">
        <v>1256641.7983928095</v>
      </c>
      <c r="F553" s="52" t="s">
        <v>628</v>
      </c>
      <c r="G553" s="26">
        <f t="shared" si="5"/>
        <v>-7.8215050222294469E-3</v>
      </c>
    </row>
    <row r="554" spans="1:7">
      <c r="A554" s="52">
        <v>238.41975249684197</v>
      </c>
      <c r="B554" s="52">
        <v>242.09300908109978</v>
      </c>
      <c r="C554" s="52">
        <v>237.12532032286811</v>
      </c>
      <c r="D554" s="52">
        <v>241.41892742069078</v>
      </c>
      <c r="E554" s="52">
        <v>683133.9391737578</v>
      </c>
      <c r="F554" s="52" t="s">
        <v>629</v>
      </c>
      <c r="G554" s="26">
        <f t="shared" si="5"/>
        <v>-1.2423114276464808E-2</v>
      </c>
    </row>
    <row r="555" spans="1:7">
      <c r="A555" s="52">
        <v>241.74131430175595</v>
      </c>
      <c r="B555" s="52">
        <v>242.68893634609904</v>
      </c>
      <c r="C555" s="52">
        <v>239.67022282339781</v>
      </c>
      <c r="D555" s="52">
        <v>241.03792474306826</v>
      </c>
      <c r="E555" s="52">
        <v>1119752.7604326166</v>
      </c>
      <c r="F555" s="52" t="s">
        <v>630</v>
      </c>
      <c r="G555" s="26">
        <f t="shared" si="5"/>
        <v>2.9181696591416006E-3</v>
      </c>
    </row>
    <row r="556" spans="1:7">
      <c r="A556" s="52">
        <v>240.84253875454394</v>
      </c>
      <c r="B556" s="52">
        <v>240.90115455110123</v>
      </c>
      <c r="C556" s="52">
        <v>237.09112777487633</v>
      </c>
      <c r="D556" s="52">
        <v>237.65774714159699</v>
      </c>
      <c r="E556" s="52">
        <v>859376.87378781231</v>
      </c>
      <c r="F556" s="52" t="s">
        <v>631</v>
      </c>
      <c r="G556" s="26">
        <f t="shared" si="5"/>
        <v>1.3400748139926755E-2</v>
      </c>
    </row>
    <row r="557" spans="1:7">
      <c r="A557" s="52">
        <v>236.29981452135272</v>
      </c>
      <c r="B557" s="52">
        <v>237.25720586512205</v>
      </c>
      <c r="C557" s="52">
        <v>235.03957489537063</v>
      </c>
      <c r="D557" s="52">
        <v>236.62220140241791</v>
      </c>
      <c r="E557" s="52">
        <v>899778.9520515569</v>
      </c>
      <c r="F557" s="52" t="s">
        <v>632</v>
      </c>
      <c r="G557" s="26">
        <f t="shared" si="5"/>
        <v>-1.3624540687833253E-3</v>
      </c>
    </row>
    <row r="558" spans="1:7">
      <c r="A558" s="52">
        <v>236.09465923340213</v>
      </c>
      <c r="B558" s="52">
        <v>240.09030269872517</v>
      </c>
      <c r="C558" s="52">
        <v>235.00049769766576</v>
      </c>
      <c r="D558" s="52">
        <v>239.68976142225023</v>
      </c>
      <c r="E558" s="52">
        <v>1796935.4028486998</v>
      </c>
      <c r="F558" s="52" t="s">
        <v>633</v>
      </c>
      <c r="G558" s="26">
        <f t="shared" si="5"/>
        <v>-1.4998981047483206E-2</v>
      </c>
    </row>
    <row r="559" spans="1:7">
      <c r="A559" s="52">
        <v>240.56899837060982</v>
      </c>
      <c r="B559" s="52">
        <v>240.96953964708476</v>
      </c>
      <c r="C559" s="52">
        <v>236.46589261159843</v>
      </c>
      <c r="D559" s="52">
        <v>237.29628306282692</v>
      </c>
      <c r="E559" s="52">
        <v>2282799.3110898361</v>
      </c>
      <c r="F559" s="52" t="s">
        <v>634</v>
      </c>
      <c r="G559" s="26">
        <f t="shared" si="5"/>
        <v>1.379168382050211E-2</v>
      </c>
    </row>
    <row r="560" spans="1:7">
      <c r="A560" s="52">
        <v>236.04581273627105</v>
      </c>
      <c r="B560" s="52">
        <v>236.39750751561488</v>
      </c>
      <c r="C560" s="52">
        <v>232.20647806176751</v>
      </c>
      <c r="D560" s="52">
        <v>233.44717908889717</v>
      </c>
      <c r="E560" s="52">
        <v>1389102.678497189</v>
      </c>
      <c r="F560" s="52" t="s">
        <v>635</v>
      </c>
      <c r="G560" s="26">
        <f t="shared" si="5"/>
        <v>1.1131570137261404E-2</v>
      </c>
    </row>
    <row r="561" spans="1:7">
      <c r="A561" s="52">
        <v>232.38232545143944</v>
      </c>
      <c r="B561" s="52">
        <v>235.04934419479684</v>
      </c>
      <c r="C561" s="52">
        <v>230.88762263922814</v>
      </c>
      <c r="D561" s="52">
        <v>234.32641603725676</v>
      </c>
      <c r="E561" s="52">
        <v>802553.96604580618</v>
      </c>
      <c r="F561" s="52" t="s">
        <v>636</v>
      </c>
      <c r="G561" s="26">
        <f t="shared" si="5"/>
        <v>-8.2965062953389568E-3</v>
      </c>
    </row>
    <row r="562" spans="1:7">
      <c r="A562" s="52">
        <v>234.69764941545301</v>
      </c>
      <c r="B562" s="52">
        <v>234.7953424097152</v>
      </c>
      <c r="C562" s="52">
        <v>232.43605659828364</v>
      </c>
      <c r="D562" s="52">
        <v>232.6949430330784</v>
      </c>
      <c r="E562" s="52">
        <v>1095689.6224588617</v>
      </c>
      <c r="F562" s="52" t="s">
        <v>637</v>
      </c>
      <c r="G562" s="26">
        <f t="shared" si="5"/>
        <v>8.606574583315707E-3</v>
      </c>
    </row>
    <row r="563" spans="1:7">
      <c r="A563" s="52">
        <v>232.23578596004617</v>
      </c>
      <c r="B563" s="52">
        <v>233.93564406020803</v>
      </c>
      <c r="C563" s="52">
        <v>230.96577703463785</v>
      </c>
      <c r="D563" s="52">
        <v>232.12832366635777</v>
      </c>
      <c r="E563" s="52">
        <v>1168777.7702214126</v>
      </c>
      <c r="F563" s="52" t="s">
        <v>638</v>
      </c>
      <c r="G563" s="26">
        <f t="shared" si="5"/>
        <v>4.6294347880992959E-4</v>
      </c>
    </row>
    <row r="564" spans="1:7">
      <c r="A564" s="52">
        <v>231.24908671799818</v>
      </c>
      <c r="B564" s="52">
        <v>232.27486315775101</v>
      </c>
      <c r="C564" s="52">
        <v>226.8235940779216</v>
      </c>
      <c r="D564" s="52">
        <v>226.8235940779216</v>
      </c>
      <c r="E564" s="52">
        <v>2749440.7559989514</v>
      </c>
      <c r="F564" s="52" t="s">
        <v>639</v>
      </c>
      <c r="G564" s="26">
        <f t="shared" si="5"/>
        <v>1.9510724437936E-2</v>
      </c>
    </row>
    <row r="565" spans="1:7">
      <c r="A565" s="52">
        <v>231.69847449160417</v>
      </c>
      <c r="B565" s="52">
        <v>234.1896458452897</v>
      </c>
      <c r="C565" s="52">
        <v>229.76415320521309</v>
      </c>
      <c r="D565" s="52">
        <v>232.79263602734056</v>
      </c>
      <c r="E565" s="52">
        <v>1148121.2224797769</v>
      </c>
      <c r="F565" s="52" t="s">
        <v>640</v>
      </c>
      <c r="G565" s="26">
        <f t="shared" si="5"/>
        <v>-4.700155272986728E-3</v>
      </c>
    </row>
    <row r="566" spans="1:7">
      <c r="A566" s="52">
        <v>233.29087029807769</v>
      </c>
      <c r="B566" s="52">
        <v>235.87973464602536</v>
      </c>
      <c r="C566" s="52">
        <v>231.84989863271056</v>
      </c>
      <c r="D566" s="52">
        <v>232.63632723652108</v>
      </c>
      <c r="E566" s="52">
        <v>984123.79235696048</v>
      </c>
      <c r="F566" s="52" t="s">
        <v>641</v>
      </c>
      <c r="G566" s="26">
        <f t="shared" si="5"/>
        <v>2.8135892159746323E-3</v>
      </c>
    </row>
    <row r="567" spans="1:7">
      <c r="A567" s="52">
        <v>232.33347895430833</v>
      </c>
      <c r="B567" s="52">
        <v>233.92587476078182</v>
      </c>
      <c r="C567" s="52">
        <v>231.76685958758773</v>
      </c>
      <c r="D567" s="52">
        <v>232.95871411758628</v>
      </c>
      <c r="E567" s="52">
        <v>1248665.7914551075</v>
      </c>
      <c r="F567" s="52" t="s">
        <v>642</v>
      </c>
      <c r="G567" s="26">
        <f t="shared" si="5"/>
        <v>-2.6838882831502486E-3</v>
      </c>
    </row>
    <row r="568" spans="1:7">
      <c r="A568" s="52">
        <v>233.9747212579129</v>
      </c>
      <c r="B568" s="52">
        <v>236.78827949266358</v>
      </c>
      <c r="C568" s="52">
        <v>233.03686851299599</v>
      </c>
      <c r="D568" s="52">
        <v>234.15056864758483</v>
      </c>
      <c r="E568" s="52">
        <v>986977.63056824298</v>
      </c>
      <c r="F568" s="52" t="s">
        <v>643</v>
      </c>
      <c r="G568" s="26">
        <f t="shared" si="5"/>
        <v>-7.5100133511352141E-4</v>
      </c>
    </row>
    <row r="569" spans="1:7">
      <c r="A569" s="52">
        <v>234.36549323496163</v>
      </c>
      <c r="B569" s="52">
        <v>235.89927324487778</v>
      </c>
      <c r="C569" s="52">
        <v>230.9169305375068</v>
      </c>
      <c r="D569" s="52">
        <v>232.12832366635777</v>
      </c>
      <c r="E569" s="52">
        <v>1732670.8151224672</v>
      </c>
      <c r="F569" s="52" t="s">
        <v>644</v>
      </c>
      <c r="G569" s="26">
        <f t="shared" ref="G569:G632" si="6">A569/D569-1</f>
        <v>9.6376415134042936E-3</v>
      </c>
    </row>
    <row r="570" spans="1:7">
      <c r="A570" s="52">
        <v>232.13809296578398</v>
      </c>
      <c r="B570" s="52">
        <v>233.26156239979903</v>
      </c>
      <c r="C570" s="52">
        <v>230.49196601246632</v>
      </c>
      <c r="D570" s="52">
        <v>231.60078149734201</v>
      </c>
      <c r="E570" s="52">
        <v>1898616.1843113059</v>
      </c>
      <c r="F570" s="52" t="s">
        <v>645</v>
      </c>
      <c r="G570" s="26">
        <f t="shared" si="6"/>
        <v>2.319989876407913E-3</v>
      </c>
    </row>
    <row r="571" spans="1:7">
      <c r="A571" s="52">
        <v>229.23661103619736</v>
      </c>
      <c r="B571" s="52">
        <v>230.27965707622624</v>
      </c>
      <c r="C571" s="52">
        <v>226.76521463538268</v>
      </c>
      <c r="D571" s="52">
        <v>227.05711184807734</v>
      </c>
      <c r="E571" s="52">
        <v>1372385.1499022697</v>
      </c>
      <c r="F571" s="52" t="s">
        <v>646</v>
      </c>
      <c r="G571" s="26">
        <f t="shared" si="6"/>
        <v>9.5989029825160888E-3</v>
      </c>
    </row>
    <row r="572" spans="1:7">
      <c r="A572" s="52">
        <v>227.14468101188569</v>
      </c>
      <c r="B572" s="52">
        <v>232.16531307023368</v>
      </c>
      <c r="C572" s="52">
        <v>226.8235940779216</v>
      </c>
      <c r="D572" s="52">
        <v>230.8615055201976</v>
      </c>
      <c r="E572" s="52">
        <v>1372795.2257604629</v>
      </c>
      <c r="F572" s="52" t="s">
        <v>647</v>
      </c>
      <c r="G572" s="26">
        <f t="shared" si="6"/>
        <v>-1.6099801913432188E-2</v>
      </c>
    </row>
    <row r="573" spans="1:7">
      <c r="A573" s="52">
        <v>229.28526057164649</v>
      </c>
      <c r="B573" s="52">
        <v>230.14149239555078</v>
      </c>
      <c r="C573" s="52">
        <v>227.24198008278395</v>
      </c>
      <c r="D573" s="52">
        <v>228.0398324641493</v>
      </c>
      <c r="E573" s="52">
        <v>1984265.6072427053</v>
      </c>
      <c r="F573" s="52" t="s">
        <v>648</v>
      </c>
      <c r="G573" s="26">
        <f t="shared" si="6"/>
        <v>5.4614498442635551E-3</v>
      </c>
    </row>
    <row r="574" spans="1:7">
      <c r="A574" s="52">
        <v>228.95444373059254</v>
      </c>
      <c r="B574" s="52">
        <v>229.95175920729926</v>
      </c>
      <c r="C574" s="52">
        <v>227.10576138352644</v>
      </c>
      <c r="D574" s="52">
        <v>229.05174280149075</v>
      </c>
      <c r="E574" s="52">
        <v>1783199.9668475855</v>
      </c>
      <c r="F574" s="52" t="s">
        <v>649</v>
      </c>
      <c r="G574" s="26">
        <f t="shared" si="6"/>
        <v>-4.2479079053558966E-4</v>
      </c>
    </row>
    <row r="575" spans="1:7">
      <c r="A575" s="52">
        <v>229.18796150074826</v>
      </c>
      <c r="B575" s="52">
        <v>233.10911405794639</v>
      </c>
      <c r="C575" s="52">
        <v>228.71119605334701</v>
      </c>
      <c r="D575" s="52">
        <v>233.10911405794639</v>
      </c>
      <c r="E575" s="52">
        <v>1863228.4802559572</v>
      </c>
      <c r="F575" s="52" t="s">
        <v>650</v>
      </c>
      <c r="G575" s="26">
        <f t="shared" si="6"/>
        <v>-1.6821103597963183E-2</v>
      </c>
    </row>
    <row r="576" spans="1:7">
      <c r="A576" s="52">
        <v>232.69072805308406</v>
      </c>
      <c r="B576" s="52">
        <v>235.79456841473714</v>
      </c>
      <c r="C576" s="52">
        <v>232.38910093329957</v>
      </c>
      <c r="D576" s="52">
        <v>234.42265151507229</v>
      </c>
      <c r="E576" s="52">
        <v>852258.90889283153</v>
      </c>
      <c r="F576" s="52" t="s">
        <v>651</v>
      </c>
      <c r="G576" s="26">
        <f t="shared" si="6"/>
        <v>-7.3880380193416251E-3</v>
      </c>
    </row>
    <row r="577" spans="1:7">
      <c r="A577" s="52">
        <v>234.72427863485677</v>
      </c>
      <c r="B577" s="52">
        <v>236.85512828752769</v>
      </c>
      <c r="C577" s="52">
        <v>234.01788738013573</v>
      </c>
      <c r="D577" s="52">
        <v>234.30589262999445</v>
      </c>
      <c r="E577" s="52">
        <v>944512.61611877137</v>
      </c>
      <c r="F577" s="52" t="s">
        <v>652</v>
      </c>
      <c r="G577" s="26">
        <f t="shared" si="6"/>
        <v>1.7856401312237313E-3</v>
      </c>
    </row>
    <row r="578" spans="1:7">
      <c r="A578" s="52">
        <v>235.1913141751682</v>
      </c>
      <c r="B578" s="52">
        <v>239.58923217976758</v>
      </c>
      <c r="C578" s="52">
        <v>235.02590575464123</v>
      </c>
      <c r="D578" s="52">
        <v>239.22922561744417</v>
      </c>
      <c r="E578" s="52">
        <v>965458.34541696717</v>
      </c>
      <c r="F578" s="52" t="s">
        <v>653</v>
      </c>
      <c r="G578" s="26">
        <f t="shared" si="6"/>
        <v>-1.6878838410542163E-2</v>
      </c>
    </row>
    <row r="579" spans="1:7">
      <c r="A579" s="52">
        <v>239.55031255140827</v>
      </c>
      <c r="B579" s="52">
        <v>239.94213590991541</v>
      </c>
      <c r="C579" s="52">
        <v>236.33944321176716</v>
      </c>
      <c r="D579" s="52">
        <v>237.3610834561984</v>
      </c>
      <c r="E579" s="52">
        <v>1020217.347232859</v>
      </c>
      <c r="F579" s="52" t="s">
        <v>654</v>
      </c>
      <c r="G579" s="26">
        <f t="shared" si="6"/>
        <v>9.2232014757123171E-3</v>
      </c>
    </row>
    <row r="580" spans="1:7">
      <c r="A580" s="52">
        <v>237.0399965222343</v>
      </c>
      <c r="B580" s="52">
        <v>238.88867886930043</v>
      </c>
      <c r="C580" s="52">
        <v>234.25237814100041</v>
      </c>
      <c r="D580" s="52">
        <v>238.5773218424261</v>
      </c>
      <c r="E580" s="52">
        <v>1342040.5641550061</v>
      </c>
      <c r="F580" s="52" t="s">
        <v>655</v>
      </c>
      <c r="G580" s="26">
        <f t="shared" si="6"/>
        <v>-6.4437194127242581E-3</v>
      </c>
    </row>
    <row r="581" spans="1:7">
      <c r="A581" s="52">
        <v>238.69408072750397</v>
      </c>
      <c r="B581" s="52">
        <v>238.87894896221059</v>
      </c>
      <c r="C581" s="52">
        <v>233.61020427307218</v>
      </c>
      <c r="D581" s="52">
        <v>234.22805337327586</v>
      </c>
      <c r="E581" s="52">
        <v>1668886.4395207393</v>
      </c>
      <c r="F581" s="52" t="s">
        <v>656</v>
      </c>
      <c r="G581" s="26">
        <f t="shared" si="6"/>
        <v>1.9067004527894227E-2</v>
      </c>
    </row>
    <row r="582" spans="1:7">
      <c r="A582" s="52">
        <v>234.15994402364711</v>
      </c>
      <c r="B582" s="52">
        <v>236.82593856625823</v>
      </c>
      <c r="C582" s="52">
        <v>233.0312748012278</v>
      </c>
      <c r="D582" s="52">
        <v>234.25724309454532</v>
      </c>
      <c r="E582" s="52">
        <v>1227078.5208719692</v>
      </c>
      <c r="F582" s="52" t="s">
        <v>657</v>
      </c>
      <c r="G582" s="26">
        <f t="shared" si="6"/>
        <v>-4.1535138727355481E-4</v>
      </c>
    </row>
    <row r="583" spans="1:7">
      <c r="A583" s="52">
        <v>234.25724309454532</v>
      </c>
      <c r="B583" s="52">
        <v>237.39027317746786</v>
      </c>
      <c r="C583" s="52">
        <v>231.83449622917976</v>
      </c>
      <c r="D583" s="52">
        <v>233.33290192101228</v>
      </c>
      <c r="E583" s="52">
        <v>1626326.9375463382</v>
      </c>
      <c r="F583" s="52" t="s">
        <v>658</v>
      </c>
      <c r="G583" s="26">
        <f t="shared" si="6"/>
        <v>3.9614694966847441E-3</v>
      </c>
    </row>
    <row r="584" spans="1:7">
      <c r="A584" s="52">
        <v>233.47885052735961</v>
      </c>
      <c r="B584" s="52">
        <v>235.75564878637786</v>
      </c>
      <c r="C584" s="52">
        <v>232.03979726877498</v>
      </c>
      <c r="D584" s="52">
        <v>232.42802056165885</v>
      </c>
      <c r="E584" s="52">
        <v>1260406.6911213261</v>
      </c>
      <c r="F584" s="52" t="s">
        <v>659</v>
      </c>
      <c r="G584" s="26">
        <f t="shared" si="6"/>
        <v>4.5210984594776793E-3</v>
      </c>
    </row>
    <row r="585" spans="1:7">
      <c r="A585" s="52">
        <v>232.16531307023368</v>
      </c>
      <c r="B585" s="52">
        <v>233.07992433667692</v>
      </c>
      <c r="C585" s="52">
        <v>230.53068867914365</v>
      </c>
      <c r="D585" s="52">
        <v>232.55450935382652</v>
      </c>
      <c r="E585" s="52">
        <v>1644298.3321738285</v>
      </c>
      <c r="F585" s="52" t="s">
        <v>660</v>
      </c>
      <c r="G585" s="26">
        <f t="shared" si="6"/>
        <v>-1.6735701435085515E-3</v>
      </c>
    </row>
    <row r="586" spans="1:7">
      <c r="A586" s="52">
        <v>232.61288879636547</v>
      </c>
      <c r="B586" s="52">
        <v>238.59678165660577</v>
      </c>
      <c r="C586" s="52">
        <v>230.95170175892022</v>
      </c>
      <c r="D586" s="52">
        <v>236.89404791588697</v>
      </c>
      <c r="E586" s="52">
        <v>1961541.8547999619</v>
      </c>
      <c r="F586" s="52" t="s">
        <v>661</v>
      </c>
      <c r="G586" s="26">
        <f t="shared" si="6"/>
        <v>-1.807204172998722E-2</v>
      </c>
    </row>
    <row r="587" spans="1:7">
      <c r="A587" s="52">
        <v>236.79674884498877</v>
      </c>
      <c r="B587" s="52">
        <v>239.35571440961186</v>
      </c>
      <c r="C587" s="52">
        <v>234.79238798448552</v>
      </c>
      <c r="D587" s="52">
        <v>236.78701893789895</v>
      </c>
      <c r="E587" s="52">
        <v>1493741.9099514191</v>
      </c>
      <c r="F587" s="52" t="s">
        <v>662</v>
      </c>
      <c r="G587" s="26">
        <f t="shared" si="6"/>
        <v>4.1091387245284494E-5</v>
      </c>
    </row>
    <row r="588" spans="1:7">
      <c r="A588" s="52">
        <v>237.166485314402</v>
      </c>
      <c r="B588" s="52">
        <v>237.45838252709666</v>
      </c>
      <c r="C588" s="52">
        <v>233.82912718259317</v>
      </c>
      <c r="D588" s="52">
        <v>234.45184123634175</v>
      </c>
      <c r="E588" s="52">
        <v>2153701.9630866977</v>
      </c>
      <c r="F588" s="52" t="s">
        <v>663</v>
      </c>
      <c r="G588" s="26">
        <f t="shared" si="6"/>
        <v>1.1578685258964105E-2</v>
      </c>
    </row>
    <row r="589" spans="1:7">
      <c r="A589" s="52">
        <v>234.20859355909622</v>
      </c>
      <c r="B589" s="52">
        <v>237.10810587186305</v>
      </c>
      <c r="C589" s="52">
        <v>232.02909437097617</v>
      </c>
      <c r="D589" s="52">
        <v>232.02909437097617</v>
      </c>
      <c r="E589" s="52">
        <v>1689240.1796101145</v>
      </c>
      <c r="F589" s="52" t="s">
        <v>664</v>
      </c>
      <c r="G589" s="26">
        <f t="shared" si="6"/>
        <v>9.3932150794648894E-3</v>
      </c>
    </row>
    <row r="590" spans="1:7">
      <c r="A590" s="52">
        <v>233.01181498704815</v>
      </c>
      <c r="B590" s="52">
        <v>235.79456841473714</v>
      </c>
      <c r="C590" s="52">
        <v>232.35018130494029</v>
      </c>
      <c r="D590" s="52">
        <v>232.58369907509601</v>
      </c>
      <c r="E590" s="52">
        <v>1657309.7616593614</v>
      </c>
      <c r="F590" s="52" t="s">
        <v>665</v>
      </c>
      <c r="G590" s="26">
        <f t="shared" si="6"/>
        <v>1.8406961178045744E-3</v>
      </c>
    </row>
    <row r="591" spans="1:7">
      <c r="A591" s="52">
        <v>232.23342241986242</v>
      </c>
      <c r="B591" s="52">
        <v>234.18913374491657</v>
      </c>
      <c r="C591" s="52">
        <v>228.77930540297575</v>
      </c>
      <c r="D591" s="52">
        <v>229.10039233693988</v>
      </c>
      <c r="E591" s="52">
        <v>1717554.9412472732</v>
      </c>
      <c r="F591" s="52" t="s">
        <v>666</v>
      </c>
      <c r="G591" s="26">
        <f t="shared" si="6"/>
        <v>1.3675358871995114E-2</v>
      </c>
    </row>
    <row r="592" spans="1:7">
      <c r="A592" s="52">
        <v>228.7209259604368</v>
      </c>
      <c r="B592" s="52">
        <v>232.14585325605404</v>
      </c>
      <c r="C592" s="52">
        <v>228.3998390264727</v>
      </c>
      <c r="D592" s="52">
        <v>230.57933821459275</v>
      </c>
      <c r="E592" s="52">
        <v>1734962.0961601066</v>
      </c>
      <c r="F592" s="52" t="s">
        <v>667</v>
      </c>
      <c r="G592" s="26">
        <f t="shared" si="6"/>
        <v>-8.0597518777957289E-3</v>
      </c>
    </row>
    <row r="593" spans="1:7">
      <c r="A593" s="52">
        <v>230.78366626347901</v>
      </c>
      <c r="B593" s="52">
        <v>239.6476116223065</v>
      </c>
      <c r="C593" s="52">
        <v>230.31663072316758</v>
      </c>
      <c r="D593" s="52">
        <v>238.06163676666557</v>
      </c>
      <c r="E593" s="52">
        <v>1772211.1671588558</v>
      </c>
      <c r="F593" s="52" t="s">
        <v>668</v>
      </c>
      <c r="G593" s="26">
        <f t="shared" si="6"/>
        <v>-3.0571790575060209E-2</v>
      </c>
    </row>
    <row r="594" spans="1:7">
      <c r="A594" s="52">
        <v>235.80429832182696</v>
      </c>
      <c r="B594" s="52">
        <v>235.80429832182696</v>
      </c>
      <c r="C594" s="52">
        <v>226.84305389210124</v>
      </c>
      <c r="D594" s="52">
        <v>231.08529338326346</v>
      </c>
      <c r="E594" s="52">
        <v>3233849.9956402825</v>
      </c>
      <c r="F594" s="52" t="s">
        <v>669</v>
      </c>
      <c r="G594" s="26">
        <f t="shared" si="6"/>
        <v>2.0421052631579117E-2</v>
      </c>
    </row>
    <row r="595" spans="1:7">
      <c r="A595" s="52">
        <v>232.35991121203011</v>
      </c>
      <c r="B595" s="52">
        <v>234.63670947104836</v>
      </c>
      <c r="C595" s="52">
        <v>230.40419988697596</v>
      </c>
      <c r="D595" s="52">
        <v>231.53286910939528</v>
      </c>
      <c r="E595" s="52">
        <v>2421179.3373282757</v>
      </c>
      <c r="F595" s="52" t="s">
        <v>670</v>
      </c>
      <c r="G595" s="26">
        <f t="shared" si="6"/>
        <v>3.5720289124221427E-3</v>
      </c>
    </row>
    <row r="596" spans="1:7">
      <c r="A596" s="52">
        <v>229.83013536867648</v>
      </c>
      <c r="B596" s="52">
        <v>232.48153505065287</v>
      </c>
      <c r="C596" s="52">
        <v>229.73283629777828</v>
      </c>
      <c r="D596" s="52">
        <v>232.05828409224563</v>
      </c>
      <c r="E596" s="52">
        <v>1526976.5541278548</v>
      </c>
      <c r="F596" s="52" t="s">
        <v>671</v>
      </c>
      <c r="G596" s="26">
        <f t="shared" si="6"/>
        <v>-9.6016771488469654E-3</v>
      </c>
    </row>
    <row r="597" spans="1:7">
      <c r="A597" s="52">
        <v>231.42584013140723</v>
      </c>
      <c r="B597" s="52">
        <v>231.55232892357489</v>
      </c>
      <c r="C597" s="52">
        <v>229.44093908508361</v>
      </c>
      <c r="D597" s="52">
        <v>229.93716434666453</v>
      </c>
      <c r="E597" s="52">
        <v>1114133.9685905201</v>
      </c>
      <c r="F597" s="52" t="s">
        <v>672</v>
      </c>
      <c r="G597" s="26">
        <f t="shared" si="6"/>
        <v>6.4742721733241915E-3</v>
      </c>
    </row>
    <row r="598" spans="1:7">
      <c r="A598" s="52">
        <v>230.25825128062866</v>
      </c>
      <c r="B598" s="52">
        <v>232.31126167658098</v>
      </c>
      <c r="C598" s="52">
        <v>229.1101222440297</v>
      </c>
      <c r="D598" s="52">
        <v>231.37719059595813</v>
      </c>
      <c r="E598" s="52">
        <v>917002.58981235302</v>
      </c>
      <c r="F598" s="52" t="s">
        <v>673</v>
      </c>
      <c r="G598" s="26">
        <f t="shared" si="6"/>
        <v>-4.8359966358283435E-3</v>
      </c>
    </row>
    <row r="599" spans="1:7">
      <c r="A599" s="52">
        <v>230.18041202391007</v>
      </c>
      <c r="B599" s="52">
        <v>230.35555035152686</v>
      </c>
      <c r="C599" s="52">
        <v>227.54360720256841</v>
      </c>
      <c r="D599" s="52">
        <v>229.33391010709556</v>
      </c>
      <c r="E599" s="52">
        <v>864390.57663747843</v>
      </c>
      <c r="F599" s="52" t="s">
        <v>674</v>
      </c>
      <c r="G599" s="26">
        <f t="shared" si="6"/>
        <v>3.6911327959270324E-3</v>
      </c>
    </row>
    <row r="600" spans="1:7">
      <c r="A600" s="52">
        <v>228.23443060594573</v>
      </c>
      <c r="B600" s="52">
        <v>232.74910749562298</v>
      </c>
      <c r="C600" s="52">
        <v>228.17605116340681</v>
      </c>
      <c r="D600" s="52">
        <v>231.5425990164851</v>
      </c>
      <c r="E600" s="52">
        <v>1354501.114793442</v>
      </c>
      <c r="F600" s="52" t="s">
        <v>675</v>
      </c>
      <c r="G600" s="26">
        <f t="shared" si="6"/>
        <v>-1.4287515233012638E-2</v>
      </c>
    </row>
    <row r="601" spans="1:7">
      <c r="A601" s="52">
        <v>231.86368595044922</v>
      </c>
      <c r="B601" s="52">
        <v>231.89287567171868</v>
      </c>
      <c r="C601" s="52">
        <v>229.52850824889202</v>
      </c>
      <c r="D601" s="52">
        <v>229.80094564740702</v>
      </c>
      <c r="E601" s="52">
        <v>1253074.6581079145</v>
      </c>
      <c r="F601" s="52" t="s">
        <v>676</v>
      </c>
      <c r="G601" s="26">
        <f t="shared" si="6"/>
        <v>8.9762045897197051E-3</v>
      </c>
    </row>
    <row r="602" spans="1:7">
      <c r="A602" s="52">
        <v>229.51877834180218</v>
      </c>
      <c r="B602" s="52">
        <v>232.66153833181457</v>
      </c>
      <c r="C602" s="52">
        <v>229.10039233693988</v>
      </c>
      <c r="D602" s="52">
        <v>230.59879802877239</v>
      </c>
      <c r="E602" s="52">
        <v>934964.73460845544</v>
      </c>
      <c r="F602" s="52" t="s">
        <v>677</v>
      </c>
      <c r="G602" s="26">
        <f t="shared" si="6"/>
        <v>-4.6835443037975821E-3</v>
      </c>
    </row>
    <row r="603" spans="1:7">
      <c r="A603" s="52">
        <v>229.51877834180218</v>
      </c>
      <c r="B603" s="52">
        <v>229.7425662048681</v>
      </c>
      <c r="C603" s="52">
        <v>227.07657166225695</v>
      </c>
      <c r="D603" s="52">
        <v>228.86687456678413</v>
      </c>
      <c r="E603" s="52">
        <v>1290364.8394683874</v>
      </c>
      <c r="F603" s="52" t="s">
        <v>678</v>
      </c>
      <c r="G603" s="26">
        <f t="shared" si="6"/>
        <v>2.8483972451320838E-3</v>
      </c>
    </row>
    <row r="604" spans="1:7">
      <c r="A604" s="52">
        <v>228.65281661080806</v>
      </c>
      <c r="B604" s="52">
        <v>229.94689425375435</v>
      </c>
      <c r="C604" s="52">
        <v>226.97927259135875</v>
      </c>
      <c r="D604" s="52">
        <v>227.85496422944271</v>
      </c>
      <c r="E604" s="52">
        <v>1244402.4273023121</v>
      </c>
      <c r="F604" s="52" t="s">
        <v>679</v>
      </c>
      <c r="G604" s="26">
        <f t="shared" si="6"/>
        <v>3.5015799812108117E-3</v>
      </c>
    </row>
    <row r="605" spans="1:7">
      <c r="A605" s="52">
        <v>227.97172311452056</v>
      </c>
      <c r="B605" s="52">
        <v>230.38474007279632</v>
      </c>
      <c r="C605" s="52">
        <v>226.70683519284376</v>
      </c>
      <c r="D605" s="52">
        <v>227.55333710965823</v>
      </c>
      <c r="E605" s="52">
        <v>1046262.8169028726</v>
      </c>
      <c r="F605" s="52" t="s">
        <v>680</v>
      </c>
      <c r="G605" s="26">
        <f t="shared" si="6"/>
        <v>1.8386282977722601E-3</v>
      </c>
    </row>
    <row r="606" spans="1:7">
      <c r="A606" s="52">
        <v>228.65281661080806</v>
      </c>
      <c r="B606" s="52">
        <v>231.16313263998205</v>
      </c>
      <c r="C606" s="52">
        <v>226.45395490757929</v>
      </c>
      <c r="D606" s="52">
        <v>228.71119605334701</v>
      </c>
      <c r="E606" s="52">
        <v>1630040.2309690262</v>
      </c>
      <c r="F606" s="52" t="s">
        <v>681</v>
      </c>
      <c r="G606" s="26">
        <f t="shared" si="6"/>
        <v>-2.5525397770786995E-4</v>
      </c>
    </row>
    <row r="607" spans="1:7">
      <c r="A607" s="52">
        <v>229.88851481121543</v>
      </c>
      <c r="B607" s="52">
        <v>231.63016818029348</v>
      </c>
      <c r="C607" s="52">
        <v>228.6236268895386</v>
      </c>
      <c r="D607" s="52">
        <v>230.1512223026406</v>
      </c>
      <c r="E607" s="52">
        <v>1401186.0415668103</v>
      </c>
      <c r="F607" s="52" t="s">
        <v>682</v>
      </c>
      <c r="G607" s="26">
        <f t="shared" si="6"/>
        <v>-1.1414559905300603E-3</v>
      </c>
    </row>
    <row r="608" spans="1:7">
      <c r="A608" s="52">
        <v>228.66254651789788</v>
      </c>
      <c r="B608" s="52">
        <v>232.4474803758385</v>
      </c>
      <c r="C608" s="52">
        <v>227.95226330034092</v>
      </c>
      <c r="D608" s="52">
        <v>231.78584669373063</v>
      </c>
      <c r="E608" s="52">
        <v>1940232.2988005118</v>
      </c>
      <c r="F608" s="52" t="s">
        <v>683</v>
      </c>
      <c r="G608" s="26">
        <f t="shared" si="6"/>
        <v>-1.3474939131894903E-2</v>
      </c>
    </row>
    <row r="609" spans="1:7">
      <c r="A609" s="52">
        <v>231.97071492843725</v>
      </c>
      <c r="B609" s="52">
        <v>233.24533275720387</v>
      </c>
      <c r="C609" s="52">
        <v>226.41493798014909</v>
      </c>
      <c r="D609" s="52">
        <v>231.55232892357489</v>
      </c>
      <c r="E609" s="52">
        <v>2266185.0515577989</v>
      </c>
      <c r="F609" s="52" t="s">
        <v>684</v>
      </c>
      <c r="G609" s="26">
        <f t="shared" si="6"/>
        <v>1.8068745272712405E-3</v>
      </c>
    </row>
    <row r="610" spans="1:7">
      <c r="A610" s="52">
        <v>231.41611022431741</v>
      </c>
      <c r="B610" s="52">
        <v>243.14064826755245</v>
      </c>
      <c r="C610" s="52">
        <v>231.11448310453295</v>
      </c>
      <c r="D610" s="52">
        <v>240.50384344621082</v>
      </c>
      <c r="E610" s="52">
        <v>2768566.0049292268</v>
      </c>
      <c r="F610" s="52" t="s">
        <v>685</v>
      </c>
      <c r="G610" s="26">
        <f t="shared" si="6"/>
        <v>-3.7786228659276722E-2</v>
      </c>
    </row>
    <row r="611" spans="1:7">
      <c r="A611" s="52">
        <v>241.03898833615099</v>
      </c>
      <c r="B611" s="52">
        <v>241.9341397884146</v>
      </c>
      <c r="C611" s="52">
        <v>235.69726934383894</v>
      </c>
      <c r="D611" s="52">
        <v>236.13511516288091</v>
      </c>
      <c r="E611" s="52">
        <v>1655412.5184658153</v>
      </c>
      <c r="F611" s="52" t="s">
        <v>686</v>
      </c>
      <c r="G611" s="26">
        <f t="shared" si="6"/>
        <v>2.0767233919815276E-2</v>
      </c>
    </row>
    <row r="612" spans="1:7">
      <c r="A612" s="52">
        <v>235.55132073749161</v>
      </c>
      <c r="B612" s="52">
        <v>237.28324419947984</v>
      </c>
      <c r="C612" s="52">
        <v>234.52131277296309</v>
      </c>
      <c r="D612" s="52">
        <v>235.2886132460664</v>
      </c>
      <c r="E612" s="52">
        <v>1017283.0951648339</v>
      </c>
      <c r="F612" s="52" t="s">
        <v>687</v>
      </c>
      <c r="G612" s="26">
        <f t="shared" si="6"/>
        <v>1.1165329583988637E-3</v>
      </c>
    </row>
    <row r="613" spans="1:7">
      <c r="A613" s="52">
        <v>236.34917311885698</v>
      </c>
      <c r="B613" s="52">
        <v>236.86485819461751</v>
      </c>
      <c r="C613" s="52">
        <v>234.01409271637067</v>
      </c>
      <c r="D613" s="52">
        <v>234.2475131874555</v>
      </c>
      <c r="E613" s="52">
        <v>1338458.8238898336</v>
      </c>
      <c r="F613" s="52" t="s">
        <v>688</v>
      </c>
      <c r="G613" s="26">
        <f t="shared" si="6"/>
        <v>8.9719626168225375E-3</v>
      </c>
    </row>
    <row r="614" spans="1:7">
      <c r="A614" s="52">
        <v>233.9750757889405</v>
      </c>
      <c r="B614" s="52">
        <v>239.6135569474921</v>
      </c>
      <c r="C614" s="52">
        <v>233.61020427307218</v>
      </c>
      <c r="D614" s="52">
        <v>239.18057608199504</v>
      </c>
      <c r="E614" s="52">
        <v>1893272.9603626381</v>
      </c>
      <c r="F614" s="52" t="s">
        <v>689</v>
      </c>
      <c r="G614" s="26">
        <f t="shared" si="6"/>
        <v>-2.1763892278903185E-2</v>
      </c>
    </row>
    <row r="615" spans="1:7">
      <c r="A615" s="52">
        <v>238.79137979840218</v>
      </c>
      <c r="B615" s="52">
        <v>242.128737930211</v>
      </c>
      <c r="C615" s="52">
        <v>233.56641969116799</v>
      </c>
      <c r="D615" s="52">
        <v>236.65080023864144</v>
      </c>
      <c r="E615" s="52">
        <v>2006368.5932234216</v>
      </c>
      <c r="F615" s="52" t="s">
        <v>690</v>
      </c>
      <c r="G615" s="26">
        <f t="shared" si="6"/>
        <v>9.0453087739494897E-3</v>
      </c>
    </row>
    <row r="616" spans="1:7">
      <c r="A616" s="52">
        <v>237.24432457112059</v>
      </c>
      <c r="B616" s="52">
        <v>237.53622178381519</v>
      </c>
      <c r="C616" s="52">
        <v>235.8237581360066</v>
      </c>
      <c r="D616" s="52">
        <v>236.15457497706055</v>
      </c>
      <c r="E616" s="52">
        <v>875516.06827893923</v>
      </c>
      <c r="F616" s="52" t="s">
        <v>691</v>
      </c>
      <c r="G616" s="26">
        <f t="shared" si="6"/>
        <v>4.6145605867085049E-3</v>
      </c>
    </row>
    <row r="617" spans="1:7">
      <c r="A617" s="52">
        <v>236.46593200393482</v>
      </c>
      <c r="B617" s="52">
        <v>237.49341019262002</v>
      </c>
      <c r="C617" s="52">
        <v>236.08160067388687</v>
      </c>
      <c r="D617" s="52">
        <v>236.4075525613959</v>
      </c>
      <c r="E617" s="52">
        <v>1151001.7409842827</v>
      </c>
      <c r="F617" s="52" t="s">
        <v>692</v>
      </c>
      <c r="G617" s="26">
        <f t="shared" si="6"/>
        <v>2.4694406716885275E-4</v>
      </c>
    </row>
    <row r="618" spans="1:7">
      <c r="A618" s="52">
        <v>235.95024692817429</v>
      </c>
      <c r="B618" s="52">
        <v>236.69944977409057</v>
      </c>
      <c r="C618" s="52">
        <v>235.04536556882087</v>
      </c>
      <c r="D618" s="52">
        <v>236.00862637071322</v>
      </c>
      <c r="E618" s="52">
        <v>1537791.6625383019</v>
      </c>
      <c r="F618" s="52" t="s">
        <v>693</v>
      </c>
      <c r="G618" s="26">
        <f t="shared" si="6"/>
        <v>-2.4736147757253857E-4</v>
      </c>
    </row>
    <row r="619" spans="1:7">
      <c r="A619" s="52">
        <v>236.72863949536003</v>
      </c>
      <c r="B619" s="52">
        <v>237.88124428922029</v>
      </c>
      <c r="C619" s="52">
        <v>235.96970674235394</v>
      </c>
      <c r="D619" s="52">
        <v>236.43674228266536</v>
      </c>
      <c r="E619" s="52">
        <v>2151827.3305920996</v>
      </c>
      <c r="F619" s="52" t="s">
        <v>694</v>
      </c>
      <c r="G619" s="26">
        <f t="shared" si="6"/>
        <v>1.2345679012346622E-3</v>
      </c>
    </row>
    <row r="620" spans="1:7">
      <c r="A620" s="52">
        <v>236.43674228266536</v>
      </c>
      <c r="B620" s="52">
        <v>238.7427302629531</v>
      </c>
      <c r="C620" s="52">
        <v>236.00862637071322</v>
      </c>
      <c r="D620" s="52">
        <v>237.5264918767254</v>
      </c>
      <c r="E620" s="52">
        <v>2029761.4168032173</v>
      </c>
      <c r="F620" s="52" t="s">
        <v>695</v>
      </c>
      <c r="G620" s="26">
        <f t="shared" si="6"/>
        <v>-4.5879075864330154E-3</v>
      </c>
    </row>
    <row r="621" spans="1:7">
      <c r="A621" s="52">
        <v>236.56323107483306</v>
      </c>
      <c r="B621" s="52">
        <v>237.30270401365948</v>
      </c>
      <c r="C621" s="52">
        <v>233.68317857624584</v>
      </c>
      <c r="D621" s="52">
        <v>234.17940383782675</v>
      </c>
      <c r="E621" s="52">
        <v>1484992.5972175847</v>
      </c>
      <c r="F621" s="52" t="s">
        <v>696</v>
      </c>
      <c r="G621" s="26">
        <f t="shared" si="6"/>
        <v>1.0179491440917454E-2</v>
      </c>
    </row>
    <row r="622" spans="1:7">
      <c r="A622" s="52">
        <v>233.34263182810207</v>
      </c>
      <c r="B622" s="52">
        <v>235.97943664944376</v>
      </c>
      <c r="C622" s="52">
        <v>231.58151864484438</v>
      </c>
      <c r="D622" s="52">
        <v>233.76101783296443</v>
      </c>
      <c r="E622" s="52">
        <v>1561156.736623934</v>
      </c>
      <c r="F622" s="52" t="s">
        <v>697</v>
      </c>
      <c r="G622" s="26">
        <f t="shared" si="6"/>
        <v>-1.7898022892821608E-3</v>
      </c>
    </row>
    <row r="623" spans="1:7">
      <c r="A623" s="52">
        <v>234.12102439528783</v>
      </c>
      <c r="B623" s="52">
        <v>234.45184123634175</v>
      </c>
      <c r="C623" s="52">
        <v>231.19232236125151</v>
      </c>
      <c r="D623" s="52">
        <v>231.19232236125151</v>
      </c>
      <c r="E623" s="52">
        <v>1748650.8188550363</v>
      </c>
      <c r="F623" s="52" t="s">
        <v>698</v>
      </c>
      <c r="G623" s="26">
        <f t="shared" si="6"/>
        <v>1.2667817011068561E-2</v>
      </c>
    </row>
    <row r="624" spans="1:7">
      <c r="A624" s="52">
        <v>231.29935133923954</v>
      </c>
      <c r="B624" s="52">
        <v>233.85831690386263</v>
      </c>
      <c r="C624" s="52">
        <v>230.67663728549098</v>
      </c>
      <c r="D624" s="52">
        <v>231.88314576462884</v>
      </c>
      <c r="E624" s="52">
        <v>1757274.7449856135</v>
      </c>
      <c r="F624" s="52" t="s">
        <v>699</v>
      </c>
      <c r="G624" s="26">
        <f t="shared" si="6"/>
        <v>-2.5176233635447742E-3</v>
      </c>
    </row>
    <row r="625" spans="1:7">
      <c r="A625" s="52">
        <v>230.60852793586221</v>
      </c>
      <c r="B625" s="52">
        <v>231.22151208252097</v>
      </c>
      <c r="C625" s="52">
        <v>227.61171655219715</v>
      </c>
      <c r="D625" s="52">
        <v>227.893883857802</v>
      </c>
      <c r="E625" s="52">
        <v>3024854.166468672</v>
      </c>
      <c r="F625" s="52" t="s">
        <v>700</v>
      </c>
      <c r="G625" s="26">
        <f t="shared" si="6"/>
        <v>1.1911877721799913E-2</v>
      </c>
    </row>
    <row r="626" spans="1:7">
      <c r="A626" s="52">
        <v>232.06801399933545</v>
      </c>
      <c r="B626" s="52">
        <v>236.77728903080913</v>
      </c>
      <c r="C626" s="52">
        <v>231.75665697246117</v>
      </c>
      <c r="D626" s="52">
        <v>235.63888990129999</v>
      </c>
      <c r="E626" s="52">
        <v>2303014.7968669669</v>
      </c>
      <c r="F626" s="52" t="s">
        <v>701</v>
      </c>
      <c r="G626" s="26">
        <f t="shared" si="6"/>
        <v>-1.5154017672805331E-2</v>
      </c>
    </row>
    <row r="627" spans="1:7">
      <c r="A627" s="52">
        <v>233.9750757889405</v>
      </c>
      <c r="B627" s="52">
        <v>234.0237253243896</v>
      </c>
      <c r="C627" s="52">
        <v>229.19769140783808</v>
      </c>
      <c r="D627" s="52">
        <v>230.06365313883219</v>
      </c>
      <c r="E627" s="52">
        <v>1668969.6880032294</v>
      </c>
      <c r="F627" s="52" t="s">
        <v>702</v>
      </c>
      <c r="G627" s="26">
        <f t="shared" si="6"/>
        <v>1.7001480228378218E-2</v>
      </c>
    </row>
    <row r="628" spans="1:7">
      <c r="A628" s="52">
        <v>230.27771109480827</v>
      </c>
      <c r="B628" s="52">
        <v>230.51122886496398</v>
      </c>
      <c r="C628" s="52">
        <v>225.31545847899926</v>
      </c>
      <c r="D628" s="52">
        <v>226.61926602903534</v>
      </c>
      <c r="E628" s="52">
        <v>1824229.1356068237</v>
      </c>
      <c r="F628" s="52" t="s">
        <v>703</v>
      </c>
      <c r="G628" s="26">
        <f t="shared" si="6"/>
        <v>1.6143574771370961E-2</v>
      </c>
    </row>
    <row r="629" spans="1:7">
      <c r="A629" s="52">
        <v>227.08630156934677</v>
      </c>
      <c r="B629" s="52">
        <v>228.25389042012537</v>
      </c>
      <c r="C629" s="52">
        <v>226.06466132491553</v>
      </c>
      <c r="D629" s="52">
        <v>226.18142020999338</v>
      </c>
      <c r="E629" s="52">
        <v>1727732.839051004</v>
      </c>
      <c r="F629" s="52" t="s">
        <v>704</v>
      </c>
      <c r="G629" s="26">
        <f t="shared" si="6"/>
        <v>4.0006882904584096E-3</v>
      </c>
    </row>
    <row r="630" spans="1:7">
      <c r="A630" s="52">
        <v>226.02574169655625</v>
      </c>
      <c r="B630" s="52">
        <v>228.26362032721519</v>
      </c>
      <c r="C630" s="52">
        <v>225.87006318311907</v>
      </c>
      <c r="D630" s="52">
        <v>228.26362032721519</v>
      </c>
      <c r="E630" s="52">
        <v>1694048.0364136945</v>
      </c>
      <c r="F630" s="52" t="s">
        <v>705</v>
      </c>
      <c r="G630" s="26">
        <f t="shared" si="6"/>
        <v>-9.8039215686273051E-3</v>
      </c>
    </row>
    <row r="631" spans="1:7">
      <c r="A631" s="52">
        <v>227.23225017569411</v>
      </c>
      <c r="B631" s="52">
        <v>227.55090463288579</v>
      </c>
      <c r="C631" s="52">
        <v>225.73384448386159</v>
      </c>
      <c r="D631" s="52">
        <v>226.94035296299947</v>
      </c>
      <c r="E631" s="52">
        <v>2292007.4975154619</v>
      </c>
      <c r="F631" s="52" t="s">
        <v>706</v>
      </c>
      <c r="G631" s="26">
        <f t="shared" si="6"/>
        <v>1.2862287772250625E-3</v>
      </c>
    </row>
    <row r="632" spans="1:7">
      <c r="A632" s="52">
        <v>226.22033983835271</v>
      </c>
      <c r="B632" s="52">
        <v>227.62543511685183</v>
      </c>
      <c r="C632" s="52">
        <v>225.06234752262418</v>
      </c>
      <c r="D632" s="52">
        <v>226.50135889405257</v>
      </c>
      <c r="E632" s="52">
        <v>1786115.8160611056</v>
      </c>
      <c r="F632" s="52" t="s">
        <v>707</v>
      </c>
      <c r="G632" s="26">
        <f t="shared" si="6"/>
        <v>-1.2406947890820641E-3</v>
      </c>
    </row>
    <row r="633" spans="1:7">
      <c r="A633" s="52">
        <v>226.36569452233539</v>
      </c>
      <c r="B633" s="52">
        <v>229.84451662565382</v>
      </c>
      <c r="C633" s="52">
        <v>226.2445656190165</v>
      </c>
      <c r="D633" s="52">
        <v>229.84451662565382</v>
      </c>
      <c r="E633" s="52">
        <v>2508955.2672653827</v>
      </c>
      <c r="F633" s="52" t="s">
        <v>708</v>
      </c>
      <c r="G633" s="26">
        <f t="shared" ref="G633:G696" si="7">A633/D633-1</f>
        <v>-1.5135545343395673E-2</v>
      </c>
    </row>
    <row r="634" spans="1:7">
      <c r="A634" s="52">
        <v>230.21274849174324</v>
      </c>
      <c r="B634" s="52">
        <v>231.17208940602882</v>
      </c>
      <c r="C634" s="52">
        <v>229.75730381526421</v>
      </c>
      <c r="D634" s="52">
        <v>229.97049068510546</v>
      </c>
      <c r="E634" s="52">
        <v>1624752.5950258798</v>
      </c>
      <c r="F634" s="52" t="s">
        <v>709</v>
      </c>
      <c r="G634" s="26">
        <f t="shared" si="7"/>
        <v>1.0534299679758607E-3</v>
      </c>
    </row>
    <row r="635" spans="1:7">
      <c r="A635" s="52">
        <v>230.87168972579798</v>
      </c>
      <c r="B635" s="52">
        <v>231.11394753243576</v>
      </c>
      <c r="C635" s="52">
        <v>228.05180885653431</v>
      </c>
      <c r="D635" s="52">
        <v>228.75920165191658</v>
      </c>
      <c r="E635" s="52">
        <v>1560750.5295602113</v>
      </c>
      <c r="F635" s="52" t="s">
        <v>710</v>
      </c>
      <c r="G635" s="26">
        <f t="shared" si="7"/>
        <v>9.2345490744272229E-3</v>
      </c>
    </row>
    <row r="636" spans="1:7">
      <c r="A636" s="52">
        <v>228.86579508683721</v>
      </c>
      <c r="B636" s="52">
        <v>229.6604006926091</v>
      </c>
      <c r="C636" s="52">
        <v>227.52853199419673</v>
      </c>
      <c r="D636" s="52">
        <v>228.96269820949232</v>
      </c>
      <c r="E636" s="52">
        <v>3380560.822234015</v>
      </c>
      <c r="F636" s="52" t="s">
        <v>711</v>
      </c>
      <c r="G636" s="26">
        <f t="shared" si="7"/>
        <v>-4.2322668020988718E-4</v>
      </c>
    </row>
    <row r="637" spans="1:7">
      <c r="A637" s="52">
        <v>228.39096978582717</v>
      </c>
      <c r="B637" s="52">
        <v>231.43372783719764</v>
      </c>
      <c r="C637" s="52">
        <v>228.33282791223411</v>
      </c>
      <c r="D637" s="52">
        <v>229.75730381526421</v>
      </c>
      <c r="E637" s="52">
        <v>2809761.8790785582</v>
      </c>
      <c r="F637" s="52" t="s">
        <v>712</v>
      </c>
      <c r="G637" s="26">
        <f t="shared" si="7"/>
        <v>-5.9468578658793403E-3</v>
      </c>
    </row>
    <row r="638" spans="1:7">
      <c r="A638" s="52">
        <v>229.93172943604341</v>
      </c>
      <c r="B638" s="52">
        <v>232.51904281093482</v>
      </c>
      <c r="C638" s="52">
        <v>229.84451662565382</v>
      </c>
      <c r="D638" s="52">
        <v>231.32713440227698</v>
      </c>
      <c r="E638" s="52">
        <v>1522406.0479976856</v>
      </c>
      <c r="F638" s="52" t="s">
        <v>713</v>
      </c>
      <c r="G638" s="26">
        <f t="shared" si="7"/>
        <v>-6.0321715817693855E-3</v>
      </c>
    </row>
    <row r="639" spans="1:7">
      <c r="A639" s="52">
        <v>231.46279877399417</v>
      </c>
      <c r="B639" s="52">
        <v>232.95510686288284</v>
      </c>
      <c r="C639" s="52">
        <v>230.05770349549505</v>
      </c>
      <c r="D639" s="52">
        <v>231.26899252868392</v>
      </c>
      <c r="E639" s="52">
        <v>1802121.4922199659</v>
      </c>
      <c r="F639" s="52" t="s">
        <v>714</v>
      </c>
      <c r="G639" s="26">
        <f t="shared" si="7"/>
        <v>8.3801223497870225E-4</v>
      </c>
    </row>
    <row r="640" spans="1:7">
      <c r="A640" s="52">
        <v>231.49186971079067</v>
      </c>
      <c r="B640" s="52">
        <v>231.50156002305619</v>
      </c>
      <c r="C640" s="52">
        <v>229.0892536876799</v>
      </c>
      <c r="D640" s="52">
        <v>229.32123976331624</v>
      </c>
      <c r="E640" s="52">
        <v>805744.93226491683</v>
      </c>
      <c r="F640" s="52" t="s">
        <v>715</v>
      </c>
      <c r="G640" s="26">
        <f t="shared" si="7"/>
        <v>9.4654553137543118E-3</v>
      </c>
    </row>
    <row r="641" spans="1:7">
      <c r="A641" s="52">
        <v>229.46659444729892</v>
      </c>
      <c r="B641" s="52">
        <v>230.67788348048776</v>
      </c>
      <c r="C641" s="52">
        <v>228.43942134715473</v>
      </c>
      <c r="D641" s="52">
        <v>230.01894224643303</v>
      </c>
      <c r="E641" s="52">
        <v>1991384.7429541566</v>
      </c>
      <c r="F641" s="52" t="s">
        <v>716</v>
      </c>
      <c r="G641" s="26">
        <f t="shared" si="7"/>
        <v>-2.4013144036735268E-3</v>
      </c>
    </row>
    <row r="642" spans="1:7">
      <c r="A642" s="52">
        <v>228.8464144623062</v>
      </c>
      <c r="B642" s="52">
        <v>229.83482631338831</v>
      </c>
      <c r="C642" s="52">
        <v>227.4849255890019</v>
      </c>
      <c r="D642" s="52">
        <v>228.22623447731351</v>
      </c>
      <c r="E642" s="52">
        <v>1650370.9645064541</v>
      </c>
      <c r="F642" s="52" t="s">
        <v>717</v>
      </c>
      <c r="G642" s="26">
        <f t="shared" si="7"/>
        <v>2.7173913043476716E-3</v>
      </c>
    </row>
    <row r="643" spans="1:7">
      <c r="A643" s="52">
        <v>226.43352670819397</v>
      </c>
      <c r="B643" s="52">
        <v>227.34315632055748</v>
      </c>
      <c r="C643" s="52">
        <v>223.68147802478887</v>
      </c>
      <c r="D643" s="52">
        <v>225.29976017312919</v>
      </c>
      <c r="E643" s="52">
        <v>2443488.8527043294</v>
      </c>
      <c r="F643" s="52" t="s">
        <v>718</v>
      </c>
      <c r="G643" s="26">
        <f t="shared" si="7"/>
        <v>5.0322580645161263E-3</v>
      </c>
    </row>
    <row r="644" spans="1:7">
      <c r="A644" s="52">
        <v>226.04591421757354</v>
      </c>
      <c r="B644" s="52">
        <v>228.87548539910273</v>
      </c>
      <c r="C644" s="52">
        <v>225.43542454484634</v>
      </c>
      <c r="D644" s="52">
        <v>228.87548539910273</v>
      </c>
      <c r="E644" s="52">
        <v>1870322.5967759246</v>
      </c>
      <c r="F644" s="52" t="s">
        <v>719</v>
      </c>
      <c r="G644" s="26">
        <f t="shared" si="7"/>
        <v>-1.2362928151064767E-2</v>
      </c>
    </row>
    <row r="645" spans="1:7">
      <c r="A645" s="52">
        <v>227.79017042536549</v>
      </c>
      <c r="B645" s="52">
        <v>229.28732367038694</v>
      </c>
      <c r="C645" s="52">
        <v>226.7145457638938</v>
      </c>
      <c r="D645" s="52">
        <v>227.38317731021405</v>
      </c>
      <c r="E645" s="52">
        <v>1613386.6042319604</v>
      </c>
      <c r="F645" s="52" t="s">
        <v>720</v>
      </c>
      <c r="G645" s="26">
        <f t="shared" si="7"/>
        <v>1.7898998508416586E-3</v>
      </c>
    </row>
    <row r="646" spans="1:7">
      <c r="A646" s="52">
        <v>226.52073951858355</v>
      </c>
      <c r="B646" s="52">
        <v>227.98397667067573</v>
      </c>
      <c r="C646" s="52">
        <v>224.69896081266751</v>
      </c>
      <c r="D646" s="52">
        <v>225.80365641093576</v>
      </c>
      <c r="E646" s="52">
        <v>2591085.7475010511</v>
      </c>
      <c r="F646" s="52" t="s">
        <v>721</v>
      </c>
      <c r="G646" s="26">
        <f t="shared" si="7"/>
        <v>3.1756930735558075E-3</v>
      </c>
    </row>
    <row r="647" spans="1:7">
      <c r="A647" s="52">
        <v>226.11374640343212</v>
      </c>
      <c r="B647" s="52">
        <v>230.36779348799141</v>
      </c>
      <c r="C647" s="52">
        <v>225.41604392031533</v>
      </c>
      <c r="D647" s="52">
        <v>229.10805289347499</v>
      </c>
      <c r="E647" s="52">
        <v>2646966.2996610953</v>
      </c>
      <c r="F647" s="52" t="s">
        <v>722</v>
      </c>
      <c r="G647" s="26">
        <f t="shared" si="7"/>
        <v>-1.3069407435604585E-2</v>
      </c>
    </row>
    <row r="648" spans="1:7">
      <c r="A648" s="52">
        <v>228.55570509434088</v>
      </c>
      <c r="B648" s="52">
        <v>230.5519094210361</v>
      </c>
      <c r="C648" s="52">
        <v>224.88307674571223</v>
      </c>
      <c r="D648" s="52">
        <v>228.69136946605801</v>
      </c>
      <c r="E648" s="52">
        <v>2280239.2115518632</v>
      </c>
      <c r="F648" s="52" t="s">
        <v>723</v>
      </c>
      <c r="G648" s="26">
        <f t="shared" si="7"/>
        <v>-5.9322033898290272E-4</v>
      </c>
    </row>
    <row r="649" spans="1:7">
      <c r="A649" s="52">
        <v>227.38317731021405</v>
      </c>
      <c r="B649" s="52">
        <v>228.40066009809269</v>
      </c>
      <c r="C649" s="52">
        <v>223.90445211001827</v>
      </c>
      <c r="D649" s="52">
        <v>226.58857170444216</v>
      </c>
      <c r="E649" s="52">
        <v>2298681.341702411</v>
      </c>
      <c r="F649" s="52" t="s">
        <v>724</v>
      </c>
      <c r="G649" s="26">
        <f t="shared" si="7"/>
        <v>3.5068211948852124E-3</v>
      </c>
    </row>
    <row r="650" spans="1:7">
      <c r="A650" s="52">
        <v>225.04781205422591</v>
      </c>
      <c r="B650" s="52">
        <v>231.82134032781804</v>
      </c>
      <c r="C650" s="52">
        <v>222.73667257890153</v>
      </c>
      <c r="D650" s="52">
        <v>229.8154456888573</v>
      </c>
      <c r="E650" s="52">
        <v>5163076.1351282429</v>
      </c>
      <c r="F650" s="52" t="s">
        <v>725</v>
      </c>
      <c r="G650" s="26">
        <f t="shared" si="7"/>
        <v>-2.0745488277955859E-2</v>
      </c>
    </row>
    <row r="651" spans="1:7">
      <c r="A651" s="52">
        <v>247.99447149895579</v>
      </c>
      <c r="B651" s="52">
        <v>249.60306333503061</v>
      </c>
      <c r="C651" s="52">
        <v>246.11455091944666</v>
      </c>
      <c r="D651" s="52">
        <v>249.60306333503061</v>
      </c>
      <c r="E651" s="52">
        <v>1225003.8672385451</v>
      </c>
      <c r="F651" s="52" t="s">
        <v>726</v>
      </c>
      <c r="G651" s="26">
        <f t="shared" si="7"/>
        <v>-6.4445997360044194E-3</v>
      </c>
    </row>
    <row r="652" spans="1:7">
      <c r="A652" s="52">
        <v>248.17858743200051</v>
      </c>
      <c r="B652" s="52">
        <v>251.29886798149502</v>
      </c>
      <c r="C652" s="52">
        <v>247.79582009751283</v>
      </c>
      <c r="D652" s="52">
        <v>251.29886798149502</v>
      </c>
      <c r="E652" s="52">
        <v>957156.97759415361</v>
      </c>
      <c r="F652" s="52" t="s">
        <v>727</v>
      </c>
      <c r="G652" s="26">
        <f t="shared" si="7"/>
        <v>-1.2416612038715136E-2</v>
      </c>
    </row>
    <row r="653" spans="1:7">
      <c r="A653" s="52">
        <v>251.07599079938831</v>
      </c>
      <c r="B653" s="52">
        <v>251.8705964051602</v>
      </c>
      <c r="C653" s="52">
        <v>248.9731930377724</v>
      </c>
      <c r="D653" s="52">
        <v>251.02753923806074</v>
      </c>
      <c r="E653" s="52">
        <v>982836.23262555781</v>
      </c>
      <c r="F653" s="52" t="s">
        <v>728</v>
      </c>
      <c r="G653" s="26">
        <f t="shared" si="7"/>
        <v>1.9301293186657631E-4</v>
      </c>
    </row>
    <row r="654" spans="1:7">
      <c r="A654" s="52">
        <v>250.89187486634358</v>
      </c>
      <c r="B654" s="52">
        <v>251.55081610039829</v>
      </c>
      <c r="C654" s="52">
        <v>248.2367293055936</v>
      </c>
      <c r="D654" s="52">
        <v>250.71744924556438</v>
      </c>
      <c r="E654" s="52">
        <v>1009882.8326544147</v>
      </c>
      <c r="F654" s="52" t="s">
        <v>729</v>
      </c>
      <c r="G654" s="26">
        <f t="shared" si="7"/>
        <v>6.9570594828594068E-4</v>
      </c>
    </row>
    <row r="655" spans="1:7">
      <c r="A655" s="52">
        <v>247.99447149895579</v>
      </c>
      <c r="B655" s="52">
        <v>249.49162474397721</v>
      </c>
      <c r="C655" s="52">
        <v>245.10675844383354</v>
      </c>
      <c r="D655" s="52">
        <v>245.93043498640196</v>
      </c>
      <c r="E655" s="52">
        <v>1170113.9952275986</v>
      </c>
      <c r="F655" s="52" t="s">
        <v>730</v>
      </c>
      <c r="G655" s="26">
        <f t="shared" si="7"/>
        <v>8.3927656724063215E-3</v>
      </c>
    </row>
    <row r="656" spans="1:7">
      <c r="A656" s="52">
        <v>245.92074467413647</v>
      </c>
      <c r="B656" s="52">
        <v>246.62813746951875</v>
      </c>
      <c r="C656" s="52">
        <v>243.58053426201559</v>
      </c>
      <c r="D656" s="52">
        <v>245.90136404960543</v>
      </c>
      <c r="E656" s="52">
        <v>971374.26969219476</v>
      </c>
      <c r="F656" s="52" t="s">
        <v>731</v>
      </c>
      <c r="G656" s="26">
        <f t="shared" si="7"/>
        <v>7.8814627995082986E-5</v>
      </c>
    </row>
    <row r="657" spans="1:7">
      <c r="A657" s="52">
        <v>244.95171344758538</v>
      </c>
      <c r="B657" s="52">
        <v>246.0128026406588</v>
      </c>
      <c r="C657" s="52">
        <v>242.57274178640242</v>
      </c>
      <c r="D657" s="52">
        <v>244.50595908337186</v>
      </c>
      <c r="E657" s="52">
        <v>2032121.3042933578</v>
      </c>
      <c r="F657" s="52" t="s">
        <v>732</v>
      </c>
      <c r="G657" s="26">
        <f t="shared" si="7"/>
        <v>1.8230818008877492E-3</v>
      </c>
    </row>
    <row r="658" spans="1:7">
      <c r="A658" s="52">
        <v>243.31405067471403</v>
      </c>
      <c r="B658" s="52">
        <v>245.1649003174266</v>
      </c>
      <c r="C658" s="52">
        <v>240.87209198380526</v>
      </c>
      <c r="D658" s="52">
        <v>245.1649003174266</v>
      </c>
      <c r="E658" s="52">
        <v>1105011.8620130362</v>
      </c>
      <c r="F658" s="52" t="s">
        <v>733</v>
      </c>
      <c r="G658" s="26">
        <f t="shared" si="7"/>
        <v>-7.5494071146244845E-3</v>
      </c>
    </row>
    <row r="659" spans="1:7">
      <c r="A659" s="52">
        <v>243.80825660025508</v>
      </c>
      <c r="B659" s="52">
        <v>246.98445025152159</v>
      </c>
      <c r="C659" s="52">
        <v>242.60665787933172</v>
      </c>
      <c r="D659" s="52">
        <v>246.20176372983627</v>
      </c>
      <c r="E659" s="52">
        <v>1094908.9884092167</v>
      </c>
      <c r="F659" s="52" t="s">
        <v>734</v>
      </c>
      <c r="G659" s="26">
        <f t="shared" si="7"/>
        <v>-9.7217302318258758E-3</v>
      </c>
    </row>
    <row r="660" spans="1:7">
      <c r="A660" s="52">
        <v>246.3083571647569</v>
      </c>
      <c r="B660" s="52">
        <v>248.4402258631693</v>
      </c>
      <c r="C660" s="52">
        <v>245.46529999765744</v>
      </c>
      <c r="D660" s="52">
        <v>246.59906653272222</v>
      </c>
      <c r="E660" s="52">
        <v>654464.97762222658</v>
      </c>
      <c r="F660" s="52" t="s">
        <v>735</v>
      </c>
      <c r="G660" s="26">
        <f t="shared" si="7"/>
        <v>-1.1788745677460133E-3</v>
      </c>
    </row>
    <row r="661" spans="1:7">
      <c r="A661" s="52">
        <v>247.6553105696629</v>
      </c>
      <c r="B661" s="52">
        <v>254.1090585384932</v>
      </c>
      <c r="C661" s="52">
        <v>247.10296277052879</v>
      </c>
      <c r="D661" s="52">
        <v>250.30076581814743</v>
      </c>
      <c r="E661" s="52">
        <v>1114991.9325567074</v>
      </c>
      <c r="F661" s="52" t="s">
        <v>736</v>
      </c>
      <c r="G661" s="26">
        <f t="shared" si="7"/>
        <v>-1.0569105691057068E-2</v>
      </c>
    </row>
    <row r="662" spans="1:7">
      <c r="A662" s="52">
        <v>251.18258423430888</v>
      </c>
      <c r="B662" s="52">
        <v>252.08378327500139</v>
      </c>
      <c r="C662" s="52">
        <v>247.60685900833536</v>
      </c>
      <c r="D662" s="52">
        <v>247.66500088192845</v>
      </c>
      <c r="E662" s="52">
        <v>839711.84591861686</v>
      </c>
      <c r="F662" s="52" t="s">
        <v>737</v>
      </c>
      <c r="G662" s="26">
        <f t="shared" si="7"/>
        <v>1.4202989279286093E-2</v>
      </c>
    </row>
    <row r="663" spans="1:7">
      <c r="A663" s="52">
        <v>248.00416181122131</v>
      </c>
      <c r="B663" s="52">
        <v>252.65551169866657</v>
      </c>
      <c r="C663" s="52">
        <v>247.67469119419394</v>
      </c>
      <c r="D663" s="52">
        <v>250.56240424931619</v>
      </c>
      <c r="E663" s="52">
        <v>721669.21027815563</v>
      </c>
      <c r="F663" s="52" t="s">
        <v>738</v>
      </c>
      <c r="G663" s="26">
        <f t="shared" si="7"/>
        <v>-1.0210001160227411E-2</v>
      </c>
    </row>
    <row r="664" spans="1:7">
      <c r="A664" s="52">
        <v>250.63023643517477</v>
      </c>
      <c r="B664" s="52">
        <v>253.52763980256253</v>
      </c>
      <c r="C664" s="52">
        <v>249.07978647269303</v>
      </c>
      <c r="D664" s="52">
        <v>249.57399239823408</v>
      </c>
      <c r="E664" s="52">
        <v>1083156.0131820561</v>
      </c>
      <c r="F664" s="52" t="s">
        <v>739</v>
      </c>
      <c r="G664" s="26">
        <f t="shared" si="7"/>
        <v>4.232187924674724E-3</v>
      </c>
    </row>
    <row r="665" spans="1:7">
      <c r="A665" s="52">
        <v>249.50616021237553</v>
      </c>
      <c r="B665" s="52">
        <v>253.65361386201417</v>
      </c>
      <c r="C665" s="52">
        <v>249.03133491136549</v>
      </c>
      <c r="D665" s="52">
        <v>251.35700985508808</v>
      </c>
      <c r="E665" s="52">
        <v>835404.451187019</v>
      </c>
      <c r="F665" s="52" t="s">
        <v>740</v>
      </c>
      <c r="G665" s="26">
        <f t="shared" si="7"/>
        <v>-7.3634295847949671E-3</v>
      </c>
    </row>
    <row r="666" spans="1:7">
      <c r="A666" s="52">
        <v>251.36670016735357</v>
      </c>
      <c r="B666" s="52">
        <v>253.61485261295218</v>
      </c>
      <c r="C666" s="52">
        <v>249.93253395205801</v>
      </c>
      <c r="D666" s="52">
        <v>252.24851858351511</v>
      </c>
      <c r="E666" s="52">
        <v>970569.34207105287</v>
      </c>
      <c r="F666" s="52" t="s">
        <v>741</v>
      </c>
      <c r="G666" s="26">
        <f t="shared" si="7"/>
        <v>-3.495831892743384E-3</v>
      </c>
    </row>
    <row r="667" spans="1:7">
      <c r="A667" s="52">
        <v>251.26979704469849</v>
      </c>
      <c r="B667" s="52">
        <v>253.29507230819027</v>
      </c>
      <c r="C667" s="52">
        <v>248.93443178871036</v>
      </c>
      <c r="D667" s="52">
        <v>250.06819832377514</v>
      </c>
      <c r="E667" s="52">
        <v>869640.706006255</v>
      </c>
      <c r="F667" s="52" t="s">
        <v>742</v>
      </c>
      <c r="G667" s="26">
        <f t="shared" si="7"/>
        <v>4.8050840889715118E-3</v>
      </c>
    </row>
    <row r="668" spans="1:7">
      <c r="A668" s="52">
        <v>251.70586109664649</v>
      </c>
      <c r="B668" s="52">
        <v>253.44042699217297</v>
      </c>
      <c r="C668" s="52">
        <v>249.45770865104797</v>
      </c>
      <c r="D668" s="52">
        <v>251.83183515609812</v>
      </c>
      <c r="E668" s="52">
        <v>774165.97055393783</v>
      </c>
      <c r="F668" s="52" t="s">
        <v>743</v>
      </c>
      <c r="G668" s="26">
        <f t="shared" si="7"/>
        <v>-5.0023087578876524E-4</v>
      </c>
    </row>
    <row r="669" spans="1:7">
      <c r="A669" s="52">
        <v>250.68837830876782</v>
      </c>
      <c r="B669" s="52">
        <v>251.80276421930162</v>
      </c>
      <c r="C669" s="52">
        <v>248.4402258631693</v>
      </c>
      <c r="D669" s="52">
        <v>248.90536085191383</v>
      </c>
      <c r="E669" s="52">
        <v>1065025.534495079</v>
      </c>
      <c r="F669" s="52" t="s">
        <v>744</v>
      </c>
      <c r="G669" s="26">
        <f t="shared" si="7"/>
        <v>7.1634353344234292E-3</v>
      </c>
    </row>
    <row r="670" spans="1:7">
      <c r="A670" s="52">
        <v>249.10885740948956</v>
      </c>
      <c r="B670" s="52">
        <v>254.41914853098956</v>
      </c>
      <c r="C670" s="52">
        <v>248.71155460660364</v>
      </c>
      <c r="D670" s="52">
        <v>253.58578167615559</v>
      </c>
      <c r="E670" s="52">
        <v>1135334.9302433361</v>
      </c>
      <c r="F670" s="52" t="s">
        <v>745</v>
      </c>
      <c r="G670" s="26">
        <f t="shared" si="7"/>
        <v>-1.7654476670870056E-2</v>
      </c>
    </row>
    <row r="671" spans="1:7">
      <c r="A671" s="52">
        <v>253.20785949780068</v>
      </c>
      <c r="B671" s="52">
        <v>258.04332531829067</v>
      </c>
      <c r="C671" s="52">
        <v>250.13603050963371</v>
      </c>
      <c r="D671" s="52">
        <v>258.04332531829067</v>
      </c>
      <c r="E671" s="52">
        <v>1747576.2943442261</v>
      </c>
      <c r="F671" s="52" t="s">
        <v>746</v>
      </c>
      <c r="G671" s="26">
        <f t="shared" si="7"/>
        <v>-1.8738968793420852E-2</v>
      </c>
    </row>
    <row r="672" spans="1:7">
      <c r="A672" s="52">
        <v>258.95421467124868</v>
      </c>
      <c r="B672" s="52">
        <v>261.17329618005067</v>
      </c>
      <c r="C672" s="52">
        <v>255.65950850097494</v>
      </c>
      <c r="D672" s="52">
        <v>256.83203628510176</v>
      </c>
      <c r="E672" s="52">
        <v>1019023.9209468187</v>
      </c>
      <c r="F672" s="52" t="s">
        <v>747</v>
      </c>
      <c r="G672" s="26">
        <f t="shared" si="7"/>
        <v>8.2629037126471516E-3</v>
      </c>
    </row>
    <row r="673" spans="1:7">
      <c r="A673" s="52">
        <v>257.5685000172806</v>
      </c>
      <c r="B673" s="52">
        <v>257.66540313993568</v>
      </c>
      <c r="C673" s="52">
        <v>253.18363371713687</v>
      </c>
      <c r="D673" s="52">
        <v>253.2466207468627</v>
      </c>
      <c r="E673" s="52">
        <v>712191.70351845387</v>
      </c>
      <c r="F673" s="52" t="s">
        <v>748</v>
      </c>
      <c r="G673" s="26">
        <f t="shared" si="7"/>
        <v>1.7065891176245573E-2</v>
      </c>
    </row>
    <row r="674" spans="1:7">
      <c r="A674" s="52">
        <v>254.29317447153792</v>
      </c>
      <c r="B674" s="52">
        <v>255.87269537081619</v>
      </c>
      <c r="C674" s="52">
        <v>250.04881769924413</v>
      </c>
      <c r="D674" s="52">
        <v>252.14192514859448</v>
      </c>
      <c r="E674" s="52">
        <v>827616.26047322666</v>
      </c>
      <c r="F674" s="52" t="s">
        <v>749</v>
      </c>
      <c r="G674" s="26">
        <f t="shared" si="7"/>
        <v>8.5318985395850255E-3</v>
      </c>
    </row>
    <row r="675" spans="1:7">
      <c r="A675" s="52">
        <v>252.96560169116293</v>
      </c>
      <c r="B675" s="52">
        <v>253.48887855350048</v>
      </c>
      <c r="C675" s="52">
        <v>250.85311361728154</v>
      </c>
      <c r="D675" s="52">
        <v>251.78338359477056</v>
      </c>
      <c r="E675" s="52">
        <v>847759.05821305874</v>
      </c>
      <c r="F675" s="52" t="s">
        <v>750</v>
      </c>
      <c r="G675" s="26">
        <f t="shared" si="7"/>
        <v>4.6953777469884717E-3</v>
      </c>
    </row>
    <row r="676" spans="1:7">
      <c r="A676" s="52">
        <v>251.67679015984999</v>
      </c>
      <c r="B676" s="52">
        <v>251.94811890328427</v>
      </c>
      <c r="C676" s="52">
        <v>248.18343258813326</v>
      </c>
      <c r="D676" s="52">
        <v>251.55081610039829</v>
      </c>
      <c r="E676" s="52">
        <v>691799.17182437016</v>
      </c>
      <c r="F676" s="52" t="s">
        <v>751</v>
      </c>
      <c r="G676" s="26">
        <f t="shared" si="7"/>
        <v>5.0078970684563906E-4</v>
      </c>
    </row>
    <row r="677" spans="1:7">
      <c r="A677" s="52">
        <v>250.88218455407804</v>
      </c>
      <c r="B677" s="52">
        <v>251.82214484383263</v>
      </c>
      <c r="C677" s="52">
        <v>248.5952708594175</v>
      </c>
      <c r="D677" s="52">
        <v>249.13792834628612</v>
      </c>
      <c r="E677" s="52">
        <v>1036998.5739020107</v>
      </c>
      <c r="F677" s="52" t="s">
        <v>752</v>
      </c>
      <c r="G677" s="26">
        <f t="shared" si="7"/>
        <v>7.0011668611433819E-3</v>
      </c>
    </row>
    <row r="678" spans="1:7">
      <c r="A678" s="52">
        <v>249.77748895580982</v>
      </c>
      <c r="B678" s="52">
        <v>250.01974676244757</v>
      </c>
      <c r="C678" s="52">
        <v>247.24831745451147</v>
      </c>
      <c r="D678" s="52">
        <v>248.43053555090378</v>
      </c>
      <c r="E678" s="52">
        <v>773117.5007294761</v>
      </c>
      <c r="F678" s="52" t="s">
        <v>753</v>
      </c>
      <c r="G678" s="26">
        <f t="shared" si="7"/>
        <v>5.4218512306432043E-3</v>
      </c>
    </row>
    <row r="679" spans="1:7">
      <c r="A679" s="52">
        <v>250.52364300025414</v>
      </c>
      <c r="B679" s="52">
        <v>255.81455349722313</v>
      </c>
      <c r="C679" s="52">
        <v>249.90346301526145</v>
      </c>
      <c r="D679" s="52">
        <v>255.20406382449593</v>
      </c>
      <c r="E679" s="52">
        <v>1283796.6062535411</v>
      </c>
      <c r="F679" s="52" t="s">
        <v>754</v>
      </c>
      <c r="G679" s="26">
        <f t="shared" si="7"/>
        <v>-1.8339914945322056E-2</v>
      </c>
    </row>
    <row r="680" spans="1:7">
      <c r="A680" s="52">
        <v>254.60326446403425</v>
      </c>
      <c r="B680" s="52">
        <v>255.8630050585507</v>
      </c>
      <c r="C680" s="52">
        <v>251.57988703719485</v>
      </c>
      <c r="D680" s="52">
        <v>251.57988703719485</v>
      </c>
      <c r="E680" s="52">
        <v>1040249.2431412376</v>
      </c>
      <c r="F680" s="52" t="s">
        <v>755</v>
      </c>
      <c r="G680" s="26">
        <f t="shared" si="7"/>
        <v>1.2017564132193126E-2</v>
      </c>
    </row>
    <row r="681" spans="1:7">
      <c r="A681" s="52">
        <v>250.78528143142296</v>
      </c>
      <c r="B681" s="52">
        <v>254.85521258293753</v>
      </c>
      <c r="C681" s="52">
        <v>247.95571024989374</v>
      </c>
      <c r="D681" s="52">
        <v>254.33193572059992</v>
      </c>
      <c r="E681" s="52">
        <v>1226600.3070204766</v>
      </c>
      <c r="F681" s="52" t="s">
        <v>756</v>
      </c>
      <c r="G681" s="26">
        <f t="shared" si="7"/>
        <v>-1.3944982092509162E-2</v>
      </c>
    </row>
    <row r="682" spans="1:7">
      <c r="A682" s="52">
        <v>252.85900825624228</v>
      </c>
      <c r="B682" s="52">
        <v>258.05301563055616</v>
      </c>
      <c r="C682" s="52">
        <v>252.69427294772859</v>
      </c>
      <c r="D682" s="52">
        <v>256.15371442651599</v>
      </c>
      <c r="E682" s="52">
        <v>984329.476558625</v>
      </c>
      <c r="F682" s="52" t="s">
        <v>757</v>
      </c>
      <c r="G682" s="26">
        <f t="shared" si="7"/>
        <v>-1.2862222894756692E-2</v>
      </c>
    </row>
    <row r="683" spans="1:7">
      <c r="A683" s="52">
        <v>258.50846030703514</v>
      </c>
      <c r="B683" s="52">
        <v>258.59567311742478</v>
      </c>
      <c r="C683" s="52">
        <v>255.39787006980615</v>
      </c>
      <c r="D683" s="52">
        <v>256.79327503603974</v>
      </c>
      <c r="E683" s="52">
        <v>992539.73829427245</v>
      </c>
      <c r="F683" s="52" t="s">
        <v>758</v>
      </c>
      <c r="G683" s="26">
        <f t="shared" si="7"/>
        <v>6.6792452830186644E-3</v>
      </c>
    </row>
    <row r="684" spans="1:7">
      <c r="A684" s="52">
        <v>256.98708128134996</v>
      </c>
      <c r="B684" s="52">
        <v>258.5569118683627</v>
      </c>
      <c r="C684" s="52">
        <v>255.85331474628515</v>
      </c>
      <c r="D684" s="52">
        <v>256.26999817370211</v>
      </c>
      <c r="E684" s="52">
        <v>653572.33352954988</v>
      </c>
      <c r="F684" s="52" t="s">
        <v>759</v>
      </c>
      <c r="G684" s="26">
        <f t="shared" si="7"/>
        <v>2.7981547303941312E-3</v>
      </c>
    </row>
    <row r="685" spans="1:7">
      <c r="A685" s="52">
        <v>256.83203628510176</v>
      </c>
      <c r="B685" s="52">
        <v>259.52594309491383</v>
      </c>
      <c r="C685" s="52">
        <v>256.56070754166745</v>
      </c>
      <c r="D685" s="52">
        <v>258.47938937023866</v>
      </c>
      <c r="E685" s="52">
        <v>1020563.6030118747</v>
      </c>
      <c r="F685" s="52" t="s">
        <v>760</v>
      </c>
      <c r="G685" s="26">
        <f t="shared" si="7"/>
        <v>-6.3732473569769743E-3</v>
      </c>
    </row>
    <row r="686" spans="1:7">
      <c r="A686" s="52">
        <v>258.85731154859354</v>
      </c>
      <c r="B686" s="52">
        <v>260.6403290054476</v>
      </c>
      <c r="C686" s="52">
        <v>258.57629249289369</v>
      </c>
      <c r="D686" s="52">
        <v>259.21585310241744</v>
      </c>
      <c r="E686" s="52">
        <v>1296677.5121087891</v>
      </c>
      <c r="F686" s="52" t="s">
        <v>761</v>
      </c>
      <c r="G686" s="26">
        <f t="shared" si="7"/>
        <v>-1.3831775700934301E-3</v>
      </c>
    </row>
    <row r="687" spans="1:7">
      <c r="A687" s="52">
        <v>257.72354501352874</v>
      </c>
      <c r="B687" s="52">
        <v>258.58598280515929</v>
      </c>
      <c r="C687" s="52">
        <v>255.51415381699229</v>
      </c>
      <c r="D687" s="52">
        <v>256.02774036706433</v>
      </c>
      <c r="E687" s="52">
        <v>894885.50651394029</v>
      </c>
      <c r="F687" s="52" t="s">
        <v>762</v>
      </c>
      <c r="G687" s="26">
        <f t="shared" si="7"/>
        <v>6.6235191703569729E-3</v>
      </c>
    </row>
    <row r="688" spans="1:7">
      <c r="A688" s="52">
        <v>256.37659160862273</v>
      </c>
      <c r="B688" s="52">
        <v>258.24682187586637</v>
      </c>
      <c r="C688" s="52">
        <v>254.09936822622771</v>
      </c>
      <c r="D688" s="52">
        <v>256.05681130386091</v>
      </c>
      <c r="E688" s="52">
        <v>844552.76318884338</v>
      </c>
      <c r="F688" s="52" t="s">
        <v>763</v>
      </c>
      <c r="G688" s="26">
        <f t="shared" si="7"/>
        <v>1.2488646684829519E-3</v>
      </c>
    </row>
    <row r="689" spans="1:7">
      <c r="A689" s="52">
        <v>255.57229569058535</v>
      </c>
      <c r="B689" s="52">
        <v>257.44737111396171</v>
      </c>
      <c r="C689" s="52">
        <v>253.62454292521767</v>
      </c>
      <c r="D689" s="52">
        <v>254.11874885075872</v>
      </c>
      <c r="E689" s="52">
        <v>3099662.7535837493</v>
      </c>
      <c r="F689" s="52" t="s">
        <v>764</v>
      </c>
      <c r="G689" s="26">
        <f t="shared" si="7"/>
        <v>5.7199511897498834E-3</v>
      </c>
    </row>
    <row r="690" spans="1:7">
      <c r="A690" s="52">
        <v>256.4250431699503</v>
      </c>
      <c r="B690" s="52">
        <v>258.73133748914194</v>
      </c>
      <c r="C690" s="52">
        <v>255.3300378839476</v>
      </c>
      <c r="D690" s="52">
        <v>258.10146719188373</v>
      </c>
      <c r="E690" s="52">
        <v>1254206.2285501782</v>
      </c>
      <c r="F690" s="52" t="s">
        <v>765</v>
      </c>
      <c r="G690" s="26">
        <f t="shared" si="7"/>
        <v>-6.4952130655154816E-3</v>
      </c>
    </row>
    <row r="691" spans="1:7">
      <c r="A691" s="52">
        <v>256.80296534830524</v>
      </c>
      <c r="B691" s="52">
        <v>257.11305534080157</v>
      </c>
      <c r="C691" s="52">
        <v>254.57903868337044</v>
      </c>
      <c r="D691" s="52">
        <v>255.19437351223044</v>
      </c>
      <c r="E691" s="52">
        <v>1018534.7726232016</v>
      </c>
      <c r="F691" s="52" t="s">
        <v>766</v>
      </c>
      <c r="G691" s="26">
        <f t="shared" si="7"/>
        <v>6.303398519081016E-3</v>
      </c>
    </row>
    <row r="692" spans="1:7">
      <c r="A692" s="52">
        <v>255.5335344415233</v>
      </c>
      <c r="B692" s="52">
        <v>259.04142748163827</v>
      </c>
      <c r="C692" s="52">
        <v>254.60287685154364</v>
      </c>
      <c r="D692" s="52">
        <v>258.72164717687639</v>
      </c>
      <c r="E692" s="52">
        <v>1147245.7951192593</v>
      </c>
      <c r="F692" s="52" t="s">
        <v>767</v>
      </c>
      <c r="G692" s="26">
        <f t="shared" si="7"/>
        <v>-1.232255889733691E-2</v>
      </c>
    </row>
    <row r="693" spans="1:7">
      <c r="A693" s="52">
        <v>258.90576310992111</v>
      </c>
      <c r="B693" s="52">
        <v>260.31085838842017</v>
      </c>
      <c r="C693" s="52">
        <v>255.81455349722313</v>
      </c>
      <c r="D693" s="52">
        <v>258.95421467124868</v>
      </c>
      <c r="E693" s="52">
        <v>1243982.6158031872</v>
      </c>
      <c r="F693" s="52" t="s">
        <v>768</v>
      </c>
      <c r="G693" s="26">
        <f t="shared" si="7"/>
        <v>-1.8710474123417864E-4</v>
      </c>
    </row>
    <row r="694" spans="1:7">
      <c r="A694" s="52">
        <v>258.49876999476965</v>
      </c>
      <c r="B694" s="52">
        <v>259.23523372694848</v>
      </c>
      <c r="C694" s="52">
        <v>255.05870914051326</v>
      </c>
      <c r="D694" s="52">
        <v>258.27589281266285</v>
      </c>
      <c r="E694" s="52">
        <v>1220740.8467219588</v>
      </c>
      <c r="F694" s="52" t="s">
        <v>769</v>
      </c>
      <c r="G694" s="26">
        <f t="shared" si="7"/>
        <v>8.6294225790739532E-4</v>
      </c>
    </row>
    <row r="695" spans="1:7">
      <c r="A695" s="52">
        <v>258.78947936273499</v>
      </c>
      <c r="B695" s="52">
        <v>261.09577368192657</v>
      </c>
      <c r="C695" s="52">
        <v>257.66550004305839</v>
      </c>
      <c r="D695" s="52">
        <v>258.7119568646109</v>
      </c>
      <c r="E695" s="52">
        <v>1078778.4452732306</v>
      </c>
      <c r="F695" s="52" t="s">
        <v>770</v>
      </c>
      <c r="G695" s="26">
        <f t="shared" si="7"/>
        <v>2.9964791370140631E-4</v>
      </c>
    </row>
    <row r="696" spans="1:7">
      <c r="A696" s="52">
        <v>257.50066783142211</v>
      </c>
      <c r="B696" s="52">
        <v>262.80732163330356</v>
      </c>
      <c r="C696" s="52">
        <v>252.15055644608583</v>
      </c>
      <c r="D696" s="52">
        <v>262.56106199372579</v>
      </c>
      <c r="E696" s="52">
        <v>2547931.7117325882</v>
      </c>
      <c r="F696" s="52" t="s">
        <v>771</v>
      </c>
      <c r="G696" s="26">
        <f t="shared" si="7"/>
        <v>-1.9273208768574412E-2</v>
      </c>
    </row>
    <row r="697" spans="1:7">
      <c r="A697" s="52">
        <v>263.52678607050132</v>
      </c>
      <c r="B697" s="52">
        <v>268.9058691781409</v>
      </c>
      <c r="C697" s="52">
        <v>263.0197809301942</v>
      </c>
      <c r="D697" s="52">
        <v>268.9058691781409</v>
      </c>
      <c r="E697" s="52">
        <v>1254153.2608817252</v>
      </c>
      <c r="F697" s="52" t="s">
        <v>772</v>
      </c>
      <c r="G697" s="26">
        <f t="shared" ref="G697:G760" si="8">A697/D697-1</f>
        <v>-2.0003591309032065E-2</v>
      </c>
    </row>
    <row r="698" spans="1:7">
      <c r="A698" s="52">
        <v>268.91552641890866</v>
      </c>
      <c r="B698" s="52">
        <v>271.36846557391846</v>
      </c>
      <c r="C698" s="52">
        <v>268.14294715748827</v>
      </c>
      <c r="D698" s="52">
        <v>271.36846557391846</v>
      </c>
      <c r="E698" s="52">
        <v>864139.16776975023</v>
      </c>
      <c r="F698" s="52" t="s">
        <v>773</v>
      </c>
      <c r="G698" s="26">
        <f t="shared" si="8"/>
        <v>-9.0391459074733449E-3</v>
      </c>
    </row>
    <row r="699" spans="1:7">
      <c r="A699" s="52">
        <v>269.87159325491643</v>
      </c>
      <c r="B699" s="52">
        <v>272.19898827994541</v>
      </c>
      <c r="C699" s="52">
        <v>269.06038503042498</v>
      </c>
      <c r="D699" s="52">
        <v>271.17532075856337</v>
      </c>
      <c r="E699" s="52">
        <v>1142497.1444058535</v>
      </c>
      <c r="F699" s="52" t="s">
        <v>774</v>
      </c>
      <c r="G699" s="26">
        <f t="shared" si="8"/>
        <v>-4.8076923076922906E-3</v>
      </c>
    </row>
    <row r="700" spans="1:7">
      <c r="A700" s="52">
        <v>270.69245872017564</v>
      </c>
      <c r="B700" s="52">
        <v>273.78277576585725</v>
      </c>
      <c r="C700" s="52">
        <v>270.00679462566495</v>
      </c>
      <c r="D700" s="52">
        <v>272.52733446604907</v>
      </c>
      <c r="E700" s="52">
        <v>964987.84943996964</v>
      </c>
      <c r="F700" s="52" t="s">
        <v>775</v>
      </c>
      <c r="G700" s="26">
        <f t="shared" si="8"/>
        <v>-6.7328136073705469E-3</v>
      </c>
    </row>
    <row r="701" spans="1:7">
      <c r="A701" s="52">
        <v>271.822355890003</v>
      </c>
      <c r="B701" s="52">
        <v>272.73013652217196</v>
      </c>
      <c r="C701" s="52">
        <v>270.74557354439827</v>
      </c>
      <c r="D701" s="52">
        <v>272.45007653990706</v>
      </c>
      <c r="E701" s="52">
        <v>909369.47842519602</v>
      </c>
      <c r="F701" s="52" t="s">
        <v>776</v>
      </c>
      <c r="G701" s="26">
        <f t="shared" si="8"/>
        <v>-2.3039841202324718E-3</v>
      </c>
    </row>
    <row r="702" spans="1:7">
      <c r="A702" s="52">
        <v>271.89961381614501</v>
      </c>
      <c r="B702" s="52">
        <v>272.9329385782948</v>
      </c>
      <c r="C702" s="52">
        <v>270.94354698013723</v>
      </c>
      <c r="D702" s="52">
        <v>271.66784003771886</v>
      </c>
      <c r="E702" s="52">
        <v>868238.68241913</v>
      </c>
      <c r="F702" s="52" t="s">
        <v>777</v>
      </c>
      <c r="G702" s="26">
        <f t="shared" si="8"/>
        <v>8.5315132771679458E-4</v>
      </c>
    </row>
    <row r="703" spans="1:7">
      <c r="A703" s="52">
        <v>270.41239873791068</v>
      </c>
      <c r="B703" s="52">
        <v>272.18450241879378</v>
      </c>
      <c r="C703" s="52">
        <v>267.65042787833272</v>
      </c>
      <c r="D703" s="52">
        <v>268.25883404670128</v>
      </c>
      <c r="E703" s="52">
        <v>1390649.8059819899</v>
      </c>
      <c r="F703" s="52" t="s">
        <v>778</v>
      </c>
      <c r="G703" s="26">
        <f t="shared" si="8"/>
        <v>8.0279357765138393E-3</v>
      </c>
    </row>
    <row r="704" spans="1:7">
      <c r="A704" s="52">
        <v>267.50556926681639</v>
      </c>
      <c r="B704" s="52">
        <v>270.09370979257477</v>
      </c>
      <c r="C704" s="52">
        <v>267.46694030374539</v>
      </c>
      <c r="D704" s="52">
        <v>267.68905684140378</v>
      </c>
      <c r="E704" s="52">
        <v>890159.02230615227</v>
      </c>
      <c r="F704" s="52" t="s">
        <v>779</v>
      </c>
      <c r="G704" s="26">
        <f t="shared" si="8"/>
        <v>-6.8545041307421783E-4</v>
      </c>
    </row>
    <row r="705" spans="1:7">
      <c r="A705" s="52">
        <v>267.58282719295846</v>
      </c>
      <c r="B705" s="52">
        <v>267.97877406443644</v>
      </c>
      <c r="C705" s="52">
        <v>265.88798143821742</v>
      </c>
      <c r="D705" s="52">
        <v>267.67939960063603</v>
      </c>
      <c r="E705" s="52">
        <v>899513.66119033948</v>
      </c>
      <c r="F705" s="52" t="s">
        <v>780</v>
      </c>
      <c r="G705" s="26">
        <f t="shared" si="8"/>
        <v>-3.6077639079301616E-4</v>
      </c>
    </row>
    <row r="706" spans="1:7">
      <c r="A706" s="52">
        <v>266.25012796700827</v>
      </c>
      <c r="B706" s="52">
        <v>267.81460097138455</v>
      </c>
      <c r="C706" s="52">
        <v>263.23706884746866</v>
      </c>
      <c r="D706" s="52">
        <v>266.46258726389885</v>
      </c>
      <c r="E706" s="52">
        <v>1069414.1575596982</v>
      </c>
      <c r="F706" s="52" t="s">
        <v>781</v>
      </c>
      <c r="G706" s="26">
        <f t="shared" si="8"/>
        <v>-7.9733256016223386E-4</v>
      </c>
    </row>
    <row r="707" spans="1:7">
      <c r="A707" s="52">
        <v>266.1728700408662</v>
      </c>
      <c r="B707" s="52">
        <v>266.78127620923476</v>
      </c>
      <c r="C707" s="52">
        <v>263.11152471748784</v>
      </c>
      <c r="D707" s="52">
        <v>264.07724879426337</v>
      </c>
      <c r="E707" s="52">
        <v>1108310.3608369536</v>
      </c>
      <c r="F707" s="52" t="s">
        <v>782</v>
      </c>
      <c r="G707" s="26">
        <f t="shared" si="8"/>
        <v>7.9356372280123821E-3</v>
      </c>
    </row>
    <row r="708" spans="1:7">
      <c r="A708" s="52">
        <v>264.30902257268946</v>
      </c>
      <c r="B708" s="52">
        <v>266.39498657852459</v>
      </c>
      <c r="C708" s="52">
        <v>263.24672608823641</v>
      </c>
      <c r="D708" s="52">
        <v>265.19748872332298</v>
      </c>
      <c r="E708" s="52">
        <v>1008985.9240679434</v>
      </c>
      <c r="F708" s="52" t="s">
        <v>783</v>
      </c>
      <c r="G708" s="26">
        <f t="shared" si="8"/>
        <v>-3.3502057463313806E-3</v>
      </c>
    </row>
    <row r="709" spans="1:7">
      <c r="A709" s="52">
        <v>266.09561211472419</v>
      </c>
      <c r="B709" s="52">
        <v>267.63111339679722</v>
      </c>
      <c r="C709" s="52">
        <v>265.38097629791031</v>
      </c>
      <c r="D709" s="52">
        <v>267.63111339679722</v>
      </c>
      <c r="E709" s="52">
        <v>957635.8529735395</v>
      </c>
      <c r="F709" s="52" t="s">
        <v>784</v>
      </c>
      <c r="G709" s="26">
        <f t="shared" si="8"/>
        <v>-5.7373795691550988E-3</v>
      </c>
    </row>
    <row r="710" spans="1:7">
      <c r="A710" s="52">
        <v>267.26413824762255</v>
      </c>
      <c r="B710" s="52">
        <v>269.51427534650946</v>
      </c>
      <c r="C710" s="52">
        <v>266.81990517230582</v>
      </c>
      <c r="D710" s="52">
        <v>268.75135332585683</v>
      </c>
      <c r="E710" s="52">
        <v>843629.16861333034</v>
      </c>
      <c r="F710" s="52" t="s">
        <v>785</v>
      </c>
      <c r="G710" s="26">
        <f t="shared" si="8"/>
        <v>-5.5337956807646194E-3</v>
      </c>
    </row>
    <row r="711" spans="1:7">
      <c r="A711" s="52">
        <v>270.07439531103932</v>
      </c>
      <c r="B711" s="52">
        <v>273.20816994017576</v>
      </c>
      <c r="C711" s="52">
        <v>269.94885118105844</v>
      </c>
      <c r="D711" s="52">
        <v>272.35350413222949</v>
      </c>
      <c r="E711" s="52">
        <v>840673.87313231756</v>
      </c>
      <c r="F711" s="52" t="s">
        <v>786</v>
      </c>
      <c r="G711" s="26">
        <f t="shared" si="8"/>
        <v>-8.3682008368198835E-3</v>
      </c>
    </row>
    <row r="712" spans="1:7">
      <c r="A712" s="52">
        <v>272.96191030059805</v>
      </c>
      <c r="B712" s="52">
        <v>274.05317850735435</v>
      </c>
      <c r="C712" s="52">
        <v>270.86628905399522</v>
      </c>
      <c r="D712" s="52">
        <v>272.39213309530049</v>
      </c>
      <c r="E712" s="52">
        <v>1116100.3706139894</v>
      </c>
      <c r="F712" s="52" t="s">
        <v>787</v>
      </c>
      <c r="G712" s="26">
        <f t="shared" si="8"/>
        <v>2.0917535276181454E-3</v>
      </c>
    </row>
    <row r="713" spans="1:7">
      <c r="A713" s="52">
        <v>272.63356411449439</v>
      </c>
      <c r="B713" s="52">
        <v>272.84602341138498</v>
      </c>
      <c r="C713" s="52">
        <v>266.64607483848624</v>
      </c>
      <c r="D713" s="52">
        <v>267.90151613829443</v>
      </c>
      <c r="E713" s="52">
        <v>1372428.245162304</v>
      </c>
      <c r="F713" s="52" t="s">
        <v>788</v>
      </c>
      <c r="G713" s="26">
        <f t="shared" si="8"/>
        <v>1.766338632349207E-2</v>
      </c>
    </row>
    <row r="714" spans="1:7">
      <c r="A714" s="52">
        <v>267.72768580447479</v>
      </c>
      <c r="B714" s="52">
        <v>273.48340130205685</v>
      </c>
      <c r="C714" s="52">
        <v>267.57316995219071</v>
      </c>
      <c r="D714" s="52">
        <v>272.33418965069399</v>
      </c>
      <c r="E714" s="52">
        <v>1327619.3799381028</v>
      </c>
      <c r="F714" s="52" t="s">
        <v>789</v>
      </c>
      <c r="G714" s="26">
        <f t="shared" si="8"/>
        <v>-1.6914893617021365E-2</v>
      </c>
    </row>
    <row r="715" spans="1:7">
      <c r="A715" s="52">
        <v>271.88029933460945</v>
      </c>
      <c r="B715" s="52">
        <v>274.72918536109728</v>
      </c>
      <c r="C715" s="52">
        <v>269.49496086497396</v>
      </c>
      <c r="D715" s="52">
        <v>269.49496086497396</v>
      </c>
      <c r="E715" s="52">
        <v>2121329.5280368328</v>
      </c>
      <c r="F715" s="52" t="s">
        <v>790</v>
      </c>
      <c r="G715" s="26">
        <f t="shared" si="8"/>
        <v>8.8511431233424531E-3</v>
      </c>
    </row>
    <row r="716" spans="1:7">
      <c r="A716" s="52">
        <v>271.46503798159603</v>
      </c>
      <c r="B716" s="52">
        <v>272.81222306869785</v>
      </c>
      <c r="C716" s="52">
        <v>264.93191460220964</v>
      </c>
      <c r="D716" s="52">
        <v>266.80059069077026</v>
      </c>
      <c r="E716" s="52">
        <v>2612489.4891550648</v>
      </c>
      <c r="F716" s="52" t="s">
        <v>791</v>
      </c>
      <c r="G716" s="26">
        <f t="shared" si="8"/>
        <v>1.7482897165816302E-2</v>
      </c>
    </row>
    <row r="717" spans="1:7">
      <c r="A717" s="52">
        <v>265.78658041015603</v>
      </c>
      <c r="B717" s="52">
        <v>267.68905684140378</v>
      </c>
      <c r="C717" s="52">
        <v>261.76076645130195</v>
      </c>
      <c r="D717" s="52">
        <v>262.09751443687355</v>
      </c>
      <c r="E717" s="52">
        <v>1529465.8541927903</v>
      </c>
      <c r="F717" s="52" t="s">
        <v>792</v>
      </c>
      <c r="G717" s="26">
        <f t="shared" si="8"/>
        <v>1.4075165806927137E-2</v>
      </c>
    </row>
    <row r="718" spans="1:7">
      <c r="A718" s="52">
        <v>261.50842275004049</v>
      </c>
      <c r="B718" s="52">
        <v>265.28923251061661</v>
      </c>
      <c r="C718" s="52">
        <v>257.99318711057759</v>
      </c>
      <c r="D718" s="52">
        <v>259.05548359503069</v>
      </c>
      <c r="E718" s="52">
        <v>1575596.0077960289</v>
      </c>
      <c r="F718" s="52" t="s">
        <v>793</v>
      </c>
      <c r="G718" s="26">
        <f t="shared" si="8"/>
        <v>9.4687791239516095E-3</v>
      </c>
    </row>
    <row r="719" spans="1:7">
      <c r="A719" s="52">
        <v>259.49005942957967</v>
      </c>
      <c r="B719" s="52">
        <v>267.75665752677804</v>
      </c>
      <c r="C719" s="52">
        <v>256.60254444002089</v>
      </c>
      <c r="D719" s="52">
        <v>265.90246729936905</v>
      </c>
      <c r="E719" s="52">
        <v>2219294.3632057835</v>
      </c>
      <c r="F719" s="52" t="s">
        <v>794</v>
      </c>
      <c r="G719" s="26">
        <f t="shared" si="8"/>
        <v>-2.4115638846517018E-2</v>
      </c>
    </row>
    <row r="720" spans="1:7">
      <c r="A720" s="52">
        <v>266.77161896846701</v>
      </c>
      <c r="B720" s="52">
        <v>269.35010225345769</v>
      </c>
      <c r="C720" s="52">
        <v>265.83969523437867</v>
      </c>
      <c r="D720" s="52">
        <v>268.15260439825602</v>
      </c>
      <c r="E720" s="52">
        <v>1446009.3038817483</v>
      </c>
      <c r="F720" s="52" t="s">
        <v>795</v>
      </c>
      <c r="G720" s="26">
        <f t="shared" si="8"/>
        <v>-5.1499981993013977E-3</v>
      </c>
    </row>
    <row r="721" spans="1:7">
      <c r="A721" s="52">
        <v>268.99278434505072</v>
      </c>
      <c r="B721" s="52">
        <v>269.09901399349599</v>
      </c>
      <c r="C721" s="52">
        <v>265.68035076171071</v>
      </c>
      <c r="D721" s="52">
        <v>266.81507655192195</v>
      </c>
      <c r="E721" s="52">
        <v>1173335.1453589175</v>
      </c>
      <c r="F721" s="52" t="s">
        <v>796</v>
      </c>
      <c r="G721" s="26">
        <f t="shared" si="8"/>
        <v>8.161861845558116E-3</v>
      </c>
    </row>
    <row r="722" spans="1:7">
      <c r="A722" s="52">
        <v>269.07004227119273</v>
      </c>
      <c r="B722" s="52">
        <v>270.85663181322747</v>
      </c>
      <c r="C722" s="52">
        <v>267.15790859917723</v>
      </c>
      <c r="D722" s="52">
        <v>270.85663181322747</v>
      </c>
      <c r="E722" s="52">
        <v>1683243.732959006</v>
      </c>
      <c r="F722" s="52" t="s">
        <v>797</v>
      </c>
      <c r="G722" s="26">
        <f t="shared" si="8"/>
        <v>-6.5960708810213209E-3</v>
      </c>
    </row>
    <row r="723" spans="1:7">
      <c r="A723" s="52">
        <v>270.71177320171108</v>
      </c>
      <c r="B723" s="52">
        <v>275.7045666786405</v>
      </c>
      <c r="C723" s="52">
        <v>270.50897114558825</v>
      </c>
      <c r="D723" s="52">
        <v>275.32793428869809</v>
      </c>
      <c r="E723" s="52">
        <v>1699771.2281140327</v>
      </c>
      <c r="F723" s="52" t="s">
        <v>798</v>
      </c>
      <c r="G723" s="26">
        <f t="shared" si="8"/>
        <v>-1.6766047001052553E-2</v>
      </c>
    </row>
    <row r="724" spans="1:7">
      <c r="A724" s="52">
        <v>273.86969093276701</v>
      </c>
      <c r="B724" s="52">
        <v>276.63890472292081</v>
      </c>
      <c r="C724" s="52">
        <v>273.41580061668253</v>
      </c>
      <c r="D724" s="52">
        <v>274.20769435963848</v>
      </c>
      <c r="E724" s="52">
        <v>2016147.3104212601</v>
      </c>
      <c r="F724" s="52" t="s">
        <v>799</v>
      </c>
      <c r="G724" s="26">
        <f t="shared" si="8"/>
        <v>-1.2326547862225867E-3</v>
      </c>
    </row>
    <row r="725" spans="1:7">
      <c r="A725" s="52">
        <v>273.10676891211438</v>
      </c>
      <c r="B725" s="52">
        <v>275.24101912178827</v>
      </c>
      <c r="C725" s="52">
        <v>272.33418965069399</v>
      </c>
      <c r="D725" s="52">
        <v>273.27094200516626</v>
      </c>
      <c r="E725" s="52">
        <v>1920791.916251662</v>
      </c>
      <c r="F725" s="52" t="s">
        <v>800</v>
      </c>
      <c r="G725" s="26">
        <f t="shared" si="8"/>
        <v>-6.0077039968919888E-4</v>
      </c>
    </row>
    <row r="726" spans="1:7">
      <c r="A726" s="52">
        <v>273.59928819126986</v>
      </c>
      <c r="B726" s="52">
        <v>274.09180747042541</v>
      </c>
      <c r="C726" s="52">
        <v>265.51617766865888</v>
      </c>
      <c r="D726" s="52">
        <v>267.90151613829443</v>
      </c>
      <c r="E726" s="52">
        <v>1725906.0223135017</v>
      </c>
      <c r="F726" s="52" t="s">
        <v>801</v>
      </c>
      <c r="G726" s="26">
        <f t="shared" si="8"/>
        <v>2.1268159042572066E-2</v>
      </c>
    </row>
    <row r="727" spans="1:7">
      <c r="A727" s="52">
        <v>270.37376977483973</v>
      </c>
      <c r="B727" s="52">
        <v>277.47184173913968</v>
      </c>
      <c r="C727" s="52">
        <v>269.28250156808332</v>
      </c>
      <c r="D727" s="52">
        <v>272.52733446604907</v>
      </c>
      <c r="E727" s="52">
        <v>4003854.8204269563</v>
      </c>
      <c r="F727" s="52" t="s">
        <v>802</v>
      </c>
      <c r="G727" s="26">
        <f t="shared" si="8"/>
        <v>-7.9021970233874583E-3</v>
      </c>
    </row>
    <row r="728" spans="1:7">
      <c r="A728" s="52">
        <v>255.76236449322619</v>
      </c>
      <c r="B728" s="52">
        <v>256.95503372804393</v>
      </c>
      <c r="C728" s="52">
        <v>253.92748874735273</v>
      </c>
      <c r="D728" s="52">
        <v>255.41470382558705</v>
      </c>
      <c r="E728" s="52">
        <v>1189748.7363433377</v>
      </c>
      <c r="F728" s="52" t="s">
        <v>803</v>
      </c>
      <c r="G728" s="26">
        <f t="shared" si="8"/>
        <v>1.3611615245006092E-3</v>
      </c>
    </row>
    <row r="729" spans="1:7">
      <c r="A729" s="52">
        <v>254.38137906343727</v>
      </c>
      <c r="B729" s="52">
        <v>254.44897974881152</v>
      </c>
      <c r="C729" s="52">
        <v>247.19639193222744</v>
      </c>
      <c r="D729" s="52">
        <v>247.5247381183311</v>
      </c>
      <c r="E729" s="52">
        <v>1498494.2747123786</v>
      </c>
      <c r="F729" s="52" t="s">
        <v>804</v>
      </c>
      <c r="G729" s="26">
        <f t="shared" si="8"/>
        <v>2.7700831024930928E-2</v>
      </c>
    </row>
    <row r="730" spans="1:7">
      <c r="A730" s="52">
        <v>246.16306717007765</v>
      </c>
      <c r="B730" s="52">
        <v>249.04092491886865</v>
      </c>
      <c r="C730" s="52">
        <v>245.73814857629642</v>
      </c>
      <c r="D730" s="52">
        <v>246.36586922620052</v>
      </c>
      <c r="E730" s="52">
        <v>1490650.4193274197</v>
      </c>
      <c r="F730" s="52" t="s">
        <v>805</v>
      </c>
      <c r="G730" s="26">
        <f t="shared" si="8"/>
        <v>-8.2317431696132815E-4</v>
      </c>
    </row>
    <row r="731" spans="1:7">
      <c r="A731" s="52">
        <v>247.53439535909885</v>
      </c>
      <c r="B731" s="52">
        <v>247.98828567518336</v>
      </c>
      <c r="C731" s="52">
        <v>244.83036794412743</v>
      </c>
      <c r="D731" s="52">
        <v>247.09016228378215</v>
      </c>
      <c r="E731" s="52">
        <v>788855.75944596622</v>
      </c>
      <c r="F731" s="52" t="s">
        <v>806</v>
      </c>
      <c r="G731" s="26">
        <f t="shared" si="8"/>
        <v>1.7978582037050383E-3</v>
      </c>
    </row>
    <row r="732" spans="1:7">
      <c r="A732" s="52">
        <v>247.84342706366701</v>
      </c>
      <c r="B732" s="52">
        <v>250.43591334777088</v>
      </c>
      <c r="C732" s="52">
        <v>247.38123152052228</v>
      </c>
      <c r="D732" s="52">
        <v>249.91007658796659</v>
      </c>
      <c r="E732" s="52">
        <v>733141.08763240709</v>
      </c>
      <c r="F732" s="52" t="s">
        <v>807</v>
      </c>
      <c r="G732" s="26">
        <f t="shared" si="8"/>
        <v>-8.26957260993888E-3</v>
      </c>
    </row>
    <row r="733" spans="1:7">
      <c r="A733" s="52">
        <v>250.49916827479967</v>
      </c>
      <c r="B733" s="52">
        <v>252.17469954800518</v>
      </c>
      <c r="C733" s="52">
        <v>249.35478524382069</v>
      </c>
      <c r="D733" s="52">
        <v>251.29106201775556</v>
      </c>
      <c r="E733" s="52">
        <v>938232.79525692447</v>
      </c>
      <c r="F733" s="52" t="s">
        <v>808</v>
      </c>
      <c r="G733" s="26">
        <f t="shared" si="8"/>
        <v>-3.1513008723722535E-3</v>
      </c>
    </row>
    <row r="734" spans="1:7">
      <c r="A734" s="52">
        <v>251.03997375779394</v>
      </c>
      <c r="B734" s="52">
        <v>252.03466955687276</v>
      </c>
      <c r="C734" s="52">
        <v>248.80915114044251</v>
      </c>
      <c r="D734" s="52">
        <v>249.00229595579762</v>
      </c>
      <c r="E734" s="52">
        <v>1213605.4471306731</v>
      </c>
      <c r="F734" s="52" t="s">
        <v>809</v>
      </c>
      <c r="G734" s="26">
        <f t="shared" si="8"/>
        <v>8.183369531492346E-3</v>
      </c>
    </row>
    <row r="735" spans="1:7">
      <c r="A735" s="52">
        <v>249.79418969875357</v>
      </c>
      <c r="B735" s="52">
        <v>252.44993090988623</v>
      </c>
      <c r="C735" s="52">
        <v>249.11818284501067</v>
      </c>
      <c r="D735" s="52">
        <v>252.10227024224704</v>
      </c>
      <c r="E735" s="52">
        <v>802092.45956292062</v>
      </c>
      <c r="F735" s="52" t="s">
        <v>810</v>
      </c>
      <c r="G735" s="26">
        <f t="shared" si="8"/>
        <v>-9.1553342271595284E-3</v>
      </c>
    </row>
    <row r="736" spans="1:7">
      <c r="A736" s="52">
        <v>250.44122483019314</v>
      </c>
      <c r="B736" s="52">
        <v>250.48951103403192</v>
      </c>
      <c r="C736" s="52">
        <v>247.55370984063435</v>
      </c>
      <c r="D736" s="52">
        <v>248.39388978742903</v>
      </c>
      <c r="E736" s="52">
        <v>729779.87910705048</v>
      </c>
      <c r="F736" s="52" t="s">
        <v>811</v>
      </c>
      <c r="G736" s="26">
        <f t="shared" si="8"/>
        <v>8.2422922903464535E-3</v>
      </c>
    </row>
    <row r="737" spans="1:7">
      <c r="A737" s="52">
        <v>248.7318932143005</v>
      </c>
      <c r="B737" s="52">
        <v>250.76957101629682</v>
      </c>
      <c r="C737" s="52">
        <v>247.77582637829272</v>
      </c>
      <c r="D737" s="52">
        <v>248.61600632508743</v>
      </c>
      <c r="E737" s="52">
        <v>828349.4418726766</v>
      </c>
      <c r="F737" s="52" t="s">
        <v>812</v>
      </c>
      <c r="G737" s="26">
        <f t="shared" si="8"/>
        <v>4.6612802983214685E-4</v>
      </c>
    </row>
    <row r="738" spans="1:7">
      <c r="A738" s="52">
        <v>248.11382980516419</v>
      </c>
      <c r="B738" s="52">
        <v>249.77487521721804</v>
      </c>
      <c r="C738" s="52">
        <v>247.39919398835031</v>
      </c>
      <c r="D738" s="52">
        <v>248.2104022128417</v>
      </c>
      <c r="E738" s="52">
        <v>953249.50691272295</v>
      </c>
      <c r="F738" s="52" t="s">
        <v>813</v>
      </c>
      <c r="G738" s="26">
        <f t="shared" si="8"/>
        <v>-3.8907478017258246E-4</v>
      </c>
    </row>
    <row r="739" spans="1:7">
      <c r="A739" s="52">
        <v>249.9969917548764</v>
      </c>
      <c r="B739" s="52">
        <v>251.59072619877907</v>
      </c>
      <c r="C739" s="52">
        <v>249.26304145652705</v>
      </c>
      <c r="D739" s="52">
        <v>250.30602345944456</v>
      </c>
      <c r="E739" s="52">
        <v>771728.71415656433</v>
      </c>
      <c r="F739" s="52" t="s">
        <v>814</v>
      </c>
      <c r="G739" s="26">
        <f t="shared" si="8"/>
        <v>-1.2346155330066333E-3</v>
      </c>
    </row>
    <row r="740" spans="1:7">
      <c r="A740" s="52">
        <v>251.37797718466541</v>
      </c>
      <c r="B740" s="52">
        <v>251.60975096309153</v>
      </c>
      <c r="C740" s="52">
        <v>249.49481523495317</v>
      </c>
      <c r="D740" s="52">
        <v>250.46053931172867</v>
      </c>
      <c r="E740" s="52">
        <v>1196135.6538369912</v>
      </c>
      <c r="F740" s="52" t="s">
        <v>815</v>
      </c>
      <c r="G740" s="26">
        <f t="shared" si="8"/>
        <v>3.66300366300365E-3</v>
      </c>
    </row>
    <row r="741" spans="1:7">
      <c r="A741" s="52">
        <v>252.94245018904172</v>
      </c>
      <c r="B741" s="52">
        <v>254.20754872961766</v>
      </c>
      <c r="C741" s="52">
        <v>250.5184827563352</v>
      </c>
      <c r="D741" s="52">
        <v>252.82656329982868</v>
      </c>
      <c r="E741" s="52">
        <v>623837.61002579308</v>
      </c>
      <c r="F741" s="52" t="s">
        <v>816</v>
      </c>
      <c r="G741" s="26">
        <f t="shared" si="8"/>
        <v>4.5836516424735407E-4</v>
      </c>
    </row>
    <row r="742" spans="1:7">
      <c r="A742" s="52">
        <v>254.96081350950251</v>
      </c>
      <c r="B742" s="52">
        <v>256.00379551242008</v>
      </c>
      <c r="C742" s="52">
        <v>253.04867983748699</v>
      </c>
      <c r="D742" s="52">
        <v>253.20319568977109</v>
      </c>
      <c r="E742" s="52">
        <v>1420828.1982379952</v>
      </c>
      <c r="F742" s="52" t="s">
        <v>817</v>
      </c>
      <c r="G742" s="26">
        <f t="shared" si="8"/>
        <v>6.9415309508371603E-3</v>
      </c>
    </row>
    <row r="743" spans="1:7">
      <c r="A743" s="52">
        <v>251.590436481556</v>
      </c>
      <c r="B743" s="52">
        <v>251.67735164846582</v>
      </c>
      <c r="C743" s="52">
        <v>248.46149047280332</v>
      </c>
      <c r="D743" s="52">
        <v>249.18578353038495</v>
      </c>
      <c r="E743" s="52">
        <v>1180328.8614341666</v>
      </c>
      <c r="F743" s="52" t="s">
        <v>818</v>
      </c>
      <c r="G743" s="26">
        <f t="shared" si="8"/>
        <v>9.6500406929427296E-3</v>
      </c>
    </row>
    <row r="744" spans="1:7">
      <c r="A744" s="52">
        <v>250.14185036639273</v>
      </c>
      <c r="B744" s="52">
        <v>250.47985379326417</v>
      </c>
      <c r="C744" s="52">
        <v>248.49046219510663</v>
      </c>
      <c r="D744" s="52">
        <v>249.15681180808173</v>
      </c>
      <c r="E744" s="52">
        <v>1199982.5083261163</v>
      </c>
      <c r="F744" s="52" t="s">
        <v>819</v>
      </c>
      <c r="G744" s="26">
        <f t="shared" si="8"/>
        <v>3.9534883720928615E-3</v>
      </c>
    </row>
    <row r="745" spans="1:7">
      <c r="A745" s="52">
        <v>249.3982428272756</v>
      </c>
      <c r="B745" s="52">
        <v>249.86179038412786</v>
      </c>
      <c r="C745" s="52">
        <v>245.30840136213129</v>
      </c>
      <c r="D745" s="52">
        <v>247.68891121138296</v>
      </c>
      <c r="E745" s="52">
        <v>942938.07299543975</v>
      </c>
      <c r="F745" s="52" t="s">
        <v>820</v>
      </c>
      <c r="G745" s="26">
        <f t="shared" si="8"/>
        <v>6.9011228945725644E-3</v>
      </c>
    </row>
    <row r="746" spans="1:7">
      <c r="A746" s="52">
        <v>247.69856845215071</v>
      </c>
      <c r="B746" s="52">
        <v>248.24903117591273</v>
      </c>
      <c r="C746" s="52">
        <v>243.98362107361066</v>
      </c>
      <c r="D746" s="52">
        <v>247.75651189675725</v>
      </c>
      <c r="E746" s="52">
        <v>677138.54891495104</v>
      </c>
      <c r="F746" s="52" t="s">
        <v>821</v>
      </c>
      <c r="G746" s="26">
        <f t="shared" si="8"/>
        <v>-2.3387253946605124E-4</v>
      </c>
    </row>
    <row r="747" spans="1:7">
      <c r="A747" s="52">
        <v>247.75651189675725</v>
      </c>
      <c r="B747" s="52">
        <v>250.84682894243886</v>
      </c>
      <c r="C747" s="52">
        <v>247.50542363679563</v>
      </c>
      <c r="D747" s="52">
        <v>249.15681180808173</v>
      </c>
      <c r="E747" s="52">
        <v>845884.47119134234</v>
      </c>
      <c r="F747" s="52" t="s">
        <v>822</v>
      </c>
      <c r="G747" s="26">
        <f t="shared" si="8"/>
        <v>-5.6201550387596777E-3</v>
      </c>
    </row>
    <row r="748" spans="1:7">
      <c r="A748" s="52">
        <v>249.22441249345599</v>
      </c>
      <c r="B748" s="52">
        <v>250.2384227740703</v>
      </c>
      <c r="C748" s="52">
        <v>248.28283151859992</v>
      </c>
      <c r="D748" s="52">
        <v>249.50447247572092</v>
      </c>
      <c r="E748" s="52">
        <v>740226.96253660158</v>
      </c>
      <c r="F748" s="52" t="s">
        <v>823</v>
      </c>
      <c r="G748" s="26">
        <f t="shared" si="8"/>
        <v>-1.1224647778295127E-3</v>
      </c>
    </row>
    <row r="749" spans="1:7">
      <c r="A749" s="52">
        <v>248.49046219510663</v>
      </c>
      <c r="B749" s="52">
        <v>249.08921112270744</v>
      </c>
      <c r="C749" s="52">
        <v>245.80574926167068</v>
      </c>
      <c r="D749" s="52">
        <v>247.49576639602782</v>
      </c>
      <c r="E749" s="52">
        <v>794061.18004269083</v>
      </c>
      <c r="F749" s="52" t="s">
        <v>824</v>
      </c>
      <c r="G749" s="26">
        <f t="shared" si="8"/>
        <v>4.0190416731700207E-3</v>
      </c>
    </row>
    <row r="750" spans="1:7">
      <c r="A750" s="52">
        <v>247.67925397061521</v>
      </c>
      <c r="B750" s="52">
        <v>250.61022654362887</v>
      </c>
      <c r="C750" s="52">
        <v>246.33689750389723</v>
      </c>
      <c r="D750" s="52">
        <v>248.24903117591273</v>
      </c>
      <c r="E750" s="52">
        <v>967078.50871683192</v>
      </c>
      <c r="F750" s="52" t="s">
        <v>825</v>
      </c>
      <c r="G750" s="26">
        <f t="shared" si="8"/>
        <v>-2.2951840037344073E-3</v>
      </c>
    </row>
    <row r="751" spans="1:7">
      <c r="A751" s="52">
        <v>249.76521797645029</v>
      </c>
      <c r="B751" s="52">
        <v>250.97237307241969</v>
      </c>
      <c r="C751" s="52">
        <v>247.83376982289926</v>
      </c>
      <c r="D751" s="52">
        <v>248.55806288048089</v>
      </c>
      <c r="E751" s="52">
        <v>1536185.1647661233</v>
      </c>
      <c r="F751" s="52" t="s">
        <v>826</v>
      </c>
      <c r="G751" s="26">
        <f t="shared" si="8"/>
        <v>4.8566322169554255E-3</v>
      </c>
    </row>
    <row r="752" spans="1:7">
      <c r="A752" s="52">
        <v>247.3798795068148</v>
      </c>
      <c r="B752" s="52">
        <v>247.97862843441555</v>
      </c>
      <c r="C752" s="52">
        <v>243.90327283042294</v>
      </c>
      <c r="D752" s="52">
        <v>245.06214172255355</v>
      </c>
      <c r="E752" s="52">
        <v>720274.05832369439</v>
      </c>
      <c r="F752" s="52" t="s">
        <v>827</v>
      </c>
      <c r="G752" s="26">
        <f t="shared" si="8"/>
        <v>9.4577553593948593E-3</v>
      </c>
    </row>
    <row r="753" spans="1:7">
      <c r="A753" s="52">
        <v>244.6468803695401</v>
      </c>
      <c r="B753" s="52">
        <v>248.79949389967479</v>
      </c>
      <c r="C753" s="52">
        <v>244.04813144193926</v>
      </c>
      <c r="D753" s="52">
        <v>246.75215885691068</v>
      </c>
      <c r="E753" s="52">
        <v>1188725.6697927976</v>
      </c>
      <c r="F753" s="52" t="s">
        <v>828</v>
      </c>
      <c r="G753" s="26">
        <f t="shared" si="8"/>
        <v>-8.5319556964501553E-3</v>
      </c>
    </row>
    <row r="754" spans="1:7">
      <c r="A754" s="52">
        <v>242.8796053090409</v>
      </c>
      <c r="B754" s="52">
        <v>243.52664044048049</v>
      </c>
      <c r="C754" s="52">
        <v>240.6636548424718</v>
      </c>
      <c r="D754" s="52">
        <v>241.22821713775477</v>
      </c>
      <c r="E754" s="52">
        <v>657911.5249165463</v>
      </c>
      <c r="F754" s="52" t="s">
        <v>829</v>
      </c>
      <c r="G754" s="26">
        <f t="shared" si="8"/>
        <v>6.845750430361619E-3</v>
      </c>
    </row>
    <row r="755" spans="1:7">
      <c r="A755" s="52">
        <v>242.11668328838826</v>
      </c>
      <c r="B755" s="52">
        <v>242.83131910520211</v>
      </c>
      <c r="C755" s="52">
        <v>240.58118200631517</v>
      </c>
      <c r="D755" s="52">
        <v>242.80234738289886</v>
      </c>
      <c r="E755" s="52">
        <v>1263940.7356142176</v>
      </c>
      <c r="F755" s="52" t="s">
        <v>830</v>
      </c>
      <c r="G755" s="26">
        <f t="shared" si="8"/>
        <v>-2.8239599077241051E-3</v>
      </c>
    </row>
    <row r="756" spans="1:7">
      <c r="A756" s="52">
        <v>242.8796053090409</v>
      </c>
      <c r="B756" s="52">
        <v>244.04813144193926</v>
      </c>
      <c r="C756" s="52">
        <v>240.84675612742845</v>
      </c>
      <c r="D756" s="52">
        <v>242.16496949222702</v>
      </c>
      <c r="E756" s="52">
        <v>1374019.7970734171</v>
      </c>
      <c r="F756" s="52" t="s">
        <v>831</v>
      </c>
      <c r="G756" s="26">
        <f t="shared" si="8"/>
        <v>2.9510288722285338E-3</v>
      </c>
    </row>
    <row r="757" spans="1:7">
      <c r="A757" s="52">
        <v>240.94815715548987</v>
      </c>
      <c r="B757" s="52">
        <v>242.70577497522129</v>
      </c>
      <c r="C757" s="52">
        <v>239.66374413337843</v>
      </c>
      <c r="D757" s="52">
        <v>241.71107917614253</v>
      </c>
      <c r="E757" s="52">
        <v>1275001.8660725846</v>
      </c>
      <c r="F757" s="52" t="s">
        <v>832</v>
      </c>
      <c r="G757" s="26">
        <f t="shared" si="8"/>
        <v>-3.1563386471693544E-3</v>
      </c>
    </row>
    <row r="758" spans="1:7">
      <c r="A758" s="52">
        <v>242.70577497522129</v>
      </c>
      <c r="B758" s="52">
        <v>243.38896531829073</v>
      </c>
      <c r="C758" s="52">
        <v>239.79981041737659</v>
      </c>
      <c r="D758" s="52">
        <v>240.66582634521112</v>
      </c>
      <c r="E758" s="52">
        <v>1298123.2375379852</v>
      </c>
      <c r="F758" s="52" t="s">
        <v>833</v>
      </c>
      <c r="G758" s="26">
        <f t="shared" si="8"/>
        <v>8.4762704410059619E-3</v>
      </c>
    </row>
    <row r="759" spans="1:7">
      <c r="A759" s="52">
        <v>241.00261031714675</v>
      </c>
      <c r="B759" s="52">
        <v>246.16021628736118</v>
      </c>
      <c r="C759" s="52">
        <v>238.71247930798438</v>
      </c>
      <c r="D759" s="52">
        <v>245.4096691499046</v>
      </c>
      <c r="E759" s="52">
        <v>1541750.6273107948</v>
      </c>
      <c r="F759" s="52" t="s">
        <v>834</v>
      </c>
      <c r="G759" s="26">
        <f t="shared" si="8"/>
        <v>-1.7957967377666306E-2</v>
      </c>
    </row>
    <row r="760" spans="1:7">
      <c r="A760" s="52">
        <v>244.39931723409768</v>
      </c>
      <c r="B760" s="52">
        <v>245.71758592424578</v>
      </c>
      <c r="C760" s="52">
        <v>242.56143898724889</v>
      </c>
      <c r="D760" s="52">
        <v>242.59992858404152</v>
      </c>
      <c r="E760" s="52">
        <v>1424541.8130874648</v>
      </c>
      <c r="F760" s="52" t="s">
        <v>835</v>
      </c>
      <c r="G760" s="26">
        <f t="shared" si="8"/>
        <v>7.4171029668412825E-3</v>
      </c>
    </row>
    <row r="761" spans="1:7">
      <c r="A761" s="52">
        <v>242.28238941050219</v>
      </c>
      <c r="B761" s="52">
        <v>243.92781967338777</v>
      </c>
      <c r="C761" s="52">
        <v>239.88641201016006</v>
      </c>
      <c r="D761" s="52">
        <v>240.06923759492511</v>
      </c>
      <c r="E761" s="52">
        <v>1807026.4641818916</v>
      </c>
      <c r="F761" s="52" t="s">
        <v>836</v>
      </c>
      <c r="G761" s="26">
        <f t="shared" ref="G761:G824" si="9">A761/D761-1</f>
        <v>9.2188063649845109E-3</v>
      </c>
    </row>
    <row r="762" spans="1:7">
      <c r="A762" s="52">
        <v>238.74134650557886</v>
      </c>
      <c r="B762" s="52">
        <v>239.17435446949611</v>
      </c>
      <c r="C762" s="52">
        <v>233.90127970890376</v>
      </c>
      <c r="D762" s="52">
        <v>234.52673565678421</v>
      </c>
      <c r="E762" s="52">
        <v>2109783.5978244757</v>
      </c>
      <c r="F762" s="52" t="s">
        <v>837</v>
      </c>
      <c r="G762" s="26">
        <f t="shared" si="9"/>
        <v>1.7970705288639088E-2</v>
      </c>
    </row>
    <row r="763" spans="1:7">
      <c r="A763" s="52">
        <v>232.63112301474646</v>
      </c>
      <c r="B763" s="52">
        <v>233.11224297465452</v>
      </c>
      <c r="C763" s="52">
        <v>228.64744974670771</v>
      </c>
      <c r="D763" s="52">
        <v>229.4942208761459</v>
      </c>
      <c r="E763" s="52">
        <v>2301473.8366115415</v>
      </c>
      <c r="F763" s="52" t="s">
        <v>838</v>
      </c>
      <c r="G763" s="26">
        <f t="shared" si="9"/>
        <v>1.3668763102725245E-2</v>
      </c>
    </row>
    <row r="764" spans="1:7">
      <c r="A764" s="52">
        <v>229.38837448496611</v>
      </c>
      <c r="B764" s="52">
        <v>233.51638374097729</v>
      </c>
      <c r="C764" s="52">
        <v>229.25366089619186</v>
      </c>
      <c r="D764" s="52">
        <v>232.1211358572439</v>
      </c>
      <c r="E764" s="52">
        <v>1080275.2812402912</v>
      </c>
      <c r="F764" s="52" t="s">
        <v>839</v>
      </c>
      <c r="G764" s="26">
        <f t="shared" si="9"/>
        <v>-1.1772996725117113E-2</v>
      </c>
    </row>
    <row r="765" spans="1:7">
      <c r="A765" s="52">
        <v>232.01528946606413</v>
      </c>
      <c r="B765" s="52">
        <v>234.12740609006053</v>
      </c>
      <c r="C765" s="52">
        <v>231.55341430455238</v>
      </c>
      <c r="D765" s="52">
        <v>232.45791982917956</v>
      </c>
      <c r="E765" s="52">
        <v>873229.20479184098</v>
      </c>
      <c r="F765" s="52" t="s">
        <v>840</v>
      </c>
      <c r="G765" s="26">
        <f t="shared" si="9"/>
        <v>-1.904131136683529E-3</v>
      </c>
    </row>
    <row r="766" spans="1:7">
      <c r="A766" s="52">
        <v>232.64074541394464</v>
      </c>
      <c r="B766" s="52">
        <v>235.55633237098749</v>
      </c>
      <c r="C766" s="52">
        <v>230.76437757030317</v>
      </c>
      <c r="D766" s="52">
        <v>234.40164446720811</v>
      </c>
      <c r="E766" s="52">
        <v>1478277.8917256081</v>
      </c>
      <c r="F766" s="52" t="s">
        <v>841</v>
      </c>
      <c r="G766" s="26">
        <f t="shared" si="9"/>
        <v>-7.5123152709357655E-3</v>
      </c>
    </row>
    <row r="767" spans="1:7">
      <c r="A767" s="52">
        <v>235.98934033490474</v>
      </c>
      <c r="B767" s="52">
        <v>236.99969225071169</v>
      </c>
      <c r="C767" s="52">
        <v>234.55560285437869</v>
      </c>
      <c r="D767" s="52">
        <v>236.99969225071169</v>
      </c>
      <c r="E767" s="52">
        <v>1003093.9063351721</v>
      </c>
      <c r="F767" s="52" t="s">
        <v>842</v>
      </c>
      <c r="G767" s="26">
        <f t="shared" si="9"/>
        <v>-4.2630937880634434E-3</v>
      </c>
    </row>
    <row r="768" spans="1:7">
      <c r="A768" s="52">
        <v>237.17289543627857</v>
      </c>
      <c r="B768" s="52">
        <v>241.66655586181989</v>
      </c>
      <c r="C768" s="52">
        <v>236.32612430684037</v>
      </c>
      <c r="D768" s="52">
        <v>240.75242793799455</v>
      </c>
      <c r="E768" s="52">
        <v>1089156.6421400064</v>
      </c>
      <c r="F768" s="52" t="s">
        <v>843</v>
      </c>
      <c r="G768" s="26">
        <f t="shared" si="9"/>
        <v>-1.4868105515587593E-2</v>
      </c>
    </row>
    <row r="769" spans="1:7">
      <c r="A769" s="52">
        <v>241.56070947064009</v>
      </c>
      <c r="B769" s="52">
        <v>244.31271564131424</v>
      </c>
      <c r="C769" s="52">
        <v>241.24317029710079</v>
      </c>
      <c r="D769" s="52">
        <v>242.01296223295367</v>
      </c>
      <c r="E769" s="52">
        <v>995899.23496742954</v>
      </c>
      <c r="F769" s="52" t="s">
        <v>844</v>
      </c>
      <c r="G769" s="26">
        <f t="shared" si="9"/>
        <v>-1.8687129736392194E-3</v>
      </c>
    </row>
    <row r="770" spans="1:7">
      <c r="A770" s="52">
        <v>242.36899100328566</v>
      </c>
      <c r="B770" s="52">
        <v>243.83159568140616</v>
      </c>
      <c r="C770" s="52">
        <v>241.59919906743275</v>
      </c>
      <c r="D770" s="52">
        <v>242.39785820088014</v>
      </c>
      <c r="E770" s="52">
        <v>1285517.2338270626</v>
      </c>
      <c r="F770" s="52" t="s">
        <v>845</v>
      </c>
      <c r="G770" s="26">
        <f t="shared" si="9"/>
        <v>-1.1909015124444977E-4</v>
      </c>
    </row>
    <row r="771" spans="1:7">
      <c r="A771" s="52">
        <v>242.07069662814266</v>
      </c>
      <c r="B771" s="52">
        <v>242.54219418885256</v>
      </c>
      <c r="C771" s="52">
        <v>240.06586975520577</v>
      </c>
      <c r="D771" s="52">
        <v>241.39712868427137</v>
      </c>
      <c r="E771" s="52">
        <v>1449277.8477393512</v>
      </c>
      <c r="F771" s="52" t="s">
        <v>846</v>
      </c>
      <c r="G771" s="26">
        <f t="shared" si="9"/>
        <v>2.7902897915255132E-3</v>
      </c>
    </row>
    <row r="772" spans="1:7">
      <c r="A772" s="52">
        <v>241.79164705139598</v>
      </c>
      <c r="B772" s="52">
        <v>242.11880862413346</v>
      </c>
      <c r="C772" s="52">
        <v>239.09737527591082</v>
      </c>
      <c r="D772" s="52">
        <v>241.9071158417739</v>
      </c>
      <c r="E772" s="52">
        <v>1121546.6930599012</v>
      </c>
      <c r="F772" s="52" t="s">
        <v>847</v>
      </c>
      <c r="G772" s="26">
        <f t="shared" si="9"/>
        <v>-4.773269689736237E-4</v>
      </c>
    </row>
    <row r="773" spans="1:7">
      <c r="A773" s="52">
        <v>240.91600872436331</v>
      </c>
      <c r="B773" s="52">
        <v>242.13805342252977</v>
      </c>
      <c r="C773" s="52">
        <v>240.11734959091592</v>
      </c>
      <c r="D773" s="52">
        <v>240.88714152676883</v>
      </c>
      <c r="E773" s="52">
        <v>725876.14129901223</v>
      </c>
      <c r="F773" s="52" t="s">
        <v>848</v>
      </c>
      <c r="G773" s="26">
        <f t="shared" si="9"/>
        <v>1.1983702165063725E-4</v>
      </c>
    </row>
    <row r="774" spans="1:7">
      <c r="A774" s="52">
        <v>241.59919906743275</v>
      </c>
      <c r="B774" s="52">
        <v>243.43226611468248</v>
      </c>
      <c r="C774" s="52">
        <v>239.93933520574993</v>
      </c>
      <c r="D774" s="52">
        <v>243.39858771748888</v>
      </c>
      <c r="E774" s="52">
        <v>975915.65332214255</v>
      </c>
      <c r="F774" s="52" t="s">
        <v>849</v>
      </c>
      <c r="G774" s="26">
        <f t="shared" si="9"/>
        <v>-7.3927653686498562E-3</v>
      </c>
    </row>
    <row r="775" spans="1:7">
      <c r="A775" s="52">
        <v>242.97520215276981</v>
      </c>
      <c r="B775" s="52">
        <v>243.19651733432752</v>
      </c>
      <c r="C775" s="52">
        <v>240.94968712155688</v>
      </c>
      <c r="D775" s="52">
        <v>242.16692062012424</v>
      </c>
      <c r="E775" s="52">
        <v>896010.42551295692</v>
      </c>
      <c r="F775" s="52" t="s">
        <v>850</v>
      </c>
      <c r="G775" s="26">
        <f t="shared" si="9"/>
        <v>3.3377041363691351E-3</v>
      </c>
    </row>
    <row r="776" spans="1:7">
      <c r="A776" s="52">
        <v>241.9071158417739</v>
      </c>
      <c r="B776" s="52">
        <v>242.11880862413346</v>
      </c>
      <c r="C776" s="52">
        <v>240.01150319973615</v>
      </c>
      <c r="D776" s="52">
        <v>241.0122327163449</v>
      </c>
      <c r="E776" s="52">
        <v>1021988.3625155749</v>
      </c>
      <c r="F776" s="52" t="s">
        <v>851</v>
      </c>
      <c r="G776" s="26">
        <f t="shared" si="9"/>
        <v>3.7130195232961682E-3</v>
      </c>
    </row>
    <row r="777" spans="1:7">
      <c r="A777" s="52">
        <v>241.57033186983827</v>
      </c>
      <c r="B777" s="52">
        <v>241.93117183976932</v>
      </c>
      <c r="C777" s="52">
        <v>238.59701051760644</v>
      </c>
      <c r="D777" s="52">
        <v>241.69542305941437</v>
      </c>
      <c r="E777" s="52">
        <v>837530.20780306077</v>
      </c>
      <c r="F777" s="52" t="s">
        <v>852</v>
      </c>
      <c r="G777" s="26">
        <f t="shared" si="9"/>
        <v>-5.1755713034473683E-4</v>
      </c>
    </row>
    <row r="778" spans="1:7">
      <c r="A778" s="52">
        <v>240.22319598209569</v>
      </c>
      <c r="B778" s="52">
        <v>241.30090469228975</v>
      </c>
      <c r="C778" s="52">
        <v>238.66436731199357</v>
      </c>
      <c r="D778" s="52">
        <v>241.22392549870446</v>
      </c>
      <c r="E778" s="52">
        <v>1139917.371344978</v>
      </c>
      <c r="F778" s="52" t="s">
        <v>853</v>
      </c>
      <c r="G778" s="26">
        <f t="shared" si="9"/>
        <v>-4.1485500019945443E-3</v>
      </c>
    </row>
    <row r="779" spans="1:7">
      <c r="A779" s="52">
        <v>242.00333983375552</v>
      </c>
      <c r="B779" s="52">
        <v>243.81995257837639</v>
      </c>
      <c r="C779" s="52">
        <v>241.30408008402514</v>
      </c>
      <c r="D779" s="52">
        <v>242.16692062012424</v>
      </c>
      <c r="E779" s="52">
        <v>1555879.1203404726</v>
      </c>
      <c r="F779" s="52" t="s">
        <v>854</v>
      </c>
      <c r="G779" s="26">
        <f t="shared" si="9"/>
        <v>-6.7548774188419536E-4</v>
      </c>
    </row>
    <row r="780" spans="1:7">
      <c r="A780" s="52">
        <v>244.08177806055835</v>
      </c>
      <c r="B780" s="52">
        <v>247.02142101559659</v>
      </c>
      <c r="C780" s="52">
        <v>242.93671255597715</v>
      </c>
      <c r="D780" s="52">
        <v>244.76496840362782</v>
      </c>
      <c r="E780" s="52">
        <v>1525079.1094599604</v>
      </c>
      <c r="F780" s="52" t="s">
        <v>855</v>
      </c>
      <c r="G780" s="26">
        <f t="shared" si="9"/>
        <v>-2.7912096552267229E-3</v>
      </c>
    </row>
    <row r="781" spans="1:7">
      <c r="A781" s="52">
        <v>242.927090156779</v>
      </c>
      <c r="B781" s="52">
        <v>250.1823791521926</v>
      </c>
      <c r="C781" s="52">
        <v>242.31125660809667</v>
      </c>
      <c r="D781" s="52">
        <v>250.1823791521926</v>
      </c>
      <c r="E781" s="52">
        <v>2500240.273194788</v>
      </c>
      <c r="F781" s="52" t="s">
        <v>856</v>
      </c>
      <c r="G781" s="26">
        <f t="shared" si="9"/>
        <v>-2.9000000000000026E-2</v>
      </c>
    </row>
    <row r="782" spans="1:7">
      <c r="A782" s="52">
        <v>253.65606526272882</v>
      </c>
      <c r="B782" s="52">
        <v>256.62938661496059</v>
      </c>
      <c r="C782" s="52">
        <v>252.82853893168692</v>
      </c>
      <c r="D782" s="52">
        <v>255.03206834806588</v>
      </c>
      <c r="E782" s="52">
        <v>1312503.2270967683</v>
      </c>
      <c r="F782" s="52" t="s">
        <v>857</v>
      </c>
      <c r="G782" s="26">
        <f t="shared" si="9"/>
        <v>-5.3954120132809757E-3</v>
      </c>
    </row>
    <row r="783" spans="1:7">
      <c r="A783" s="52">
        <v>253.82926844829572</v>
      </c>
      <c r="B783" s="52">
        <v>254.99357875127322</v>
      </c>
      <c r="C783" s="52">
        <v>252.52062215734577</v>
      </c>
      <c r="D783" s="52">
        <v>254.44510199697802</v>
      </c>
      <c r="E783" s="52">
        <v>1256471.4631991503</v>
      </c>
      <c r="F783" s="52" t="s">
        <v>858</v>
      </c>
      <c r="G783" s="26">
        <f t="shared" si="9"/>
        <v>-2.4203002685020403E-3</v>
      </c>
    </row>
    <row r="784" spans="1:7">
      <c r="A784" s="52">
        <v>255.30149552561437</v>
      </c>
      <c r="B784" s="52">
        <v>256.08090986066543</v>
      </c>
      <c r="C784" s="52">
        <v>253.98322683546627</v>
      </c>
      <c r="D784" s="52">
        <v>253.98322683546627</v>
      </c>
      <c r="E784" s="52">
        <v>1137705.8646758236</v>
      </c>
      <c r="F784" s="52" t="s">
        <v>859</v>
      </c>
      <c r="G784" s="26">
        <f t="shared" si="9"/>
        <v>5.190376965334309E-3</v>
      </c>
    </row>
    <row r="785" spans="1:7">
      <c r="A785" s="52">
        <v>254.32963320660008</v>
      </c>
      <c r="B785" s="52">
        <v>255.05612434606127</v>
      </c>
      <c r="C785" s="52">
        <v>252.06298085148123</v>
      </c>
      <c r="D785" s="52">
        <v>253.01136451645201</v>
      </c>
      <c r="E785" s="52">
        <v>1469659.4590154118</v>
      </c>
      <c r="F785" s="52" t="s">
        <v>860</v>
      </c>
      <c r="G785" s="26">
        <f t="shared" si="9"/>
        <v>5.2103141401078634E-3</v>
      </c>
    </row>
    <row r="786" spans="1:7">
      <c r="A786" s="52">
        <v>253.35777088758581</v>
      </c>
      <c r="B786" s="52">
        <v>253.89662524268283</v>
      </c>
      <c r="C786" s="52">
        <v>248.3156337077493</v>
      </c>
      <c r="D786" s="52">
        <v>248.892977659639</v>
      </c>
      <c r="E786" s="52">
        <v>1179296.3237451662</v>
      </c>
      <c r="F786" s="52" t="s">
        <v>861</v>
      </c>
      <c r="G786" s="26">
        <f t="shared" si="9"/>
        <v>1.7938606665120149E-2</v>
      </c>
    </row>
    <row r="787" spans="1:7">
      <c r="A787" s="52">
        <v>248.74864167166655</v>
      </c>
      <c r="B787" s="52">
        <v>249.48648724218154</v>
      </c>
      <c r="C787" s="52">
        <v>246.98774261840305</v>
      </c>
      <c r="D787" s="52">
        <v>248.55619368770334</v>
      </c>
      <c r="E787" s="52">
        <v>982220.73366131552</v>
      </c>
      <c r="F787" s="52" t="s">
        <v>862</v>
      </c>
      <c r="G787" s="26">
        <f t="shared" si="9"/>
        <v>7.7426348186282468E-4</v>
      </c>
    </row>
    <row r="788" spans="1:7">
      <c r="A788" s="52">
        <v>251.0772622776216</v>
      </c>
      <c r="B788" s="52">
        <v>252.78042693569611</v>
      </c>
      <c r="C788" s="52">
        <v>249.9514415714367</v>
      </c>
      <c r="D788" s="52">
        <v>251.88554381026711</v>
      </c>
      <c r="E788" s="52">
        <v>795030.41210988828</v>
      </c>
      <c r="F788" s="52" t="s">
        <v>863</v>
      </c>
      <c r="G788" s="26">
        <f t="shared" si="9"/>
        <v>-3.2089238644610329E-3</v>
      </c>
    </row>
    <row r="789" spans="1:7">
      <c r="A789" s="52">
        <v>252.12610379022115</v>
      </c>
      <c r="B789" s="52">
        <v>254.05539482945247</v>
      </c>
      <c r="C789" s="52">
        <v>250.19200155139075</v>
      </c>
      <c r="D789" s="52">
        <v>252.26081737899545</v>
      </c>
      <c r="E789" s="52">
        <v>1087599.8578400095</v>
      </c>
      <c r="F789" s="52" t="s">
        <v>864</v>
      </c>
      <c r="G789" s="26">
        <f t="shared" si="9"/>
        <v>-5.3402502288701914E-4</v>
      </c>
    </row>
    <row r="790" spans="1:7">
      <c r="A790" s="52">
        <v>251.34668945517006</v>
      </c>
      <c r="B790" s="52">
        <v>254.45472439617618</v>
      </c>
      <c r="C790" s="52">
        <v>251.18310866880137</v>
      </c>
      <c r="D790" s="52">
        <v>253.35777088758581</v>
      </c>
      <c r="E790" s="52">
        <v>985565.0139532981</v>
      </c>
      <c r="F790" s="52" t="s">
        <v>865</v>
      </c>
      <c r="G790" s="26">
        <f t="shared" si="9"/>
        <v>-7.9377136346374666E-3</v>
      </c>
    </row>
    <row r="791" spans="1:7">
      <c r="A791" s="52">
        <v>252.02025739904141</v>
      </c>
      <c r="B791" s="52">
        <v>252.70344774211085</v>
      </c>
      <c r="C791" s="52">
        <v>247.52659697350009</v>
      </c>
      <c r="D791" s="52">
        <v>248.70052967567574</v>
      </c>
      <c r="E791" s="52">
        <v>1613404.2747848833</v>
      </c>
      <c r="F791" s="52" t="s">
        <v>866</v>
      </c>
      <c r="G791" s="26">
        <f t="shared" si="9"/>
        <v>1.3348293739843919E-2</v>
      </c>
    </row>
    <row r="792" spans="1:7">
      <c r="A792" s="52">
        <v>249.07580324440406</v>
      </c>
      <c r="B792" s="52">
        <v>249.25862882916911</v>
      </c>
      <c r="C792" s="52">
        <v>244.81789159921769</v>
      </c>
      <c r="D792" s="52">
        <v>244.9670387867892</v>
      </c>
      <c r="E792" s="52">
        <v>1434032.1697146823</v>
      </c>
      <c r="F792" s="52" t="s">
        <v>867</v>
      </c>
      <c r="G792" s="26">
        <f t="shared" si="9"/>
        <v>1.6772723701783399E-2</v>
      </c>
    </row>
    <row r="793" spans="1:7">
      <c r="A793" s="52">
        <v>244.01442126617124</v>
      </c>
      <c r="B793" s="52">
        <v>247.06472181198833</v>
      </c>
      <c r="C793" s="52">
        <v>243.89895247579329</v>
      </c>
      <c r="D793" s="52">
        <v>247.06472181198833</v>
      </c>
      <c r="E793" s="52">
        <v>869150.1805078038</v>
      </c>
      <c r="F793" s="52" t="s">
        <v>868</v>
      </c>
      <c r="G793" s="26">
        <f t="shared" si="9"/>
        <v>-1.234615983798093E-2</v>
      </c>
    </row>
    <row r="794" spans="1:7">
      <c r="A794" s="52">
        <v>246.60284665047658</v>
      </c>
      <c r="B794" s="52">
        <v>246.9781202192049</v>
      </c>
      <c r="C794" s="52">
        <v>245.25089956313494</v>
      </c>
      <c r="D794" s="52">
        <v>246.28530747693728</v>
      </c>
      <c r="E794" s="52">
        <v>771034.31765933556</v>
      </c>
      <c r="F794" s="52" t="s">
        <v>869</v>
      </c>
      <c r="G794" s="26">
        <f t="shared" si="9"/>
        <v>1.2893143192029832E-3</v>
      </c>
    </row>
    <row r="795" spans="1:7">
      <c r="A795" s="52">
        <v>245.85229951302003</v>
      </c>
      <c r="B795" s="52">
        <v>247.66131056227434</v>
      </c>
      <c r="C795" s="52">
        <v>245.2172211659414</v>
      </c>
      <c r="D795" s="52">
        <v>246.76642743684533</v>
      </c>
      <c r="E795" s="52">
        <v>776139.07365505304</v>
      </c>
      <c r="F795" s="52" t="s">
        <v>870</v>
      </c>
      <c r="G795" s="26">
        <f t="shared" si="9"/>
        <v>-3.7044258139987685E-3</v>
      </c>
    </row>
    <row r="796" spans="1:7">
      <c r="A796" s="52">
        <v>246.62209144887294</v>
      </c>
      <c r="B796" s="52">
        <v>246.67020344486374</v>
      </c>
      <c r="C796" s="52">
        <v>244.18762445173815</v>
      </c>
      <c r="D796" s="52">
        <v>244.62063241565539</v>
      </c>
      <c r="E796" s="52">
        <v>806780.08053162706</v>
      </c>
      <c r="F796" s="52" t="s">
        <v>871</v>
      </c>
      <c r="G796" s="26">
        <f t="shared" si="9"/>
        <v>8.1818897018330894E-3</v>
      </c>
    </row>
    <row r="797" spans="1:7">
      <c r="A797" s="52">
        <v>244.2646036453234</v>
      </c>
      <c r="B797" s="52">
        <v>246.63652504767018</v>
      </c>
      <c r="C797" s="52">
        <v>243.9470644717841</v>
      </c>
      <c r="D797" s="52">
        <v>246.02550269858693</v>
      </c>
      <c r="E797" s="52">
        <v>1246835.6127121202</v>
      </c>
      <c r="F797" s="52" t="s">
        <v>872</v>
      </c>
      <c r="G797" s="26">
        <f t="shared" si="9"/>
        <v>-7.1573842302878887E-3</v>
      </c>
    </row>
    <row r="798" spans="1:7">
      <c r="A798" s="52">
        <v>243.42745491508339</v>
      </c>
      <c r="B798" s="52">
        <v>245.87154431141636</v>
      </c>
      <c r="C798" s="52">
        <v>243.3697205198944</v>
      </c>
      <c r="D798" s="52">
        <v>244.43780683089031</v>
      </c>
      <c r="E798" s="52">
        <v>944928.57890758512</v>
      </c>
      <c r="F798" s="52" t="s">
        <v>873</v>
      </c>
      <c r="G798" s="26">
        <f t="shared" si="9"/>
        <v>-4.1333700744006219E-3</v>
      </c>
    </row>
    <row r="799" spans="1:7">
      <c r="A799" s="52">
        <v>243.95668687098225</v>
      </c>
      <c r="B799" s="52">
        <v>245.90041150901084</v>
      </c>
      <c r="C799" s="52">
        <v>242.69134137642405</v>
      </c>
      <c r="D799" s="52">
        <v>243.88933007659514</v>
      </c>
      <c r="E799" s="52">
        <v>845967.81243034697</v>
      </c>
      <c r="F799" s="52" t="s">
        <v>874</v>
      </c>
      <c r="G799" s="26">
        <f t="shared" si="9"/>
        <v>2.7617770062327018E-4</v>
      </c>
    </row>
    <row r="800" spans="1:7">
      <c r="A800" s="52">
        <v>245.07288517796897</v>
      </c>
      <c r="B800" s="52">
        <v>245.52513794028255</v>
      </c>
      <c r="C800" s="52">
        <v>242.46521499526725</v>
      </c>
      <c r="D800" s="52">
        <v>243.08104854394958</v>
      </c>
      <c r="E800" s="52">
        <v>1423590.9067894027</v>
      </c>
      <c r="F800" s="52" t="s">
        <v>875</v>
      </c>
      <c r="G800" s="26">
        <f t="shared" si="9"/>
        <v>8.1941255640884947E-3</v>
      </c>
    </row>
    <row r="801" spans="1:7">
      <c r="A801" s="52">
        <v>242.16692062012424</v>
      </c>
      <c r="B801" s="52">
        <v>243.32641972350268</v>
      </c>
      <c r="C801" s="52">
        <v>239.21284406628874</v>
      </c>
      <c r="D801" s="52">
        <v>239.99225840133983</v>
      </c>
      <c r="E801" s="52">
        <v>887441.87641183927</v>
      </c>
      <c r="F801" s="52" t="s">
        <v>876</v>
      </c>
      <c r="G801" s="26">
        <f t="shared" si="9"/>
        <v>9.0613848682890019E-3</v>
      </c>
    </row>
    <row r="802" spans="1:7">
      <c r="A802" s="52">
        <v>238.87606009435311</v>
      </c>
      <c r="B802" s="52">
        <v>241.01704391594399</v>
      </c>
      <c r="C802" s="52">
        <v>238.48154172722852</v>
      </c>
      <c r="D802" s="52">
        <v>238.48154172722852</v>
      </c>
      <c r="E802" s="52">
        <v>1039725.1032686101</v>
      </c>
      <c r="F802" s="52" t="s">
        <v>877</v>
      </c>
      <c r="G802" s="26">
        <f t="shared" si="9"/>
        <v>1.6542930923175714E-3</v>
      </c>
    </row>
    <row r="803" spans="1:7">
      <c r="A803" s="52">
        <v>237.62514819859214</v>
      </c>
      <c r="B803" s="52">
        <v>239.08775287671267</v>
      </c>
      <c r="C803" s="52">
        <v>235.4793531774022</v>
      </c>
      <c r="D803" s="52">
        <v>237.259497029062</v>
      </c>
      <c r="E803" s="52">
        <v>1067659.9243526661</v>
      </c>
      <c r="F803" s="52" t="s">
        <v>878</v>
      </c>
      <c r="G803" s="26">
        <f t="shared" si="9"/>
        <v>1.5411445025754755E-3</v>
      </c>
    </row>
    <row r="804" spans="1:7">
      <c r="A804" s="52">
        <v>238.19286975128367</v>
      </c>
      <c r="B804" s="52">
        <v>238.28909374326525</v>
      </c>
      <c r="C804" s="52">
        <v>235.02710041508863</v>
      </c>
      <c r="D804" s="52">
        <v>237.18251783547674</v>
      </c>
      <c r="E804" s="52">
        <v>1150945.8059187876</v>
      </c>
      <c r="F804" s="52" t="s">
        <v>879</v>
      </c>
      <c r="G804" s="26">
        <f t="shared" si="9"/>
        <v>4.2598077001094747E-3</v>
      </c>
    </row>
    <row r="805" spans="1:7">
      <c r="A805" s="52">
        <v>235.91236114131942</v>
      </c>
      <c r="B805" s="52">
        <v>235.94122833891393</v>
      </c>
      <c r="C805" s="52">
        <v>234.10335009206511</v>
      </c>
      <c r="D805" s="52">
        <v>234.83465243112539</v>
      </c>
      <c r="E805" s="52">
        <v>711249.85142040334</v>
      </c>
      <c r="F805" s="52" t="s">
        <v>880</v>
      </c>
      <c r="G805" s="26">
        <f t="shared" si="9"/>
        <v>4.5892235197704245E-3</v>
      </c>
    </row>
    <row r="806" spans="1:7">
      <c r="A806" s="52">
        <v>233.75694372093133</v>
      </c>
      <c r="B806" s="52">
        <v>234.64220444716216</v>
      </c>
      <c r="C806" s="52">
        <v>232.37131823639612</v>
      </c>
      <c r="D806" s="52">
        <v>232.37131823639612</v>
      </c>
      <c r="E806" s="52">
        <v>787515.65425055753</v>
      </c>
      <c r="F806" s="52" t="s">
        <v>881</v>
      </c>
      <c r="G806" s="26">
        <f t="shared" si="9"/>
        <v>5.9629798335334439E-3</v>
      </c>
    </row>
    <row r="807" spans="1:7">
      <c r="A807" s="52">
        <v>232.1211358572439</v>
      </c>
      <c r="B807" s="52">
        <v>234.18032928565043</v>
      </c>
      <c r="C807" s="52">
        <v>231.65926069573217</v>
      </c>
      <c r="D807" s="52">
        <v>232.58301101875566</v>
      </c>
      <c r="E807" s="52">
        <v>585205.4029390139</v>
      </c>
      <c r="F807" s="52" t="s">
        <v>882</v>
      </c>
      <c r="G807" s="26">
        <f t="shared" si="9"/>
        <v>-1.9858508129577679E-3</v>
      </c>
    </row>
    <row r="808" spans="1:7">
      <c r="A808" s="52">
        <v>233.03526378106923</v>
      </c>
      <c r="B808" s="52">
        <v>234.56522525357687</v>
      </c>
      <c r="C808" s="52">
        <v>232.80432620031337</v>
      </c>
      <c r="D808" s="52">
        <v>233.75694372093133</v>
      </c>
      <c r="E808" s="52">
        <v>915285.24421258445</v>
      </c>
      <c r="F808" s="52" t="s">
        <v>883</v>
      </c>
      <c r="G808" s="26">
        <f t="shared" si="9"/>
        <v>-3.0873091013872145E-3</v>
      </c>
    </row>
    <row r="809" spans="1:7">
      <c r="A809" s="52">
        <v>231.41870071577813</v>
      </c>
      <c r="B809" s="52">
        <v>231.6785054941285</v>
      </c>
      <c r="C809" s="52">
        <v>227.12229947379913</v>
      </c>
      <c r="D809" s="52">
        <v>227.88728021005298</v>
      </c>
      <c r="E809" s="52">
        <v>946358.57570117374</v>
      </c>
      <c r="F809" s="52" t="s">
        <v>884</v>
      </c>
      <c r="G809" s="26">
        <f t="shared" si="9"/>
        <v>1.5496347591098969E-2</v>
      </c>
    </row>
    <row r="810" spans="1:7">
      <c r="A810" s="52">
        <v>227.4542722461357</v>
      </c>
      <c r="B810" s="52">
        <v>230.79324476789765</v>
      </c>
      <c r="C810" s="52">
        <v>226.38618593513982</v>
      </c>
      <c r="D810" s="52">
        <v>229.63855686411833</v>
      </c>
      <c r="E810" s="52">
        <v>971102.9242879065</v>
      </c>
      <c r="F810" s="52" t="s">
        <v>885</v>
      </c>
      <c r="G810" s="26">
        <f t="shared" si="9"/>
        <v>-9.5118374188142285E-3</v>
      </c>
    </row>
    <row r="811" spans="1:7">
      <c r="A811" s="52">
        <v>229.89836164246864</v>
      </c>
      <c r="B811" s="52">
        <v>234.82503003192721</v>
      </c>
      <c r="C811" s="52">
        <v>229.89836164246864</v>
      </c>
      <c r="D811" s="52">
        <v>231.8228414821009</v>
      </c>
      <c r="E811" s="52">
        <v>1222924.7360937435</v>
      </c>
      <c r="F811" s="52" t="s">
        <v>886</v>
      </c>
      <c r="G811" s="26">
        <f t="shared" si="9"/>
        <v>-8.3015108749792121E-3</v>
      </c>
    </row>
    <row r="812" spans="1:7">
      <c r="A812" s="52">
        <v>231.17814073582412</v>
      </c>
      <c r="B812" s="52">
        <v>231.68812789332665</v>
      </c>
      <c r="C812" s="52">
        <v>228.86684044842579</v>
      </c>
      <c r="D812" s="52">
        <v>230.49495039275465</v>
      </c>
      <c r="E812" s="52">
        <v>1139275.1198780902</v>
      </c>
      <c r="F812" s="52" t="s">
        <v>887</v>
      </c>
      <c r="G812" s="26">
        <f t="shared" si="9"/>
        <v>2.964014360858469E-3</v>
      </c>
    </row>
    <row r="813" spans="1:7">
      <c r="A813" s="52">
        <v>229.48459847694775</v>
      </c>
      <c r="B813" s="52">
        <v>230.38910400157491</v>
      </c>
      <c r="C813" s="52">
        <v>226.88173949384512</v>
      </c>
      <c r="D813" s="52">
        <v>226.96352988702949</v>
      </c>
      <c r="E813" s="52">
        <v>988831.35110609524</v>
      </c>
      <c r="F813" s="52" t="s">
        <v>888</v>
      </c>
      <c r="G813" s="26">
        <f t="shared" si="9"/>
        <v>1.1107813626149987E-2</v>
      </c>
    </row>
    <row r="814" spans="1:7">
      <c r="A814" s="52">
        <v>226.68448031028282</v>
      </c>
      <c r="B814" s="52">
        <v>229.98496323525211</v>
      </c>
      <c r="C814" s="52">
        <v>225.63563879768324</v>
      </c>
      <c r="D814" s="52">
        <v>229.98496323525211</v>
      </c>
      <c r="E814" s="52">
        <v>1603305.9616720197</v>
      </c>
      <c r="F814" s="52" t="s">
        <v>889</v>
      </c>
      <c r="G814" s="26">
        <f t="shared" si="9"/>
        <v>-1.4350863980586492E-2</v>
      </c>
    </row>
    <row r="815" spans="1:7">
      <c r="A815" s="52">
        <v>229.01310091623782</v>
      </c>
      <c r="B815" s="52">
        <v>229.41724168256059</v>
      </c>
      <c r="C815" s="52">
        <v>223.57644536927671</v>
      </c>
      <c r="D815" s="52">
        <v>224.44246129711124</v>
      </c>
      <c r="E815" s="52">
        <v>1274099.0835573259</v>
      </c>
      <c r="F815" s="52" t="s">
        <v>890</v>
      </c>
      <c r="G815" s="26">
        <f t="shared" si="9"/>
        <v>2.0364415862808016E-2</v>
      </c>
    </row>
    <row r="816" spans="1:7">
      <c r="A816" s="52">
        <v>225.62601639848506</v>
      </c>
      <c r="B816" s="52">
        <v>225.77997478565564</v>
      </c>
      <c r="C816" s="52">
        <v>220.70897040822467</v>
      </c>
      <c r="D816" s="52">
        <v>221.83479111440954</v>
      </c>
      <c r="E816" s="52">
        <v>1279629.9287139236</v>
      </c>
      <c r="F816" s="52" t="s">
        <v>891</v>
      </c>
      <c r="G816" s="26">
        <f t="shared" si="9"/>
        <v>1.7090309707642914E-2</v>
      </c>
    </row>
    <row r="817" spans="1:7">
      <c r="A817" s="52">
        <v>224.09605492597743</v>
      </c>
      <c r="B817" s="52">
        <v>225.59714920089058</v>
      </c>
      <c r="C817" s="52">
        <v>221.5749863360592</v>
      </c>
      <c r="D817" s="52">
        <v>225.0967844425862</v>
      </c>
      <c r="E817" s="52">
        <v>965152.22542156326</v>
      </c>
      <c r="F817" s="52" t="s">
        <v>892</v>
      </c>
      <c r="G817" s="26">
        <f t="shared" si="9"/>
        <v>-4.4457743769503733E-3</v>
      </c>
    </row>
    <row r="818" spans="1:7">
      <c r="A818" s="52">
        <v>222.65269504625323</v>
      </c>
      <c r="B818" s="52">
        <v>224.94282605541562</v>
      </c>
      <c r="C818" s="52">
        <v>219.98247926876351</v>
      </c>
      <c r="D818" s="52">
        <v>220.34331923869456</v>
      </c>
      <c r="E818" s="52">
        <v>825312.8805462094</v>
      </c>
      <c r="F818" s="52" t="s">
        <v>893</v>
      </c>
      <c r="G818" s="26">
        <f t="shared" si="9"/>
        <v>1.0480807022140493E-2</v>
      </c>
    </row>
    <row r="819" spans="1:7">
      <c r="A819" s="52">
        <v>221.03613198096215</v>
      </c>
      <c r="B819" s="52">
        <v>224.0768101275811</v>
      </c>
      <c r="C819" s="52">
        <v>220.3240744402982</v>
      </c>
      <c r="D819" s="52">
        <v>223.23966139734108</v>
      </c>
      <c r="E819" s="52">
        <v>1048897.4518879508</v>
      </c>
      <c r="F819" s="52" t="s">
        <v>894</v>
      </c>
      <c r="G819" s="26">
        <f t="shared" si="9"/>
        <v>-9.8706896551724599E-3</v>
      </c>
    </row>
    <row r="820" spans="1:7">
      <c r="A820" s="52">
        <v>223.46097657889877</v>
      </c>
      <c r="B820" s="52">
        <v>227.28588026016789</v>
      </c>
      <c r="C820" s="52">
        <v>222.77778623582935</v>
      </c>
      <c r="D820" s="52">
        <v>226.57863391910303</v>
      </c>
      <c r="E820" s="52">
        <v>1079492.7321228695</v>
      </c>
      <c r="F820" s="52" t="s">
        <v>895</v>
      </c>
      <c r="G820" s="26">
        <f t="shared" si="9"/>
        <v>-1.375971461332659E-2</v>
      </c>
    </row>
    <row r="821" spans="1:7">
      <c r="A821" s="52">
        <v>225.47205801131454</v>
      </c>
      <c r="B821" s="52">
        <v>226.96734522169439</v>
      </c>
      <c r="C821" s="52">
        <v>225.00401394411682</v>
      </c>
      <c r="D821" s="52">
        <v>225.87463533718608</v>
      </c>
      <c r="E821" s="52">
        <v>868229.37492403761</v>
      </c>
      <c r="F821" s="52" t="s">
        <v>896</v>
      </c>
      <c r="G821" s="26">
        <f t="shared" si="9"/>
        <v>-1.782304264799639E-3</v>
      </c>
    </row>
    <row r="822" spans="1:7">
      <c r="A822" s="52">
        <v>226.33472370961061</v>
      </c>
      <c r="B822" s="52">
        <v>228.34281775175535</v>
      </c>
      <c r="C822" s="52">
        <v>225.17491760412369</v>
      </c>
      <c r="D822" s="52">
        <v>227.35075219871487</v>
      </c>
      <c r="E822" s="52">
        <v>1283018.9054533897</v>
      </c>
      <c r="F822" s="52" t="s">
        <v>897</v>
      </c>
      <c r="G822" s="26">
        <f t="shared" si="9"/>
        <v>-4.4689911041780883E-3</v>
      </c>
    </row>
    <row r="823" spans="1:7">
      <c r="A823" s="52">
        <v>226.42099027944025</v>
      </c>
      <c r="B823" s="52">
        <v>228.12715132718134</v>
      </c>
      <c r="C823" s="52">
        <v>226.27721266305755</v>
      </c>
      <c r="D823" s="52">
        <v>226.82356760531172</v>
      </c>
      <c r="E823" s="52">
        <v>820110.27144978114</v>
      </c>
      <c r="F823" s="52" t="s">
        <v>898</v>
      </c>
      <c r="G823" s="26">
        <f t="shared" si="9"/>
        <v>-1.7748478701824499E-3</v>
      </c>
    </row>
    <row r="824" spans="1:7">
      <c r="A824" s="52">
        <v>227.37950772199142</v>
      </c>
      <c r="B824" s="52">
        <v>227.46577429182102</v>
      </c>
      <c r="C824" s="52">
        <v>224.9352882434859</v>
      </c>
      <c r="D824" s="52">
        <v>225.61583562769724</v>
      </c>
      <c r="E824" s="52">
        <v>800032.38956087397</v>
      </c>
      <c r="F824" s="52" t="s">
        <v>899</v>
      </c>
      <c r="G824" s="26">
        <f t="shared" si="9"/>
        <v>7.8171467414394069E-3</v>
      </c>
    </row>
    <row r="825" spans="1:7">
      <c r="A825" s="52">
        <v>224.25474085927456</v>
      </c>
      <c r="B825" s="52">
        <v>224.53271091761439</v>
      </c>
      <c r="C825" s="52">
        <v>220.79449289166479</v>
      </c>
      <c r="D825" s="52">
        <v>221.20665539196182</v>
      </c>
      <c r="E825" s="52">
        <v>1019615.2481052153</v>
      </c>
      <c r="F825" s="52" t="s">
        <v>900</v>
      </c>
      <c r="G825" s="26">
        <f t="shared" ref="G825:G888" si="10">A825/D825-1</f>
        <v>1.3779356963341538E-2</v>
      </c>
    </row>
    <row r="826" spans="1:7">
      <c r="A826" s="52">
        <v>222.52940946268242</v>
      </c>
      <c r="B826" s="52">
        <v>223.80903024848826</v>
      </c>
      <c r="C826" s="52">
        <v>221.02932966508985</v>
      </c>
      <c r="D826" s="52">
        <v>222.8361350442988</v>
      </c>
      <c r="E826" s="52">
        <v>910384.05902916542</v>
      </c>
      <c r="F826" s="52" t="s">
        <v>901</v>
      </c>
      <c r="G826" s="26">
        <f t="shared" si="10"/>
        <v>-1.3764624913971124E-3</v>
      </c>
    </row>
    <row r="827" spans="1:7">
      <c r="A827" s="52">
        <v>224.82026615037978</v>
      </c>
      <c r="B827" s="52">
        <v>228.24217342028749</v>
      </c>
      <c r="C827" s="52">
        <v>224.45602952221029</v>
      </c>
      <c r="D827" s="52">
        <v>226.64144929122699</v>
      </c>
      <c r="E827" s="52">
        <v>1604805.4335932052</v>
      </c>
      <c r="F827" s="52" t="s">
        <v>902</v>
      </c>
      <c r="G827" s="26">
        <f t="shared" si="10"/>
        <v>-8.0355254810741128E-3</v>
      </c>
    </row>
    <row r="828" spans="1:7">
      <c r="A828" s="52">
        <v>227.06319696594952</v>
      </c>
      <c r="B828" s="52">
        <v>229.9579196424541</v>
      </c>
      <c r="C828" s="52">
        <v>226.48329391320607</v>
      </c>
      <c r="D828" s="52">
        <v>229.44990539790197</v>
      </c>
      <c r="E828" s="52">
        <v>619491.07406910136</v>
      </c>
      <c r="F828" s="52" t="s">
        <v>903</v>
      </c>
      <c r="G828" s="26">
        <f t="shared" si="10"/>
        <v>-1.0401871501378612E-2</v>
      </c>
    </row>
    <row r="829" spans="1:7">
      <c r="A829" s="52">
        <v>228.05046993177723</v>
      </c>
      <c r="B829" s="52">
        <v>228.43387690879771</v>
      </c>
      <c r="C829" s="52">
        <v>225.44330248803803</v>
      </c>
      <c r="D829" s="52">
        <v>227.20697458233221</v>
      </c>
      <c r="E829" s="52">
        <v>868208.50936738506</v>
      </c>
      <c r="F829" s="52" t="s">
        <v>904</v>
      </c>
      <c r="G829" s="26">
        <f t="shared" si="10"/>
        <v>3.7124535943300341E-3</v>
      </c>
    </row>
    <row r="830" spans="1:7">
      <c r="A830" s="52">
        <v>229.77580132836937</v>
      </c>
      <c r="B830" s="52">
        <v>231.44362167840845</v>
      </c>
      <c r="C830" s="52">
        <v>228.69746920549929</v>
      </c>
      <c r="D830" s="52">
        <v>229.47866092117852</v>
      </c>
      <c r="E830" s="52">
        <v>785492.22640755109</v>
      </c>
      <c r="F830" s="52" t="s">
        <v>905</v>
      </c>
      <c r="G830" s="26">
        <f t="shared" si="10"/>
        <v>1.2948498391880392E-3</v>
      </c>
    </row>
    <row r="831" spans="1:7">
      <c r="A831" s="52">
        <v>230.42759318930419</v>
      </c>
      <c r="B831" s="52">
        <v>231.92288039968403</v>
      </c>
      <c r="C831" s="52">
        <v>229.41156470019993</v>
      </c>
      <c r="D831" s="52">
        <v>229.61285336313568</v>
      </c>
      <c r="E831" s="52">
        <v>1149477.2563214647</v>
      </c>
      <c r="F831" s="52" t="s">
        <v>906</v>
      </c>
      <c r="G831" s="26">
        <f t="shared" si="10"/>
        <v>3.5483197662282695E-3</v>
      </c>
    </row>
    <row r="832" spans="1:7">
      <c r="A832" s="52">
        <v>229.56492749100812</v>
      </c>
      <c r="B832" s="52">
        <v>232.51716121406577</v>
      </c>
      <c r="C832" s="52">
        <v>229.42594246183819</v>
      </c>
      <c r="D832" s="52">
        <v>232.51716121406577</v>
      </c>
      <c r="E832" s="52">
        <v>1230116.3731165384</v>
      </c>
      <c r="F832" s="52" t="s">
        <v>907</v>
      </c>
      <c r="G832" s="26">
        <f t="shared" si="10"/>
        <v>-1.2696842278835829E-2</v>
      </c>
    </row>
    <row r="833" spans="1:7">
      <c r="A833" s="52">
        <v>234.37668505261504</v>
      </c>
      <c r="B833" s="52">
        <v>234.93262516929474</v>
      </c>
      <c r="C833" s="52">
        <v>230.97394813155836</v>
      </c>
      <c r="D833" s="52">
        <v>231.86536935313094</v>
      </c>
      <c r="E833" s="52">
        <v>1371085.117138935</v>
      </c>
      <c r="F833" s="52" t="s">
        <v>908</v>
      </c>
      <c r="G833" s="26">
        <f t="shared" si="10"/>
        <v>1.0830921868540733E-2</v>
      </c>
    </row>
    <row r="834" spans="1:7">
      <c r="A834" s="52">
        <v>231.90371005083298</v>
      </c>
      <c r="B834" s="52">
        <v>234.11788534312623</v>
      </c>
      <c r="C834" s="52">
        <v>230.20234159030463</v>
      </c>
      <c r="D834" s="52">
        <v>231.10814057351553</v>
      </c>
      <c r="E834" s="52">
        <v>882110.18648714025</v>
      </c>
      <c r="F834" s="52" t="s">
        <v>909</v>
      </c>
      <c r="G834" s="26">
        <f t="shared" si="10"/>
        <v>3.4424121770144644E-3</v>
      </c>
    </row>
    <row r="835" spans="1:7">
      <c r="A835" s="52">
        <v>233.44692313334042</v>
      </c>
      <c r="B835" s="52">
        <v>233.7057228428292</v>
      </c>
      <c r="C835" s="52">
        <v>231.52988824823805</v>
      </c>
      <c r="D835" s="52">
        <v>232.59384260946985</v>
      </c>
      <c r="E835" s="52">
        <v>727201.16406518116</v>
      </c>
      <c r="F835" s="52" t="s">
        <v>910</v>
      </c>
      <c r="G835" s="26">
        <f t="shared" si="10"/>
        <v>3.6676831781092822E-3</v>
      </c>
    </row>
    <row r="836" spans="1:7">
      <c r="A836" s="52">
        <v>233.31273069138322</v>
      </c>
      <c r="B836" s="52">
        <v>237.33850395009821</v>
      </c>
      <c r="C836" s="52">
        <v>231.67366586462072</v>
      </c>
      <c r="D836" s="52">
        <v>237.33850395009821</v>
      </c>
      <c r="E836" s="52">
        <v>1905815.0836962536</v>
      </c>
      <c r="F836" s="52" t="s">
        <v>911</v>
      </c>
      <c r="G836" s="26">
        <f t="shared" si="10"/>
        <v>-1.6962158232704749E-2</v>
      </c>
    </row>
    <row r="837" spans="1:7">
      <c r="A837" s="52">
        <v>236.99343767077977</v>
      </c>
      <c r="B837" s="52">
        <v>238.58457662541474</v>
      </c>
      <c r="C837" s="52">
        <v>235.45980976269789</v>
      </c>
      <c r="D837" s="52">
        <v>237.47269639205535</v>
      </c>
      <c r="E837" s="52">
        <v>1126723.3667918693</v>
      </c>
      <c r="F837" s="52" t="s">
        <v>912</v>
      </c>
      <c r="G837" s="26">
        <f t="shared" si="10"/>
        <v>-2.0181634712411745E-3</v>
      </c>
    </row>
    <row r="838" spans="1:7">
      <c r="A838" s="52">
        <v>237.54937778745946</v>
      </c>
      <c r="B838" s="52">
        <v>237.70274057826765</v>
      </c>
      <c r="C838" s="52">
        <v>234.14664086640278</v>
      </c>
      <c r="D838" s="52">
        <v>235.48856528597443</v>
      </c>
      <c r="E838" s="52">
        <v>1205065.1857994981</v>
      </c>
      <c r="F838" s="52" t="s">
        <v>913</v>
      </c>
      <c r="G838" s="26">
        <f t="shared" si="10"/>
        <v>8.7512211006186558E-3</v>
      </c>
    </row>
    <row r="839" spans="1:7">
      <c r="A839" s="52">
        <v>235.05723243682638</v>
      </c>
      <c r="B839" s="52">
        <v>239.80668636466748</v>
      </c>
      <c r="C839" s="52">
        <v>234.32875918048748</v>
      </c>
      <c r="D839" s="52">
        <v>239.07342052111582</v>
      </c>
      <c r="E839" s="52">
        <v>957239.75304811052</v>
      </c>
      <c r="F839" s="52" t="s">
        <v>914</v>
      </c>
      <c r="G839" s="26">
        <f t="shared" si="10"/>
        <v>-1.6798973618795565E-2</v>
      </c>
    </row>
    <row r="840" spans="1:7">
      <c r="A840" s="52">
        <v>239.84981964958229</v>
      </c>
      <c r="B840" s="52">
        <v>242.6103498841297</v>
      </c>
      <c r="C840" s="52">
        <v>238.94881325358418</v>
      </c>
      <c r="D840" s="52">
        <v>241.91063215106735</v>
      </c>
      <c r="E840" s="52">
        <v>1116117.4043453829</v>
      </c>
      <c r="F840" s="52" t="s">
        <v>915</v>
      </c>
      <c r="G840" s="26">
        <f t="shared" si="10"/>
        <v>-8.5189000713210561E-3</v>
      </c>
    </row>
    <row r="841" spans="1:7">
      <c r="A841" s="52">
        <v>242.68703127953378</v>
      </c>
      <c r="B841" s="52">
        <v>243.58324508831916</v>
      </c>
      <c r="C841" s="52">
        <v>237.92319959005442</v>
      </c>
      <c r="D841" s="52">
        <v>238.21075482281978</v>
      </c>
      <c r="E841" s="52">
        <v>1608580.0127916499</v>
      </c>
      <c r="F841" s="52" t="s">
        <v>916</v>
      </c>
      <c r="G841" s="26">
        <f t="shared" si="10"/>
        <v>1.8791244165459409E-2</v>
      </c>
    </row>
    <row r="842" spans="1:7">
      <c r="A842" s="52">
        <v>239.7827234286037</v>
      </c>
      <c r="B842" s="52">
        <v>240.32907837085787</v>
      </c>
      <c r="C842" s="52">
        <v>235.85280191414387</v>
      </c>
      <c r="D842" s="52">
        <v>235.85280191414387</v>
      </c>
      <c r="E842" s="52">
        <v>1617015.957346272</v>
      </c>
      <c r="F842" s="52" t="s">
        <v>917</v>
      </c>
      <c r="G842" s="26">
        <f t="shared" si="10"/>
        <v>1.6662602617247835E-2</v>
      </c>
    </row>
    <row r="843" spans="1:7">
      <c r="A843" s="52">
        <v>235.64192807678262</v>
      </c>
      <c r="B843" s="52">
        <v>239.98401209153946</v>
      </c>
      <c r="C843" s="52">
        <v>233.91659668019048</v>
      </c>
      <c r="D843" s="52">
        <v>238.28743621822386</v>
      </c>
      <c r="E843" s="52">
        <v>2209607.1557789179</v>
      </c>
      <c r="F843" s="52" t="s">
        <v>918</v>
      </c>
      <c r="G843" s="26">
        <f t="shared" si="10"/>
        <v>-1.1102172164119017E-2</v>
      </c>
    </row>
    <row r="844" spans="1:7">
      <c r="A844" s="52">
        <v>238.16282895069222</v>
      </c>
      <c r="B844" s="52">
        <v>247.0003597710141</v>
      </c>
      <c r="C844" s="52">
        <v>226.31555336075962</v>
      </c>
      <c r="D844" s="52">
        <v>229.24861673496622</v>
      </c>
      <c r="E844" s="52">
        <v>3165256.9534101048</v>
      </c>
      <c r="F844" s="52" t="s">
        <v>919</v>
      </c>
      <c r="G844" s="26">
        <f t="shared" si="10"/>
        <v>3.8884475477693803E-2</v>
      </c>
    </row>
    <row r="845" spans="1:7">
      <c r="A845" s="52">
        <v>243.62637837323393</v>
      </c>
      <c r="B845" s="52">
        <v>244.45070337382796</v>
      </c>
      <c r="C845" s="52">
        <v>240.52078185936813</v>
      </c>
      <c r="D845" s="52">
        <v>241.53681034847239</v>
      </c>
      <c r="E845" s="52">
        <v>1143855.0320814378</v>
      </c>
      <c r="F845" s="52" t="s">
        <v>920</v>
      </c>
      <c r="G845" s="26">
        <f t="shared" si="10"/>
        <v>8.6511369498787349E-3</v>
      </c>
    </row>
    <row r="846" spans="1:7">
      <c r="A846" s="52">
        <v>241.75726936025916</v>
      </c>
      <c r="B846" s="52">
        <v>241.96335061040764</v>
      </c>
      <c r="C846" s="52">
        <v>238.24909552052182</v>
      </c>
      <c r="D846" s="52">
        <v>239.51433854468937</v>
      </c>
      <c r="E846" s="52">
        <v>1253530.6575141868</v>
      </c>
      <c r="F846" s="52" t="s">
        <v>921</v>
      </c>
      <c r="G846" s="26">
        <f t="shared" si="10"/>
        <v>9.3644949575797387E-3</v>
      </c>
    </row>
    <row r="847" spans="1:7">
      <c r="A847" s="52">
        <v>239.75396790532719</v>
      </c>
      <c r="B847" s="52">
        <v>242.47615744217254</v>
      </c>
      <c r="C847" s="52">
        <v>239.20761296307302</v>
      </c>
      <c r="D847" s="52">
        <v>241.13423302260088</v>
      </c>
      <c r="E847" s="52">
        <v>1089456.4393325991</v>
      </c>
      <c r="F847" s="52" t="s">
        <v>922</v>
      </c>
      <c r="G847" s="26">
        <f t="shared" si="10"/>
        <v>-5.7240529474896773E-3</v>
      </c>
    </row>
    <row r="848" spans="1:7">
      <c r="A848" s="52">
        <v>241.37386238323867</v>
      </c>
      <c r="B848" s="52">
        <v>242.86914959361852</v>
      </c>
      <c r="C848" s="52">
        <v>237.83693302022482</v>
      </c>
      <c r="D848" s="52">
        <v>238.94881325358418</v>
      </c>
      <c r="E848" s="52">
        <v>1284727.7945432328</v>
      </c>
      <c r="F848" s="52" t="s">
        <v>923</v>
      </c>
      <c r="G848" s="26">
        <f t="shared" si="10"/>
        <v>1.0148822656343981E-2</v>
      </c>
    </row>
    <row r="849" spans="1:7">
      <c r="A849" s="52">
        <v>238.80503563720148</v>
      </c>
      <c r="B849" s="52">
        <v>238.86254668375457</v>
      </c>
      <c r="C849" s="52">
        <v>235.11474348337944</v>
      </c>
      <c r="D849" s="52">
        <v>236.95509697307773</v>
      </c>
      <c r="E849" s="52">
        <v>597942.17043619009</v>
      </c>
      <c r="F849" s="52" t="s">
        <v>924</v>
      </c>
      <c r="G849" s="26">
        <f t="shared" si="10"/>
        <v>7.8071275433839737E-3</v>
      </c>
    </row>
    <row r="850" spans="1:7">
      <c r="A850" s="52">
        <v>236.54293447278073</v>
      </c>
      <c r="B850" s="52">
        <v>236.54293447278073</v>
      </c>
      <c r="C850" s="52">
        <v>232.65135365602291</v>
      </c>
      <c r="D850" s="52">
        <v>234.31917400606198</v>
      </c>
      <c r="E850" s="52">
        <v>1281922.4204512986</v>
      </c>
      <c r="F850" s="52" t="s">
        <v>925</v>
      </c>
      <c r="G850" s="26">
        <f t="shared" si="10"/>
        <v>9.4903051623986823E-3</v>
      </c>
    </row>
    <row r="851" spans="1:7">
      <c r="A851" s="52">
        <v>235.55566150695299</v>
      </c>
      <c r="B851" s="52">
        <v>240.2859450859431</v>
      </c>
      <c r="C851" s="52">
        <v>235.34478766959174</v>
      </c>
      <c r="D851" s="52">
        <v>240.08944901022008</v>
      </c>
      <c r="E851" s="52">
        <v>932643.43486609566</v>
      </c>
      <c r="F851" s="52" t="s">
        <v>926</v>
      </c>
      <c r="G851" s="26">
        <f t="shared" si="10"/>
        <v>-1.888374321303099E-2</v>
      </c>
    </row>
    <row r="852" spans="1:7">
      <c r="A852" s="52">
        <v>239.22678331192404</v>
      </c>
      <c r="B852" s="52">
        <v>243.1183641286818</v>
      </c>
      <c r="C852" s="52">
        <v>238.86254668375457</v>
      </c>
      <c r="D852" s="52">
        <v>243.1183641286818</v>
      </c>
      <c r="E852" s="52">
        <v>1245470.2929793103</v>
      </c>
      <c r="F852" s="52" t="s">
        <v>927</v>
      </c>
      <c r="G852" s="26">
        <f t="shared" si="10"/>
        <v>-1.6006938968616824E-2</v>
      </c>
    </row>
    <row r="853" spans="1:7">
      <c r="A853" s="52">
        <v>243.28131209391552</v>
      </c>
      <c r="B853" s="52">
        <v>243.49218593127679</v>
      </c>
      <c r="C853" s="52">
        <v>239.71562720762515</v>
      </c>
      <c r="D853" s="52">
        <v>243.49218593127679</v>
      </c>
      <c r="E853" s="52">
        <v>941957.8193557898</v>
      </c>
      <c r="F853" s="52" t="s">
        <v>928</v>
      </c>
      <c r="G853" s="26">
        <f t="shared" si="10"/>
        <v>-8.6603944416019374E-4</v>
      </c>
    </row>
    <row r="854" spans="1:7">
      <c r="A854" s="52">
        <v>243.42508971029821</v>
      </c>
      <c r="B854" s="52">
        <v>244.61365133906165</v>
      </c>
      <c r="C854" s="52">
        <v>241.45888288039296</v>
      </c>
      <c r="D854" s="52">
        <v>242.16943186055616</v>
      </c>
      <c r="E854" s="52">
        <v>953080.20432942652</v>
      </c>
      <c r="F854" s="52" t="s">
        <v>929</v>
      </c>
      <c r="G854" s="26">
        <f t="shared" si="10"/>
        <v>5.1850385909359975E-3</v>
      </c>
    </row>
    <row r="855" spans="1:7">
      <c r="A855" s="52">
        <v>243.05126790770325</v>
      </c>
      <c r="B855" s="52">
        <v>245.17917663016686</v>
      </c>
      <c r="C855" s="52">
        <v>242.64869058183174</v>
      </c>
      <c r="D855" s="52">
        <v>245.17917663016686</v>
      </c>
      <c r="E855" s="52">
        <v>1138009.5463852284</v>
      </c>
      <c r="F855" s="52" t="s">
        <v>930</v>
      </c>
      <c r="G855" s="26">
        <f t="shared" si="10"/>
        <v>-8.6789944876656255E-3</v>
      </c>
    </row>
    <row r="856" spans="1:7">
      <c r="A856" s="52">
        <v>245.38046529310262</v>
      </c>
      <c r="B856" s="52">
        <v>246.5977824451426</v>
      </c>
      <c r="C856" s="52">
        <v>244.31651093187079</v>
      </c>
      <c r="D856" s="52">
        <v>244.53696994365757</v>
      </c>
      <c r="E856" s="52">
        <v>1502218.8810331568</v>
      </c>
      <c r="F856" s="52" t="s">
        <v>931</v>
      </c>
      <c r="G856" s="26">
        <f t="shared" si="10"/>
        <v>3.4493571652556287E-3</v>
      </c>
    </row>
    <row r="857" spans="1:7">
      <c r="A857" s="52">
        <v>245.23668767671992</v>
      </c>
      <c r="B857" s="52">
        <v>245.59133913046389</v>
      </c>
      <c r="C857" s="52">
        <v>242.69661645395931</v>
      </c>
      <c r="D857" s="52">
        <v>243.24297139621348</v>
      </c>
      <c r="E857" s="52">
        <v>692524.69546432397</v>
      </c>
      <c r="F857" s="52" t="s">
        <v>932</v>
      </c>
      <c r="G857" s="26">
        <f t="shared" si="10"/>
        <v>8.1963983134334395E-3</v>
      </c>
    </row>
    <row r="858" spans="1:7">
      <c r="A858" s="52">
        <v>244.03854087353096</v>
      </c>
      <c r="B858" s="52">
        <v>247.29750017820498</v>
      </c>
      <c r="C858" s="52">
        <v>243.54011180340436</v>
      </c>
      <c r="D858" s="52">
        <v>245.95557575863336</v>
      </c>
      <c r="E858" s="52">
        <v>722960.23967555223</v>
      </c>
      <c r="F858" s="52" t="s">
        <v>933</v>
      </c>
      <c r="G858" s="26">
        <f t="shared" si="10"/>
        <v>-7.7942322681217036E-3</v>
      </c>
    </row>
    <row r="859" spans="1:7">
      <c r="A859" s="52">
        <v>245.52424290948528</v>
      </c>
      <c r="B859" s="52">
        <v>246.09935337501599</v>
      </c>
      <c r="C859" s="52">
        <v>243.10887480600056</v>
      </c>
      <c r="D859" s="52">
        <v>245.47631703735775</v>
      </c>
      <c r="E859" s="52">
        <v>1474417.6133493118</v>
      </c>
      <c r="F859" s="52" t="s">
        <v>934</v>
      </c>
      <c r="G859" s="26">
        <f t="shared" si="10"/>
        <v>1.9523623584527527E-4</v>
      </c>
    </row>
    <row r="860" spans="1:7">
      <c r="A860" s="52">
        <v>244.77659930429539</v>
      </c>
      <c r="B860" s="52">
        <v>245.8261759038889</v>
      </c>
      <c r="C860" s="52">
        <v>243.53052662897883</v>
      </c>
      <c r="D860" s="52">
        <v>243.88517808272277</v>
      </c>
      <c r="E860" s="52">
        <v>1271895.4772019202</v>
      </c>
      <c r="F860" s="52" t="s">
        <v>935</v>
      </c>
      <c r="G860" s="26">
        <f t="shared" si="10"/>
        <v>3.6550856783525987E-3</v>
      </c>
    </row>
    <row r="861" spans="1:7">
      <c r="A861" s="52">
        <v>241.9777283720459</v>
      </c>
      <c r="B861" s="52">
        <v>249.16660919117979</v>
      </c>
      <c r="C861" s="52">
        <v>241.83395075566327</v>
      </c>
      <c r="D861" s="52">
        <v>249.16660919117979</v>
      </c>
      <c r="E861" s="52">
        <v>1395498.8617002403</v>
      </c>
      <c r="F861" s="52" t="s">
        <v>936</v>
      </c>
      <c r="G861" s="26">
        <f t="shared" si="10"/>
        <v>-2.8851702250432876E-2</v>
      </c>
    </row>
    <row r="862" spans="1:7">
      <c r="A862" s="52">
        <v>248.58191355122355</v>
      </c>
      <c r="B862" s="52">
        <v>248.75444669088276</v>
      </c>
      <c r="C862" s="52">
        <v>244.05771122238198</v>
      </c>
      <c r="D862" s="52">
        <v>246.22396064254767</v>
      </c>
      <c r="E862" s="52">
        <v>1190587.6193161327</v>
      </c>
      <c r="F862" s="52" t="s">
        <v>937</v>
      </c>
      <c r="G862" s="26">
        <f t="shared" si="10"/>
        <v>9.5764559327311538E-3</v>
      </c>
    </row>
    <row r="863" spans="1:7">
      <c r="A863" s="52">
        <v>244.7190882577423</v>
      </c>
      <c r="B863" s="52">
        <v>247.66173680637442</v>
      </c>
      <c r="C863" s="52">
        <v>244.23982953646671</v>
      </c>
      <c r="D863" s="52">
        <v>246.96201907331204</v>
      </c>
      <c r="E863" s="52">
        <v>1643355.5927866066</v>
      </c>
      <c r="F863" s="52" t="s">
        <v>938</v>
      </c>
      <c r="G863" s="26">
        <f t="shared" si="10"/>
        <v>-9.0820881040170054E-3</v>
      </c>
    </row>
    <row r="864" spans="1:7">
      <c r="A864" s="52">
        <v>247.38376674803456</v>
      </c>
      <c r="B864" s="52">
        <v>247.79592924833159</v>
      </c>
      <c r="C864" s="52">
        <v>245.60092430488942</v>
      </c>
      <c r="D864" s="52">
        <v>247.29750017820498</v>
      </c>
      <c r="E864" s="52">
        <v>1505632.4861015126</v>
      </c>
      <c r="F864" s="52" t="s">
        <v>939</v>
      </c>
      <c r="G864" s="26">
        <f t="shared" si="10"/>
        <v>3.4883720930212192E-4</v>
      </c>
    </row>
    <row r="865" spans="1:7">
      <c r="A865" s="52">
        <v>245.55299843276183</v>
      </c>
      <c r="B865" s="52">
        <v>251.76419146049352</v>
      </c>
      <c r="C865" s="52">
        <v>243.19504552408591</v>
      </c>
      <c r="D865" s="52">
        <v>251.76419146049352</v>
      </c>
      <c r="E865" s="52">
        <v>1045361.2584587851</v>
      </c>
      <c r="F865" s="52" t="s">
        <v>940</v>
      </c>
      <c r="G865" s="26">
        <f t="shared" si="10"/>
        <v>-2.4670676920734214E-2</v>
      </c>
    </row>
    <row r="866" spans="1:7">
      <c r="A866" s="52">
        <v>243.75098564076561</v>
      </c>
      <c r="B866" s="52">
        <v>245.99391645633537</v>
      </c>
      <c r="C866" s="52">
        <v>241.92980249991837</v>
      </c>
      <c r="D866" s="52">
        <v>245.19834697901788</v>
      </c>
      <c r="E866" s="52">
        <v>667591.39854237053</v>
      </c>
      <c r="F866" s="52" t="s">
        <v>941</v>
      </c>
      <c r="G866" s="26">
        <f t="shared" si="10"/>
        <v>-5.9028184981040344E-3</v>
      </c>
    </row>
    <row r="867" spans="1:7">
      <c r="A867" s="52">
        <v>246.24313099139866</v>
      </c>
      <c r="B867" s="52">
        <v>247.93012169028879</v>
      </c>
      <c r="C867" s="52">
        <v>242.44740191889599</v>
      </c>
      <c r="D867" s="52">
        <v>244.66157721118924</v>
      </c>
      <c r="E867" s="52">
        <v>671771.81281770708</v>
      </c>
      <c r="F867" s="52" t="s">
        <v>942</v>
      </c>
      <c r="G867" s="26">
        <f t="shared" si="10"/>
        <v>6.4642507345737954E-3</v>
      </c>
    </row>
    <row r="868" spans="1:7">
      <c r="A868" s="52">
        <v>242.61993505855523</v>
      </c>
      <c r="B868" s="52">
        <v>246.86616732905696</v>
      </c>
      <c r="C868" s="52">
        <v>242.5240833143001</v>
      </c>
      <c r="D868" s="52">
        <v>245.70636122356998</v>
      </c>
      <c r="E868" s="52">
        <v>535197.35502633534</v>
      </c>
      <c r="F868" s="52" t="s">
        <v>943</v>
      </c>
      <c r="G868" s="26">
        <f t="shared" si="10"/>
        <v>-1.2561441835062581E-2</v>
      </c>
    </row>
    <row r="869" spans="1:7">
      <c r="A869" s="52">
        <v>244.7095030833168</v>
      </c>
      <c r="B869" s="52">
        <v>244.98747314165664</v>
      </c>
      <c r="C869" s="52">
        <v>242.39947604676843</v>
      </c>
      <c r="D869" s="52">
        <v>244.11522226893507</v>
      </c>
      <c r="E869" s="52">
        <v>582228.31972116185</v>
      </c>
      <c r="F869" s="52" t="s">
        <v>944</v>
      </c>
      <c r="G869" s="26">
        <f t="shared" si="10"/>
        <v>2.4344275168839413E-3</v>
      </c>
    </row>
    <row r="870" spans="1:7">
      <c r="A870" s="52">
        <v>243.91393360599932</v>
      </c>
      <c r="B870" s="52">
        <v>244.75742895544434</v>
      </c>
      <c r="C870" s="52">
        <v>241.87229145336531</v>
      </c>
      <c r="D870" s="52">
        <v>242.99375686115016</v>
      </c>
      <c r="E870" s="52">
        <v>646167.68824937451</v>
      </c>
      <c r="F870" s="52" t="s">
        <v>945</v>
      </c>
      <c r="G870" s="26">
        <f t="shared" si="10"/>
        <v>3.7868328665537909E-3</v>
      </c>
    </row>
    <row r="871" spans="1:7">
      <c r="A871" s="52">
        <v>243.07043825655427</v>
      </c>
      <c r="B871" s="52">
        <v>243.31965279161756</v>
      </c>
      <c r="C871" s="52">
        <v>239.91701172230512</v>
      </c>
      <c r="D871" s="52">
        <v>242.26528360481129</v>
      </c>
      <c r="E871" s="52">
        <v>852070.04457447759</v>
      </c>
      <c r="F871" s="52" t="s">
        <v>946</v>
      </c>
      <c r="G871" s="26">
        <f t="shared" si="10"/>
        <v>3.323442136498489E-3</v>
      </c>
    </row>
    <row r="872" spans="1:7">
      <c r="A872" s="52">
        <v>242.8499792447675</v>
      </c>
      <c r="B872" s="52">
        <v>243.93310395485034</v>
      </c>
      <c r="C872" s="52">
        <v>240.25239697545379</v>
      </c>
      <c r="D872" s="52">
        <v>240.53995220821915</v>
      </c>
      <c r="E872" s="52">
        <v>855819.58510493918</v>
      </c>
      <c r="F872" s="52" t="s">
        <v>947</v>
      </c>
      <c r="G872" s="26">
        <f t="shared" si="10"/>
        <v>9.6035066746362752E-3</v>
      </c>
    </row>
    <row r="873" spans="1:7">
      <c r="A873" s="52">
        <v>238.90088738145664</v>
      </c>
      <c r="B873" s="52">
        <v>240.79875191770796</v>
      </c>
      <c r="C873" s="52">
        <v>237.77942197367173</v>
      </c>
      <c r="D873" s="52">
        <v>238.44079900903205</v>
      </c>
      <c r="E873" s="52">
        <v>1236470.9783950695</v>
      </c>
      <c r="F873" s="52" t="s">
        <v>948</v>
      </c>
      <c r="G873" s="26">
        <f t="shared" si="10"/>
        <v>1.9295706705260152E-3</v>
      </c>
    </row>
    <row r="874" spans="1:7">
      <c r="A874" s="52">
        <v>238.15324377626672</v>
      </c>
      <c r="B874" s="52">
        <v>240.40575976626198</v>
      </c>
      <c r="C874" s="52">
        <v>237.34808912452371</v>
      </c>
      <c r="D874" s="52">
        <v>239.30346470732812</v>
      </c>
      <c r="E874" s="52">
        <v>1268376.5010724694</v>
      </c>
      <c r="F874" s="52" t="s">
        <v>949</v>
      </c>
      <c r="G874" s="26">
        <f t="shared" si="10"/>
        <v>-4.8065368901705208E-3</v>
      </c>
    </row>
    <row r="875" spans="1:7">
      <c r="A875" s="52">
        <v>239.15968709094543</v>
      </c>
      <c r="B875" s="52">
        <v>239.62936063779551</v>
      </c>
      <c r="C875" s="52">
        <v>236.51897153671695</v>
      </c>
      <c r="D875" s="52">
        <v>238.24909552052182</v>
      </c>
      <c r="E875" s="52">
        <v>2336598.0633997777</v>
      </c>
      <c r="F875" s="52" t="s">
        <v>950</v>
      </c>
      <c r="G875" s="26">
        <f t="shared" si="10"/>
        <v>3.8220148052783287E-3</v>
      </c>
    </row>
    <row r="876" spans="1:7">
      <c r="A876" s="52">
        <v>240.11820453349662</v>
      </c>
      <c r="B876" s="52">
        <v>243.46343040800025</v>
      </c>
      <c r="C876" s="52">
        <v>239.08300569554135</v>
      </c>
      <c r="D876" s="52">
        <v>241.75726936025916</v>
      </c>
      <c r="E876" s="52">
        <v>1199555.6355653948</v>
      </c>
      <c r="F876" s="52" t="s">
        <v>951</v>
      </c>
      <c r="G876" s="26">
        <f t="shared" si="10"/>
        <v>-6.7797954166998187E-3</v>
      </c>
    </row>
    <row r="877" spans="1:7">
      <c r="A877" s="52">
        <v>243.50177110570229</v>
      </c>
      <c r="B877" s="52">
        <v>244.88203622297598</v>
      </c>
      <c r="C877" s="52">
        <v>240.17571558004968</v>
      </c>
      <c r="D877" s="52">
        <v>243.28131209391552</v>
      </c>
      <c r="E877" s="52">
        <v>1828786.7514799021</v>
      </c>
      <c r="F877" s="52" t="s">
        <v>952</v>
      </c>
      <c r="G877" s="26">
        <f t="shared" si="10"/>
        <v>9.0618966943778467E-4</v>
      </c>
    </row>
    <row r="878" spans="1:7">
      <c r="A878" s="52">
        <v>243.51135628012781</v>
      </c>
      <c r="B878" s="52">
        <v>248.67776529547868</v>
      </c>
      <c r="C878" s="52">
        <v>243.08002343097976</v>
      </c>
      <c r="D878" s="52">
        <v>248.61066907450009</v>
      </c>
      <c r="E878" s="52">
        <v>2753112.1321864626</v>
      </c>
      <c r="F878" s="52" t="s">
        <v>953</v>
      </c>
      <c r="G878" s="26">
        <f t="shared" si="10"/>
        <v>-2.0511238770867801E-2</v>
      </c>
    </row>
    <row r="879" spans="1:7">
      <c r="A879" s="52">
        <v>243.52094145455334</v>
      </c>
      <c r="B879" s="52">
        <v>244.34526645514734</v>
      </c>
      <c r="C879" s="52">
        <v>238.09573272971363</v>
      </c>
      <c r="D879" s="52">
        <v>238.81462081162704</v>
      </c>
      <c r="E879" s="52">
        <v>1635182.5542458065</v>
      </c>
      <c r="F879" s="52" t="s">
        <v>954</v>
      </c>
      <c r="G879" s="26">
        <f t="shared" si="10"/>
        <v>1.9707003812964086E-2</v>
      </c>
    </row>
    <row r="880" spans="1:7">
      <c r="A880" s="52">
        <v>237.32891877567269</v>
      </c>
      <c r="B880" s="52">
        <v>239.23636848634953</v>
      </c>
      <c r="C880" s="52">
        <v>236.01574987937755</v>
      </c>
      <c r="D880" s="52">
        <v>236.98385249635427</v>
      </c>
      <c r="E880" s="52">
        <v>893053.12767356518</v>
      </c>
      <c r="F880" s="52" t="s">
        <v>955</v>
      </c>
      <c r="G880" s="26">
        <f t="shared" si="10"/>
        <v>1.4560750687591106E-3</v>
      </c>
    </row>
    <row r="881" spans="1:7">
      <c r="A881" s="52">
        <v>237.68357022941663</v>
      </c>
      <c r="B881" s="52">
        <v>237.85610336907584</v>
      </c>
      <c r="C881" s="52">
        <v>234.47253679687017</v>
      </c>
      <c r="D881" s="52">
        <v>234.83677342503961</v>
      </c>
      <c r="E881" s="52">
        <v>1277740.9628981296</v>
      </c>
      <c r="F881" s="52" t="s">
        <v>956</v>
      </c>
      <c r="G881" s="26">
        <f t="shared" si="10"/>
        <v>1.2122448979591915E-2</v>
      </c>
    </row>
    <row r="882" spans="1:7">
      <c r="A882" s="52">
        <v>235.38312836729375</v>
      </c>
      <c r="B882" s="52">
        <v>236.10891211266517</v>
      </c>
      <c r="C882" s="52">
        <v>232.55648717265586</v>
      </c>
      <c r="D882" s="52">
        <v>234.20850467412689</v>
      </c>
      <c r="E882" s="52">
        <v>1726317.1957079882</v>
      </c>
      <c r="F882" s="52" t="s">
        <v>957</v>
      </c>
      <c r="G882" s="26">
        <f t="shared" si="10"/>
        <v>5.015290519877702E-3</v>
      </c>
    </row>
    <row r="883" spans="1:7">
      <c r="A883" s="52">
        <v>233.3872230675224</v>
      </c>
      <c r="B883" s="52">
        <v>235.87016745958249</v>
      </c>
      <c r="C883" s="52">
        <v>231.83060792942319</v>
      </c>
      <c r="D883" s="52">
        <v>234.42814975496296</v>
      </c>
      <c r="E883" s="52">
        <v>951362.66746599798</v>
      </c>
      <c r="F883" s="52" t="s">
        <v>958</v>
      </c>
      <c r="G883" s="26">
        <f t="shared" si="10"/>
        <v>-4.4402802672315334E-3</v>
      </c>
    </row>
    <row r="884" spans="1:7">
      <c r="A884" s="52">
        <v>235.12528414196447</v>
      </c>
      <c r="B884" s="52">
        <v>239.20304281661691</v>
      </c>
      <c r="C884" s="52">
        <v>235.03933606685467</v>
      </c>
      <c r="D884" s="52">
        <v>238.14301655692975</v>
      </c>
      <c r="E884" s="52">
        <v>1281908.290084254</v>
      </c>
      <c r="F884" s="52" t="s">
        <v>959</v>
      </c>
      <c r="G884" s="26">
        <f t="shared" si="10"/>
        <v>-1.2671933271844904E-2</v>
      </c>
    </row>
    <row r="885" spans="1:7">
      <c r="A885" s="52">
        <v>241.01750218004543</v>
      </c>
      <c r="B885" s="52">
        <v>241.2180476886349</v>
      </c>
      <c r="C885" s="52">
        <v>236.60550099107718</v>
      </c>
      <c r="D885" s="52">
        <v>237.06389072499596</v>
      </c>
      <c r="E885" s="52">
        <v>1406055.5730382025</v>
      </c>
      <c r="F885" s="52" t="s">
        <v>960</v>
      </c>
      <c r="G885" s="26">
        <f t="shared" si="10"/>
        <v>1.6677408959071771E-2</v>
      </c>
    </row>
    <row r="886" spans="1:7">
      <c r="A886" s="52">
        <v>239.53728533093272</v>
      </c>
      <c r="B886" s="52">
        <v>242.85106111572057</v>
      </c>
      <c r="C886" s="52">
        <v>238.33401227939592</v>
      </c>
      <c r="D886" s="52">
        <v>240.47316437101688</v>
      </c>
      <c r="E886" s="52">
        <v>1736409.5683282262</v>
      </c>
      <c r="F886" s="52" t="s">
        <v>961</v>
      </c>
      <c r="G886" s="26">
        <f t="shared" si="10"/>
        <v>-3.8918232000316744E-3</v>
      </c>
    </row>
    <row r="887" spans="1:7">
      <c r="A887" s="52">
        <v>238.11436719855985</v>
      </c>
      <c r="B887" s="52">
        <v>238.43905992675232</v>
      </c>
      <c r="C887" s="52">
        <v>229.23306610388346</v>
      </c>
      <c r="D887" s="52">
        <v>230.64643445013306</v>
      </c>
      <c r="E887" s="52">
        <v>2543644.4006544738</v>
      </c>
      <c r="F887" s="52" t="s">
        <v>962</v>
      </c>
      <c r="G887" s="26">
        <f t="shared" si="10"/>
        <v>3.2378270950645938E-2</v>
      </c>
    </row>
    <row r="888" spans="1:7">
      <c r="A888" s="52">
        <v>230.16894514396765</v>
      </c>
      <c r="B888" s="52">
        <v>230.26444300520072</v>
      </c>
      <c r="C888" s="52">
        <v>224.96383421745867</v>
      </c>
      <c r="D888" s="52">
        <v>226.06253711094521</v>
      </c>
      <c r="E888" s="52">
        <v>1980119.738372728</v>
      </c>
      <c r="F888" s="52" t="s">
        <v>963</v>
      </c>
      <c r="G888" s="26">
        <f t="shared" si="10"/>
        <v>1.8164920581277499E-2</v>
      </c>
    </row>
    <row r="889" spans="1:7">
      <c r="A889" s="52">
        <v>226.65462385059033</v>
      </c>
      <c r="B889" s="52">
        <v>228.57413086137521</v>
      </c>
      <c r="C889" s="52">
        <v>225.38450229619036</v>
      </c>
      <c r="D889" s="52">
        <v>226.70237278120683</v>
      </c>
      <c r="E889" s="52">
        <v>1790396.1176962466</v>
      </c>
      <c r="F889" s="52" t="s">
        <v>964</v>
      </c>
      <c r="G889" s="26">
        <f t="shared" ref="G889:G952" si="11">A889/D889-1</f>
        <v>-2.1062386789660881E-4</v>
      </c>
    </row>
    <row r="890" spans="1:7">
      <c r="A890" s="52">
        <v>227.34220845146848</v>
      </c>
      <c r="B890" s="52">
        <v>228.03934283846996</v>
      </c>
      <c r="C890" s="52">
        <v>225.85244181623244</v>
      </c>
      <c r="D890" s="52">
        <v>227.13211315675571</v>
      </c>
      <c r="E890" s="52">
        <v>392677.90415195713</v>
      </c>
      <c r="F890" s="52" t="s">
        <v>965</v>
      </c>
      <c r="G890" s="26">
        <f t="shared" si="11"/>
        <v>9.249915909854689E-4</v>
      </c>
    </row>
    <row r="891" spans="1:7">
      <c r="A891" s="52">
        <v>226.65462385059033</v>
      </c>
      <c r="B891" s="52">
        <v>226.81697021468653</v>
      </c>
      <c r="C891" s="52">
        <v>224.27672710588664</v>
      </c>
      <c r="D891" s="52">
        <v>224.59187004795581</v>
      </c>
      <c r="E891" s="52">
        <v>1030156.0551172134</v>
      </c>
      <c r="F891" s="52" t="s">
        <v>966</v>
      </c>
      <c r="G891" s="26">
        <f t="shared" si="11"/>
        <v>9.1844544604133826E-3</v>
      </c>
    </row>
    <row r="892" spans="1:7">
      <c r="A892" s="52">
        <v>225.00251085125805</v>
      </c>
      <c r="B892" s="52">
        <v>225.23170571821743</v>
      </c>
      <c r="C892" s="52">
        <v>220.91042749742059</v>
      </c>
      <c r="D892" s="52">
        <v>223.51274421602201</v>
      </c>
      <c r="E892" s="52">
        <v>1467723.9698374395</v>
      </c>
      <c r="F892" s="52" t="s">
        <v>967</v>
      </c>
      <c r="G892" s="26">
        <f t="shared" si="11"/>
        <v>6.6652424695576862E-3</v>
      </c>
    </row>
    <row r="893" spans="1:7">
      <c r="A893" s="52">
        <v>224.12393052791373</v>
      </c>
      <c r="B893" s="52">
        <v>226.68327320896026</v>
      </c>
      <c r="C893" s="52">
        <v>215.45272472795014</v>
      </c>
      <c r="D893" s="52">
        <v>215.45272472795014</v>
      </c>
      <c r="E893" s="52">
        <v>2550593.2473766045</v>
      </c>
      <c r="F893" s="52" t="s">
        <v>968</v>
      </c>
      <c r="G893" s="26">
        <f t="shared" si="11"/>
        <v>4.0246442976818342E-2</v>
      </c>
    </row>
    <row r="894" spans="1:7">
      <c r="A894" s="52">
        <v>215.43362515570351</v>
      </c>
      <c r="B894" s="52">
        <v>216.11165997045839</v>
      </c>
      <c r="C894" s="52">
        <v>209.8947492041849</v>
      </c>
      <c r="D894" s="52">
        <v>210.61098316343299</v>
      </c>
      <c r="E894" s="52">
        <v>1471269.5989816731</v>
      </c>
      <c r="F894" s="52" t="s">
        <v>969</v>
      </c>
      <c r="G894" s="26">
        <f t="shared" si="11"/>
        <v>2.2898340437109033E-2</v>
      </c>
    </row>
    <row r="895" spans="1:7">
      <c r="A895" s="52">
        <v>210.00934663766461</v>
      </c>
      <c r="B895" s="52">
        <v>212.3729187031833</v>
      </c>
      <c r="C895" s="52">
        <v>208.96841995022405</v>
      </c>
      <c r="D895" s="52">
        <v>210.09529471277438</v>
      </c>
      <c r="E895" s="52">
        <v>1260891.0654670312</v>
      </c>
      <c r="F895" s="52" t="s">
        <v>970</v>
      </c>
      <c r="G895" s="26">
        <f t="shared" si="11"/>
        <v>-4.090909090909145E-4</v>
      </c>
    </row>
    <row r="896" spans="1:7">
      <c r="A896" s="52">
        <v>212.08165022642243</v>
      </c>
      <c r="B896" s="52">
        <v>215.0802830691411</v>
      </c>
      <c r="C896" s="52">
        <v>211.37496605329764</v>
      </c>
      <c r="D896" s="52">
        <v>213.67646450901483</v>
      </c>
      <c r="E896" s="52">
        <v>1527494.941944015</v>
      </c>
      <c r="F896" s="52" t="s">
        <v>971</v>
      </c>
      <c r="G896" s="26">
        <f t="shared" si="11"/>
        <v>-7.4636871508378944E-3</v>
      </c>
    </row>
    <row r="897" spans="1:7">
      <c r="A897" s="52">
        <v>212.35859402399836</v>
      </c>
      <c r="B897" s="52">
        <v>216.0448114675952</v>
      </c>
      <c r="C897" s="52">
        <v>211.16487075858487</v>
      </c>
      <c r="D897" s="52">
        <v>216.0448114675952</v>
      </c>
      <c r="E897" s="52">
        <v>2122974.2465664097</v>
      </c>
      <c r="F897" s="52" t="s">
        <v>972</v>
      </c>
      <c r="G897" s="26">
        <f t="shared" si="11"/>
        <v>-1.7062281748662755E-2</v>
      </c>
    </row>
    <row r="898" spans="1:7">
      <c r="A898" s="52">
        <v>214.06800574007048</v>
      </c>
      <c r="B898" s="52">
        <v>219.0625438825605</v>
      </c>
      <c r="C898" s="52">
        <v>214.04890616782384</v>
      </c>
      <c r="D898" s="52">
        <v>218.49910650128535</v>
      </c>
      <c r="E898" s="52">
        <v>2015170.7851373288</v>
      </c>
      <c r="F898" s="52" t="s">
        <v>973</v>
      </c>
      <c r="G898" s="26">
        <f t="shared" si="11"/>
        <v>-2.0279720279720248E-2</v>
      </c>
    </row>
    <row r="899" spans="1:7">
      <c r="A899" s="52">
        <v>217.41998066935153</v>
      </c>
      <c r="B899" s="52">
        <v>220.04617185326123</v>
      </c>
      <c r="C899" s="52">
        <v>214.34494953764639</v>
      </c>
      <c r="D899" s="52">
        <v>220.04617185326123</v>
      </c>
      <c r="E899" s="52">
        <v>1877168.7416377934</v>
      </c>
      <c r="F899" s="52" t="s">
        <v>974</v>
      </c>
      <c r="G899" s="26">
        <f t="shared" si="11"/>
        <v>-1.1934727888204266E-2</v>
      </c>
    </row>
    <row r="900" spans="1:7">
      <c r="A900" s="52">
        <v>218.95749623520413</v>
      </c>
      <c r="B900" s="52">
        <v>219.77877784180859</v>
      </c>
      <c r="C900" s="52">
        <v>209.91384877643154</v>
      </c>
      <c r="D900" s="52">
        <v>211.44181455616078</v>
      </c>
      <c r="E900" s="52">
        <v>4199815.522790716</v>
      </c>
      <c r="F900" s="52" t="s">
        <v>975</v>
      </c>
      <c r="G900" s="26">
        <f t="shared" si="11"/>
        <v>3.5544916670430471E-2</v>
      </c>
    </row>
    <row r="901" spans="1:7">
      <c r="A901" s="52">
        <v>208.4622812856887</v>
      </c>
      <c r="B901" s="52">
        <v>211.2221694753247</v>
      </c>
      <c r="C901" s="52">
        <v>207.89884390441355</v>
      </c>
      <c r="D901" s="52">
        <v>210.11439428502101</v>
      </c>
      <c r="E901" s="52">
        <v>2190034.387152906</v>
      </c>
      <c r="F901" s="52" t="s">
        <v>976</v>
      </c>
      <c r="G901" s="26">
        <f t="shared" si="11"/>
        <v>-7.8629215525862772E-3</v>
      </c>
    </row>
    <row r="902" spans="1:7">
      <c r="A902" s="52">
        <v>209.60825562048569</v>
      </c>
      <c r="B902" s="52">
        <v>212.10074979866903</v>
      </c>
      <c r="C902" s="52">
        <v>207.99434176564665</v>
      </c>
      <c r="D902" s="52">
        <v>210.91657631937886</v>
      </c>
      <c r="E902" s="52">
        <v>3036260.6686270242</v>
      </c>
      <c r="F902" s="52" t="s">
        <v>977</v>
      </c>
      <c r="G902" s="26">
        <f t="shared" si="11"/>
        <v>-6.2030245404327555E-3</v>
      </c>
    </row>
    <row r="903" spans="1:7">
      <c r="A903" s="52">
        <v>210.99297460836533</v>
      </c>
      <c r="B903" s="52">
        <v>212.17714808765552</v>
      </c>
      <c r="C903" s="52">
        <v>209.17851524493682</v>
      </c>
      <c r="D903" s="52">
        <v>210.89747674713226</v>
      </c>
      <c r="E903" s="52">
        <v>2023785.637756824</v>
      </c>
      <c r="F903" s="52" t="s">
        <v>978</v>
      </c>
      <c r="G903" s="26">
        <f t="shared" si="11"/>
        <v>4.5281651874651274E-4</v>
      </c>
    </row>
    <row r="904" spans="1:7">
      <c r="A904" s="52">
        <v>210.89747674713226</v>
      </c>
      <c r="B904" s="52">
        <v>213.98205766496071</v>
      </c>
      <c r="C904" s="52">
        <v>208.35723363833233</v>
      </c>
      <c r="D904" s="52">
        <v>213.98205766496071</v>
      </c>
      <c r="E904" s="52">
        <v>2494941.7392550898</v>
      </c>
      <c r="F904" s="52" t="s">
        <v>979</v>
      </c>
      <c r="G904" s="26">
        <f t="shared" si="11"/>
        <v>-1.4415138126478322E-2</v>
      </c>
    </row>
    <row r="905" spans="1:7">
      <c r="A905" s="52">
        <v>211.05027332510517</v>
      </c>
      <c r="B905" s="52">
        <v>215.94931360636213</v>
      </c>
      <c r="C905" s="52">
        <v>211.03117375285854</v>
      </c>
      <c r="D905" s="52">
        <v>215.81561660063582</v>
      </c>
      <c r="E905" s="52">
        <v>2405874.8230941053</v>
      </c>
      <c r="F905" s="52" t="s">
        <v>980</v>
      </c>
      <c r="G905" s="26">
        <f t="shared" si="11"/>
        <v>-2.2080623036417557E-2</v>
      </c>
    </row>
    <row r="906" spans="1:7">
      <c r="A906" s="52">
        <v>217.7351236114207</v>
      </c>
      <c r="B906" s="52">
        <v>224.5106968659077</v>
      </c>
      <c r="C906" s="52">
        <v>217.6969244669275</v>
      </c>
      <c r="D906" s="52">
        <v>223.28354934906261</v>
      </c>
      <c r="E906" s="52">
        <v>2140911.8210616033</v>
      </c>
      <c r="F906" s="52" t="s">
        <v>981</v>
      </c>
      <c r="G906" s="26">
        <f t="shared" si="11"/>
        <v>-2.4849236559599697E-2</v>
      </c>
    </row>
    <row r="907" spans="1:7">
      <c r="A907" s="52">
        <v>223.35039785192578</v>
      </c>
      <c r="B907" s="52">
        <v>226.90291828979633</v>
      </c>
      <c r="C907" s="52">
        <v>222.40496902571829</v>
      </c>
      <c r="D907" s="52">
        <v>226.29173197790462</v>
      </c>
      <c r="E907" s="52">
        <v>2288391.5637296145</v>
      </c>
      <c r="F907" s="52" t="s">
        <v>982</v>
      </c>
      <c r="G907" s="26">
        <f t="shared" si="11"/>
        <v>-1.2997974341661056E-2</v>
      </c>
    </row>
    <row r="908" spans="1:7">
      <c r="A908" s="52">
        <v>225.34630315169713</v>
      </c>
      <c r="B908" s="52">
        <v>226.61642470609709</v>
      </c>
      <c r="C908" s="52">
        <v>223.78968801359795</v>
      </c>
      <c r="D908" s="52">
        <v>224.08573138342049</v>
      </c>
      <c r="E908" s="52">
        <v>1375844.4252413067</v>
      </c>
      <c r="F908" s="52" t="s">
        <v>983</v>
      </c>
      <c r="G908" s="26">
        <f t="shared" si="11"/>
        <v>5.6253995312165461E-3</v>
      </c>
    </row>
    <row r="909" spans="1:7">
      <c r="A909" s="52">
        <v>224.66826833694228</v>
      </c>
      <c r="B909" s="52">
        <v>225.03116020962796</v>
      </c>
      <c r="C909" s="52">
        <v>221.73648399708674</v>
      </c>
      <c r="D909" s="52">
        <v>221.73648399708674</v>
      </c>
      <c r="E909" s="52">
        <v>1313053.4902132987</v>
      </c>
      <c r="F909" s="52" t="s">
        <v>984</v>
      </c>
      <c r="G909" s="26">
        <f t="shared" si="11"/>
        <v>1.3221930315689745E-2</v>
      </c>
    </row>
    <row r="910" spans="1:7">
      <c r="A910" s="52">
        <v>220.76240581250931</v>
      </c>
      <c r="B910" s="52">
        <v>223.22625063232277</v>
      </c>
      <c r="C910" s="52">
        <v>219.70715444588382</v>
      </c>
      <c r="D910" s="52">
        <v>223.22625063232277</v>
      </c>
      <c r="E910" s="52">
        <v>944163.55335890781</v>
      </c>
      <c r="F910" s="52" t="s">
        <v>985</v>
      </c>
      <c r="G910" s="26">
        <f t="shared" si="11"/>
        <v>-1.1037433155080323E-2</v>
      </c>
    </row>
    <row r="911" spans="1:7">
      <c r="A911" s="52">
        <v>222.39541923959499</v>
      </c>
      <c r="B911" s="52">
        <v>223.09255362659647</v>
      </c>
      <c r="C911" s="52">
        <v>215.63417066429298</v>
      </c>
      <c r="D911" s="52">
        <v>216.97114072155608</v>
      </c>
      <c r="E911" s="52">
        <v>1932828.626910269</v>
      </c>
      <c r="F911" s="52" t="s">
        <v>986</v>
      </c>
      <c r="G911" s="26">
        <f t="shared" si="11"/>
        <v>2.4999999999999911E-2</v>
      </c>
    </row>
    <row r="912" spans="1:7">
      <c r="A912" s="52">
        <v>215.53867280305988</v>
      </c>
      <c r="B912" s="52">
        <v>216.24535697618467</v>
      </c>
      <c r="C912" s="52">
        <v>214.19215295967348</v>
      </c>
      <c r="D912" s="52">
        <v>215.22352986099074</v>
      </c>
      <c r="E912" s="52">
        <v>2072480.9691491171</v>
      </c>
      <c r="F912" s="52" t="s">
        <v>987</v>
      </c>
      <c r="G912" s="26">
        <f t="shared" si="11"/>
        <v>1.4642587744597702E-3</v>
      </c>
    </row>
    <row r="913" spans="1:7">
      <c r="A913" s="52">
        <v>215.0707332830178</v>
      </c>
      <c r="B913" s="52">
        <v>217.02843943829592</v>
      </c>
      <c r="C913" s="52">
        <v>214.09665509844041</v>
      </c>
      <c r="D913" s="52">
        <v>215.52912301693658</v>
      </c>
      <c r="E913" s="52">
        <v>1713490.7304428613</v>
      </c>
      <c r="F913" s="52" t="s">
        <v>988</v>
      </c>
      <c r="G913" s="26">
        <f t="shared" si="11"/>
        <v>-2.1268111125880562E-3</v>
      </c>
    </row>
    <row r="914" spans="1:7">
      <c r="A914" s="52">
        <v>213.53321771716523</v>
      </c>
      <c r="B914" s="52">
        <v>214.29720060702988</v>
      </c>
      <c r="C914" s="52">
        <v>210.65873209404955</v>
      </c>
      <c r="D914" s="52">
        <v>212.83608333016375</v>
      </c>
      <c r="E914" s="52">
        <v>1810332.6898395033</v>
      </c>
      <c r="F914" s="52" t="s">
        <v>989</v>
      </c>
      <c r="G914" s="26">
        <f t="shared" si="11"/>
        <v>3.2754520572531032E-3</v>
      </c>
    </row>
    <row r="915" spans="1:7">
      <c r="A915" s="52">
        <v>212.55913953258784</v>
      </c>
      <c r="B915" s="52">
        <v>216.24535697618467</v>
      </c>
      <c r="C915" s="52">
        <v>212.21534723214873</v>
      </c>
      <c r="D915" s="52">
        <v>215.58642173367645</v>
      </c>
      <c r="E915" s="52">
        <v>920309.61599752388</v>
      </c>
      <c r="F915" s="52" t="s">
        <v>990</v>
      </c>
      <c r="G915" s="26">
        <f t="shared" si="11"/>
        <v>-1.4042081949058649E-2</v>
      </c>
    </row>
    <row r="916" spans="1:7">
      <c r="A916" s="52">
        <v>215.31902772222381</v>
      </c>
      <c r="B916" s="52">
        <v>219.47318468586275</v>
      </c>
      <c r="C916" s="52">
        <v>213.81016151474114</v>
      </c>
      <c r="D916" s="52">
        <v>218.57550479027182</v>
      </c>
      <c r="E916" s="52">
        <v>1372762.6808315371</v>
      </c>
      <c r="F916" s="52" t="s">
        <v>991</v>
      </c>
      <c r="G916" s="26">
        <f t="shared" si="11"/>
        <v>-1.4898636840265711E-2</v>
      </c>
    </row>
    <row r="917" spans="1:7">
      <c r="A917" s="52">
        <v>220.2467173618507</v>
      </c>
      <c r="B917" s="52">
        <v>225.4847750504851</v>
      </c>
      <c r="C917" s="52">
        <v>219.90292506141162</v>
      </c>
      <c r="D917" s="52">
        <v>224.14303010016033</v>
      </c>
      <c r="E917" s="52">
        <v>1550076.5995032003</v>
      </c>
      <c r="F917" s="52" t="s">
        <v>992</v>
      </c>
      <c r="G917" s="26">
        <f t="shared" si="11"/>
        <v>-1.7383153679008112E-2</v>
      </c>
    </row>
    <row r="918" spans="1:7">
      <c r="A918" s="52">
        <v>218.70920179599813</v>
      </c>
      <c r="B918" s="52">
        <v>219.81697698630185</v>
      </c>
      <c r="C918" s="52">
        <v>215.24262943323734</v>
      </c>
      <c r="D918" s="52">
        <v>216.16895868719823</v>
      </c>
      <c r="E918" s="52">
        <v>1037264.067707603</v>
      </c>
      <c r="F918" s="52" t="s">
        <v>993</v>
      </c>
      <c r="G918" s="26">
        <f t="shared" si="11"/>
        <v>1.1751192790245613E-2</v>
      </c>
    </row>
    <row r="919" spans="1:7">
      <c r="A919" s="52">
        <v>214.58369419072909</v>
      </c>
      <c r="B919" s="52">
        <v>219.39678639687631</v>
      </c>
      <c r="C919" s="52">
        <v>213.52366793104193</v>
      </c>
      <c r="D919" s="52">
        <v>217.85927083102371</v>
      </c>
      <c r="E919" s="52">
        <v>934797.89858453476</v>
      </c>
      <c r="F919" s="52" t="s">
        <v>994</v>
      </c>
      <c r="G919" s="26">
        <f t="shared" si="11"/>
        <v>-1.5035286897821409E-2</v>
      </c>
    </row>
    <row r="920" spans="1:7">
      <c r="A920" s="52">
        <v>216.33130505129446</v>
      </c>
      <c r="B920" s="52">
        <v>217.14303687177562</v>
      </c>
      <c r="C920" s="52">
        <v>206.17988240221814</v>
      </c>
      <c r="D920" s="52">
        <v>207.45000395661808</v>
      </c>
      <c r="E920" s="52">
        <v>1000023.4431105768</v>
      </c>
      <c r="F920" s="52" t="s">
        <v>995</v>
      </c>
      <c r="G920" s="26">
        <f t="shared" si="11"/>
        <v>4.281176633061734E-2</v>
      </c>
    </row>
    <row r="921" spans="1:7">
      <c r="A921" s="52">
        <v>210.8497278165157</v>
      </c>
      <c r="B921" s="52">
        <v>214.16350360130355</v>
      </c>
      <c r="C921" s="52">
        <v>210.75422995528263</v>
      </c>
      <c r="D921" s="52">
        <v>212.82653354404044</v>
      </c>
      <c r="E921" s="52">
        <v>781180.84569373704</v>
      </c>
      <c r="F921" s="52" t="s">
        <v>996</v>
      </c>
      <c r="G921" s="26">
        <f t="shared" si="11"/>
        <v>-9.2883424571480466E-3</v>
      </c>
    </row>
    <row r="922" spans="1:7">
      <c r="A922" s="52">
        <v>212.62598803545097</v>
      </c>
      <c r="B922" s="52">
        <v>214.35449932376972</v>
      </c>
      <c r="C922" s="52">
        <v>207.87974433216695</v>
      </c>
      <c r="D922" s="52">
        <v>210.17169300176084</v>
      </c>
      <c r="E922" s="52">
        <v>979294.18305763765</v>
      </c>
      <c r="F922" s="52" t="s">
        <v>997</v>
      </c>
      <c r="G922" s="26">
        <f t="shared" si="11"/>
        <v>1.1677571792075625E-2</v>
      </c>
    </row>
    <row r="923" spans="1:7">
      <c r="A923" s="52">
        <v>209.91384877643154</v>
      </c>
      <c r="B923" s="52">
        <v>214.77468991319526</v>
      </c>
      <c r="C923" s="52">
        <v>209.71330326784206</v>
      </c>
      <c r="D923" s="52">
        <v>214.29720060702988</v>
      </c>
      <c r="E923" s="52">
        <v>1151417.4095651051</v>
      </c>
      <c r="F923" s="52" t="s">
        <v>998</v>
      </c>
      <c r="G923" s="26">
        <f t="shared" si="11"/>
        <v>-2.0454545454545503E-2</v>
      </c>
    </row>
    <row r="924" spans="1:7">
      <c r="A924" s="52">
        <v>212.64508760769758</v>
      </c>
      <c r="B924" s="52">
        <v>217.30538323587186</v>
      </c>
      <c r="C924" s="52">
        <v>211.66145963699685</v>
      </c>
      <c r="D924" s="52">
        <v>216.71329649622677</v>
      </c>
      <c r="E924" s="52">
        <v>1504550.9726057672</v>
      </c>
      <c r="F924" s="52" t="s">
        <v>999</v>
      </c>
      <c r="G924" s="26">
        <f t="shared" si="11"/>
        <v>-1.8772308641431423E-2</v>
      </c>
    </row>
    <row r="925" spans="1:7">
      <c r="A925" s="52">
        <v>218.11711505635304</v>
      </c>
      <c r="B925" s="52">
        <v>225.01206063738135</v>
      </c>
      <c r="C925" s="52">
        <v>217.90701976164027</v>
      </c>
      <c r="D925" s="52">
        <v>224.76376619817538</v>
      </c>
      <c r="E925" s="52">
        <v>1252757.899027792</v>
      </c>
      <c r="F925" s="52" t="s">
        <v>1000</v>
      </c>
      <c r="G925" s="26">
        <f t="shared" si="11"/>
        <v>-2.957171991842289E-2</v>
      </c>
    </row>
    <row r="926" spans="1:7">
      <c r="A926" s="52">
        <v>226.16758475830162</v>
      </c>
      <c r="B926" s="52">
        <v>227.57140331842788</v>
      </c>
      <c r="C926" s="52">
        <v>223.1307527710897</v>
      </c>
      <c r="D926" s="52">
        <v>224.46772282835281</v>
      </c>
      <c r="E926" s="52">
        <v>867404.76624733966</v>
      </c>
      <c r="F926" s="52" t="s">
        <v>1001</v>
      </c>
      <c r="G926" s="26">
        <f t="shared" si="11"/>
        <v>7.5728568389703543E-3</v>
      </c>
    </row>
    <row r="927" spans="1:7">
      <c r="A927" s="52">
        <v>226.30128176402792</v>
      </c>
      <c r="B927" s="52">
        <v>226.54002641711062</v>
      </c>
      <c r="C927" s="52">
        <v>220.256267147974</v>
      </c>
      <c r="D927" s="52">
        <v>220.94385174885218</v>
      </c>
      <c r="E927" s="52">
        <v>1132046.2951117144</v>
      </c>
      <c r="F927" s="52" t="s">
        <v>1002</v>
      </c>
      <c r="G927" s="26">
        <f t="shared" si="11"/>
        <v>2.4247925311203344E-2</v>
      </c>
    </row>
    <row r="928" spans="1:7">
      <c r="A928" s="52">
        <v>220.38996415370033</v>
      </c>
      <c r="B928" s="52">
        <v>221.51206402318903</v>
      </c>
      <c r="C928" s="52">
        <v>212.77878461342391</v>
      </c>
      <c r="D928" s="52">
        <v>214.9656856356614</v>
      </c>
      <c r="E928" s="52">
        <v>1069002.998411007</v>
      </c>
      <c r="F928" s="52" t="s">
        <v>1003</v>
      </c>
      <c r="G928" s="26">
        <f t="shared" si="11"/>
        <v>2.5233229675699853E-2</v>
      </c>
    </row>
    <row r="929" spans="1:7">
      <c r="A929" s="52">
        <v>212.79788418567054</v>
      </c>
      <c r="B929" s="52">
        <v>218.33676013718912</v>
      </c>
      <c r="C929" s="52">
        <v>212.58778889095777</v>
      </c>
      <c r="D929" s="52">
        <v>216.90429221869292</v>
      </c>
      <c r="E929" s="52">
        <v>1696117.5664936639</v>
      </c>
      <c r="F929" s="52" t="s">
        <v>1004</v>
      </c>
      <c r="G929" s="26">
        <f t="shared" si="11"/>
        <v>-1.8931889226434073E-2</v>
      </c>
    </row>
    <row r="930" spans="1:7">
      <c r="A930" s="52">
        <v>215.93976382023882</v>
      </c>
      <c r="B930" s="52">
        <v>219.64508083608231</v>
      </c>
      <c r="C930" s="52">
        <v>214.49774611561935</v>
      </c>
      <c r="D930" s="52">
        <v>219.29173874951991</v>
      </c>
      <c r="E930" s="52">
        <v>1467574.2282640119</v>
      </c>
      <c r="F930" s="52" t="s">
        <v>1005</v>
      </c>
      <c r="G930" s="26">
        <f t="shared" si="11"/>
        <v>-1.5285459217001307E-2</v>
      </c>
    </row>
    <row r="931" spans="1:7">
      <c r="A931" s="52">
        <v>219.99842292264469</v>
      </c>
      <c r="B931" s="52">
        <v>221.5741376329905</v>
      </c>
      <c r="C931" s="52">
        <v>217.42953045547486</v>
      </c>
      <c r="D931" s="52">
        <v>218.86199837397106</v>
      </c>
      <c r="E931" s="52">
        <v>1240094.7882064041</v>
      </c>
      <c r="F931" s="52" t="s">
        <v>1006</v>
      </c>
      <c r="G931" s="26">
        <f t="shared" si="11"/>
        <v>5.1924251679902333E-3</v>
      </c>
    </row>
    <row r="932" spans="1:7">
      <c r="A932" s="52">
        <v>218.05981633961318</v>
      </c>
      <c r="B932" s="52">
        <v>224.24931921971276</v>
      </c>
      <c r="C932" s="52">
        <v>217.01612021419686</v>
      </c>
      <c r="D932" s="52">
        <v>222.892008118007</v>
      </c>
      <c r="E932" s="52">
        <v>1155330.5862077519</v>
      </c>
      <c r="F932" s="52" t="s">
        <v>1007</v>
      </c>
      <c r="G932" s="26">
        <f t="shared" si="11"/>
        <v>-2.1679520137103725E-2</v>
      </c>
    </row>
    <row r="933" spans="1:7">
      <c r="A933" s="52">
        <v>221.21124576030479</v>
      </c>
      <c r="B933" s="52">
        <v>223.88518587483102</v>
      </c>
      <c r="C933" s="52">
        <v>219.83607655854846</v>
      </c>
      <c r="D933" s="52">
        <v>222.35722009510175</v>
      </c>
      <c r="E933" s="52">
        <v>1100165.9999858439</v>
      </c>
      <c r="F933" s="52" t="s">
        <v>1008</v>
      </c>
      <c r="G933" s="26">
        <f t="shared" si="11"/>
        <v>-5.1537536505755766E-3</v>
      </c>
    </row>
    <row r="934" spans="1:7">
      <c r="A934" s="52">
        <v>223.38859699641901</v>
      </c>
      <c r="B934" s="52">
        <v>226.64507406446702</v>
      </c>
      <c r="C934" s="52">
        <v>220.23630809497629</v>
      </c>
      <c r="D934" s="52">
        <v>225.15530742923099</v>
      </c>
      <c r="E934" s="52">
        <v>1507955.2373275345</v>
      </c>
      <c r="F934" s="52" t="s">
        <v>1009</v>
      </c>
      <c r="G934" s="26">
        <f t="shared" si="11"/>
        <v>-7.8466301904398517E-3</v>
      </c>
    </row>
    <row r="935" spans="1:7">
      <c r="A935" s="52">
        <v>226.51137705874069</v>
      </c>
      <c r="B935" s="52">
        <v>228.1730398441963</v>
      </c>
      <c r="C935" s="52">
        <v>225.16485721535429</v>
      </c>
      <c r="D935" s="52">
        <v>226.80742042856323</v>
      </c>
      <c r="E935" s="52">
        <v>1026022.9782618411</v>
      </c>
      <c r="F935" s="52" t="s">
        <v>1010</v>
      </c>
      <c r="G935" s="26">
        <f t="shared" si="11"/>
        <v>-1.3052631578946983E-3</v>
      </c>
    </row>
    <row r="936" spans="1:7">
      <c r="A936" s="52">
        <v>227.29445952085194</v>
      </c>
      <c r="B936" s="52">
        <v>235.09663478359454</v>
      </c>
      <c r="C936" s="52">
        <v>227.13211315675571</v>
      </c>
      <c r="D936" s="52">
        <v>233.21532691730286</v>
      </c>
      <c r="E936" s="52">
        <v>1129992.8459824049</v>
      </c>
      <c r="F936" s="52" t="s">
        <v>1011</v>
      </c>
      <c r="G936" s="26">
        <f t="shared" si="11"/>
        <v>-2.5387985749969255E-2</v>
      </c>
    </row>
    <row r="937" spans="1:7">
      <c r="A937" s="52">
        <v>233.11982905606979</v>
      </c>
      <c r="B937" s="52">
        <v>239.06934581089064</v>
      </c>
      <c r="C937" s="52">
        <v>230.48408808603679</v>
      </c>
      <c r="D937" s="52">
        <v>238.86880030230117</v>
      </c>
      <c r="E937" s="52">
        <v>1499072.3158772879</v>
      </c>
      <c r="F937" s="52" t="s">
        <v>1012</v>
      </c>
      <c r="G937" s="26">
        <f t="shared" si="11"/>
        <v>-2.4067484907847936E-2</v>
      </c>
    </row>
    <row r="938" spans="1:7">
      <c r="A938" s="52">
        <v>239.94792613423493</v>
      </c>
      <c r="B938" s="52">
        <v>241.23714726088153</v>
      </c>
      <c r="C938" s="52">
        <v>237.42678259768167</v>
      </c>
      <c r="D938" s="52">
        <v>241.23714726088153</v>
      </c>
      <c r="E938" s="52">
        <v>1803012.1070434789</v>
      </c>
      <c r="F938" s="52" t="s">
        <v>1013</v>
      </c>
      <c r="G938" s="26">
        <f t="shared" si="11"/>
        <v>-5.3442064843040038E-3</v>
      </c>
    </row>
    <row r="939" spans="1:7">
      <c r="A939" s="52">
        <v>242.87016068796717</v>
      </c>
      <c r="B939" s="52">
        <v>244.60822176240922</v>
      </c>
      <c r="C939" s="52">
        <v>241.95338122012964</v>
      </c>
      <c r="D939" s="52">
        <v>244.32172817870998</v>
      </c>
      <c r="E939" s="52">
        <v>1377866.4600545126</v>
      </c>
      <c r="F939" s="52" t="s">
        <v>1014</v>
      </c>
      <c r="G939" s="26">
        <f t="shared" si="11"/>
        <v>-5.9412132582864485E-3</v>
      </c>
    </row>
    <row r="940" spans="1:7">
      <c r="A940" s="52">
        <v>245.14300978531446</v>
      </c>
      <c r="B940" s="52">
        <v>248.33263835049934</v>
      </c>
      <c r="C940" s="52">
        <v>244.85651620161519</v>
      </c>
      <c r="D940" s="52">
        <v>247.29171166305875</v>
      </c>
      <c r="E940" s="52">
        <v>665078.76909393747</v>
      </c>
      <c r="F940" s="52" t="s">
        <v>1015</v>
      </c>
      <c r="G940" s="26">
        <f t="shared" si="11"/>
        <v>-8.6889360880478828E-3</v>
      </c>
    </row>
    <row r="941" spans="1:7">
      <c r="A941" s="52">
        <v>247.29171166305875</v>
      </c>
      <c r="B941" s="52">
        <v>250.20439643066766</v>
      </c>
      <c r="C941" s="52">
        <v>245.1573344644994</v>
      </c>
      <c r="D941" s="52">
        <v>246.08843861152195</v>
      </c>
      <c r="E941" s="52">
        <v>1143352.3074774239</v>
      </c>
      <c r="F941" s="52" t="s">
        <v>1016</v>
      </c>
      <c r="G941" s="26">
        <f t="shared" si="11"/>
        <v>4.8895960262329563E-3</v>
      </c>
    </row>
    <row r="942" spans="1:7">
      <c r="A942" s="52">
        <v>245.2194080743009</v>
      </c>
      <c r="B942" s="52">
        <v>251.03522782339547</v>
      </c>
      <c r="C942" s="52">
        <v>244.91381491835506</v>
      </c>
      <c r="D942" s="52">
        <v>249.86060413022858</v>
      </c>
      <c r="E942" s="52">
        <v>1057936.7819915556</v>
      </c>
      <c r="F942" s="52" t="s">
        <v>1017</v>
      </c>
      <c r="G942" s="26">
        <f t="shared" si="11"/>
        <v>-1.8575141415685836E-2</v>
      </c>
    </row>
    <row r="943" spans="1:7">
      <c r="A943" s="52">
        <v>252.33399873616534</v>
      </c>
      <c r="B943" s="52">
        <v>254.30602957062843</v>
      </c>
      <c r="C943" s="52">
        <v>250.81558274255937</v>
      </c>
      <c r="D943" s="52">
        <v>251.37902012383455</v>
      </c>
      <c r="E943" s="52">
        <v>953966.91427099181</v>
      </c>
      <c r="F943" s="52" t="s">
        <v>1018</v>
      </c>
      <c r="G943" s="26">
        <f t="shared" si="11"/>
        <v>3.7989590852105515E-3</v>
      </c>
    </row>
    <row r="944" spans="1:7">
      <c r="A944" s="52">
        <v>251.01612825114887</v>
      </c>
      <c r="B944" s="52">
        <v>252.0379553663428</v>
      </c>
      <c r="C944" s="52">
        <v>247.90289797495043</v>
      </c>
      <c r="D944" s="52">
        <v>248.29443920600607</v>
      </c>
      <c r="E944" s="52">
        <v>989852.53470007982</v>
      </c>
      <c r="F944" s="52" t="s">
        <v>1019</v>
      </c>
      <c r="G944" s="26">
        <f t="shared" si="11"/>
        <v>1.0961538461538689E-2</v>
      </c>
    </row>
    <row r="945" spans="1:7">
      <c r="A945" s="52">
        <v>248.77192851217148</v>
      </c>
      <c r="B945" s="52">
        <v>248.96292423463763</v>
      </c>
      <c r="C945" s="52">
        <v>244.87561577386185</v>
      </c>
      <c r="D945" s="52">
        <v>245.90699267517911</v>
      </c>
      <c r="E945" s="52">
        <v>1365371.9393962144</v>
      </c>
      <c r="F945" s="52" t="s">
        <v>1020</v>
      </c>
      <c r="G945" s="26">
        <f t="shared" si="11"/>
        <v>1.1650485436893288E-2</v>
      </c>
    </row>
    <row r="946" spans="1:7">
      <c r="A946" s="52">
        <v>246.47997984257765</v>
      </c>
      <c r="B946" s="52">
        <v>247.06055978505734</v>
      </c>
      <c r="C946" s="52">
        <v>240.61231534194246</v>
      </c>
      <c r="D946" s="52">
        <v>240.83598138535677</v>
      </c>
      <c r="E946" s="52">
        <v>1407208.08664268</v>
      </c>
      <c r="F946" s="52" t="s">
        <v>1021</v>
      </c>
      <c r="G946" s="26">
        <f t="shared" si="11"/>
        <v>2.3435030034777204E-2</v>
      </c>
    </row>
    <row r="947" spans="1:7">
      <c r="A947" s="52">
        <v>239.91276409977428</v>
      </c>
      <c r="B947" s="52">
        <v>241.34041969603587</v>
      </c>
      <c r="C947" s="52">
        <v>238.67546258301422</v>
      </c>
      <c r="D947" s="52">
        <v>241.3309019920608</v>
      </c>
      <c r="E947" s="52">
        <v>905887.59879243327</v>
      </c>
      <c r="F947" s="52" t="s">
        <v>1022</v>
      </c>
      <c r="G947" s="26">
        <f t="shared" si="11"/>
        <v>-5.8763211863069875E-3</v>
      </c>
    </row>
    <row r="948" spans="1:7">
      <c r="A948" s="52">
        <v>240.64562730585524</v>
      </c>
      <c r="B948" s="52">
        <v>244.41939693197341</v>
      </c>
      <c r="C948" s="52">
        <v>239.65102724045963</v>
      </c>
      <c r="D948" s="52">
        <v>244.14814236868366</v>
      </c>
      <c r="E948" s="52">
        <v>979425.29252957355</v>
      </c>
      <c r="F948" s="52" t="s">
        <v>1023</v>
      </c>
      <c r="G948" s="26">
        <f t="shared" si="11"/>
        <v>-1.4345859971931829E-2</v>
      </c>
    </row>
    <row r="949" spans="1:7">
      <c r="A949" s="52">
        <v>242.93939396384886</v>
      </c>
      <c r="B949" s="52">
        <v>243.00601789167439</v>
      </c>
      <c r="C949" s="52">
        <v>239.03713533406716</v>
      </c>
      <c r="D949" s="52">
        <v>239.76048083617303</v>
      </c>
      <c r="E949" s="52">
        <v>1016439.4716764027</v>
      </c>
      <c r="F949" s="52" t="s">
        <v>1024</v>
      </c>
      <c r="G949" s="26">
        <f t="shared" si="11"/>
        <v>1.3258703505220071E-2</v>
      </c>
    </row>
    <row r="950" spans="1:7">
      <c r="A950" s="52">
        <v>240.24588373890197</v>
      </c>
      <c r="B950" s="52">
        <v>245.30454340165559</v>
      </c>
      <c r="C950" s="52">
        <v>240.16022440312631</v>
      </c>
      <c r="D950" s="52">
        <v>241.61643311131314</v>
      </c>
      <c r="E950" s="52">
        <v>1247065.4719962084</v>
      </c>
      <c r="F950" s="52" t="s">
        <v>1025</v>
      </c>
      <c r="G950" s="26">
        <f t="shared" si="11"/>
        <v>-5.6724178681164528E-3</v>
      </c>
    </row>
    <row r="951" spans="1:7">
      <c r="A951" s="52">
        <v>240.95971153703277</v>
      </c>
      <c r="B951" s="52">
        <v>242.58723891677101</v>
      </c>
      <c r="C951" s="52">
        <v>240.20781292300165</v>
      </c>
      <c r="D951" s="52">
        <v>242.12087142199221</v>
      </c>
      <c r="E951" s="52">
        <v>731570.34703250765</v>
      </c>
      <c r="F951" s="52" t="s">
        <v>1026</v>
      </c>
      <c r="G951" s="26">
        <f t="shared" si="11"/>
        <v>-4.7957859978772222E-3</v>
      </c>
    </row>
    <row r="952" spans="1:7">
      <c r="A952" s="52">
        <v>242.16845994186761</v>
      </c>
      <c r="B952" s="52">
        <v>243.75791650570554</v>
      </c>
      <c r="C952" s="52">
        <v>239.37977267716994</v>
      </c>
      <c r="D952" s="52">
        <v>239.96035261964965</v>
      </c>
      <c r="E952" s="52">
        <v>561209.93193178205</v>
      </c>
      <c r="F952" s="52" t="s">
        <v>1027</v>
      </c>
      <c r="G952" s="26">
        <f t="shared" si="11"/>
        <v>9.2019673171506167E-3</v>
      </c>
    </row>
    <row r="953" spans="1:7">
      <c r="A953" s="52">
        <v>241.49270295963711</v>
      </c>
      <c r="B953" s="52">
        <v>248.05991870244046</v>
      </c>
      <c r="C953" s="52">
        <v>241.30234888013555</v>
      </c>
      <c r="D953" s="52">
        <v>247.71728135933768</v>
      </c>
      <c r="E953" s="52">
        <v>764520.52081614349</v>
      </c>
      <c r="F953" s="52" t="s">
        <v>1028</v>
      </c>
      <c r="G953" s="26">
        <f t="shared" ref="G953:G1016" si="12">A953/D953-1</f>
        <v>-2.5127751949898136E-2</v>
      </c>
    </row>
    <row r="954" spans="1:7">
      <c r="A954" s="52">
        <v>247.46982105598568</v>
      </c>
      <c r="B954" s="52">
        <v>248.01233018256508</v>
      </c>
      <c r="C954" s="52">
        <v>245.63290418879575</v>
      </c>
      <c r="D954" s="52">
        <v>247.06055978505734</v>
      </c>
      <c r="E954" s="52">
        <v>710595.75058332796</v>
      </c>
      <c r="F954" s="52" t="s">
        <v>1029</v>
      </c>
      <c r="G954" s="26">
        <f t="shared" si="12"/>
        <v>1.656522074119815E-3</v>
      </c>
    </row>
    <row r="955" spans="1:7">
      <c r="A955" s="52">
        <v>245.88988219612287</v>
      </c>
      <c r="B955" s="52">
        <v>248.20268426206661</v>
      </c>
      <c r="C955" s="52">
        <v>243.78646961763073</v>
      </c>
      <c r="D955" s="52">
        <v>245.00473572644066</v>
      </c>
      <c r="E955" s="52">
        <v>925135.93856846751</v>
      </c>
      <c r="F955" s="52" t="s">
        <v>1030</v>
      </c>
      <c r="G955" s="26">
        <f t="shared" si="12"/>
        <v>3.6127729003185838E-3</v>
      </c>
    </row>
    <row r="956" spans="1:7">
      <c r="A956" s="52">
        <v>244.98570031849047</v>
      </c>
      <c r="B956" s="52">
        <v>247.61258661561186</v>
      </c>
      <c r="C956" s="52">
        <v>244.11958925675847</v>
      </c>
      <c r="D956" s="52">
        <v>246.84165259363058</v>
      </c>
      <c r="E956" s="52">
        <v>925629.7551456911</v>
      </c>
      <c r="F956" s="52" t="s">
        <v>1031</v>
      </c>
      <c r="G956" s="26">
        <f t="shared" si="12"/>
        <v>-7.5187969924813691E-3</v>
      </c>
    </row>
    <row r="957" spans="1:7">
      <c r="A957" s="52">
        <v>248.17413115014139</v>
      </c>
      <c r="B957" s="52">
        <v>252.87587691382959</v>
      </c>
      <c r="C957" s="52">
        <v>247.35560860828474</v>
      </c>
      <c r="D957" s="52">
        <v>251.23883183011631</v>
      </c>
      <c r="E957" s="52">
        <v>799935.57479162305</v>
      </c>
      <c r="F957" s="52" t="s">
        <v>1032</v>
      </c>
      <c r="G957" s="26">
        <f t="shared" si="12"/>
        <v>-1.2198355873773603E-2</v>
      </c>
    </row>
    <row r="958" spans="1:7">
      <c r="A958" s="52">
        <v>251.77182325272059</v>
      </c>
      <c r="B958" s="52">
        <v>252.91394772972993</v>
      </c>
      <c r="C958" s="52">
        <v>249.0116890999482</v>
      </c>
      <c r="D958" s="52">
        <v>251.61002228514434</v>
      </c>
      <c r="E958" s="52">
        <v>745411.92062472785</v>
      </c>
      <c r="F958" s="52" t="s">
        <v>1033</v>
      </c>
      <c r="G958" s="26">
        <f t="shared" si="12"/>
        <v>6.4306249054291165E-4</v>
      </c>
    </row>
    <row r="959" spans="1:7">
      <c r="A959" s="52">
        <v>250.99137152676425</v>
      </c>
      <c r="B959" s="52">
        <v>252.02880126004771</v>
      </c>
      <c r="C959" s="52">
        <v>248.77374650057126</v>
      </c>
      <c r="D959" s="52">
        <v>251.819411772596</v>
      </c>
      <c r="E959" s="52">
        <v>650670.5836004616</v>
      </c>
      <c r="F959" s="52" t="s">
        <v>1034</v>
      </c>
      <c r="G959" s="26">
        <f t="shared" si="12"/>
        <v>-3.2882304029028253E-3</v>
      </c>
    </row>
    <row r="960" spans="1:7">
      <c r="A960" s="52">
        <v>251.48629213346834</v>
      </c>
      <c r="B960" s="52">
        <v>254.5034042935678</v>
      </c>
      <c r="C960" s="52">
        <v>250.85812367111319</v>
      </c>
      <c r="D960" s="52">
        <v>252.98057165755546</v>
      </c>
      <c r="E960" s="52">
        <v>669889.50451657607</v>
      </c>
      <c r="F960" s="52" t="s">
        <v>1035</v>
      </c>
      <c r="G960" s="26">
        <f t="shared" si="12"/>
        <v>-5.9066967644845203E-3</v>
      </c>
    </row>
    <row r="961" spans="1:7">
      <c r="A961" s="52">
        <v>254.86507704462073</v>
      </c>
      <c r="B961" s="52">
        <v>256.08334315343069</v>
      </c>
      <c r="C961" s="52">
        <v>252.10018403986081</v>
      </c>
      <c r="D961" s="52">
        <v>253.22803196090746</v>
      </c>
      <c r="E961" s="52">
        <v>1039079.3857317512</v>
      </c>
      <c r="F961" s="52" t="s">
        <v>1036</v>
      </c>
      <c r="G961" s="26">
        <f t="shared" si="12"/>
        <v>6.4647072089001334E-3</v>
      </c>
    </row>
    <row r="962" spans="1:7">
      <c r="A962" s="52">
        <v>253.94185975903827</v>
      </c>
      <c r="B962" s="52">
        <v>254.59858133331861</v>
      </c>
      <c r="C962" s="52">
        <v>249.94137842423379</v>
      </c>
      <c r="D962" s="52">
        <v>250.39175617633441</v>
      </c>
      <c r="E962" s="52">
        <v>813486.11180535192</v>
      </c>
      <c r="F962" s="52" t="s">
        <v>1037</v>
      </c>
      <c r="G962" s="26">
        <f t="shared" si="12"/>
        <v>1.4178196746236882E-2</v>
      </c>
    </row>
    <row r="963" spans="1:7">
      <c r="A963" s="52">
        <v>250.97233611881413</v>
      </c>
      <c r="B963" s="52">
        <v>251.23883183011631</v>
      </c>
      <c r="C963" s="52">
        <v>247.32705549635952</v>
      </c>
      <c r="D963" s="52">
        <v>247.44126794406046</v>
      </c>
      <c r="E963" s="52">
        <v>873009.92148502811</v>
      </c>
      <c r="F963" s="52" t="s">
        <v>1038</v>
      </c>
      <c r="G963" s="26">
        <f t="shared" si="12"/>
        <v>1.4270328486806649E-2</v>
      </c>
    </row>
    <row r="964" spans="1:7">
      <c r="A964" s="52">
        <v>246.88924111350593</v>
      </c>
      <c r="B964" s="52">
        <v>249.8016585298796</v>
      </c>
      <c r="C964" s="52">
        <v>246.22300183525053</v>
      </c>
      <c r="D964" s="52">
        <v>246.46094443462746</v>
      </c>
      <c r="E964" s="52">
        <v>893379.32995871664</v>
      </c>
      <c r="F964" s="52" t="s">
        <v>1039</v>
      </c>
      <c r="G964" s="26">
        <f t="shared" si="12"/>
        <v>1.7377872176094211E-3</v>
      </c>
    </row>
    <row r="965" spans="1:7">
      <c r="A965" s="52">
        <v>246.08975397959946</v>
      </c>
      <c r="B965" s="52">
        <v>246.54660377040318</v>
      </c>
      <c r="C965" s="52">
        <v>243.88164665738154</v>
      </c>
      <c r="D965" s="52">
        <v>245.27123143774281</v>
      </c>
      <c r="E965" s="52">
        <v>764590.91594523704</v>
      </c>
      <c r="F965" s="52" t="s">
        <v>1040</v>
      </c>
      <c r="G965" s="26">
        <f t="shared" si="12"/>
        <v>3.3372138145129071E-3</v>
      </c>
    </row>
    <row r="966" spans="1:7">
      <c r="A966" s="52">
        <v>242.98698248372426</v>
      </c>
      <c r="B966" s="52">
        <v>249.26390825528773</v>
      </c>
      <c r="C966" s="52">
        <v>242.52061498894545</v>
      </c>
      <c r="D966" s="52">
        <v>245.13798358209172</v>
      </c>
      <c r="E966" s="52">
        <v>1184005.0950847566</v>
      </c>
      <c r="F966" s="52" t="s">
        <v>1041</v>
      </c>
      <c r="G966" s="26">
        <f t="shared" si="12"/>
        <v>-8.7746544494485823E-3</v>
      </c>
    </row>
    <row r="967" spans="1:7">
      <c r="A967" s="52">
        <v>243.62466865005445</v>
      </c>
      <c r="B967" s="52">
        <v>244.78582853501388</v>
      </c>
      <c r="C967" s="52">
        <v>241.04613228912646</v>
      </c>
      <c r="D967" s="52">
        <v>242.3017077975187</v>
      </c>
      <c r="E967" s="52">
        <v>758763.88033399871</v>
      </c>
      <c r="F967" s="52" t="s">
        <v>1042</v>
      </c>
      <c r="G967" s="26">
        <f t="shared" si="12"/>
        <v>5.4599732893392261E-3</v>
      </c>
    </row>
    <row r="968" spans="1:7">
      <c r="A968" s="52">
        <v>241.96858815839096</v>
      </c>
      <c r="B968" s="52">
        <v>243.08215952347504</v>
      </c>
      <c r="C968" s="52">
        <v>236.32458970117014</v>
      </c>
      <c r="D968" s="52">
        <v>239.32266645331947</v>
      </c>
      <c r="E968" s="52">
        <v>1092973.6864310785</v>
      </c>
      <c r="F968" s="52" t="s">
        <v>1043</v>
      </c>
      <c r="G968" s="26">
        <f t="shared" si="12"/>
        <v>1.1055875919665947E-2</v>
      </c>
    </row>
    <row r="969" spans="1:7">
      <c r="A969" s="52">
        <v>240.33154307467765</v>
      </c>
      <c r="B969" s="52">
        <v>244.04344762495785</v>
      </c>
      <c r="C969" s="52">
        <v>233.62156177224816</v>
      </c>
      <c r="D969" s="52">
        <v>233.62156177224816</v>
      </c>
      <c r="E969" s="52">
        <v>1899243.7721675548</v>
      </c>
      <c r="F969" s="52" t="s">
        <v>1044</v>
      </c>
      <c r="G969" s="26">
        <f t="shared" si="12"/>
        <v>2.8721583964800734E-2</v>
      </c>
    </row>
    <row r="970" spans="1:7">
      <c r="A970" s="52">
        <v>233.11712346156907</v>
      </c>
      <c r="B970" s="52">
        <v>234.5257436498805</v>
      </c>
      <c r="C970" s="52">
        <v>231.21358266655361</v>
      </c>
      <c r="D970" s="52">
        <v>231.2897242983542</v>
      </c>
      <c r="E970" s="52">
        <v>945600.9583368951</v>
      </c>
      <c r="F970" s="52" t="s">
        <v>1045</v>
      </c>
      <c r="G970" s="26">
        <f t="shared" si="12"/>
        <v>7.9009094275956926E-3</v>
      </c>
    </row>
    <row r="971" spans="1:7">
      <c r="A971" s="52">
        <v>231.29924200232929</v>
      </c>
      <c r="B971" s="52">
        <v>234.84458673304559</v>
      </c>
      <c r="C971" s="52">
        <v>230.93756925127633</v>
      </c>
      <c r="D971" s="52">
        <v>233.36458376492106</v>
      </c>
      <c r="E971" s="52">
        <v>1001805.6902134876</v>
      </c>
      <c r="F971" s="52" t="s">
        <v>1046</v>
      </c>
      <c r="G971" s="26">
        <f t="shared" si="12"/>
        <v>-8.8502793751783493E-3</v>
      </c>
    </row>
    <row r="972" spans="1:7">
      <c r="A972" s="52">
        <v>232.96484019796785</v>
      </c>
      <c r="B972" s="52">
        <v>233.55969669641016</v>
      </c>
      <c r="C972" s="52">
        <v>231.40393674605514</v>
      </c>
      <c r="D972" s="52">
        <v>231.40393674605514</v>
      </c>
      <c r="E972" s="52">
        <v>760867.32881825755</v>
      </c>
      <c r="F972" s="52" t="s">
        <v>1047</v>
      </c>
      <c r="G972" s="26">
        <f t="shared" si="12"/>
        <v>6.7453625632378778E-3</v>
      </c>
    </row>
    <row r="973" spans="1:7">
      <c r="A973" s="52">
        <v>232.52702581511426</v>
      </c>
      <c r="B973" s="52">
        <v>233.48736214619956</v>
      </c>
      <c r="C973" s="52">
        <v>230.34747160482158</v>
      </c>
      <c r="D973" s="52">
        <v>231.86078653685885</v>
      </c>
      <c r="E973" s="52">
        <v>1153257.1331008242</v>
      </c>
      <c r="F973" s="52" t="s">
        <v>1048</v>
      </c>
      <c r="G973" s="26">
        <f t="shared" si="12"/>
        <v>2.8734452608676353E-3</v>
      </c>
    </row>
    <row r="974" spans="1:7">
      <c r="A974" s="52">
        <v>232.14631765611117</v>
      </c>
      <c r="B974" s="52">
        <v>233.81667470373725</v>
      </c>
      <c r="C974" s="52">
        <v>228.2345413223544</v>
      </c>
      <c r="D974" s="52">
        <v>232.27004780778717</v>
      </c>
      <c r="E974" s="52">
        <v>1055994.1795120118</v>
      </c>
      <c r="F974" s="52" t="s">
        <v>1049</v>
      </c>
      <c r="G974" s="26">
        <f t="shared" si="12"/>
        <v>-5.3269955744961184E-4</v>
      </c>
    </row>
    <row r="975" spans="1:7">
      <c r="A975" s="52">
        <v>232.55557892703951</v>
      </c>
      <c r="B975" s="52">
        <v>234.0213053392014</v>
      </c>
      <c r="C975" s="52">
        <v>228.52959014558181</v>
      </c>
      <c r="D975" s="52">
        <v>231.79416260903329</v>
      </c>
      <c r="E975" s="52">
        <v>648632.27687745367</v>
      </c>
      <c r="F975" s="52" t="s">
        <v>1050</v>
      </c>
      <c r="G975" s="26">
        <f t="shared" si="12"/>
        <v>3.2848813336618932E-3</v>
      </c>
    </row>
    <row r="976" spans="1:7">
      <c r="A976" s="52">
        <v>232.37474255151304</v>
      </c>
      <c r="B976" s="52">
        <v>233.75956847988678</v>
      </c>
      <c r="C976" s="52">
        <v>230.28084767699602</v>
      </c>
      <c r="D976" s="52">
        <v>232.66027367076535</v>
      </c>
      <c r="E976" s="52">
        <v>576692.65763809427</v>
      </c>
      <c r="F976" s="52" t="s">
        <v>1051</v>
      </c>
      <c r="G976" s="26">
        <f t="shared" si="12"/>
        <v>-1.227244835344643E-3</v>
      </c>
    </row>
    <row r="977" spans="1:7">
      <c r="A977" s="52">
        <v>230.92805154730127</v>
      </c>
      <c r="B977" s="52">
        <v>231.91789276070929</v>
      </c>
      <c r="C977" s="52">
        <v>229.92869262991817</v>
      </c>
      <c r="D977" s="52">
        <v>230.75673287574986</v>
      </c>
      <c r="E977" s="52">
        <v>666216.34972088749</v>
      </c>
      <c r="F977" s="52" t="s">
        <v>1052</v>
      </c>
      <c r="G977" s="26">
        <f t="shared" si="12"/>
        <v>7.4242111775624231E-4</v>
      </c>
    </row>
    <row r="978" spans="1:7">
      <c r="A978" s="52">
        <v>230.45216634854739</v>
      </c>
      <c r="B978" s="52">
        <v>231.38490133810501</v>
      </c>
      <c r="C978" s="52">
        <v>228.73897963303349</v>
      </c>
      <c r="D978" s="52">
        <v>230.23325915712064</v>
      </c>
      <c r="E978" s="52">
        <v>628283.88187513617</v>
      </c>
      <c r="F978" s="52" t="s">
        <v>1053</v>
      </c>
      <c r="G978" s="26">
        <f t="shared" si="12"/>
        <v>9.5080611823061822E-4</v>
      </c>
    </row>
    <row r="979" spans="1:7">
      <c r="A979" s="52">
        <v>229.4528074311643</v>
      </c>
      <c r="B979" s="52">
        <v>230.43313094059727</v>
      </c>
      <c r="C979" s="52">
        <v>226.00073619940375</v>
      </c>
      <c r="D979" s="52">
        <v>227.10193454932019</v>
      </c>
      <c r="E979" s="52">
        <v>1041968.7380452935</v>
      </c>
      <c r="F979" s="52" t="s">
        <v>1054</v>
      </c>
      <c r="G979" s="26">
        <f t="shared" si="12"/>
        <v>1.0351619797996703E-2</v>
      </c>
    </row>
    <row r="980" spans="1:7">
      <c r="A980" s="52">
        <v>225.7504205848592</v>
      </c>
      <c r="B980" s="52">
        <v>226.24534119156323</v>
      </c>
      <c r="C980" s="52">
        <v>223.83736208586868</v>
      </c>
      <c r="D980" s="52">
        <v>225.04611049070348</v>
      </c>
      <c r="E980" s="52">
        <v>1148601.5985185311</v>
      </c>
      <c r="F980" s="52" t="s">
        <v>1055</v>
      </c>
      <c r="G980" s="26">
        <f t="shared" si="12"/>
        <v>3.129625713681472E-3</v>
      </c>
    </row>
    <row r="981" spans="1:7">
      <c r="A981" s="52">
        <v>226.95916898969404</v>
      </c>
      <c r="B981" s="52">
        <v>227.29228862882172</v>
      </c>
      <c r="C981" s="52">
        <v>224.26565876474714</v>
      </c>
      <c r="D981" s="52">
        <v>225.25549997815517</v>
      </c>
      <c r="E981" s="52">
        <v>802666.27539631259</v>
      </c>
      <c r="F981" s="52" t="s">
        <v>1056</v>
      </c>
      <c r="G981" s="26">
        <f t="shared" si="12"/>
        <v>7.5632737567077335E-3</v>
      </c>
    </row>
    <row r="982" spans="1:7">
      <c r="A982" s="52">
        <v>223.00932184003693</v>
      </c>
      <c r="B982" s="52">
        <v>227.5765824465573</v>
      </c>
      <c r="C982" s="52">
        <v>222.647649088984</v>
      </c>
      <c r="D982" s="52">
        <v>226.5974962386411</v>
      </c>
      <c r="E982" s="52">
        <v>860397.63596802403</v>
      </c>
      <c r="F982" s="52" t="s">
        <v>1057</v>
      </c>
      <c r="G982" s="26">
        <f t="shared" si="12"/>
        <v>-1.5835013440860246E-2</v>
      </c>
    </row>
    <row r="983" spans="1:7">
      <c r="A983" s="52">
        <v>227.70154989975006</v>
      </c>
      <c r="B983" s="52">
        <v>228.49151932968147</v>
      </c>
      <c r="C983" s="52">
        <v>224.25614106077208</v>
      </c>
      <c r="D983" s="52">
        <v>225.38874783380626</v>
      </c>
      <c r="E983" s="52">
        <v>814466.39024481922</v>
      </c>
      <c r="F983" s="52" t="s">
        <v>1058</v>
      </c>
      <c r="G983" s="26">
        <f t="shared" si="12"/>
        <v>1.0261390988556274E-2</v>
      </c>
    </row>
    <row r="984" spans="1:7">
      <c r="A984" s="52">
        <v>222.86655628041078</v>
      </c>
      <c r="B984" s="52">
        <v>223.42810081494034</v>
      </c>
      <c r="C984" s="52">
        <v>220.72507288601838</v>
      </c>
      <c r="D984" s="52">
        <v>221.0010863012956</v>
      </c>
      <c r="E984" s="52">
        <v>720101.19435809774</v>
      </c>
      <c r="F984" s="52" t="s">
        <v>1059</v>
      </c>
      <c r="G984" s="26">
        <f t="shared" si="12"/>
        <v>8.4409991386735772E-3</v>
      </c>
    </row>
    <row r="985" spans="1:7">
      <c r="A985" s="52">
        <v>224.10385779717083</v>
      </c>
      <c r="B985" s="52">
        <v>225.42681864970658</v>
      </c>
      <c r="C985" s="52">
        <v>221.9576155507909</v>
      </c>
      <c r="D985" s="52">
        <v>223.66604341431727</v>
      </c>
      <c r="E985" s="52">
        <v>731045.01024822716</v>
      </c>
      <c r="F985" s="52" t="s">
        <v>1060</v>
      </c>
      <c r="G985" s="26">
        <f t="shared" si="12"/>
        <v>1.9574468085106211E-3</v>
      </c>
    </row>
    <row r="986" spans="1:7">
      <c r="A986" s="52">
        <v>225.49344257753211</v>
      </c>
      <c r="B986" s="52">
        <v>230.98515777115173</v>
      </c>
      <c r="C986" s="52">
        <v>224.2371056528219</v>
      </c>
      <c r="D986" s="52">
        <v>229.72882084644152</v>
      </c>
      <c r="E986" s="52">
        <v>1018545.0215077986</v>
      </c>
      <c r="F986" s="52" t="s">
        <v>1061</v>
      </c>
      <c r="G986" s="26">
        <f t="shared" si="12"/>
        <v>-1.8436425404979917E-2</v>
      </c>
    </row>
    <row r="987" spans="1:7">
      <c r="A987" s="52">
        <v>231.94644587263454</v>
      </c>
      <c r="B987" s="52">
        <v>233.1837473893946</v>
      </c>
      <c r="C987" s="52">
        <v>230.95184580723898</v>
      </c>
      <c r="D987" s="52">
        <v>231.50863148978101</v>
      </c>
      <c r="E987" s="52">
        <v>591313.83101818664</v>
      </c>
      <c r="F987" s="52" t="s">
        <v>1062</v>
      </c>
      <c r="G987" s="26">
        <f t="shared" si="12"/>
        <v>1.8911363262619219E-3</v>
      </c>
    </row>
    <row r="988" spans="1:7">
      <c r="A988" s="52">
        <v>233.81191585174969</v>
      </c>
      <c r="B988" s="52">
        <v>237.51906155004232</v>
      </c>
      <c r="C988" s="52">
        <v>233.65963258814847</v>
      </c>
      <c r="D988" s="52">
        <v>234.38297809025434</v>
      </c>
      <c r="E988" s="52">
        <v>914157.45045057544</v>
      </c>
      <c r="F988" s="52" t="s">
        <v>1063</v>
      </c>
      <c r="G988" s="26">
        <f t="shared" si="12"/>
        <v>-2.4364492812475325E-3</v>
      </c>
    </row>
    <row r="989" spans="1:7">
      <c r="A989" s="52">
        <v>234.50670824193034</v>
      </c>
      <c r="B989" s="52">
        <v>236.37217822104552</v>
      </c>
      <c r="C989" s="52">
        <v>233.70722110802387</v>
      </c>
      <c r="D989" s="52">
        <v>233.94516370740081</v>
      </c>
      <c r="E989" s="52">
        <v>1027326.55119383</v>
      </c>
      <c r="F989" s="52" t="s">
        <v>1064</v>
      </c>
      <c r="G989" s="26">
        <f t="shared" si="12"/>
        <v>2.4003254678599539E-3</v>
      </c>
    </row>
    <row r="990" spans="1:7">
      <c r="A990" s="52">
        <v>234.4020134982045</v>
      </c>
      <c r="B990" s="52">
        <v>238.11049167505362</v>
      </c>
      <c r="C990" s="52">
        <v>233.70722110802387</v>
      </c>
      <c r="D990" s="52">
        <v>235.81063368651593</v>
      </c>
      <c r="E990" s="52">
        <v>1117535.2824433248</v>
      </c>
      <c r="F990" s="52" t="s">
        <v>1065</v>
      </c>
      <c r="G990" s="26">
        <f t="shared" si="12"/>
        <v>-5.9735227639651223E-3</v>
      </c>
    </row>
    <row r="991" spans="1:7">
      <c r="A991" s="52">
        <v>235.97243465409227</v>
      </c>
      <c r="B991" s="52">
        <v>238.40896687171207</v>
      </c>
      <c r="C991" s="52">
        <v>232.05114061636041</v>
      </c>
      <c r="D991" s="52">
        <v>236.91468734762489</v>
      </c>
      <c r="E991" s="52">
        <v>817063.65530630155</v>
      </c>
      <c r="F991" s="52" t="s">
        <v>1066</v>
      </c>
      <c r="G991" s="26">
        <f t="shared" si="12"/>
        <v>-3.9771814237504755E-3</v>
      </c>
    </row>
    <row r="992" spans="1:7">
      <c r="A992" s="52">
        <v>239.65578609244719</v>
      </c>
      <c r="B992" s="52">
        <v>240.0031822875375</v>
      </c>
      <c r="C992" s="52">
        <v>232.53654351908935</v>
      </c>
      <c r="D992" s="52">
        <v>234.61140298565621</v>
      </c>
      <c r="E992" s="52">
        <v>814182.70838130778</v>
      </c>
      <c r="F992" s="52" t="s">
        <v>1067</v>
      </c>
      <c r="G992" s="26">
        <f t="shared" si="12"/>
        <v>2.1501014198782809E-2</v>
      </c>
    </row>
    <row r="993" spans="1:7">
      <c r="A993" s="52">
        <v>234.63995609758143</v>
      </c>
      <c r="B993" s="52">
        <v>237.61899744178064</v>
      </c>
      <c r="C993" s="52">
        <v>233.64059718019831</v>
      </c>
      <c r="D993" s="52">
        <v>236.0390585819178</v>
      </c>
      <c r="E993" s="52">
        <v>1474315.6581402281</v>
      </c>
      <c r="F993" s="52" t="s">
        <v>1068</v>
      </c>
      <c r="G993" s="26">
        <f t="shared" si="12"/>
        <v>-5.9274193548387588E-3</v>
      </c>
    </row>
    <row r="994" spans="1:7">
      <c r="A994" s="52">
        <v>237.31443091457817</v>
      </c>
      <c r="B994" s="52">
        <v>239.05617074201731</v>
      </c>
      <c r="C994" s="52">
        <v>231.9036162047467</v>
      </c>
      <c r="D994" s="52">
        <v>232.78400382244138</v>
      </c>
      <c r="E994" s="52">
        <v>1202739.6554857646</v>
      </c>
      <c r="F994" s="52" t="s">
        <v>1069</v>
      </c>
      <c r="G994" s="26">
        <f t="shared" si="12"/>
        <v>1.9461934745277576E-2</v>
      </c>
    </row>
    <row r="995" spans="1:7">
      <c r="A995" s="52">
        <v>232.73641530256597</v>
      </c>
      <c r="B995" s="52">
        <v>239.56060905269641</v>
      </c>
      <c r="C995" s="52">
        <v>232.60316744691488</v>
      </c>
      <c r="D995" s="52">
        <v>238.44703768761238</v>
      </c>
      <c r="E995" s="52">
        <v>918116.38845691259</v>
      </c>
      <c r="F995" s="52" t="s">
        <v>1070</v>
      </c>
      <c r="G995" s="26">
        <f t="shared" si="12"/>
        <v>-2.3949227637408699E-2</v>
      </c>
    </row>
    <row r="996" spans="1:7">
      <c r="A996" s="52">
        <v>238.03777641668404</v>
      </c>
      <c r="B996" s="52">
        <v>239.03713533406716</v>
      </c>
      <c r="C996" s="52">
        <v>235.47751404738824</v>
      </c>
      <c r="D996" s="52">
        <v>238.5993209512136</v>
      </c>
      <c r="E996" s="52">
        <v>804544.8797368994</v>
      </c>
      <c r="F996" s="52" t="s">
        <v>1071</v>
      </c>
      <c r="G996" s="26">
        <f t="shared" si="12"/>
        <v>-2.3535043280545898E-3</v>
      </c>
    </row>
    <row r="997" spans="1:7">
      <c r="A997" s="52">
        <v>238.81822814264038</v>
      </c>
      <c r="B997" s="52">
        <v>239.141830077793</v>
      </c>
      <c r="C997" s="52">
        <v>231.49911378580592</v>
      </c>
      <c r="D997" s="52">
        <v>234.67802691348174</v>
      </c>
      <c r="E997" s="52">
        <v>1634453.0194188568</v>
      </c>
      <c r="F997" s="52" t="s">
        <v>1072</v>
      </c>
      <c r="G997" s="26">
        <f t="shared" si="12"/>
        <v>1.7642048911059804E-2</v>
      </c>
    </row>
    <row r="998" spans="1:7">
      <c r="A998" s="52">
        <v>230.84239221152558</v>
      </c>
      <c r="B998" s="52">
        <v>231.05178169897727</v>
      </c>
      <c r="C998" s="52">
        <v>226.53087231081554</v>
      </c>
      <c r="D998" s="52">
        <v>226.53087231081554</v>
      </c>
      <c r="E998" s="52">
        <v>757991.63526110654</v>
      </c>
      <c r="F998" s="52" t="s">
        <v>1073</v>
      </c>
      <c r="G998" s="26">
        <f t="shared" si="12"/>
        <v>1.9032813747321686E-2</v>
      </c>
    </row>
    <row r="999" spans="1:7">
      <c r="A999" s="52">
        <v>225.82656221665982</v>
      </c>
      <c r="B999" s="52">
        <v>227.59685515602419</v>
      </c>
      <c r="C999" s="52">
        <v>222.74282612873478</v>
      </c>
      <c r="D999" s="52">
        <v>224.27517646872221</v>
      </c>
      <c r="E999" s="52">
        <v>1466664.6532139683</v>
      </c>
      <c r="F999" s="52" t="s">
        <v>1074</v>
      </c>
      <c r="G999" s="26">
        <f t="shared" si="12"/>
        <v>6.9173315226618293E-3</v>
      </c>
    </row>
    <row r="1000" spans="1:7">
      <c r="A1000" s="52">
        <v>225.12225212250411</v>
      </c>
      <c r="B1000" s="52">
        <v>226.52135460684048</v>
      </c>
      <c r="C1000" s="52">
        <v>223.19967591953846</v>
      </c>
      <c r="D1000" s="52">
        <v>226.52135460684048</v>
      </c>
      <c r="E1000" s="52">
        <v>1413093.9599737576</v>
      </c>
      <c r="F1000" s="52" t="s">
        <v>1075</v>
      </c>
      <c r="G1000" s="26">
        <f t="shared" si="12"/>
        <v>-6.1764705882353388E-3</v>
      </c>
    </row>
    <row r="1001" spans="1:7">
      <c r="A1001" s="52">
        <v>223.98012764549483</v>
      </c>
      <c r="B1001" s="52">
        <v>229.1577586079369</v>
      </c>
      <c r="C1001" s="52">
        <v>223.42810081494034</v>
      </c>
      <c r="D1001" s="52">
        <v>224.1609640210213</v>
      </c>
      <c r="E1001" s="52">
        <v>2341416.5914756702</v>
      </c>
      <c r="F1001" s="52" t="s">
        <v>1076</v>
      </c>
      <c r="G1001" s="26">
        <f t="shared" si="12"/>
        <v>-8.0672554347827052E-4</v>
      </c>
    </row>
    <row r="1002" spans="1:7">
      <c r="A1002" s="52">
        <v>223.41858311096527</v>
      </c>
      <c r="B1002" s="52">
        <v>223.91350371766927</v>
      </c>
      <c r="C1002" s="52">
        <v>220.29677620713991</v>
      </c>
      <c r="D1002" s="52">
        <v>222.72379072078462</v>
      </c>
      <c r="E1002" s="52">
        <v>1793646.8758329181</v>
      </c>
      <c r="F1002" s="52" t="s">
        <v>1077</v>
      </c>
      <c r="G1002" s="26">
        <f t="shared" si="12"/>
        <v>3.1195248066322456E-3</v>
      </c>
    </row>
    <row r="1003" spans="1:7">
      <c r="A1003" s="52">
        <v>225.36971242585611</v>
      </c>
      <c r="B1003" s="52">
        <v>227.44457189242297</v>
      </c>
      <c r="C1003" s="52">
        <v>222.42398304556968</v>
      </c>
      <c r="D1003" s="52">
        <v>225.85511532858507</v>
      </c>
      <c r="E1003" s="52">
        <v>958351.93276494928</v>
      </c>
      <c r="F1003" s="52" t="s">
        <v>1078</v>
      </c>
      <c r="G1003" s="26">
        <f t="shared" si="12"/>
        <v>-2.1491782553730854E-3</v>
      </c>
    </row>
    <row r="1004" spans="1:7">
      <c r="A1004" s="52">
        <v>224.92238033902748</v>
      </c>
      <c r="B1004" s="52">
        <v>230.46406347851627</v>
      </c>
      <c r="C1004" s="52">
        <v>221.81009113917719</v>
      </c>
      <c r="D1004" s="52">
        <v>230.18567063724524</v>
      </c>
      <c r="E1004" s="52">
        <v>1247060.2186283655</v>
      </c>
      <c r="F1004" s="52" t="s">
        <v>1079</v>
      </c>
      <c r="G1004" s="26">
        <f t="shared" si="12"/>
        <v>-2.2865412445730815E-2</v>
      </c>
    </row>
    <row r="1005" spans="1:7">
      <c r="A1005" s="52">
        <v>230.18567063724524</v>
      </c>
      <c r="B1005" s="52">
        <v>235.6678681268898</v>
      </c>
      <c r="C1005" s="52">
        <v>228.97216338042287</v>
      </c>
      <c r="D1005" s="52">
        <v>232.99339330989307</v>
      </c>
      <c r="E1005" s="52">
        <v>1195870.3516945138</v>
      </c>
      <c r="F1005" s="52" t="s">
        <v>1080</v>
      </c>
      <c r="G1005" s="26">
        <f t="shared" si="12"/>
        <v>-1.205065359477131E-2</v>
      </c>
    </row>
    <row r="1006" spans="1:7">
      <c r="A1006" s="52">
        <v>237.3049132106031</v>
      </c>
      <c r="B1006" s="52">
        <v>239.13231237381794</v>
      </c>
      <c r="C1006" s="52">
        <v>231.98451668853485</v>
      </c>
      <c r="D1006" s="52">
        <v>234.05937615510172</v>
      </c>
      <c r="E1006" s="52">
        <v>1442218.6312942635</v>
      </c>
      <c r="F1006" s="52" t="s">
        <v>1081</v>
      </c>
      <c r="G1006" s="26">
        <f t="shared" si="12"/>
        <v>1.3866297983083919E-2</v>
      </c>
    </row>
    <row r="1007" spans="1:7">
      <c r="A1007" s="52">
        <v>236.39121362899567</v>
      </c>
      <c r="B1007" s="52">
        <v>242.3778494293193</v>
      </c>
      <c r="C1007" s="52">
        <v>236.06761169384302</v>
      </c>
      <c r="D1007" s="52">
        <v>241.54029147951249</v>
      </c>
      <c r="E1007" s="52">
        <v>758441.3235484506</v>
      </c>
      <c r="F1007" s="52" t="s">
        <v>1082</v>
      </c>
      <c r="G1007" s="26">
        <f t="shared" si="12"/>
        <v>-2.1317676727874435E-2</v>
      </c>
    </row>
    <row r="1008" spans="1:7">
      <c r="A1008" s="52">
        <v>242.55868580484577</v>
      </c>
      <c r="B1008" s="52">
        <v>246.00409464382381</v>
      </c>
      <c r="C1008" s="52">
        <v>242.39688483726945</v>
      </c>
      <c r="D1008" s="52">
        <v>244.5098151197366</v>
      </c>
      <c r="E1008" s="52">
        <v>943455.48290989397</v>
      </c>
      <c r="F1008" s="52" t="s">
        <v>1083</v>
      </c>
      <c r="G1008" s="26">
        <f t="shared" si="12"/>
        <v>-7.9797586609574589E-3</v>
      </c>
    </row>
    <row r="1009" spans="1:7">
      <c r="A1009" s="52">
        <v>244.6525806793629</v>
      </c>
      <c r="B1009" s="52">
        <v>246.62558536226098</v>
      </c>
      <c r="C1009" s="52">
        <v>241.6456456578307</v>
      </c>
      <c r="D1009" s="52">
        <v>244.86126386697708</v>
      </c>
      <c r="E1009" s="52">
        <v>1005721.3635627723</v>
      </c>
      <c r="F1009" s="52" t="s">
        <v>1084</v>
      </c>
      <c r="G1009" s="26">
        <f t="shared" si="12"/>
        <v>-8.5225071666528152E-4</v>
      </c>
    </row>
    <row r="1010" spans="1:7">
      <c r="A1010" s="52">
        <v>245.4114286343237</v>
      </c>
      <c r="B1010" s="52">
        <v>245.8003382112411</v>
      </c>
      <c r="C1010" s="52">
        <v>240.03309375353899</v>
      </c>
      <c r="D1010" s="52">
        <v>240.99113929667701</v>
      </c>
      <c r="E1010" s="52">
        <v>1230255.4074198201</v>
      </c>
      <c r="F1010" s="52" t="s">
        <v>1085</v>
      </c>
      <c r="G1010" s="26">
        <f t="shared" si="12"/>
        <v>1.8342123907738372E-2</v>
      </c>
    </row>
    <row r="1011" spans="1:7">
      <c r="A1011" s="52">
        <v>239.35961619351127</v>
      </c>
      <c r="B1011" s="52">
        <v>242.17683922630326</v>
      </c>
      <c r="C1011" s="52">
        <v>239.0181346137789</v>
      </c>
      <c r="D1011" s="52">
        <v>240.1279497479091</v>
      </c>
      <c r="E1011" s="52">
        <v>559759.0363433751</v>
      </c>
      <c r="F1011" s="52" t="s">
        <v>1086</v>
      </c>
      <c r="G1011" s="26">
        <f t="shared" si="12"/>
        <v>-3.1996839818290157E-3</v>
      </c>
    </row>
    <row r="1012" spans="1:7">
      <c r="A1012" s="52">
        <v>240.63068651807063</v>
      </c>
      <c r="B1012" s="52">
        <v>240.88679770286987</v>
      </c>
      <c r="C1012" s="52">
        <v>233.26037575551382</v>
      </c>
      <c r="D1012" s="52">
        <v>238.9991634149049</v>
      </c>
      <c r="E1012" s="52">
        <v>704117.86248748517</v>
      </c>
      <c r="F1012" s="52" t="s">
        <v>1087</v>
      </c>
      <c r="G1012" s="26">
        <f t="shared" si="12"/>
        <v>6.8264803937132523E-3</v>
      </c>
    </row>
    <row r="1013" spans="1:7">
      <c r="A1013" s="52">
        <v>238.46796984643234</v>
      </c>
      <c r="B1013" s="52">
        <v>245.72445341574502</v>
      </c>
      <c r="C1013" s="52">
        <v>235.42309242715211</v>
      </c>
      <c r="D1013" s="52">
        <v>245.72445341574502</v>
      </c>
      <c r="E1013" s="52">
        <v>792793.33372002712</v>
      </c>
      <c r="F1013" s="52" t="s">
        <v>1088</v>
      </c>
      <c r="G1013" s="26">
        <f t="shared" si="12"/>
        <v>-2.9530978575564526E-2</v>
      </c>
    </row>
    <row r="1014" spans="1:7">
      <c r="A1014" s="52">
        <v>242.64163359871677</v>
      </c>
      <c r="B1014" s="52">
        <v>244.13087271032734</v>
      </c>
      <c r="C1014" s="52">
        <v>238.02214667289286</v>
      </c>
      <c r="D1014" s="52">
        <v>240.38406093270834</v>
      </c>
      <c r="E1014" s="52">
        <v>1476980.9850220829</v>
      </c>
      <c r="F1014" s="52" t="s">
        <v>1089</v>
      </c>
      <c r="G1014" s="26">
        <f t="shared" si="12"/>
        <v>9.3915239523323368E-3</v>
      </c>
    </row>
    <row r="1015" spans="1:7">
      <c r="A1015" s="52">
        <v>243.2676831615594</v>
      </c>
      <c r="B1015" s="52">
        <v>243.2676831615594</v>
      </c>
      <c r="C1015" s="52">
        <v>239.54932818225146</v>
      </c>
      <c r="D1015" s="52">
        <v>240.97216809780298</v>
      </c>
      <c r="E1015" s="52">
        <v>742840.77108584577</v>
      </c>
      <c r="F1015" s="52" t="s">
        <v>1090</v>
      </c>
      <c r="G1015" s="26">
        <f t="shared" si="12"/>
        <v>9.5260588883641084E-3</v>
      </c>
    </row>
    <row r="1016" spans="1:7">
      <c r="A1016" s="52">
        <v>239.51138578450343</v>
      </c>
      <c r="B1016" s="52">
        <v>242.38552241391747</v>
      </c>
      <c r="C1016" s="52">
        <v>238.84739382391274</v>
      </c>
      <c r="D1016" s="52">
        <v>240.49788812595247</v>
      </c>
      <c r="E1016" s="52">
        <v>829668.17777418997</v>
      </c>
      <c r="F1016" s="52" t="s">
        <v>1091</v>
      </c>
      <c r="G1016" s="26">
        <f t="shared" si="12"/>
        <v>-4.1019168573006581E-3</v>
      </c>
    </row>
    <row r="1017" spans="1:7">
      <c r="A1017" s="52">
        <v>239.18887540364508</v>
      </c>
      <c r="B1017" s="52">
        <v>246.18924778815853</v>
      </c>
      <c r="C1017" s="52">
        <v>235.53691962039625</v>
      </c>
      <c r="D1017" s="52">
        <v>246.18924778815853</v>
      </c>
      <c r="E1017" s="52">
        <v>1452544.9963911881</v>
      </c>
      <c r="F1017" s="52" t="s">
        <v>1092</v>
      </c>
      <c r="G1017" s="26">
        <f t="shared" ref="G1017:G1080" si="13">A1017/D1017-1</f>
        <v>-2.8434923325884376E-2</v>
      </c>
    </row>
    <row r="1018" spans="1:7">
      <c r="A1018" s="52">
        <v>244.20675750582339</v>
      </c>
      <c r="B1018" s="52">
        <v>245.66753981912296</v>
      </c>
      <c r="C1018" s="52">
        <v>242.34758001616945</v>
      </c>
      <c r="D1018" s="52">
        <v>243.69453513622489</v>
      </c>
      <c r="E1018" s="52">
        <v>1016688.5144203244</v>
      </c>
      <c r="F1018" s="52" t="s">
        <v>1093</v>
      </c>
      <c r="G1018" s="26">
        <f t="shared" si="13"/>
        <v>2.101903390292259E-3</v>
      </c>
    </row>
    <row r="1019" spans="1:7">
      <c r="A1019" s="52">
        <v>243.77990553115797</v>
      </c>
      <c r="B1019" s="52">
        <v>244.52926788668177</v>
      </c>
      <c r="C1019" s="52">
        <v>240.27971933890126</v>
      </c>
      <c r="D1019" s="52">
        <v>242.67009039702779</v>
      </c>
      <c r="E1019" s="52">
        <v>904568.03041059314</v>
      </c>
      <c r="F1019" s="52" t="s">
        <v>1094</v>
      </c>
      <c r="G1019" s="26">
        <f t="shared" si="13"/>
        <v>4.5733494898956284E-3</v>
      </c>
    </row>
    <row r="1020" spans="1:7">
      <c r="A1020" s="52">
        <v>239.32167379576325</v>
      </c>
      <c r="B1020" s="52">
        <v>240.43148892989342</v>
      </c>
      <c r="C1020" s="52">
        <v>235.07212524798274</v>
      </c>
      <c r="D1020" s="52">
        <v>239.41652979013335</v>
      </c>
      <c r="E1020" s="52">
        <v>960322.01870747842</v>
      </c>
      <c r="F1020" s="52" t="s">
        <v>1095</v>
      </c>
      <c r="G1020" s="26">
        <f t="shared" si="13"/>
        <v>-3.961965134706702E-4</v>
      </c>
    </row>
    <row r="1021" spans="1:7">
      <c r="A1021" s="52">
        <v>238.22134426107007</v>
      </c>
      <c r="B1021" s="52">
        <v>239.50664298478495</v>
      </c>
      <c r="C1021" s="52">
        <v>233.41214534650598</v>
      </c>
      <c r="D1021" s="52">
        <v>236.74159074889653</v>
      </c>
      <c r="E1021" s="52">
        <v>1301537.1439605663</v>
      </c>
      <c r="F1021" s="52" t="s">
        <v>1096</v>
      </c>
      <c r="G1021" s="26">
        <f t="shared" si="13"/>
        <v>6.2505008414135421E-3</v>
      </c>
    </row>
    <row r="1022" spans="1:7">
      <c r="A1022" s="52">
        <v>238.18340186332202</v>
      </c>
      <c r="B1022" s="52">
        <v>243.23922636324838</v>
      </c>
      <c r="C1022" s="52">
        <v>237.66169389428649</v>
      </c>
      <c r="D1022" s="52">
        <v>242.64163359871677</v>
      </c>
      <c r="E1022" s="52">
        <v>948010.72506963427</v>
      </c>
      <c r="F1022" s="52" t="s">
        <v>1097</v>
      </c>
      <c r="G1022" s="26">
        <f t="shared" si="13"/>
        <v>-1.8373729476153344E-2</v>
      </c>
    </row>
    <row r="1023" spans="1:7">
      <c r="A1023" s="52">
        <v>243.07797117281919</v>
      </c>
      <c r="B1023" s="52">
        <v>243.08745677225622</v>
      </c>
      <c r="C1023" s="52">
        <v>239.62521297774757</v>
      </c>
      <c r="D1023" s="52">
        <v>241.06702409217309</v>
      </c>
      <c r="E1023" s="52">
        <v>1054880.0912843577</v>
      </c>
      <c r="F1023" s="52" t="s">
        <v>1098</v>
      </c>
      <c r="G1023" s="26">
        <f t="shared" si="13"/>
        <v>8.3418588179742237E-3</v>
      </c>
    </row>
    <row r="1024" spans="1:7">
      <c r="A1024" s="52">
        <v>239.8813241625468</v>
      </c>
      <c r="B1024" s="52">
        <v>241.32787807669087</v>
      </c>
      <c r="C1024" s="52">
        <v>234.87767045952404</v>
      </c>
      <c r="D1024" s="52">
        <v>235.93531479675065</v>
      </c>
      <c r="E1024" s="52">
        <v>1187393.5932877916</v>
      </c>
      <c r="F1024" s="52" t="s">
        <v>1099</v>
      </c>
      <c r="G1024" s="26">
        <f t="shared" si="13"/>
        <v>1.6724962811080157E-2</v>
      </c>
    </row>
    <row r="1025" spans="1:7">
      <c r="A1025" s="52">
        <v>235.66023241307735</v>
      </c>
      <c r="B1025" s="52">
        <v>238.38259945149926</v>
      </c>
      <c r="C1025" s="52">
        <v>233.27934695438785</v>
      </c>
      <c r="D1025" s="52">
        <v>238.11700266726297</v>
      </c>
      <c r="E1025" s="52">
        <v>1256782.9876398128</v>
      </c>
      <c r="F1025" s="52" t="s">
        <v>1100</v>
      </c>
      <c r="G1025" s="26">
        <f t="shared" si="13"/>
        <v>-1.0317491933235168E-2</v>
      </c>
    </row>
    <row r="1026" spans="1:7">
      <c r="A1026" s="52">
        <v>236.87438914101466</v>
      </c>
      <c r="B1026" s="52">
        <v>237.38661151061319</v>
      </c>
      <c r="C1026" s="52">
        <v>233.44534494453552</v>
      </c>
      <c r="D1026" s="52">
        <v>235.85943000125457</v>
      </c>
      <c r="E1026" s="52">
        <v>1231334.9385625802</v>
      </c>
      <c r="F1026" s="52" t="s">
        <v>1101</v>
      </c>
      <c r="G1026" s="26">
        <f t="shared" si="13"/>
        <v>4.3032374824050201E-3</v>
      </c>
    </row>
    <row r="1027" spans="1:7">
      <c r="A1027" s="52">
        <v>236.18194038211291</v>
      </c>
      <c r="B1027" s="52">
        <v>242.58472000209471</v>
      </c>
      <c r="C1027" s="52">
        <v>235.83571600266205</v>
      </c>
      <c r="D1027" s="52">
        <v>236.25782517760899</v>
      </c>
      <c r="E1027" s="52">
        <v>1021685.5628741162</v>
      </c>
      <c r="F1027" s="52" t="s">
        <v>1102</v>
      </c>
      <c r="G1027" s="26">
        <f t="shared" si="13"/>
        <v>-3.2119484482273641E-4</v>
      </c>
    </row>
    <row r="1028" spans="1:7">
      <c r="A1028" s="52">
        <v>237.23484191962103</v>
      </c>
      <c r="B1028" s="52">
        <v>243.00208637732314</v>
      </c>
      <c r="C1028" s="52">
        <v>236.19237454149362</v>
      </c>
      <c r="D1028" s="52">
        <v>240.19434894396815</v>
      </c>
      <c r="E1028" s="52">
        <v>1917449.7216312038</v>
      </c>
      <c r="F1028" s="52" t="s">
        <v>1103</v>
      </c>
      <c r="G1028" s="26">
        <f t="shared" si="13"/>
        <v>-1.2321301634941939E-2</v>
      </c>
    </row>
    <row r="1029" spans="1:7">
      <c r="A1029" s="52">
        <v>239.22681780139314</v>
      </c>
      <c r="B1029" s="52">
        <v>242.4044936127915</v>
      </c>
      <c r="C1029" s="52">
        <v>238.62163655731192</v>
      </c>
      <c r="D1029" s="52">
        <v>241.89227124319294</v>
      </c>
      <c r="E1029" s="52">
        <v>1573067.6905647847</v>
      </c>
      <c r="F1029" s="52" t="s">
        <v>1104</v>
      </c>
      <c r="G1029" s="26">
        <f t="shared" si="13"/>
        <v>-1.1019175718599228E-2</v>
      </c>
    </row>
    <row r="1030" spans="1:7">
      <c r="A1030" s="52">
        <v>244.70000867654795</v>
      </c>
      <c r="B1030" s="52">
        <v>246.01850699829234</v>
      </c>
      <c r="C1030" s="52">
        <v>237.43403950779825</v>
      </c>
      <c r="D1030" s="52">
        <v>242.83134558745695</v>
      </c>
      <c r="E1030" s="52">
        <v>2212695.1637983015</v>
      </c>
      <c r="F1030" s="52" t="s">
        <v>1105</v>
      </c>
      <c r="G1030" s="26">
        <f t="shared" si="13"/>
        <v>7.6953125000001066E-3</v>
      </c>
    </row>
    <row r="1031" spans="1:7">
      <c r="A1031" s="52">
        <v>246.2841037825286</v>
      </c>
      <c r="B1031" s="52">
        <v>247.46031811271786</v>
      </c>
      <c r="C1031" s="52">
        <v>236.03017079112075</v>
      </c>
      <c r="D1031" s="52">
        <v>238.09803146838894</v>
      </c>
      <c r="E1031" s="52">
        <v>2595249.7955953851</v>
      </c>
      <c r="F1031" s="52" t="s">
        <v>1106</v>
      </c>
      <c r="G1031" s="26">
        <f t="shared" si="13"/>
        <v>3.438110035456754E-2</v>
      </c>
    </row>
    <row r="1032" spans="1:7">
      <c r="A1032" s="52">
        <v>240.49788812595247</v>
      </c>
      <c r="B1032" s="52">
        <v>241.39902007246843</v>
      </c>
      <c r="C1032" s="52">
        <v>233.64454253271273</v>
      </c>
      <c r="D1032" s="52">
        <v>235.25235163728593</v>
      </c>
      <c r="E1032" s="52">
        <v>1379901.1951664125</v>
      </c>
      <c r="F1032" s="52" t="s">
        <v>1107</v>
      </c>
      <c r="G1032" s="26">
        <f t="shared" si="13"/>
        <v>2.229748800451592E-2</v>
      </c>
    </row>
    <row r="1033" spans="1:7">
      <c r="A1033" s="52">
        <v>236.03017079112075</v>
      </c>
      <c r="B1033" s="52">
        <v>237.84192028358967</v>
      </c>
      <c r="C1033" s="52">
        <v>233.55442933806114</v>
      </c>
      <c r="D1033" s="52">
        <v>234.06665170765967</v>
      </c>
      <c r="E1033" s="52">
        <v>1115335.9437381865</v>
      </c>
      <c r="F1033" s="52" t="s">
        <v>1108</v>
      </c>
      <c r="G1033" s="26">
        <f t="shared" si="13"/>
        <v>8.3887177824606418E-3</v>
      </c>
    </row>
    <row r="1034" spans="1:7">
      <c r="A1034" s="52">
        <v>232.9473509740925</v>
      </c>
      <c r="B1034" s="52">
        <v>237.88934828077473</v>
      </c>
      <c r="C1034" s="52">
        <v>231.0692022855645</v>
      </c>
      <c r="D1034" s="52">
        <v>235.35669323109303</v>
      </c>
      <c r="E1034" s="52">
        <v>1051438.0315371782</v>
      </c>
      <c r="F1034" s="52" t="s">
        <v>1109</v>
      </c>
      <c r="G1034" s="26">
        <f t="shared" si="13"/>
        <v>-1.0236982105432779E-2</v>
      </c>
    </row>
    <row r="1035" spans="1:7">
      <c r="A1035" s="52">
        <v>234.4745324834511</v>
      </c>
      <c r="B1035" s="52">
        <v>239.90029536142086</v>
      </c>
      <c r="C1035" s="52">
        <v>233.63979973299422</v>
      </c>
      <c r="D1035" s="52">
        <v>238.90430742053482</v>
      </c>
      <c r="E1035" s="52">
        <v>1244024.7006381694</v>
      </c>
      <c r="F1035" s="52" t="s">
        <v>1110</v>
      </c>
      <c r="G1035" s="26">
        <f t="shared" si="13"/>
        <v>-1.854204716906227E-2</v>
      </c>
    </row>
    <row r="1036" spans="1:7">
      <c r="A1036" s="52">
        <v>240.1374353473461</v>
      </c>
      <c r="B1036" s="52">
        <v>242.31912321785842</v>
      </c>
      <c r="C1036" s="52">
        <v>237.47672470526479</v>
      </c>
      <c r="D1036" s="52">
        <v>241.13342328823217</v>
      </c>
      <c r="E1036" s="52">
        <v>1011732.580922165</v>
      </c>
      <c r="F1036" s="52" t="s">
        <v>1111</v>
      </c>
      <c r="G1036" s="26">
        <f t="shared" si="13"/>
        <v>-4.130443334251277E-3</v>
      </c>
    </row>
    <row r="1037" spans="1:7">
      <c r="A1037" s="52">
        <v>239.93823775916889</v>
      </c>
      <c r="B1037" s="52">
        <v>243.68504953678783</v>
      </c>
      <c r="C1037" s="52">
        <v>239.31218819632622</v>
      </c>
      <c r="D1037" s="52">
        <v>242.47089280885058</v>
      </c>
      <c r="E1037" s="52">
        <v>1468261.4517391056</v>
      </c>
      <c r="F1037" s="52" t="s">
        <v>1112</v>
      </c>
      <c r="G1037" s="26">
        <f t="shared" si="13"/>
        <v>-1.044519208199679E-2</v>
      </c>
    </row>
    <row r="1038" spans="1:7">
      <c r="A1038" s="52">
        <v>241.86381444488191</v>
      </c>
      <c r="B1038" s="52">
        <v>246.62558536226098</v>
      </c>
      <c r="C1038" s="52">
        <v>240.93707137988602</v>
      </c>
      <c r="D1038" s="52">
        <v>244.63360948048884</v>
      </c>
      <c r="E1038" s="52">
        <v>1392345.3217378384</v>
      </c>
      <c r="F1038" s="52" t="s">
        <v>1113</v>
      </c>
      <c r="G1038" s="26">
        <f t="shared" si="13"/>
        <v>-1.1322217913920185E-2</v>
      </c>
    </row>
    <row r="1039" spans="1:7">
      <c r="A1039" s="52">
        <v>245.1648030489614</v>
      </c>
      <c r="B1039" s="52">
        <v>245.84776620842615</v>
      </c>
      <c r="C1039" s="52">
        <v>239.65366977605859</v>
      </c>
      <c r="D1039" s="52">
        <v>241.59821766064564</v>
      </c>
      <c r="E1039" s="52">
        <v>974162.9995407766</v>
      </c>
      <c r="F1039" s="52" t="s">
        <v>1114</v>
      </c>
      <c r="G1039" s="26">
        <f t="shared" si="13"/>
        <v>1.4762465645857814E-2</v>
      </c>
    </row>
    <row r="1040" spans="1:7">
      <c r="A1040" s="52">
        <v>241.92072804150399</v>
      </c>
      <c r="B1040" s="52">
        <v>249.14875481250567</v>
      </c>
      <c r="C1040" s="52">
        <v>241.8306148468524</v>
      </c>
      <c r="D1040" s="52">
        <v>248.89264362770635</v>
      </c>
      <c r="E1040" s="52">
        <v>1215676.4658444009</v>
      </c>
      <c r="F1040" s="52" t="s">
        <v>1115</v>
      </c>
      <c r="G1040" s="26">
        <f t="shared" si="13"/>
        <v>-2.801173825221992E-2</v>
      </c>
    </row>
    <row r="1041" spans="1:7">
      <c r="A1041" s="52">
        <v>251.26404348695885</v>
      </c>
      <c r="B1041" s="52">
        <v>257.41071192214139</v>
      </c>
      <c r="C1041" s="52">
        <v>250.92256190722648</v>
      </c>
      <c r="D1041" s="52">
        <v>257.05974474297199</v>
      </c>
      <c r="E1041" s="52">
        <v>1579212.7950873906</v>
      </c>
      <c r="F1041" s="52" t="s">
        <v>1116</v>
      </c>
      <c r="G1041" s="26">
        <f t="shared" si="13"/>
        <v>-2.2546125461254563E-2</v>
      </c>
    </row>
    <row r="1042" spans="1:7">
      <c r="A1042" s="52">
        <v>253.88206893157363</v>
      </c>
      <c r="B1042" s="52">
        <v>255.40450764121374</v>
      </c>
      <c r="C1042" s="52">
        <v>250.10680035564366</v>
      </c>
      <c r="D1042" s="52">
        <v>250.7138787196123</v>
      </c>
      <c r="E1042" s="52">
        <v>1503790.0445537132</v>
      </c>
      <c r="F1042" s="52" t="s">
        <v>1117</v>
      </c>
      <c r="G1042" s="26">
        <f t="shared" si="13"/>
        <v>1.2636676629715016E-2</v>
      </c>
    </row>
    <row r="1043" spans="1:7">
      <c r="A1043" s="52">
        <v>249.93605956577747</v>
      </c>
      <c r="B1043" s="52">
        <v>250.30599794382087</v>
      </c>
      <c r="C1043" s="52">
        <v>245.88570860617421</v>
      </c>
      <c r="D1043" s="52">
        <v>246.07542059491439</v>
      </c>
      <c r="E1043" s="52">
        <v>1036807.4327098104</v>
      </c>
      <c r="F1043" s="52" t="s">
        <v>1118</v>
      </c>
      <c r="G1043" s="26">
        <f t="shared" si="13"/>
        <v>1.5688844345077557E-2</v>
      </c>
    </row>
    <row r="1044" spans="1:7">
      <c r="A1044" s="52">
        <v>246.72044135663108</v>
      </c>
      <c r="B1044" s="52">
        <v>258.16955987710219</v>
      </c>
      <c r="C1044" s="52">
        <v>245.65331141996745</v>
      </c>
      <c r="D1044" s="52">
        <v>257.06923034240901</v>
      </c>
      <c r="E1044" s="52">
        <v>1059143.3959145548</v>
      </c>
      <c r="F1044" s="52" t="s">
        <v>1119</v>
      </c>
      <c r="G1044" s="26">
        <f t="shared" si="13"/>
        <v>-4.0256817091620101E-2</v>
      </c>
    </row>
    <row r="1045" spans="1:7">
      <c r="A1045" s="52">
        <v>257.70476550468868</v>
      </c>
      <c r="B1045" s="52">
        <v>260.02873736675616</v>
      </c>
      <c r="C1045" s="52">
        <v>256.24398319138913</v>
      </c>
      <c r="D1045" s="52">
        <v>258.21698787428727</v>
      </c>
      <c r="E1045" s="52">
        <v>971725.62063251366</v>
      </c>
      <c r="F1045" s="52" t="s">
        <v>1120</v>
      </c>
      <c r="G1045" s="26">
        <f t="shared" si="13"/>
        <v>-1.9836896627729583E-3</v>
      </c>
    </row>
    <row r="1046" spans="1:7">
      <c r="A1046" s="52">
        <v>257.00283114634993</v>
      </c>
      <c r="B1046" s="52">
        <v>257.47711111820047</v>
      </c>
      <c r="C1046" s="52">
        <v>253.92949692875868</v>
      </c>
      <c r="D1046" s="52">
        <v>255.22902405162907</v>
      </c>
      <c r="E1046" s="52">
        <v>700627.30817725207</v>
      </c>
      <c r="F1046" s="52" t="s">
        <v>1121</v>
      </c>
      <c r="G1046" s="26">
        <f t="shared" si="13"/>
        <v>6.9498643475676136E-3</v>
      </c>
    </row>
    <row r="1047" spans="1:7">
      <c r="A1047" s="52">
        <v>255.33336564543617</v>
      </c>
      <c r="B1047" s="52">
        <v>257.47711111820047</v>
      </c>
      <c r="C1047" s="52">
        <v>253.28447616704199</v>
      </c>
      <c r="D1047" s="52">
        <v>255.46616403755431</v>
      </c>
      <c r="E1047" s="52">
        <v>830829.938828215</v>
      </c>
      <c r="F1047" s="52" t="s">
        <v>1122</v>
      </c>
      <c r="G1047" s="26">
        <f t="shared" si="13"/>
        <v>-5.1982771424330387E-4</v>
      </c>
    </row>
    <row r="1048" spans="1:7">
      <c r="A1048" s="52">
        <v>256.120670398708</v>
      </c>
      <c r="B1048" s="52">
        <v>261.79305886204003</v>
      </c>
      <c r="C1048" s="52">
        <v>254.74525848034156</v>
      </c>
      <c r="D1048" s="52">
        <v>261.43260608343365</v>
      </c>
      <c r="E1048" s="52">
        <v>1131585.8392796945</v>
      </c>
      <c r="F1048" s="52" t="s">
        <v>1123</v>
      </c>
      <c r="G1048" s="26">
        <f t="shared" si="13"/>
        <v>-2.0318566089764678E-2</v>
      </c>
    </row>
    <row r="1049" spans="1:7">
      <c r="A1049" s="52">
        <v>261.25237969413047</v>
      </c>
      <c r="B1049" s="52">
        <v>263.02618678885136</v>
      </c>
      <c r="C1049" s="52">
        <v>259.914910173512</v>
      </c>
      <c r="D1049" s="52">
        <v>259.97182377013411</v>
      </c>
      <c r="E1049" s="52">
        <v>1473408.2008005849</v>
      </c>
      <c r="F1049" s="52" t="s">
        <v>1124</v>
      </c>
      <c r="G1049" s="26">
        <f t="shared" si="13"/>
        <v>4.9257488962672902E-3</v>
      </c>
    </row>
    <row r="1050" spans="1:7">
      <c r="A1050" s="52">
        <v>259.45011580109849</v>
      </c>
      <c r="B1050" s="52">
        <v>260.35124774761454</v>
      </c>
      <c r="C1050" s="52">
        <v>255.0013696651408</v>
      </c>
      <c r="D1050" s="52">
        <v>255.77918881897563</v>
      </c>
      <c r="E1050" s="52">
        <v>1057741.2705045247</v>
      </c>
      <c r="F1050" s="52" t="s">
        <v>1125</v>
      </c>
      <c r="G1050" s="26">
        <f t="shared" si="13"/>
        <v>1.4351937697014483E-2</v>
      </c>
    </row>
    <row r="1051" spans="1:7">
      <c r="A1051" s="52">
        <v>256.72774876267664</v>
      </c>
      <c r="B1051" s="52">
        <v>257.03128794466102</v>
      </c>
      <c r="C1051" s="52">
        <v>247.7164292975171</v>
      </c>
      <c r="D1051" s="52">
        <v>248.46579165304092</v>
      </c>
      <c r="E1051" s="52">
        <v>1679950.7617647189</v>
      </c>
      <c r="F1051" s="52" t="s">
        <v>1126</v>
      </c>
      <c r="G1051" s="26">
        <f t="shared" si="13"/>
        <v>3.3251889745743224E-2</v>
      </c>
    </row>
    <row r="1052" spans="1:7">
      <c r="A1052" s="52">
        <v>249.41435159674191</v>
      </c>
      <c r="B1052" s="52">
        <v>252.88608099068762</v>
      </c>
      <c r="C1052" s="52">
        <v>244.49132548893371</v>
      </c>
      <c r="D1052" s="52">
        <v>244.51978228724471</v>
      </c>
      <c r="E1052" s="52">
        <v>1143962.4951546979</v>
      </c>
      <c r="F1052" s="52" t="s">
        <v>1127</v>
      </c>
      <c r="G1052" s="26">
        <f t="shared" si="13"/>
        <v>2.0017068818372286E-2</v>
      </c>
    </row>
    <row r="1053" spans="1:7">
      <c r="A1053" s="52">
        <v>245.02251905740627</v>
      </c>
      <c r="B1053" s="52">
        <v>248.55116204797397</v>
      </c>
      <c r="C1053" s="52">
        <v>243.7277347342544</v>
      </c>
      <c r="D1053" s="52">
        <v>248.31402206204874</v>
      </c>
      <c r="E1053" s="52">
        <v>1115791.3709390385</v>
      </c>
      <c r="F1053" s="52" t="s">
        <v>1128</v>
      </c>
      <c r="G1053" s="26">
        <f t="shared" si="13"/>
        <v>-1.3255405302162071E-2</v>
      </c>
    </row>
    <row r="1054" spans="1:7">
      <c r="A1054" s="52">
        <v>248.99698522151348</v>
      </c>
      <c r="B1054" s="52">
        <v>250.13525715395468</v>
      </c>
      <c r="C1054" s="52">
        <v>244.86126386697708</v>
      </c>
      <c r="D1054" s="52">
        <v>247.14729333129654</v>
      </c>
      <c r="E1054" s="52">
        <v>1428085.814708398</v>
      </c>
      <c r="F1054" s="52" t="s">
        <v>1129</v>
      </c>
      <c r="G1054" s="26">
        <f t="shared" si="13"/>
        <v>7.4841681059296672E-3</v>
      </c>
    </row>
    <row r="1055" spans="1:7">
      <c r="A1055" s="52">
        <v>245.99384405520991</v>
      </c>
      <c r="B1055" s="52">
        <v>249.92419682676871</v>
      </c>
      <c r="C1055" s="52">
        <v>245.52220172262287</v>
      </c>
      <c r="D1055" s="52">
        <v>249.06414316146291</v>
      </c>
      <c r="E1055" s="52">
        <v>1265961.3625538792</v>
      </c>
      <c r="F1055" s="52" t="s">
        <v>1130</v>
      </c>
      <c r="G1055" s="26">
        <f t="shared" si="13"/>
        <v>-1.232734293776927E-2</v>
      </c>
    </row>
    <row r="1056" spans="1:7">
      <c r="A1056" s="52">
        <v>249.3138361610678</v>
      </c>
      <c r="B1056" s="52">
        <v>251.70903937950013</v>
      </c>
      <c r="C1056" s="52">
        <v>247.71395138582153</v>
      </c>
      <c r="D1056" s="52">
        <v>248.74971493973823</v>
      </c>
      <c r="E1056" s="52">
        <v>973489.20628377085</v>
      </c>
      <c r="F1056" s="52" t="s">
        <v>1131</v>
      </c>
      <c r="G1056" s="26">
        <f t="shared" si="13"/>
        <v>2.2678266042082118E-3</v>
      </c>
    </row>
    <row r="1057" spans="1:7">
      <c r="A1057" s="52">
        <v>249.48029816080441</v>
      </c>
      <c r="B1057" s="52">
        <v>251.3761153800269</v>
      </c>
      <c r="C1057" s="52">
        <v>248.11161060741455</v>
      </c>
      <c r="D1057" s="52">
        <v>249.64676016054102</v>
      </c>
      <c r="E1057" s="52">
        <v>1510771.8301950288</v>
      </c>
      <c r="F1057" s="52" t="s">
        <v>1132</v>
      </c>
      <c r="G1057" s="26">
        <f t="shared" si="13"/>
        <v>-6.6679014632342604E-4</v>
      </c>
    </row>
    <row r="1058" spans="1:7">
      <c r="A1058" s="52">
        <v>247.97289227430068</v>
      </c>
      <c r="B1058" s="52">
        <v>247.99138805204925</v>
      </c>
      <c r="C1058" s="52">
        <v>243.72099040658401</v>
      </c>
      <c r="D1058" s="52">
        <v>245.93835672196437</v>
      </c>
      <c r="E1058" s="52">
        <v>743699.46411724202</v>
      </c>
      <c r="F1058" s="52" t="s">
        <v>1133</v>
      </c>
      <c r="G1058" s="26">
        <f t="shared" si="13"/>
        <v>8.2725426787997325E-3</v>
      </c>
    </row>
    <row r="1059" spans="1:7">
      <c r="A1059" s="52">
        <v>245.68866372235948</v>
      </c>
      <c r="B1059" s="52">
        <v>245.80879379883604</v>
      </c>
      <c r="C1059" s="52">
        <v>242.9882801710767</v>
      </c>
      <c r="D1059" s="52">
        <v>244.70838750168835</v>
      </c>
      <c r="E1059" s="52">
        <v>781562.15956709068</v>
      </c>
      <c r="F1059" s="52" t="s">
        <v>1134</v>
      </c>
      <c r="G1059" s="26">
        <f t="shared" si="13"/>
        <v>4.0058954688031445E-3</v>
      </c>
    </row>
    <row r="1060" spans="1:7">
      <c r="A1060" s="52">
        <v>243.30270839280138</v>
      </c>
      <c r="B1060" s="52">
        <v>244.02404372499339</v>
      </c>
      <c r="C1060" s="52">
        <v>242.23920117226197</v>
      </c>
      <c r="D1060" s="52">
        <v>242.83106606021434</v>
      </c>
      <c r="E1060" s="52">
        <v>705961.12137271184</v>
      </c>
      <c r="F1060" s="52" t="s">
        <v>1135</v>
      </c>
      <c r="G1060" s="26">
        <f t="shared" si="13"/>
        <v>1.9422652144107655E-3</v>
      </c>
    </row>
    <row r="1061" spans="1:7">
      <c r="A1061" s="52">
        <v>242.26694483888477</v>
      </c>
      <c r="B1061" s="52">
        <v>246.40999905455143</v>
      </c>
      <c r="C1061" s="52">
        <v>241.28666861821361</v>
      </c>
      <c r="D1061" s="52">
        <v>245.73490316673076</v>
      </c>
      <c r="E1061" s="52">
        <v>1254271.1269260535</v>
      </c>
      <c r="F1061" s="52" t="s">
        <v>1136</v>
      </c>
      <c r="G1061" s="26">
        <f t="shared" si="13"/>
        <v>-1.4112599729038E-2</v>
      </c>
    </row>
    <row r="1062" spans="1:7">
      <c r="A1062" s="52">
        <v>244.94883261241898</v>
      </c>
      <c r="B1062" s="52">
        <v>248.6294923843729</v>
      </c>
      <c r="C1062" s="52">
        <v>243.60788872565186</v>
      </c>
      <c r="D1062" s="52">
        <v>248.6294923843729</v>
      </c>
      <c r="E1062" s="52">
        <v>1305681.7792884014</v>
      </c>
      <c r="F1062" s="52" t="s">
        <v>1137</v>
      </c>
      <c r="G1062" s="26">
        <f t="shared" si="13"/>
        <v>-1.4803793937139709E-2</v>
      </c>
    </row>
    <row r="1063" spans="1:7">
      <c r="A1063" s="52">
        <v>247.4735062750909</v>
      </c>
      <c r="B1063" s="52">
        <v>247.93590071880371</v>
      </c>
      <c r="C1063" s="52">
        <v>241.38377145139327</v>
      </c>
      <c r="D1063" s="52">
        <v>241.72131939530362</v>
      </c>
      <c r="E1063" s="52">
        <v>1308272.6408705185</v>
      </c>
      <c r="F1063" s="52" t="s">
        <v>1138</v>
      </c>
      <c r="G1063" s="26">
        <f t="shared" si="13"/>
        <v>2.3796770984773286E-2</v>
      </c>
    </row>
    <row r="1064" spans="1:7">
      <c r="A1064" s="52">
        <v>242.33168006100456</v>
      </c>
      <c r="B1064" s="52">
        <v>243.071511170945</v>
      </c>
      <c r="C1064" s="52">
        <v>238.35508784507445</v>
      </c>
      <c r="D1064" s="52">
        <v>241.74906306192642</v>
      </c>
      <c r="E1064" s="52">
        <v>2961823.0033288067</v>
      </c>
      <c r="F1064" s="52" t="s">
        <v>1139</v>
      </c>
      <c r="G1064" s="26">
        <f t="shared" si="13"/>
        <v>2.4100072682760043E-3</v>
      </c>
    </row>
    <row r="1065" spans="1:7">
      <c r="A1065" s="52">
        <v>242.56287728286094</v>
      </c>
      <c r="B1065" s="52">
        <v>243.91306905850232</v>
      </c>
      <c r="C1065" s="52">
        <v>238.21636951196058</v>
      </c>
      <c r="D1065" s="52">
        <v>241.120206618477</v>
      </c>
      <c r="E1065" s="52">
        <v>1290634.0206169721</v>
      </c>
      <c r="F1065" s="52" t="s">
        <v>1140</v>
      </c>
      <c r="G1065" s="26">
        <f t="shared" si="13"/>
        <v>5.9832010125417945E-3</v>
      </c>
    </row>
    <row r="1066" spans="1:7">
      <c r="A1066" s="52">
        <v>241.17569395172254</v>
      </c>
      <c r="B1066" s="52">
        <v>241.67507995093234</v>
      </c>
      <c r="C1066" s="52">
        <v>237.92543092797649</v>
      </c>
      <c r="D1066" s="52">
        <v>240.30639239754248</v>
      </c>
      <c r="E1066" s="52">
        <v>1273712.3207427843</v>
      </c>
      <c r="F1066" s="52" t="s">
        <v>1141</v>
      </c>
      <c r="G1066" s="26">
        <f t="shared" si="13"/>
        <v>3.6174716182413302E-3</v>
      </c>
    </row>
    <row r="1067" spans="1:7">
      <c r="A1067" s="52">
        <v>239.23363728812876</v>
      </c>
      <c r="B1067" s="52">
        <v>239.67753595409306</v>
      </c>
      <c r="C1067" s="52">
        <v>236.25581707061832</v>
      </c>
      <c r="D1067" s="52">
        <v>238.60478084467934</v>
      </c>
      <c r="E1067" s="52">
        <v>1254890.7277969022</v>
      </c>
      <c r="F1067" s="52" t="s">
        <v>1142</v>
      </c>
      <c r="G1067" s="26">
        <f t="shared" si="13"/>
        <v>2.6355567613658426E-3</v>
      </c>
    </row>
    <row r="1068" spans="1:7">
      <c r="A1068" s="52">
        <v>237.4857862908944</v>
      </c>
      <c r="B1068" s="52">
        <v>242.57212517173519</v>
      </c>
      <c r="C1068" s="52">
        <v>235.46049862743232</v>
      </c>
      <c r="D1068" s="52">
        <v>236.66272418108559</v>
      </c>
      <c r="E1068" s="52">
        <v>1438334.7573551054</v>
      </c>
      <c r="F1068" s="52" t="s">
        <v>1143</v>
      </c>
      <c r="G1068" s="26">
        <f t="shared" si="13"/>
        <v>3.4777851588450037E-3</v>
      </c>
    </row>
    <row r="1069" spans="1:7">
      <c r="A1069" s="52">
        <v>235.36801973868975</v>
      </c>
      <c r="B1069" s="52">
        <v>239.51107395435645</v>
      </c>
      <c r="C1069" s="52">
        <v>235.05359151696504</v>
      </c>
      <c r="D1069" s="52">
        <v>238.5492935114338</v>
      </c>
      <c r="E1069" s="52">
        <v>1410505.7032326635</v>
      </c>
      <c r="F1069" s="52" t="s">
        <v>1144</v>
      </c>
      <c r="G1069" s="26">
        <f t="shared" si="13"/>
        <v>-1.3335917813529719E-2</v>
      </c>
    </row>
    <row r="1070" spans="1:7">
      <c r="A1070" s="52">
        <v>238.33659206732597</v>
      </c>
      <c r="B1070" s="52">
        <v>243.071511170945</v>
      </c>
      <c r="C1070" s="52">
        <v>237.26846090234937</v>
      </c>
      <c r="D1070" s="52">
        <v>242.67385194935201</v>
      </c>
      <c r="E1070" s="52">
        <v>2152355.0153603381</v>
      </c>
      <c r="F1070" s="52" t="s">
        <v>1145</v>
      </c>
      <c r="G1070" s="26">
        <f t="shared" si="13"/>
        <v>-1.7872794481917476E-2</v>
      </c>
    </row>
    <row r="1071" spans="1:7">
      <c r="A1071" s="52">
        <v>244.92108894579619</v>
      </c>
      <c r="B1071" s="52">
        <v>248.11623455185168</v>
      </c>
      <c r="C1071" s="52">
        <v>243.65412817002317</v>
      </c>
      <c r="D1071" s="52">
        <v>246.11406661057524</v>
      </c>
      <c r="E1071" s="52">
        <v>1331723.3984378718</v>
      </c>
      <c r="F1071" s="52" t="s">
        <v>1146</v>
      </c>
      <c r="G1071" s="26">
        <f t="shared" si="13"/>
        <v>-4.8472551008906795E-3</v>
      </c>
    </row>
    <row r="1072" spans="1:7">
      <c r="A1072" s="52">
        <v>244.38471139108941</v>
      </c>
      <c r="B1072" s="52">
        <v>254.25669969493492</v>
      </c>
      <c r="C1072" s="52">
        <v>244.03444476592963</v>
      </c>
      <c r="D1072" s="52">
        <v>252.68049988171592</v>
      </c>
      <c r="E1072" s="52">
        <v>1824882.2299538529</v>
      </c>
      <c r="F1072" s="52" t="s">
        <v>1147</v>
      </c>
      <c r="G1072" s="26">
        <f t="shared" si="13"/>
        <v>-3.2831138510925451E-2</v>
      </c>
    </row>
    <row r="1073" spans="1:7">
      <c r="A1073" s="52">
        <v>254.45026809304957</v>
      </c>
      <c r="B1073" s="52">
        <v>254.85583997481353</v>
      </c>
      <c r="C1073" s="52">
        <v>248.65243369237837</v>
      </c>
      <c r="D1073" s="52">
        <v>252.24727537164989</v>
      </c>
      <c r="E1073" s="52">
        <v>1936345.7757090037</v>
      </c>
      <c r="F1073" s="52" t="s">
        <v>1148</v>
      </c>
      <c r="G1073" s="26">
        <f t="shared" si="13"/>
        <v>8.7334648834318518E-3</v>
      </c>
    </row>
    <row r="1074" spans="1:7">
      <c r="A1074" s="52">
        <v>253.86956289870571</v>
      </c>
      <c r="B1074" s="52">
        <v>254.1000014678898</v>
      </c>
      <c r="C1074" s="52">
        <v>248.09938112633662</v>
      </c>
      <c r="D1074" s="52">
        <v>250.1548931634585</v>
      </c>
      <c r="E1074" s="52">
        <v>1447303.2929378918</v>
      </c>
      <c r="F1074" s="52" t="s">
        <v>1149</v>
      </c>
      <c r="G1074" s="26">
        <f t="shared" si="13"/>
        <v>1.4849478610118316E-2</v>
      </c>
    </row>
    <row r="1075" spans="1:7">
      <c r="A1075" s="52">
        <v>251.4914368647261</v>
      </c>
      <c r="B1075" s="52">
        <v>253.36259804650075</v>
      </c>
      <c r="C1075" s="52">
        <v>250.00741247918072</v>
      </c>
      <c r="D1075" s="52">
        <v>251.86935611818799</v>
      </c>
      <c r="E1075" s="52">
        <v>1115999.1615577971</v>
      </c>
      <c r="F1075" s="52" t="s">
        <v>1150</v>
      </c>
      <c r="G1075" s="26">
        <f t="shared" si="13"/>
        <v>-1.5004574565417039E-3</v>
      </c>
    </row>
    <row r="1076" spans="1:7">
      <c r="A1076" s="52">
        <v>251.19647549617048</v>
      </c>
      <c r="B1076" s="52">
        <v>252.9293735364347</v>
      </c>
      <c r="C1076" s="52">
        <v>248.72617403451724</v>
      </c>
      <c r="D1076" s="52">
        <v>249.41748974206945</v>
      </c>
      <c r="E1076" s="52">
        <v>1013021.6084336715</v>
      </c>
      <c r="F1076" s="52" t="s">
        <v>1151</v>
      </c>
      <c r="G1076" s="26">
        <f t="shared" si="13"/>
        <v>7.1325621789424254E-3</v>
      </c>
    </row>
    <row r="1077" spans="1:7">
      <c r="A1077" s="52">
        <v>250.1548931634585</v>
      </c>
      <c r="B1077" s="52">
        <v>252.05370697353524</v>
      </c>
      <c r="C1077" s="52">
        <v>248.27451443891653</v>
      </c>
      <c r="D1077" s="52">
        <v>249.79540899553135</v>
      </c>
      <c r="E1077" s="52">
        <v>1052894.490966025</v>
      </c>
      <c r="F1077" s="52" t="s">
        <v>1152</v>
      </c>
      <c r="G1077" s="26">
        <f t="shared" si="13"/>
        <v>1.4391143911438586E-3</v>
      </c>
    </row>
    <row r="1078" spans="1:7">
      <c r="A1078" s="52">
        <v>250.0535001930175</v>
      </c>
      <c r="B1078" s="52">
        <v>250.39454927540993</v>
      </c>
      <c r="C1078" s="52">
        <v>247.24583666607879</v>
      </c>
      <c r="D1078" s="52">
        <v>247.52789347476013</v>
      </c>
      <c r="E1078" s="52">
        <v>1249143.105770939</v>
      </c>
      <c r="F1078" s="52" t="s">
        <v>1153</v>
      </c>
      <c r="G1078" s="26">
        <f t="shared" si="13"/>
        <v>1.0203321665301024E-2</v>
      </c>
    </row>
    <row r="1079" spans="1:7">
      <c r="A1079" s="52">
        <v>251.38082635151778</v>
      </c>
      <c r="B1079" s="52">
        <v>251.86013857542062</v>
      </c>
      <c r="C1079" s="52">
        <v>245.68438492128757</v>
      </c>
      <c r="D1079" s="52">
        <v>246.72596725399956</v>
      </c>
      <c r="E1079" s="52">
        <v>1437078.2251103013</v>
      </c>
      <c r="F1079" s="52" t="s">
        <v>1154</v>
      </c>
      <c r="G1079" s="26">
        <f t="shared" si="13"/>
        <v>1.8866514738297147E-2</v>
      </c>
    </row>
    <row r="1080" spans="1:7">
      <c r="A1080" s="52">
        <v>245.45394635210351</v>
      </c>
      <c r="B1080" s="52">
        <v>246.99327599425305</v>
      </c>
      <c r="C1080" s="52">
        <v>243.05738523258916</v>
      </c>
      <c r="D1080" s="52">
        <v>244.781065730086</v>
      </c>
      <c r="E1080" s="52">
        <v>1716087.5082682909</v>
      </c>
      <c r="F1080" s="52" t="s">
        <v>1155</v>
      </c>
      <c r="G1080" s="26">
        <f t="shared" si="13"/>
        <v>2.7489079680675932E-3</v>
      </c>
    </row>
    <row r="1081" spans="1:7">
      <c r="A1081" s="52">
        <v>247.63850398796851</v>
      </c>
      <c r="B1081" s="52">
        <v>248.66165123514571</v>
      </c>
      <c r="C1081" s="52">
        <v>243.4168694005163</v>
      </c>
      <c r="D1081" s="52">
        <v>244.01600968039492</v>
      </c>
      <c r="E1081" s="52">
        <v>1683576.6745718024</v>
      </c>
      <c r="F1081" s="52" t="s">
        <v>1156</v>
      </c>
      <c r="G1081" s="26">
        <f t="shared" ref="G1081:G1144" si="14">A1081/D1081-1</f>
        <v>1.48453140936049E-2</v>
      </c>
    </row>
    <row r="1082" spans="1:7">
      <c r="A1082" s="52">
        <v>243.49060974265524</v>
      </c>
      <c r="B1082" s="52">
        <v>245.49081652317292</v>
      </c>
      <c r="C1082" s="52">
        <v>242.47668003824532</v>
      </c>
      <c r="D1082" s="52">
        <v>244.21879562127685</v>
      </c>
      <c r="E1082" s="52">
        <v>1561485.5676029567</v>
      </c>
      <c r="F1082" s="52" t="s">
        <v>1157</v>
      </c>
      <c r="G1082" s="26">
        <f t="shared" si="14"/>
        <v>-2.9816946593694826E-3</v>
      </c>
    </row>
    <row r="1083" spans="1:7">
      <c r="A1083" s="52">
        <v>243.3799992294469</v>
      </c>
      <c r="B1083" s="52">
        <v>247.15919176406558</v>
      </c>
      <c r="C1083" s="52">
        <v>242.21858884075914</v>
      </c>
      <c r="D1083" s="52">
        <v>245.75812526342648</v>
      </c>
      <c r="E1083" s="52">
        <v>1426628.5855012455</v>
      </c>
      <c r="F1083" s="52" t="s">
        <v>1158</v>
      </c>
      <c r="G1083" s="26">
        <f t="shared" si="14"/>
        <v>-9.6766934213486921E-3</v>
      </c>
    </row>
    <row r="1084" spans="1:7">
      <c r="A1084" s="52">
        <v>245.3249007533604</v>
      </c>
      <c r="B1084" s="52">
        <v>247.66615661627054</v>
      </c>
      <c r="C1084" s="52">
        <v>244.11740265083586</v>
      </c>
      <c r="D1084" s="52">
        <v>247.41728296155176</v>
      </c>
      <c r="E1084" s="52">
        <v>1407407.6277610417</v>
      </c>
      <c r="F1084" s="52" t="s">
        <v>1159</v>
      </c>
      <c r="G1084" s="26">
        <f t="shared" si="14"/>
        <v>-8.4568959093958007E-3</v>
      </c>
    </row>
    <row r="1085" spans="1:7">
      <c r="A1085" s="52">
        <v>249.91523705150706</v>
      </c>
      <c r="B1085" s="52">
        <v>250.6710755584308</v>
      </c>
      <c r="C1085" s="52">
        <v>246.24665503009666</v>
      </c>
      <c r="D1085" s="52">
        <v>248.93817751816661</v>
      </c>
      <c r="E1085" s="52">
        <v>1166857.6182887903</v>
      </c>
      <c r="F1085" s="52" t="s">
        <v>1160</v>
      </c>
      <c r="G1085" s="26">
        <f t="shared" si="14"/>
        <v>3.9249083570926935E-3</v>
      </c>
    </row>
    <row r="1086" spans="1:7">
      <c r="A1086" s="52">
        <v>249.93367213704178</v>
      </c>
      <c r="B1086" s="52">
        <v>251.47761055057506</v>
      </c>
      <c r="C1086" s="52">
        <v>248.51417055086796</v>
      </c>
      <c r="D1086" s="52">
        <v>250.59733521629192</v>
      </c>
      <c r="E1086" s="52">
        <v>1045827.5316207811</v>
      </c>
      <c r="F1086" s="52" t="s">
        <v>1161</v>
      </c>
      <c r="G1086" s="26">
        <f t="shared" si="14"/>
        <v>-2.6483245668886823E-3</v>
      </c>
    </row>
    <row r="1087" spans="1:7">
      <c r="A1087" s="52">
        <v>247.85972501438516</v>
      </c>
      <c r="B1087" s="52">
        <v>249.36218448546529</v>
      </c>
      <c r="C1087" s="52">
        <v>245.79499543449595</v>
      </c>
      <c r="D1087" s="52">
        <v>248.04407586973244</v>
      </c>
      <c r="E1087" s="52">
        <v>1224584.4998915582</v>
      </c>
      <c r="F1087" s="52" t="s">
        <v>1162</v>
      </c>
      <c r="G1087" s="26">
        <f t="shared" si="14"/>
        <v>-7.4321813452260521E-4</v>
      </c>
    </row>
    <row r="1088" spans="1:7">
      <c r="A1088" s="52">
        <v>248.85521963326036</v>
      </c>
      <c r="B1088" s="52">
        <v>253.445555931407</v>
      </c>
      <c r="C1088" s="52">
        <v>247.70302678734004</v>
      </c>
      <c r="D1088" s="52">
        <v>249.77697390999666</v>
      </c>
      <c r="E1088" s="52">
        <v>1198368.1854030995</v>
      </c>
      <c r="F1088" s="52" t="s">
        <v>1163</v>
      </c>
      <c r="G1088" s="26">
        <f t="shared" si="14"/>
        <v>-3.6903092479150246E-3</v>
      </c>
    </row>
    <row r="1089" spans="1:7">
      <c r="A1089" s="52">
        <v>250.66185801566346</v>
      </c>
      <c r="B1089" s="52">
        <v>254.06313129682033</v>
      </c>
      <c r="C1089" s="52">
        <v>249.27922660055904</v>
      </c>
      <c r="D1089" s="52">
        <v>254.06313129682033</v>
      </c>
      <c r="E1089" s="52">
        <v>1482727.0504664311</v>
      </c>
      <c r="F1089" s="52" t="s">
        <v>1164</v>
      </c>
      <c r="G1089" s="26">
        <f t="shared" si="14"/>
        <v>-1.3387512244675825E-2</v>
      </c>
    </row>
    <row r="1090" spans="1:7">
      <c r="A1090" s="52">
        <v>255.54715568236574</v>
      </c>
      <c r="B1090" s="52">
        <v>258.66268513773434</v>
      </c>
      <c r="C1090" s="52">
        <v>253.8234751848689</v>
      </c>
      <c r="D1090" s="52">
        <v>255.00332065909132</v>
      </c>
      <c r="E1090" s="52">
        <v>2017419.4434815058</v>
      </c>
      <c r="F1090" s="52" t="s">
        <v>1165</v>
      </c>
      <c r="G1090" s="26">
        <f t="shared" si="14"/>
        <v>2.1326585938912235E-3</v>
      </c>
    </row>
    <row r="1091" spans="1:7">
      <c r="A1091" s="52">
        <v>254.85583997481353</v>
      </c>
      <c r="B1091" s="52">
        <v>255.25219431381015</v>
      </c>
      <c r="C1091" s="52">
        <v>247.62412462125141</v>
      </c>
      <c r="D1091" s="52">
        <v>247.90581272822197</v>
      </c>
      <c r="E1091" s="52">
        <v>1752522.3812573408</v>
      </c>
      <c r="F1091" s="52" t="s">
        <v>1166</v>
      </c>
      <c r="G1091" s="26">
        <f t="shared" si="14"/>
        <v>2.8034950734337372E-2</v>
      </c>
    </row>
    <row r="1092" spans="1:7">
      <c r="A1092" s="52">
        <v>248.20077409677759</v>
      </c>
      <c r="B1092" s="52">
        <v>250.91073167038223</v>
      </c>
      <c r="C1092" s="52">
        <v>246.4955286848155</v>
      </c>
      <c r="D1092" s="52">
        <v>248.49573546533318</v>
      </c>
      <c r="E1092" s="52">
        <v>1727719.6756154976</v>
      </c>
      <c r="F1092" s="52" t="s">
        <v>1167</v>
      </c>
      <c r="G1092" s="26">
        <f t="shared" si="14"/>
        <v>-1.1869876479096986E-3</v>
      </c>
    </row>
    <row r="1093" spans="1:7">
      <c r="A1093" s="52">
        <v>247.81363730054838</v>
      </c>
      <c r="B1093" s="52">
        <v>250.14567562069115</v>
      </c>
      <c r="C1093" s="52">
        <v>244.79028327285337</v>
      </c>
      <c r="D1093" s="52">
        <v>246.10839188858625</v>
      </c>
      <c r="E1093" s="52">
        <v>1821277.1476842421</v>
      </c>
      <c r="F1093" s="52" t="s">
        <v>1168</v>
      </c>
      <c r="G1093" s="26">
        <f t="shared" si="14"/>
        <v>6.9288389513109117E-3</v>
      </c>
    </row>
    <row r="1094" spans="1:7">
      <c r="A1094" s="52">
        <v>249.4082721993021</v>
      </c>
      <c r="B1094" s="52">
        <v>251.0489948118927</v>
      </c>
      <c r="C1094" s="52">
        <v>239.16297341337838</v>
      </c>
      <c r="D1094" s="52">
        <v>241.22309422188397</v>
      </c>
      <c r="E1094" s="52">
        <v>3319782.8067962406</v>
      </c>
      <c r="F1094" s="52" t="s">
        <v>1169</v>
      </c>
      <c r="G1094" s="26">
        <f t="shared" si="14"/>
        <v>3.3931983186855197E-2</v>
      </c>
    </row>
    <row r="1095" spans="1:7">
      <c r="A1095" s="52">
        <v>236.58667020990052</v>
      </c>
      <c r="B1095" s="52">
        <v>236.7820821165686</v>
      </c>
      <c r="C1095" s="52">
        <v>232.32816545137891</v>
      </c>
      <c r="D1095" s="52">
        <v>233.29600744195199</v>
      </c>
      <c r="E1095" s="52">
        <v>1596452.5873537331</v>
      </c>
      <c r="F1095" s="52" t="s">
        <v>1170</v>
      </c>
      <c r="G1095" s="26">
        <f t="shared" si="14"/>
        <v>1.410509679968408E-2</v>
      </c>
    </row>
    <row r="1096" spans="1:7">
      <c r="A1096" s="52">
        <v>233.4158354979277</v>
      </c>
      <c r="B1096" s="52">
        <v>235.52204402027007</v>
      </c>
      <c r="C1096" s="52">
        <v>231.29580066143427</v>
      </c>
      <c r="D1096" s="52">
        <v>234.45741783063971</v>
      </c>
      <c r="E1096" s="52">
        <v>1225589.10602507</v>
      </c>
      <c r="F1096" s="52" t="s">
        <v>1171</v>
      </c>
      <c r="G1096" s="26">
        <f t="shared" si="14"/>
        <v>-4.4425224091838578E-3</v>
      </c>
    </row>
    <row r="1097" spans="1:7">
      <c r="A1097" s="52">
        <v>234.25463188975769</v>
      </c>
      <c r="B1097" s="52">
        <v>235.36995456460861</v>
      </c>
      <c r="C1097" s="52">
        <v>232.28207773754207</v>
      </c>
      <c r="D1097" s="52">
        <v>234.57724588661543</v>
      </c>
      <c r="E1097" s="52">
        <v>1774082.3571658507</v>
      </c>
      <c r="F1097" s="52" t="s">
        <v>1172</v>
      </c>
      <c r="G1097" s="26">
        <f t="shared" si="14"/>
        <v>-1.3752996188457489E-3</v>
      </c>
    </row>
    <row r="1098" spans="1:7">
      <c r="A1098" s="52">
        <v>235.72022118976838</v>
      </c>
      <c r="B1098" s="52">
        <v>235.81239661744203</v>
      </c>
      <c r="C1098" s="52">
        <v>229.53524999286799</v>
      </c>
      <c r="D1098" s="52">
        <v>232.77060750421231</v>
      </c>
      <c r="E1098" s="52">
        <v>1603522.8013624765</v>
      </c>
      <c r="F1098" s="52" t="s">
        <v>1173</v>
      </c>
      <c r="G1098" s="26">
        <f t="shared" si="14"/>
        <v>1.2671761770878698E-2</v>
      </c>
    </row>
    <row r="1099" spans="1:7">
      <c r="A1099" s="52">
        <v>231.53545677338568</v>
      </c>
      <c r="B1099" s="52">
        <v>238.77583661714917</v>
      </c>
      <c r="C1099" s="52">
        <v>231.0837971777849</v>
      </c>
      <c r="D1099" s="52">
        <v>234.46663537340706</v>
      </c>
      <c r="E1099" s="52">
        <v>1964227.3930213721</v>
      </c>
      <c r="F1099" s="52" t="s">
        <v>1174</v>
      </c>
      <c r="G1099" s="26">
        <f t="shared" si="14"/>
        <v>-1.2501474230451781E-2</v>
      </c>
    </row>
    <row r="1100" spans="1:7">
      <c r="A1100" s="52">
        <v>234.02419332057363</v>
      </c>
      <c r="B1100" s="52">
        <v>239.51784880992187</v>
      </c>
      <c r="C1100" s="52">
        <v>233.25913727088252</v>
      </c>
      <c r="D1100" s="52">
        <v>237.10285260487282</v>
      </c>
      <c r="E1100" s="52">
        <v>2137442.7542403368</v>
      </c>
      <c r="F1100" s="52" t="s">
        <v>1175</v>
      </c>
      <c r="G1100" s="26">
        <f t="shared" si="14"/>
        <v>-1.2984488589977916E-2</v>
      </c>
    </row>
    <row r="1101" spans="1:7">
      <c r="A1101" s="52">
        <v>237.9047788256334</v>
      </c>
      <c r="B1101" s="52">
        <v>239.60080669482812</v>
      </c>
      <c r="C1101" s="52">
        <v>233.54027232528711</v>
      </c>
      <c r="D1101" s="52">
        <v>238.48548401997724</v>
      </c>
      <c r="E1101" s="52">
        <v>1599991.4914655208</v>
      </c>
      <c r="F1101" s="52" t="s">
        <v>1176</v>
      </c>
      <c r="G1101" s="26">
        <f t="shared" si="14"/>
        <v>-2.4349708190004593E-3</v>
      </c>
    </row>
    <row r="1102" spans="1:7">
      <c r="A1102" s="52">
        <v>239.61924178036284</v>
      </c>
      <c r="B1102" s="52">
        <v>243.19564837409959</v>
      </c>
      <c r="C1102" s="52">
        <v>234.22697926145563</v>
      </c>
      <c r="D1102" s="52">
        <v>242.16328358415501</v>
      </c>
      <c r="E1102" s="52">
        <v>1909079.2897980402</v>
      </c>
      <c r="F1102" s="52" t="s">
        <v>1177</v>
      </c>
      <c r="G1102" s="26">
        <f t="shared" si="14"/>
        <v>-1.0505481120584803E-2</v>
      </c>
    </row>
    <row r="1103" spans="1:7">
      <c r="A1103" s="52">
        <v>243.92383425272126</v>
      </c>
      <c r="B1103" s="52">
        <v>245.78577789172851</v>
      </c>
      <c r="C1103" s="52">
        <v>242.30154672566542</v>
      </c>
      <c r="D1103" s="52">
        <v>245.34333583889514</v>
      </c>
      <c r="E1103" s="52">
        <v>1838690.6822943909</v>
      </c>
      <c r="F1103" s="52" t="s">
        <v>1178</v>
      </c>
      <c r="G1103" s="26">
        <f t="shared" si="14"/>
        <v>-5.7857760078146026E-3</v>
      </c>
    </row>
    <row r="1104" spans="1:7">
      <c r="A1104" s="52">
        <v>243.31547643007534</v>
      </c>
      <c r="B1104" s="52">
        <v>247.53711101752748</v>
      </c>
      <c r="C1104" s="52">
        <v>243.20486591686699</v>
      </c>
      <c r="D1104" s="52">
        <v>244.0713149369991</v>
      </c>
      <c r="E1104" s="52">
        <v>1744080.8690274756</v>
      </c>
      <c r="F1104" s="52" t="s">
        <v>1179</v>
      </c>
      <c r="G1104" s="26">
        <f t="shared" si="14"/>
        <v>-3.0967936855622602E-3</v>
      </c>
    </row>
    <row r="1105" spans="1:7">
      <c r="A1105" s="52">
        <v>243.22330100240171</v>
      </c>
      <c r="B1105" s="52">
        <v>244.22801316404423</v>
      </c>
      <c r="C1105" s="52">
        <v>239.68376457973437</v>
      </c>
      <c r="D1105" s="52">
        <v>240.55021359986651</v>
      </c>
      <c r="E1105" s="52">
        <v>1811301.6040582799</v>
      </c>
      <c r="F1105" s="52" t="s">
        <v>1180</v>
      </c>
      <c r="G1105" s="26">
        <f t="shared" si="14"/>
        <v>1.1112388397133799E-2</v>
      </c>
    </row>
    <row r="1106" spans="1:7">
      <c r="A1106" s="52">
        <v>240.04324874766155</v>
      </c>
      <c r="B1106" s="52">
        <v>241.84066958729727</v>
      </c>
      <c r="C1106" s="52">
        <v>237.84947356902921</v>
      </c>
      <c r="D1106" s="52">
        <v>241.1954415935819</v>
      </c>
      <c r="E1106" s="52">
        <v>1618775.2394089585</v>
      </c>
      <c r="F1106" s="52" t="s">
        <v>1181</v>
      </c>
      <c r="G1106" s="26">
        <f t="shared" si="14"/>
        <v>-4.7770092100737349E-3</v>
      </c>
    </row>
    <row r="1107" spans="1:7">
      <c r="A1107" s="52">
        <v>242.07110815648136</v>
      </c>
      <c r="B1107" s="52">
        <v>243.06660277535653</v>
      </c>
      <c r="C1107" s="52">
        <v>240.35203643036817</v>
      </c>
      <c r="D1107" s="52">
        <v>242.6333782652905</v>
      </c>
      <c r="E1107" s="52">
        <v>1629870.3872787482</v>
      </c>
      <c r="F1107" s="52" t="s">
        <v>1182</v>
      </c>
      <c r="G1107" s="26">
        <f t="shared" si="14"/>
        <v>-2.3173650419785474E-3</v>
      </c>
    </row>
    <row r="1108" spans="1:7">
      <c r="A1108" s="52">
        <v>243.05738523258916</v>
      </c>
      <c r="B1108" s="52">
        <v>243.20486591686699</v>
      </c>
      <c r="C1108" s="52">
        <v>239.00166641494957</v>
      </c>
      <c r="D1108" s="52">
        <v>240.67925919860957</v>
      </c>
      <c r="E1108" s="52">
        <v>1607632.3564745097</v>
      </c>
      <c r="F1108" s="52" t="s">
        <v>1183</v>
      </c>
      <c r="G1108" s="26">
        <f t="shared" si="14"/>
        <v>9.8808931101834752E-3</v>
      </c>
    </row>
    <row r="1109" spans="1:7">
      <c r="A1109" s="52">
        <v>241.41666261999862</v>
      </c>
      <c r="B1109" s="52">
        <v>243.80400619674555</v>
      </c>
      <c r="C1109" s="52">
        <v>239.22288744136623</v>
      </c>
      <c r="D1109" s="52">
        <v>240.57786622816857</v>
      </c>
      <c r="E1109" s="52">
        <v>1540325.9153048852</v>
      </c>
      <c r="F1109" s="52" t="s">
        <v>1184</v>
      </c>
      <c r="G1109" s="26">
        <f t="shared" si="14"/>
        <v>3.4865900383143078E-3</v>
      </c>
    </row>
    <row r="1110" spans="1:7">
      <c r="A1110" s="52">
        <v>241.25996439295344</v>
      </c>
      <c r="B1110" s="52">
        <v>241.8037994162278</v>
      </c>
      <c r="C1110" s="52">
        <v>236.96458946336236</v>
      </c>
      <c r="D1110" s="52">
        <v>239.01088395771691</v>
      </c>
      <c r="E1110" s="52">
        <v>1620985.1559251179</v>
      </c>
      <c r="F1110" s="52" t="s">
        <v>1185</v>
      </c>
      <c r="G1110" s="26">
        <f t="shared" si="14"/>
        <v>9.4099498650213054E-3</v>
      </c>
    </row>
    <row r="1111" spans="1:7">
      <c r="A1111" s="52">
        <v>238.8910559017412</v>
      </c>
      <c r="B1111" s="52">
        <v>239.54550143822394</v>
      </c>
      <c r="C1111" s="52">
        <v>232.72451979037547</v>
      </c>
      <c r="D1111" s="52">
        <v>233.40661795516033</v>
      </c>
      <c r="E1111" s="52">
        <v>1821234.8370587486</v>
      </c>
      <c r="F1111" s="52" t="s">
        <v>1186</v>
      </c>
      <c r="G1111" s="26">
        <f t="shared" si="14"/>
        <v>2.3497354079456745E-2</v>
      </c>
    </row>
    <row r="1112" spans="1:7">
      <c r="A1112" s="52">
        <v>234.26384943252509</v>
      </c>
      <c r="B1112" s="52">
        <v>235.89535450234828</v>
      </c>
      <c r="C1112" s="52">
        <v>230.07908501614239</v>
      </c>
      <c r="D1112" s="52">
        <v>230.68744283878831</v>
      </c>
      <c r="E1112" s="52">
        <v>1501625.7965201843</v>
      </c>
      <c r="F1112" s="52" t="s">
        <v>1187</v>
      </c>
      <c r="G1112" s="26">
        <f t="shared" si="14"/>
        <v>1.550325648299844E-2</v>
      </c>
    </row>
    <row r="1113" spans="1:7">
      <c r="A1113" s="52">
        <v>230.18969552935073</v>
      </c>
      <c r="B1113" s="52">
        <v>233.3420951557888</v>
      </c>
      <c r="C1113" s="52">
        <v>230.11595518721182</v>
      </c>
      <c r="D1113" s="52">
        <v>231.98711636898648</v>
      </c>
      <c r="E1113" s="52">
        <v>833145.03591906698</v>
      </c>
      <c r="F1113" s="52" t="s">
        <v>1188</v>
      </c>
      <c r="G1113" s="26">
        <f t="shared" si="14"/>
        <v>-7.7479338842975087E-3</v>
      </c>
    </row>
    <row r="1114" spans="1:7">
      <c r="A1114" s="52">
        <v>233.15774430044152</v>
      </c>
      <c r="B1114" s="52">
        <v>235.39299842152701</v>
      </c>
      <c r="C1114" s="52">
        <v>231.82120059917395</v>
      </c>
      <c r="D1114" s="52">
        <v>232.05163916835801</v>
      </c>
      <c r="E1114" s="52">
        <v>1003481.1048288089</v>
      </c>
      <c r="F1114" s="52" t="s">
        <v>1189</v>
      </c>
      <c r="G1114" s="26">
        <f t="shared" si="14"/>
        <v>4.7666335650446978E-3</v>
      </c>
    </row>
    <row r="1115" spans="1:7">
      <c r="A1115" s="52">
        <v>232.0792917966601</v>
      </c>
      <c r="B1115" s="52">
        <v>233.36053024132352</v>
      </c>
      <c r="C1115" s="52">
        <v>229.71499207683155</v>
      </c>
      <c r="D1115" s="52">
        <v>232.76138996144496</v>
      </c>
      <c r="E1115" s="52">
        <v>986120.72972248506</v>
      </c>
      <c r="F1115" s="52" t="s">
        <v>1190</v>
      </c>
      <c r="G1115" s="26">
        <f t="shared" si="14"/>
        <v>-2.9304609535879544E-3</v>
      </c>
    </row>
    <row r="1116" spans="1:7">
      <c r="A1116" s="52">
        <v>233.39740041239298</v>
      </c>
      <c r="B1116" s="52">
        <v>233.72923195201804</v>
      </c>
      <c r="C1116" s="52">
        <v>227.59956601172178</v>
      </c>
      <c r="D1116" s="52">
        <v>230.65057266771885</v>
      </c>
      <c r="E1116" s="52">
        <v>1082083.3981173588</v>
      </c>
      <c r="F1116" s="52" t="s">
        <v>1191</v>
      </c>
      <c r="G1116" s="26">
        <f t="shared" si="14"/>
        <v>1.1909043679814602E-2</v>
      </c>
    </row>
    <row r="1117" spans="1:7">
      <c r="A1117" s="52">
        <v>231.8027655136392</v>
      </c>
      <c r="B1117" s="52">
        <v>234.85377216963627</v>
      </c>
      <c r="C1117" s="52">
        <v>231.66450237212879</v>
      </c>
      <c r="D1117" s="52">
        <v>233.44348812622977</v>
      </c>
      <c r="E1117" s="52">
        <v>720934.00244686485</v>
      </c>
      <c r="F1117" s="52" t="s">
        <v>1192</v>
      </c>
      <c r="G1117" s="26">
        <f t="shared" si="14"/>
        <v>-7.0283503119323854E-3</v>
      </c>
    </row>
    <row r="1118" spans="1:7">
      <c r="A1118" s="52">
        <v>233.44348812622977</v>
      </c>
      <c r="B1118" s="52">
        <v>235.09342828158773</v>
      </c>
      <c r="C1118" s="52">
        <v>232.77060750421231</v>
      </c>
      <c r="D1118" s="52">
        <v>233.84906000799373</v>
      </c>
      <c r="E1118" s="52">
        <v>546081.54548765242</v>
      </c>
      <c r="F1118" s="52" t="s">
        <v>1193</v>
      </c>
      <c r="G1118" s="26">
        <f t="shared" si="14"/>
        <v>-1.7343318880567171E-3</v>
      </c>
    </row>
    <row r="1119" spans="1:7">
      <c r="A1119" s="52">
        <v>233.01026361616374</v>
      </c>
      <c r="B1119" s="52">
        <v>233.67392669541385</v>
      </c>
      <c r="C1119" s="52">
        <v>230.08839473433741</v>
      </c>
      <c r="D1119" s="52">
        <v>231.17597260545855</v>
      </c>
      <c r="E1119" s="52">
        <v>908602.23937926826</v>
      </c>
      <c r="F1119" s="52" t="s">
        <v>1194</v>
      </c>
      <c r="G1119" s="26">
        <f t="shared" si="14"/>
        <v>7.9346092503986831E-3</v>
      </c>
    </row>
    <row r="1120" spans="1:7">
      <c r="A1120" s="52">
        <v>230.63213758218416</v>
      </c>
      <c r="B1120" s="52">
        <v>231.68754622904717</v>
      </c>
      <c r="C1120" s="52">
        <v>229.27715879538181</v>
      </c>
      <c r="D1120" s="52">
        <v>231.4617164312468</v>
      </c>
      <c r="E1120" s="52">
        <v>609482.39045787894</v>
      </c>
      <c r="F1120" s="52" t="s">
        <v>1195</v>
      </c>
      <c r="G1120" s="26">
        <f t="shared" si="14"/>
        <v>-3.5840866552506734E-3</v>
      </c>
    </row>
    <row r="1121" spans="1:7">
      <c r="A1121" s="52">
        <v>231.65528482936139</v>
      </c>
      <c r="B1121" s="52">
        <v>231.74746025703502</v>
      </c>
      <c r="C1121" s="52">
        <v>228.89002199915257</v>
      </c>
      <c r="D1121" s="52">
        <v>230.43856918406951</v>
      </c>
      <c r="E1121" s="52">
        <v>658419.51083633502</v>
      </c>
      <c r="F1121" s="52" t="s">
        <v>1196</v>
      </c>
      <c r="G1121" s="26">
        <f t="shared" si="14"/>
        <v>5.2799999999999514E-3</v>
      </c>
    </row>
    <row r="1122" spans="1:7">
      <c r="A1122" s="52">
        <v>229.43385702242696</v>
      </c>
      <c r="B1122" s="52">
        <v>230.06064993060764</v>
      </c>
      <c r="C1122" s="52">
        <v>226.86216259033276</v>
      </c>
      <c r="D1122" s="52">
        <v>228.59506063059698</v>
      </c>
      <c r="E1122" s="52">
        <v>1046795.2515679651</v>
      </c>
      <c r="F1122" s="52" t="s">
        <v>1197</v>
      </c>
      <c r="G1122" s="26">
        <f t="shared" si="14"/>
        <v>3.6693548387096708E-3</v>
      </c>
    </row>
    <row r="1123" spans="1:7">
      <c r="A1123" s="52">
        <v>228.44757994631917</v>
      </c>
      <c r="B1123" s="52">
        <v>232.54016893502825</v>
      </c>
      <c r="C1123" s="52">
        <v>226.75155207712442</v>
      </c>
      <c r="D1123" s="52">
        <v>232.355818079681</v>
      </c>
      <c r="E1123" s="52">
        <v>1311759.5768377865</v>
      </c>
      <c r="F1123" s="52" t="s">
        <v>1198</v>
      </c>
      <c r="G1123" s="26">
        <f t="shared" si="14"/>
        <v>-1.6820057124722343E-2</v>
      </c>
    </row>
    <row r="1124" spans="1:7">
      <c r="A1124" s="52">
        <v>232.12537951049691</v>
      </c>
      <c r="B1124" s="52">
        <v>235.46600136024452</v>
      </c>
      <c r="C1124" s="52">
        <v>230.54917969727788</v>
      </c>
      <c r="D1124" s="52">
        <v>233.99654069227157</v>
      </c>
      <c r="E1124" s="52">
        <v>1221118.2832645925</v>
      </c>
      <c r="F1124" s="52" t="s">
        <v>1199</v>
      </c>
      <c r="G1124" s="26">
        <f t="shared" si="14"/>
        <v>-7.9965335224139178E-3</v>
      </c>
    </row>
    <row r="1125" spans="1:7">
      <c r="A1125" s="52">
        <v>232.65999699100394</v>
      </c>
      <c r="B1125" s="52">
        <v>236.22718604197331</v>
      </c>
      <c r="C1125" s="52">
        <v>232.20833739540316</v>
      </c>
      <c r="D1125" s="52">
        <v>236.22718604197331</v>
      </c>
      <c r="E1125" s="52">
        <v>1809677.5269720301</v>
      </c>
      <c r="F1125" s="52" t="s">
        <v>1200</v>
      </c>
      <c r="G1125" s="26">
        <f t="shared" si="14"/>
        <v>-1.5100671140939492E-2</v>
      </c>
    </row>
    <row r="1126" spans="1:7">
      <c r="A1126" s="52">
        <v>236.79867369354983</v>
      </c>
      <c r="B1126" s="52">
        <v>239.10305938539051</v>
      </c>
      <c r="C1126" s="52">
        <v>235.24090896586554</v>
      </c>
      <c r="D1126" s="52">
        <v>236.87241403568876</v>
      </c>
      <c r="E1126" s="52">
        <v>2752205.2937822351</v>
      </c>
      <c r="F1126" s="52" t="s">
        <v>1201</v>
      </c>
      <c r="G1126" s="26">
        <f t="shared" si="14"/>
        <v>-3.1130827301750763E-4</v>
      </c>
    </row>
    <row r="1127" spans="1:7">
      <c r="A1127" s="52">
        <v>237.08441751933807</v>
      </c>
      <c r="B1127" s="52">
        <v>237.31485608852213</v>
      </c>
      <c r="C1127" s="52">
        <v>228.24479400543717</v>
      </c>
      <c r="D1127" s="52">
        <v>229.4799447362638</v>
      </c>
      <c r="E1127" s="52">
        <v>1940531.2729693584</v>
      </c>
      <c r="F1127" s="52" t="s">
        <v>1202</v>
      </c>
      <c r="G1127" s="26">
        <f t="shared" si="14"/>
        <v>3.3137853470436962E-2</v>
      </c>
    </row>
    <row r="1128" spans="1:7">
      <c r="A1128" s="52">
        <v>229.90395170356246</v>
      </c>
      <c r="B1128" s="52">
        <v>231.10223226331965</v>
      </c>
      <c r="C1128" s="52">
        <v>227.58113092618706</v>
      </c>
      <c r="D1128" s="52">
        <v>229.91316924632986</v>
      </c>
      <c r="E1128" s="52">
        <v>1471314.0304615237</v>
      </c>
      <c r="F1128" s="52" t="s">
        <v>1203</v>
      </c>
      <c r="G1128" s="26">
        <f t="shared" si="14"/>
        <v>-4.0091408411324636E-5</v>
      </c>
    </row>
    <row r="1129" spans="1:7">
      <c r="A1129" s="52">
        <v>228.53975537399279</v>
      </c>
      <c r="B1129" s="52">
        <v>232.57703910609769</v>
      </c>
      <c r="C1129" s="52">
        <v>228.3093168048087</v>
      </c>
      <c r="D1129" s="52">
        <v>232.33738299414625</v>
      </c>
      <c r="E1129" s="52">
        <v>1298567.3407864866</v>
      </c>
      <c r="F1129" s="52" t="s">
        <v>1204</v>
      </c>
      <c r="G1129" s="26">
        <f t="shared" si="14"/>
        <v>-1.634531460763311E-2</v>
      </c>
    </row>
    <row r="1130" spans="1:7">
      <c r="A1130" s="52">
        <v>233.02869870169846</v>
      </c>
      <c r="B1130" s="52">
        <v>234.12558629101463</v>
      </c>
      <c r="C1130" s="52">
        <v>226.00603721810012</v>
      </c>
      <c r="D1130" s="52">
        <v>226.28145739598892</v>
      </c>
      <c r="E1130" s="52">
        <v>1656181.0870086923</v>
      </c>
      <c r="F1130" s="52" t="s">
        <v>1205</v>
      </c>
      <c r="G1130" s="26">
        <f t="shared" si="14"/>
        <v>2.9817915190027966E-2</v>
      </c>
    </row>
    <row r="1131" spans="1:7">
      <c r="A1131" s="52">
        <v>225.80214517208603</v>
      </c>
      <c r="B1131" s="52">
        <v>227.52582566958287</v>
      </c>
      <c r="C1131" s="52">
        <v>224.79743301044348</v>
      </c>
      <c r="D1131" s="52">
        <v>226.4565907085688</v>
      </c>
      <c r="E1131" s="52">
        <v>1032366.2433868562</v>
      </c>
      <c r="F1131" s="52" t="s">
        <v>1206</v>
      </c>
      <c r="G1131" s="26">
        <f t="shared" si="14"/>
        <v>-2.8899381309019923E-3</v>
      </c>
    </row>
    <row r="1132" spans="1:7">
      <c r="A1132" s="52">
        <v>225.93119077082912</v>
      </c>
      <c r="B1132" s="52">
        <v>227.82078703813849</v>
      </c>
      <c r="C1132" s="52">
        <v>225.51640134629778</v>
      </c>
      <c r="D1132" s="52">
        <v>226.85294504756541</v>
      </c>
      <c r="E1132" s="52">
        <v>1285730.9479444656</v>
      </c>
      <c r="F1132" s="52" t="s">
        <v>1207</v>
      </c>
      <c r="G1132" s="26">
        <f t="shared" si="14"/>
        <v>-4.0632237617326261E-3</v>
      </c>
    </row>
    <row r="1133" spans="1:7">
      <c r="A1133" s="52">
        <v>226.36441528089509</v>
      </c>
      <c r="B1133" s="52">
        <v>227.67787080474042</v>
      </c>
      <c r="C1133" s="52">
        <v>220.52275295106554</v>
      </c>
      <c r="D1133" s="52">
        <v>222.82818887054231</v>
      </c>
      <c r="E1133" s="52">
        <v>1574709.224979871</v>
      </c>
      <c r="F1133" s="52" t="s">
        <v>1208</v>
      </c>
      <c r="G1133" s="26">
        <f t="shared" si="14"/>
        <v>1.5869744435284439E-2</v>
      </c>
    </row>
    <row r="1134" spans="1:7">
      <c r="A1134" s="52">
        <v>229.95575171322744</v>
      </c>
      <c r="B1134" s="52">
        <v>232.08667256310235</v>
      </c>
      <c r="C1134" s="52">
        <v>226.93388550801686</v>
      </c>
      <c r="D1134" s="52">
        <v>227.06247555930241</v>
      </c>
      <c r="E1134" s="52">
        <v>1898236.5864210355</v>
      </c>
      <c r="F1134" s="52" t="s">
        <v>1209</v>
      </c>
      <c r="G1134" s="26">
        <f t="shared" si="14"/>
        <v>1.2742202985316142E-2</v>
      </c>
    </row>
    <row r="1135" spans="1:7">
      <c r="A1135" s="52">
        <v>226.0796801673342</v>
      </c>
      <c r="B1135" s="52">
        <v>228.96377131759598</v>
      </c>
      <c r="C1135" s="52">
        <v>224.83970467279494</v>
      </c>
      <c r="D1135" s="52">
        <v>225.31732486328414</v>
      </c>
      <c r="E1135" s="52">
        <v>1574569.8673871113</v>
      </c>
      <c r="F1135" s="52" t="s">
        <v>1210</v>
      </c>
      <c r="G1135" s="26">
        <f t="shared" si="14"/>
        <v>3.3834739717091278E-3</v>
      </c>
    </row>
    <row r="1136" spans="1:7">
      <c r="A1136" s="52">
        <v>224.22430942735693</v>
      </c>
      <c r="B1136" s="52">
        <v>224.34371447497921</v>
      </c>
      <c r="C1136" s="52">
        <v>220.95444812323851</v>
      </c>
      <c r="D1136" s="52">
        <v>223.85690928082676</v>
      </c>
      <c r="E1136" s="52">
        <v>1389128.4606717033</v>
      </c>
      <c r="F1136" s="52" t="s">
        <v>1211</v>
      </c>
      <c r="G1136" s="26">
        <f t="shared" si="14"/>
        <v>1.641227638273568E-3</v>
      </c>
    </row>
    <row r="1137" spans="1:7">
      <c r="A1137" s="52">
        <v>222.22197862876754</v>
      </c>
      <c r="B1137" s="52">
        <v>225.9694601233752</v>
      </c>
      <c r="C1137" s="52">
        <v>221.31266326610537</v>
      </c>
      <c r="D1137" s="52">
        <v>222.07501857015549</v>
      </c>
      <c r="E1137" s="52">
        <v>1913961.1310478181</v>
      </c>
      <c r="F1137" s="52" t="s">
        <v>1212</v>
      </c>
      <c r="G1137" s="26">
        <f t="shared" si="14"/>
        <v>6.617586235420081E-4</v>
      </c>
    </row>
    <row r="1138" spans="1:7">
      <c r="A1138" s="52">
        <v>221.97398352985968</v>
      </c>
      <c r="B1138" s="52">
        <v>223.68239421122493</v>
      </c>
      <c r="C1138" s="52">
        <v>217.33555667991641</v>
      </c>
      <c r="D1138" s="52">
        <v>218.29079706089482</v>
      </c>
      <c r="E1138" s="52">
        <v>2574820.9654629035</v>
      </c>
      <c r="F1138" s="52" t="s">
        <v>1213</v>
      </c>
      <c r="G1138" s="26">
        <f t="shared" si="14"/>
        <v>1.6872843558024098E-2</v>
      </c>
    </row>
    <row r="1139" spans="1:7">
      <c r="A1139" s="52">
        <v>217.81317687040561</v>
      </c>
      <c r="B1139" s="52">
        <v>224.96829472408049</v>
      </c>
      <c r="C1139" s="52">
        <v>216.76608645279467</v>
      </c>
      <c r="D1139" s="52">
        <v>224.96829472408049</v>
      </c>
      <c r="E1139" s="52">
        <v>4629817.4240394942</v>
      </c>
      <c r="F1139" s="52" t="s">
        <v>1214</v>
      </c>
      <c r="G1139" s="26">
        <f t="shared" si="14"/>
        <v>-3.1805005511778894E-2</v>
      </c>
    </row>
    <row r="1140" spans="1:7">
      <c r="A1140" s="52">
        <v>223.75587424053097</v>
      </c>
      <c r="B1140" s="52">
        <v>226.75937043841503</v>
      </c>
      <c r="C1140" s="52">
        <v>223.42521410865382</v>
      </c>
      <c r="D1140" s="52">
        <v>225.17036480467209</v>
      </c>
      <c r="E1140" s="52">
        <v>1383373.4275832055</v>
      </c>
      <c r="F1140" s="52" t="s">
        <v>1215</v>
      </c>
      <c r="G1140" s="26">
        <f t="shared" si="14"/>
        <v>-6.281868243932287E-3</v>
      </c>
    </row>
    <row r="1141" spans="1:7">
      <c r="A1141" s="52">
        <v>225.11525478269257</v>
      </c>
      <c r="B1141" s="52">
        <v>228.50452113443328</v>
      </c>
      <c r="C1141" s="52">
        <v>224.408009500622</v>
      </c>
      <c r="D1141" s="52">
        <v>225.06014476071303</v>
      </c>
      <c r="E1141" s="52">
        <v>1335968.9826898493</v>
      </c>
      <c r="F1141" s="52" t="s">
        <v>1216</v>
      </c>
      <c r="G1141" s="26">
        <f t="shared" si="14"/>
        <v>2.4486797534994942E-4</v>
      </c>
    </row>
    <row r="1142" spans="1:7">
      <c r="A1142" s="52">
        <v>224.53659955190756</v>
      </c>
      <c r="B1142" s="52">
        <v>227.18739160912267</v>
      </c>
      <c r="C1142" s="52">
        <v>224.50904454091781</v>
      </c>
      <c r="D1142" s="52">
        <v>226.19908521495654</v>
      </c>
      <c r="E1142" s="52">
        <v>992505.86436569528</v>
      </c>
      <c r="F1142" s="52" t="s">
        <v>1217</v>
      </c>
      <c r="G1142" s="26">
        <f t="shared" si="14"/>
        <v>-7.349656880659472E-3</v>
      </c>
    </row>
    <row r="1143" spans="1:7">
      <c r="A1143" s="52">
        <v>226.48382032851742</v>
      </c>
      <c r="B1143" s="52">
        <v>226.99818053365962</v>
      </c>
      <c r="C1143" s="52">
        <v>224.11408938339787</v>
      </c>
      <c r="D1143" s="52">
        <v>224.81214966180517</v>
      </c>
      <c r="E1143" s="52">
        <v>1367142.6229514754</v>
      </c>
      <c r="F1143" s="52" t="s">
        <v>1218</v>
      </c>
      <c r="G1143" s="26">
        <f t="shared" si="14"/>
        <v>7.4358555319498087E-3</v>
      </c>
    </row>
    <row r="1144" spans="1:7">
      <c r="A1144" s="52">
        <v>225.29895485595762</v>
      </c>
      <c r="B1144" s="52">
        <v>227.41150569850606</v>
      </c>
      <c r="C1144" s="52">
        <v>224.30697446032622</v>
      </c>
      <c r="D1144" s="52">
        <v>227.20943561791447</v>
      </c>
      <c r="E1144" s="52">
        <v>1380338.0450159085</v>
      </c>
      <c r="F1144" s="52" t="s">
        <v>1219</v>
      </c>
      <c r="G1144" s="26">
        <f t="shared" si="14"/>
        <v>-8.4084569672959741E-3</v>
      </c>
    </row>
    <row r="1145" spans="1:7">
      <c r="A1145" s="52">
        <v>228.34837607215798</v>
      </c>
      <c r="B1145" s="52">
        <v>231.83867746419449</v>
      </c>
      <c r="C1145" s="52">
        <v>228.31163605750496</v>
      </c>
      <c r="D1145" s="52">
        <v>230.51603693668591</v>
      </c>
      <c r="E1145" s="52">
        <v>1420091.9758129965</v>
      </c>
      <c r="F1145" s="52" t="s">
        <v>1220</v>
      </c>
      <c r="G1145" s="26">
        <f t="shared" ref="G1145:G1208" si="15">A1145/D1145-1</f>
        <v>-9.4035143642665631E-3</v>
      </c>
    </row>
    <row r="1146" spans="1:7">
      <c r="A1146" s="52">
        <v>229.03725134690202</v>
      </c>
      <c r="B1146" s="52">
        <v>231.04876714915466</v>
      </c>
      <c r="C1146" s="52">
        <v>227.1451405922717</v>
      </c>
      <c r="D1146" s="52">
        <v>230.21293181579853</v>
      </c>
      <c r="E1146" s="52">
        <v>1754063.5355927837</v>
      </c>
      <c r="F1146" s="52" t="s">
        <v>1221</v>
      </c>
      <c r="G1146" s="26">
        <f t="shared" si="15"/>
        <v>-5.1069262687519767E-3</v>
      </c>
    </row>
    <row r="1147" spans="1:7">
      <c r="A1147" s="52">
        <v>229.49650153006473</v>
      </c>
      <c r="B1147" s="52">
        <v>229.72612662164607</v>
      </c>
      <c r="C1147" s="52">
        <v>224.11408938339787</v>
      </c>
      <c r="D1147" s="52">
        <v>225.07851476803955</v>
      </c>
      <c r="E1147" s="52">
        <v>2062160.3098293929</v>
      </c>
      <c r="F1147" s="52" t="s">
        <v>1222</v>
      </c>
      <c r="G1147" s="26">
        <f t="shared" si="15"/>
        <v>1.9628647214854134E-2</v>
      </c>
    </row>
    <row r="1148" spans="1:7">
      <c r="A1148" s="52">
        <v>224.21512442369368</v>
      </c>
      <c r="B1148" s="52">
        <v>225.85005507575286</v>
      </c>
      <c r="C1148" s="52">
        <v>223.36091908301105</v>
      </c>
      <c r="D1148" s="52">
        <v>224.31615946398946</v>
      </c>
      <c r="E1148" s="52">
        <v>1436139.8736042294</v>
      </c>
      <c r="F1148" s="52" t="s">
        <v>1223</v>
      </c>
      <c r="G1148" s="26">
        <f t="shared" si="15"/>
        <v>-4.5041356154285062E-4</v>
      </c>
    </row>
    <row r="1149" spans="1:7">
      <c r="A1149" s="52">
        <v>223.82016926617374</v>
      </c>
      <c r="B1149" s="52">
        <v>225.03258974972326</v>
      </c>
      <c r="C1149" s="52">
        <v>223.05781396212365</v>
      </c>
      <c r="D1149" s="52">
        <v>224.75703963982565</v>
      </c>
      <c r="E1149" s="52">
        <v>1480322.7628962114</v>
      </c>
      <c r="F1149" s="52" t="s">
        <v>1224</v>
      </c>
      <c r="G1149" s="26">
        <f t="shared" si="15"/>
        <v>-4.1683694319575304E-3</v>
      </c>
    </row>
    <row r="1150" spans="1:7">
      <c r="A1150" s="52">
        <v>224.11408938339787</v>
      </c>
      <c r="B1150" s="52">
        <v>225.75820503912033</v>
      </c>
      <c r="C1150" s="52">
        <v>222.98433393281763</v>
      </c>
      <c r="D1150" s="52">
        <v>225.20710481932508</v>
      </c>
      <c r="E1150" s="52">
        <v>1645713.0072221258</v>
      </c>
      <c r="F1150" s="52" t="s">
        <v>1225</v>
      </c>
      <c r="G1150" s="26">
        <f t="shared" si="15"/>
        <v>-4.8533790121945142E-3</v>
      </c>
    </row>
    <row r="1151" spans="1:7">
      <c r="A1151" s="52">
        <v>225.03258974972326</v>
      </c>
      <c r="B1151" s="52">
        <v>226.6215953834662</v>
      </c>
      <c r="C1151" s="52">
        <v>222.19442361777777</v>
      </c>
      <c r="D1151" s="52">
        <v>225.61124498050827</v>
      </c>
      <c r="E1151" s="52">
        <v>1394710.3855004448</v>
      </c>
      <c r="F1151" s="52" t="s">
        <v>1226</v>
      </c>
      <c r="G1151" s="26">
        <f t="shared" si="15"/>
        <v>-2.5648332858364542E-3</v>
      </c>
    </row>
    <row r="1152" spans="1:7">
      <c r="A1152" s="52">
        <v>225.84087007208961</v>
      </c>
      <c r="B1152" s="52">
        <v>226.57567036514996</v>
      </c>
      <c r="C1152" s="52">
        <v>221.70761842362532</v>
      </c>
      <c r="D1152" s="52">
        <v>224.11408938339787</v>
      </c>
      <c r="E1152" s="52">
        <v>1154230.3507633139</v>
      </c>
      <c r="F1152" s="52" t="s">
        <v>1227</v>
      </c>
      <c r="G1152" s="26">
        <f t="shared" si="15"/>
        <v>7.7049180327868338E-3</v>
      </c>
    </row>
    <row r="1153" spans="1:7">
      <c r="A1153" s="52">
        <v>223.80179925884724</v>
      </c>
      <c r="B1153" s="52">
        <v>225.41835990357993</v>
      </c>
      <c r="C1153" s="52">
        <v>223.02107394747065</v>
      </c>
      <c r="D1153" s="52">
        <v>224.37126948596898</v>
      </c>
      <c r="E1153" s="52">
        <v>1674297.6447057636</v>
      </c>
      <c r="F1153" s="52" t="s">
        <v>1228</v>
      </c>
      <c r="G1153" s="26">
        <f t="shared" si="15"/>
        <v>-2.5380710659897998E-3</v>
      </c>
    </row>
    <row r="1154" spans="1:7">
      <c r="A1154" s="52">
        <v>225.28058484863115</v>
      </c>
      <c r="B1154" s="52">
        <v>225.59287497318178</v>
      </c>
      <c r="C1154" s="52">
        <v>221.67207245944851</v>
      </c>
      <c r="D1154" s="52">
        <v>222.71796882658325</v>
      </c>
      <c r="E1154" s="52">
        <v>1112612.5121630649</v>
      </c>
      <c r="F1154" s="52" t="s">
        <v>1229</v>
      </c>
      <c r="G1154" s="26">
        <f t="shared" si="15"/>
        <v>1.150610359617299E-2</v>
      </c>
    </row>
    <row r="1155" spans="1:7">
      <c r="A1155" s="52">
        <v>223.84772427716351</v>
      </c>
      <c r="B1155" s="52">
        <v>225.34487987427391</v>
      </c>
      <c r="C1155" s="52">
        <v>219.89734605163457</v>
      </c>
      <c r="D1155" s="52">
        <v>221.27592325145238</v>
      </c>
      <c r="E1155" s="52">
        <v>2167073.7138223764</v>
      </c>
      <c r="F1155" s="52" t="s">
        <v>1230</v>
      </c>
      <c r="G1155" s="26">
        <f t="shared" si="15"/>
        <v>1.1622597650574829E-2</v>
      </c>
    </row>
    <row r="1156" spans="1:7">
      <c r="A1156" s="52">
        <v>224.18756941270391</v>
      </c>
      <c r="B1156" s="52">
        <v>231.72845742023543</v>
      </c>
      <c r="C1156" s="52">
        <v>222.63530379361396</v>
      </c>
      <c r="D1156" s="52">
        <v>229.62509158135029</v>
      </c>
      <c r="E1156" s="52">
        <v>2259944.6620847741</v>
      </c>
      <c r="F1156" s="52" t="s">
        <v>1231</v>
      </c>
      <c r="G1156" s="26">
        <f t="shared" si="15"/>
        <v>-2.3680000000000034E-2</v>
      </c>
    </row>
    <row r="1157" spans="1:7">
      <c r="A1157" s="52">
        <v>226.89714549336384</v>
      </c>
      <c r="B1157" s="52">
        <v>227.19106561058797</v>
      </c>
      <c r="C1157" s="52">
        <v>222.55080175991205</v>
      </c>
      <c r="D1157" s="52">
        <v>222.79144885588929</v>
      </c>
      <c r="E1157" s="52">
        <v>1765250.2486053288</v>
      </c>
      <c r="F1157" s="52" t="s">
        <v>1232</v>
      </c>
      <c r="G1157" s="26">
        <f t="shared" si="15"/>
        <v>1.8428430079155733E-2</v>
      </c>
    </row>
    <row r="1158" spans="1:7">
      <c r="A1158" s="52">
        <v>223.10373898043994</v>
      </c>
      <c r="B1158" s="52">
        <v>223.65483920023516</v>
      </c>
      <c r="C1158" s="52">
        <v>221.56065836501327</v>
      </c>
      <c r="D1158" s="52">
        <v>223.23232903172547</v>
      </c>
      <c r="E1158" s="52">
        <v>1921161.9991611976</v>
      </c>
      <c r="F1158" s="52" t="s">
        <v>1233</v>
      </c>
      <c r="G1158" s="26">
        <f t="shared" si="15"/>
        <v>-5.7603686635931961E-4</v>
      </c>
    </row>
    <row r="1159" spans="1:7">
      <c r="A1159" s="52">
        <v>223.24151403538875</v>
      </c>
      <c r="B1159" s="52">
        <v>223.7099492222147</v>
      </c>
      <c r="C1159" s="52">
        <v>219.78795265800522</v>
      </c>
      <c r="D1159" s="52">
        <v>220.37579289245349</v>
      </c>
      <c r="E1159" s="52">
        <v>1048880.3655617631</v>
      </c>
      <c r="F1159" s="52" t="s">
        <v>1234</v>
      </c>
      <c r="G1159" s="26">
        <f t="shared" si="15"/>
        <v>1.3003792772892098E-2</v>
      </c>
    </row>
    <row r="1160" spans="1:7">
      <c r="A1160" s="52">
        <v>220.06350276790286</v>
      </c>
      <c r="B1160" s="52">
        <v>220.74319303898366</v>
      </c>
      <c r="C1160" s="52">
        <v>217.73051183743635</v>
      </c>
      <c r="D1160" s="52">
        <v>218.75923224772077</v>
      </c>
      <c r="E1160" s="52">
        <v>1999109.7089551813</v>
      </c>
      <c r="F1160" s="52" t="s">
        <v>1235</v>
      </c>
      <c r="G1160" s="26">
        <f t="shared" si="15"/>
        <v>5.9621278918420284E-3</v>
      </c>
    </row>
    <row r="1161" spans="1:7">
      <c r="A1161" s="52">
        <v>219.20929742722024</v>
      </c>
      <c r="B1161" s="52">
        <v>226.81448046039455</v>
      </c>
      <c r="C1161" s="52">
        <v>218.69493722207801</v>
      </c>
      <c r="D1161" s="52">
        <v>225.03258974972326</v>
      </c>
      <c r="E1161" s="52">
        <v>1600947.6467416561</v>
      </c>
      <c r="F1161" s="52" t="s">
        <v>1236</v>
      </c>
      <c r="G1161" s="26">
        <f t="shared" si="15"/>
        <v>-2.5877551020408118E-2</v>
      </c>
    </row>
    <row r="1162" spans="1:7">
      <c r="A1162" s="52">
        <v>225.03258974972326</v>
      </c>
      <c r="B1162" s="52">
        <v>227.42069070216931</v>
      </c>
      <c r="C1162" s="52">
        <v>224.98666473140699</v>
      </c>
      <c r="D1162" s="52">
        <v>227.24617563256749</v>
      </c>
      <c r="E1162" s="52">
        <v>1283560.7292314654</v>
      </c>
      <c r="F1162" s="52" t="s">
        <v>1237</v>
      </c>
      <c r="G1162" s="26">
        <f t="shared" si="15"/>
        <v>-9.7409158886060387E-3</v>
      </c>
    </row>
    <row r="1163" spans="1:7">
      <c r="A1163" s="52">
        <v>226.27256524426255</v>
      </c>
      <c r="B1163" s="52">
        <v>227.1451405922717</v>
      </c>
      <c r="C1163" s="52">
        <v>225.82250006476312</v>
      </c>
      <c r="D1163" s="52">
        <v>226.68589040910899</v>
      </c>
      <c r="E1163" s="52">
        <v>1358004.902044975</v>
      </c>
      <c r="F1163" s="52" t="s">
        <v>1238</v>
      </c>
      <c r="G1163" s="26">
        <f t="shared" si="15"/>
        <v>-1.8233387358185249E-3</v>
      </c>
    </row>
    <row r="1164" spans="1:7">
      <c r="A1164" s="52">
        <v>226.3276752662421</v>
      </c>
      <c r="B1164" s="52">
        <v>227.20025061425122</v>
      </c>
      <c r="C1164" s="52">
        <v>225.20710481932508</v>
      </c>
      <c r="D1164" s="52">
        <v>226.97981052633313</v>
      </c>
      <c r="E1164" s="52">
        <v>881700.24715384142</v>
      </c>
      <c r="F1164" s="52" t="s">
        <v>1239</v>
      </c>
      <c r="G1164" s="26">
        <f t="shared" si="15"/>
        <v>-2.8730980899966951E-3</v>
      </c>
    </row>
    <row r="1165" spans="1:7">
      <c r="A1165" s="52">
        <v>226.95225551534335</v>
      </c>
      <c r="B1165" s="52">
        <v>227.20025061425122</v>
      </c>
      <c r="C1165" s="52">
        <v>225.62502248600316</v>
      </c>
      <c r="D1165" s="52">
        <v>226.50219033584392</v>
      </c>
      <c r="E1165" s="52">
        <v>1134378.4261822188</v>
      </c>
      <c r="F1165" s="52" t="s">
        <v>1240</v>
      </c>
      <c r="G1165" s="26">
        <f t="shared" si="15"/>
        <v>1.9870235198702346E-3</v>
      </c>
    </row>
    <row r="1166" spans="1:7">
      <c r="A1166" s="52">
        <v>226.38278528822161</v>
      </c>
      <c r="B1166" s="52">
        <v>228.22897102453567</v>
      </c>
      <c r="C1166" s="52">
        <v>225.40458239808507</v>
      </c>
      <c r="D1166" s="52">
        <v>227.74216583038319</v>
      </c>
      <c r="E1166" s="52">
        <v>673986.66641433211</v>
      </c>
      <c r="F1166" s="52" t="s">
        <v>1241</v>
      </c>
      <c r="G1166" s="26">
        <f t="shared" si="15"/>
        <v>-5.968945351885413E-3</v>
      </c>
    </row>
    <row r="1167" spans="1:7">
      <c r="A1167" s="52">
        <v>226.77774044574153</v>
      </c>
      <c r="B1167" s="52">
        <v>227.85238587434225</v>
      </c>
      <c r="C1167" s="52">
        <v>223.48032413063333</v>
      </c>
      <c r="D1167" s="52">
        <v>224.5457845555708</v>
      </c>
      <c r="E1167" s="52">
        <v>1109840.6025445794</v>
      </c>
      <c r="F1167" s="52" t="s">
        <v>1242</v>
      </c>
      <c r="G1167" s="26">
        <f t="shared" si="15"/>
        <v>9.9398699226898035E-3</v>
      </c>
    </row>
    <row r="1168" spans="1:7">
      <c r="A1168" s="52">
        <v>222.94759391816461</v>
      </c>
      <c r="B1168" s="52">
        <v>223.15884900241946</v>
      </c>
      <c r="C1168" s="52">
        <v>219.66854761038292</v>
      </c>
      <c r="D1168" s="52">
        <v>219.98083773493357</v>
      </c>
      <c r="E1168" s="52">
        <v>910776.99113691167</v>
      </c>
      <c r="F1168" s="52" t="s">
        <v>1243</v>
      </c>
      <c r="G1168" s="26">
        <f t="shared" si="15"/>
        <v>1.3486430062630506E-2</v>
      </c>
    </row>
    <row r="1169" spans="1:7">
      <c r="A1169" s="52">
        <v>219.01641235029189</v>
      </c>
      <c r="B1169" s="52">
        <v>221.29429325877891</v>
      </c>
      <c r="C1169" s="52">
        <v>218.76841725138405</v>
      </c>
      <c r="D1169" s="52">
        <v>221.21162822580962</v>
      </c>
      <c r="E1169" s="52">
        <v>948953.35043471237</v>
      </c>
      <c r="F1169" s="52" t="s">
        <v>1244</v>
      </c>
      <c r="G1169" s="26">
        <f t="shared" si="15"/>
        <v>-9.9236007307756946E-3</v>
      </c>
    </row>
    <row r="1170" spans="1:7">
      <c r="A1170" s="52">
        <v>221.50554834303372</v>
      </c>
      <c r="B1170" s="52">
        <v>224.09571937607134</v>
      </c>
      <c r="C1170" s="52">
        <v>220.61460298769808</v>
      </c>
      <c r="D1170" s="52">
        <v>223.11292398410319</v>
      </c>
      <c r="E1170" s="52">
        <v>1394770.2657160838</v>
      </c>
      <c r="F1170" s="52" t="s">
        <v>1245</v>
      </c>
      <c r="G1170" s="26">
        <f t="shared" si="15"/>
        <v>-7.2043143551110411E-3</v>
      </c>
    </row>
    <row r="1171" spans="1:7">
      <c r="A1171" s="52">
        <v>222.90166889984835</v>
      </c>
      <c r="B1171" s="52">
        <v>223.55839666177101</v>
      </c>
      <c r="C1171" s="52">
        <v>221.13814819650355</v>
      </c>
      <c r="D1171" s="52">
        <v>221.13814819650355</v>
      </c>
      <c r="E1171" s="52">
        <v>1097737.1778671616</v>
      </c>
      <c r="F1171" s="52" t="s">
        <v>1246</v>
      </c>
      <c r="G1171" s="26">
        <f t="shared" si="15"/>
        <v>7.9747466356538954E-3</v>
      </c>
    </row>
    <row r="1172" spans="1:7">
      <c r="A1172" s="52">
        <v>220.2931278594842</v>
      </c>
      <c r="B1172" s="52">
        <v>221.97398352985968</v>
      </c>
      <c r="C1172" s="52">
        <v>218.44694212317015</v>
      </c>
      <c r="D1172" s="52">
        <v>219.10826238692445</v>
      </c>
      <c r="E1172" s="52">
        <v>1275912.3925975841</v>
      </c>
      <c r="F1172" s="52" t="s">
        <v>1247</v>
      </c>
      <c r="G1172" s="26">
        <f t="shared" si="15"/>
        <v>5.4076713477257954E-3</v>
      </c>
    </row>
    <row r="1173" spans="1:7">
      <c r="A1173" s="52">
        <v>218.96130232831237</v>
      </c>
      <c r="B1173" s="52">
        <v>219.14500240157744</v>
      </c>
      <c r="C1173" s="52">
        <v>215.96699113409156</v>
      </c>
      <c r="D1173" s="52">
        <v>216.60994139051937</v>
      </c>
      <c r="E1173" s="52">
        <v>1720604.6485561372</v>
      </c>
      <c r="F1173" s="52" t="s">
        <v>1248</v>
      </c>
      <c r="G1173" s="26">
        <f t="shared" si="15"/>
        <v>1.0855277106390115E-2</v>
      </c>
    </row>
    <row r="1174" spans="1:7">
      <c r="A1174" s="52">
        <v>216.60994139051937</v>
      </c>
      <c r="B1174" s="52">
        <v>219.14500240157744</v>
      </c>
      <c r="C1174" s="52">
        <v>216.46298133190726</v>
      </c>
      <c r="D1174" s="52">
        <v>218.97048733197562</v>
      </c>
      <c r="E1174" s="52">
        <v>961952.80088432704</v>
      </c>
      <c r="F1174" s="52" t="s">
        <v>1249</v>
      </c>
      <c r="G1174" s="26">
        <f t="shared" si="15"/>
        <v>-1.0780201342281748E-2</v>
      </c>
    </row>
    <row r="1175" spans="1:7">
      <c r="A1175" s="52">
        <v>219.1358173979142</v>
      </c>
      <c r="B1175" s="52">
        <v>222.81900386687906</v>
      </c>
      <c r="C1175" s="52">
        <v>219.0715223722714</v>
      </c>
      <c r="D1175" s="52">
        <v>222.25871864342054</v>
      </c>
      <c r="E1175" s="52">
        <v>1701125.0700431969</v>
      </c>
      <c r="F1175" s="52" t="s">
        <v>1250</v>
      </c>
      <c r="G1175" s="26">
        <f t="shared" si="15"/>
        <v>-1.4050747995702051E-2</v>
      </c>
    </row>
    <row r="1176" spans="1:7">
      <c r="A1176" s="52">
        <v>222.04746355916572</v>
      </c>
      <c r="B1176" s="52">
        <v>227.9809759256278</v>
      </c>
      <c r="C1176" s="52">
        <v>221.45594932325216</v>
      </c>
      <c r="D1176" s="52">
        <v>226.09805017466073</v>
      </c>
      <c r="E1176" s="52">
        <v>1432959.6897882055</v>
      </c>
      <c r="F1176" s="52" t="s">
        <v>1251</v>
      </c>
      <c r="G1176" s="26">
        <f t="shared" si="15"/>
        <v>-1.791517712057189E-2</v>
      </c>
    </row>
    <row r="1177" spans="1:7">
      <c r="A1177" s="52">
        <v>225.26221484130463</v>
      </c>
      <c r="B1177" s="52">
        <v>225.34487987427391</v>
      </c>
      <c r="C1177" s="52">
        <v>221.78109845293136</v>
      </c>
      <c r="D1177" s="52">
        <v>222.30464366173683</v>
      </c>
      <c r="E1177" s="52">
        <v>1351172.0250749765</v>
      </c>
      <c r="F1177" s="52" t="s">
        <v>1252</v>
      </c>
      <c r="G1177" s="26">
        <f t="shared" si="15"/>
        <v>1.3304135850927601E-2</v>
      </c>
    </row>
    <row r="1178" spans="1:7">
      <c r="A1178" s="52">
        <v>223.25069903905199</v>
      </c>
      <c r="B1178" s="52">
        <v>225.15199479734557</v>
      </c>
      <c r="C1178" s="52">
        <v>220.94526311957526</v>
      </c>
      <c r="D1178" s="52">
        <v>220.94526311957526</v>
      </c>
      <c r="E1178" s="52">
        <v>1674534.9881059323</v>
      </c>
      <c r="F1178" s="52" t="s">
        <v>1253</v>
      </c>
      <c r="G1178" s="26">
        <f t="shared" si="15"/>
        <v>1.0434421118270532E-2</v>
      </c>
    </row>
    <row r="1179" spans="1:7">
      <c r="A1179" s="52">
        <v>220.94526311957526</v>
      </c>
      <c r="B1179" s="52">
        <v>227.13595558860843</v>
      </c>
      <c r="C1179" s="52">
        <v>220.54112295839207</v>
      </c>
      <c r="D1179" s="52">
        <v>223.75587424053097</v>
      </c>
      <c r="E1179" s="52">
        <v>2442112.2541015232</v>
      </c>
      <c r="F1179" s="52" t="s">
        <v>1254</v>
      </c>
      <c r="G1179" s="26">
        <f t="shared" si="15"/>
        <v>-1.2561060711793415E-2</v>
      </c>
    </row>
    <row r="1180" spans="1:7">
      <c r="A1180" s="52">
        <v>224.73866963249915</v>
      </c>
      <c r="B1180" s="52">
        <v>226.34604527356859</v>
      </c>
      <c r="C1180" s="52">
        <v>221.28418975474932</v>
      </c>
      <c r="D1180" s="52">
        <v>226.34604527356859</v>
      </c>
      <c r="E1180" s="52">
        <v>1848600.2425811375</v>
      </c>
      <c r="F1180" s="52" t="s">
        <v>1255</v>
      </c>
      <c r="G1180" s="26">
        <f t="shared" si="15"/>
        <v>-7.1014081077790392E-3</v>
      </c>
    </row>
    <row r="1181" spans="1:7">
      <c r="A1181" s="52">
        <v>225.7857600501101</v>
      </c>
      <c r="B1181" s="52">
        <v>232.17393009790328</v>
      </c>
      <c r="C1181" s="52">
        <v>225.75820503912033</v>
      </c>
      <c r="D1181" s="52">
        <v>231.33350226271554</v>
      </c>
      <c r="E1181" s="52">
        <v>2226688.2790501066</v>
      </c>
      <c r="F1181" s="52" t="s">
        <v>1256</v>
      </c>
      <c r="G1181" s="26">
        <f t="shared" si="15"/>
        <v>-2.3981577066624404E-2</v>
      </c>
    </row>
    <row r="1182" spans="1:7">
      <c r="A1182" s="52">
        <v>231.26920723707275</v>
      </c>
      <c r="B1182" s="52">
        <v>231.85704747152101</v>
      </c>
      <c r="C1182" s="52">
        <v>229.55161155204422</v>
      </c>
      <c r="D1182" s="52">
        <v>229.55161155204422</v>
      </c>
      <c r="E1182" s="52">
        <v>917948.46350806847</v>
      </c>
      <c r="F1182" s="52" t="s">
        <v>1257</v>
      </c>
      <c r="G1182" s="26">
        <f t="shared" si="15"/>
        <v>7.4823943661972425E-3</v>
      </c>
    </row>
    <row r="1183" spans="1:7">
      <c r="A1183" s="52">
        <v>229.3770964824424</v>
      </c>
      <c r="B1183" s="52">
        <v>230.5987019696552</v>
      </c>
      <c r="C1183" s="52">
        <v>227.54928075345487</v>
      </c>
      <c r="D1183" s="52">
        <v>230.25885683411479</v>
      </c>
      <c r="E1183" s="52">
        <v>1518971.6315319627</v>
      </c>
      <c r="F1183" s="52" t="s">
        <v>1258</v>
      </c>
      <c r="G1183" s="26">
        <f t="shared" si="15"/>
        <v>-3.8294307710718956E-3</v>
      </c>
    </row>
    <row r="1184" spans="1:7">
      <c r="A1184" s="52">
        <v>230.9385471051956</v>
      </c>
      <c r="B1184" s="52">
        <v>231.99482252646982</v>
      </c>
      <c r="C1184" s="52">
        <v>229.2209514201671</v>
      </c>
      <c r="D1184" s="52">
        <v>231.6182373762764</v>
      </c>
      <c r="E1184" s="52">
        <v>1201857.9855513242</v>
      </c>
      <c r="F1184" s="52" t="s">
        <v>1259</v>
      </c>
      <c r="G1184" s="26">
        <f t="shared" si="15"/>
        <v>-2.9345282944045481E-3</v>
      </c>
    </row>
    <row r="1185" spans="1:7">
      <c r="A1185" s="52">
        <v>232.54592274626506</v>
      </c>
      <c r="B1185" s="52">
        <v>233.8593782701104</v>
      </c>
      <c r="C1185" s="52">
        <v>231.86623247518426</v>
      </c>
      <c r="D1185" s="52">
        <v>232.58266276091805</v>
      </c>
      <c r="E1185" s="52">
        <v>1010644.1260483235</v>
      </c>
      <c r="F1185" s="52" t="s">
        <v>1260</v>
      </c>
      <c r="G1185" s="26">
        <f t="shared" si="15"/>
        <v>-1.5796540557611038E-4</v>
      </c>
    </row>
    <row r="1186" spans="1:7">
      <c r="A1186" s="52">
        <v>233.1337629807133</v>
      </c>
      <c r="B1186" s="52">
        <v>237.30375464383064</v>
      </c>
      <c r="C1186" s="52">
        <v>232.80310284883618</v>
      </c>
      <c r="D1186" s="52">
        <v>236.40362428483172</v>
      </c>
      <c r="E1186" s="52">
        <v>1738912.7523049412</v>
      </c>
      <c r="F1186" s="52" t="s">
        <v>1261</v>
      </c>
      <c r="G1186" s="26">
        <f t="shared" si="15"/>
        <v>-1.3831688553889165E-2</v>
      </c>
    </row>
    <row r="1187" spans="1:7">
      <c r="A1187" s="52">
        <v>235.870894072363</v>
      </c>
      <c r="B1187" s="52">
        <v>239.1499403801447</v>
      </c>
      <c r="C1187" s="52">
        <v>235.18201879761895</v>
      </c>
      <c r="D1187" s="52">
        <v>238.51617512738017</v>
      </c>
      <c r="E1187" s="52">
        <v>1735178.404311459</v>
      </c>
      <c r="F1187" s="52" t="s">
        <v>1262</v>
      </c>
      <c r="G1187" s="26">
        <f t="shared" si="15"/>
        <v>-1.1090573012939031E-2</v>
      </c>
    </row>
    <row r="1188" spans="1:7">
      <c r="A1188" s="52">
        <v>237.89159487827888</v>
      </c>
      <c r="B1188" s="52">
        <v>240.8491660578467</v>
      </c>
      <c r="C1188" s="52">
        <v>237.88240987461563</v>
      </c>
      <c r="D1188" s="52">
        <v>238.8100952446043</v>
      </c>
      <c r="E1188" s="52">
        <v>1217179.699636536</v>
      </c>
      <c r="F1188" s="52" t="s">
        <v>1263</v>
      </c>
      <c r="G1188" s="26">
        <f t="shared" si="15"/>
        <v>-3.8461538461539435E-3</v>
      </c>
    </row>
    <row r="1189" spans="1:7">
      <c r="A1189" s="52">
        <v>238.13958997718672</v>
      </c>
      <c r="B1189" s="52">
        <v>240.56443094428582</v>
      </c>
      <c r="C1189" s="52">
        <v>236.67917439472936</v>
      </c>
      <c r="D1189" s="52">
        <v>238.25899502480902</v>
      </c>
      <c r="E1189" s="52">
        <v>1517241.6376655945</v>
      </c>
      <c r="F1189" s="52" t="s">
        <v>1264</v>
      </c>
      <c r="G1189" s="26">
        <f t="shared" si="15"/>
        <v>-5.0115651503468417E-4</v>
      </c>
    </row>
    <row r="1190" spans="1:7">
      <c r="A1190" s="52">
        <v>240.60117095893881</v>
      </c>
      <c r="B1190" s="52">
        <v>241.50130131793773</v>
      </c>
      <c r="C1190" s="52">
        <v>239.18668039479772</v>
      </c>
      <c r="D1190" s="52">
        <v>240.64709597725508</v>
      </c>
      <c r="E1190" s="52">
        <v>3143917.0912393145</v>
      </c>
      <c r="F1190" s="52" t="s">
        <v>1265</v>
      </c>
      <c r="G1190" s="26">
        <f t="shared" si="15"/>
        <v>-1.9083969465649719E-4</v>
      </c>
    </row>
    <row r="1191" spans="1:7">
      <c r="A1191" s="52">
        <v>241.26249122269311</v>
      </c>
      <c r="B1191" s="52">
        <v>242.00647651941671</v>
      </c>
      <c r="C1191" s="52">
        <v>238.92031528856333</v>
      </c>
      <c r="D1191" s="52">
        <v>241.72174140585582</v>
      </c>
      <c r="E1191" s="52">
        <v>1268524.2627189336</v>
      </c>
      <c r="F1191" s="52" t="s">
        <v>1266</v>
      </c>
      <c r="G1191" s="26">
        <f t="shared" si="15"/>
        <v>-1.8999126040202263E-3</v>
      </c>
    </row>
    <row r="1192" spans="1:7">
      <c r="A1192" s="52">
        <v>240.35317586003097</v>
      </c>
      <c r="B1192" s="52">
        <v>242.2452866146613</v>
      </c>
      <c r="C1192" s="52">
        <v>238.57128514935968</v>
      </c>
      <c r="D1192" s="52">
        <v>239.90311068053151</v>
      </c>
      <c r="E1192" s="52">
        <v>2099817.3443479249</v>
      </c>
      <c r="F1192" s="52" t="s">
        <v>1267</v>
      </c>
      <c r="G1192" s="26">
        <f t="shared" si="15"/>
        <v>1.8760289444466061E-3</v>
      </c>
    </row>
    <row r="1193" spans="1:7">
      <c r="A1193" s="52">
        <v>239.22342040945071</v>
      </c>
      <c r="B1193" s="52">
        <v>239.97659070983752</v>
      </c>
      <c r="C1193" s="52">
        <v>237.4139746877897</v>
      </c>
      <c r="D1193" s="52">
        <v>237.60869676545067</v>
      </c>
      <c r="E1193" s="52">
        <v>1413600.9604377367</v>
      </c>
      <c r="F1193" s="52" t="s">
        <v>1268</v>
      </c>
      <c r="G1193" s="26">
        <f t="shared" si="15"/>
        <v>6.7957261917646061E-3</v>
      </c>
    </row>
    <row r="1194" spans="1:7">
      <c r="A1194" s="52">
        <v>237.52419473174874</v>
      </c>
      <c r="B1194" s="52">
        <v>239.31527044608328</v>
      </c>
      <c r="C1194" s="52">
        <v>237.19353459987158</v>
      </c>
      <c r="D1194" s="52">
        <v>238.32329005045185</v>
      </c>
      <c r="E1194" s="52">
        <v>1339937.4078899201</v>
      </c>
      <c r="F1194" s="52" t="s">
        <v>1269</v>
      </c>
      <c r="G1194" s="26">
        <f t="shared" si="15"/>
        <v>-3.3529887848307016E-3</v>
      </c>
    </row>
    <row r="1195" spans="1:7">
      <c r="A1195" s="52">
        <v>237.27619963284084</v>
      </c>
      <c r="B1195" s="52">
        <v>240.05007073914359</v>
      </c>
      <c r="C1195" s="52">
        <v>235.98111411632206</v>
      </c>
      <c r="D1195" s="52">
        <v>239.39793547905253</v>
      </c>
      <c r="E1195" s="52">
        <v>1315222.1210677507</v>
      </c>
      <c r="F1195" s="52" t="s">
        <v>1270</v>
      </c>
      <c r="G1195" s="26">
        <f t="shared" si="15"/>
        <v>-8.8627992633517616E-3</v>
      </c>
    </row>
    <row r="1196" spans="1:7">
      <c r="A1196" s="52">
        <v>238.94787029955307</v>
      </c>
      <c r="B1196" s="52">
        <v>241.81726544395366</v>
      </c>
      <c r="C1196" s="52">
        <v>238.69069019698199</v>
      </c>
      <c r="D1196" s="52">
        <v>240.1694757867659</v>
      </c>
      <c r="E1196" s="52">
        <v>1588049.448293031</v>
      </c>
      <c r="F1196" s="52" t="s">
        <v>1271</v>
      </c>
      <c r="G1196" s="26">
        <f t="shared" si="15"/>
        <v>-5.0864310845956107E-3</v>
      </c>
    </row>
    <row r="1197" spans="1:7">
      <c r="A1197" s="52">
        <v>241.45537629962143</v>
      </c>
      <c r="B1197" s="52">
        <v>242.48409670990588</v>
      </c>
      <c r="C1197" s="52">
        <v>236.41280928849497</v>
      </c>
      <c r="D1197" s="52">
        <v>236.7342844167089</v>
      </c>
      <c r="E1197" s="52">
        <v>2029620.3119200056</v>
      </c>
      <c r="F1197" s="52" t="s">
        <v>1272</v>
      </c>
      <c r="G1197" s="26">
        <f t="shared" si="15"/>
        <v>1.9942577791572713E-2</v>
      </c>
    </row>
    <row r="1198" spans="1:7">
      <c r="A1198" s="52">
        <v>236.0545941456281</v>
      </c>
      <c r="B1198" s="52">
        <v>236.97929313367092</v>
      </c>
      <c r="C1198" s="52">
        <v>233.38120697227654</v>
      </c>
      <c r="D1198" s="52">
        <v>236.0545941456281</v>
      </c>
      <c r="E1198" s="52">
        <v>1748724.0182046047</v>
      </c>
      <c r="F1198" s="52" t="s">
        <v>1273</v>
      </c>
      <c r="G1198" s="26">
        <f t="shared" si="15"/>
        <v>0</v>
      </c>
    </row>
    <row r="1199" spans="1:7">
      <c r="A1199" s="52">
        <v>236.0545941456281</v>
      </c>
      <c r="B1199" s="52">
        <v>236.93351595604508</v>
      </c>
      <c r="C1199" s="52">
        <v>233.00583411574431</v>
      </c>
      <c r="D1199" s="52">
        <v>233.92137766826198</v>
      </c>
      <c r="E1199" s="52">
        <v>1509266.2672356565</v>
      </c>
      <c r="F1199" s="52" t="s">
        <v>1274</v>
      </c>
      <c r="G1199" s="26">
        <f t="shared" si="15"/>
        <v>9.1193737769079686E-3</v>
      </c>
    </row>
    <row r="1200" spans="1:7">
      <c r="A1200" s="52">
        <v>233.58262655383044</v>
      </c>
      <c r="B1200" s="52">
        <v>233.82066787748502</v>
      </c>
      <c r="C1200" s="52">
        <v>231.29376767253629</v>
      </c>
      <c r="D1200" s="52">
        <v>232.16353404742807</v>
      </c>
      <c r="E1200" s="52">
        <v>1317196.7588912041</v>
      </c>
      <c r="F1200" s="52" t="s">
        <v>1275</v>
      </c>
      <c r="G1200" s="26">
        <f t="shared" si="15"/>
        <v>6.1124694376528677E-3</v>
      </c>
    </row>
    <row r="1201" spans="1:7">
      <c r="A1201" s="52">
        <v>231.14728070413346</v>
      </c>
      <c r="B1201" s="52">
        <v>231.71491770669442</v>
      </c>
      <c r="C1201" s="52">
        <v>228.33656199790425</v>
      </c>
      <c r="D1201" s="52">
        <v>230.69866436339981</v>
      </c>
      <c r="E1201" s="52">
        <v>1277905.3457180378</v>
      </c>
      <c r="F1201" s="52" t="s">
        <v>1276</v>
      </c>
      <c r="G1201" s="26">
        <f t="shared" si="15"/>
        <v>1.9445987776807172E-3</v>
      </c>
    </row>
    <row r="1202" spans="1:7">
      <c r="A1202" s="52">
        <v>230.44231216869485</v>
      </c>
      <c r="B1202" s="52">
        <v>230.90923938047888</v>
      </c>
      <c r="C1202" s="52">
        <v>228.30909569132874</v>
      </c>
      <c r="D1202" s="52">
        <v>229.22463924384638</v>
      </c>
      <c r="E1202" s="52">
        <v>1575161.548606049</v>
      </c>
      <c r="F1202" s="52" t="s">
        <v>1277</v>
      </c>
      <c r="G1202" s="26">
        <f t="shared" si="15"/>
        <v>5.3121380357070702E-3</v>
      </c>
    </row>
    <row r="1203" spans="1:7">
      <c r="A1203" s="52">
        <v>229.31619359909814</v>
      </c>
      <c r="B1203" s="52">
        <v>230.74444154102571</v>
      </c>
      <c r="C1203" s="52">
        <v>227.3019977835593</v>
      </c>
      <c r="D1203" s="52">
        <v>227.9245673992713</v>
      </c>
      <c r="E1203" s="52">
        <v>1089197.7746528508</v>
      </c>
      <c r="F1203" s="52" t="s">
        <v>1278</v>
      </c>
      <c r="G1203" s="26">
        <f t="shared" si="15"/>
        <v>6.1056437035549305E-3</v>
      </c>
    </row>
    <row r="1204" spans="1:7">
      <c r="A1204" s="52">
        <v>227.51257280063837</v>
      </c>
      <c r="B1204" s="52">
        <v>228.90419900046521</v>
      </c>
      <c r="C1204" s="52">
        <v>226.5512520704948</v>
      </c>
      <c r="D1204" s="52">
        <v>227.22875429935789</v>
      </c>
      <c r="E1204" s="52">
        <v>1234156.4711944226</v>
      </c>
      <c r="F1204" s="52" t="s">
        <v>1279</v>
      </c>
      <c r="G1204" s="26">
        <f t="shared" si="15"/>
        <v>1.2490430718401502E-3</v>
      </c>
    </row>
    <row r="1205" spans="1:7">
      <c r="A1205" s="52">
        <v>226.62449555469624</v>
      </c>
      <c r="B1205" s="52">
        <v>227.44848475196213</v>
      </c>
      <c r="C1205" s="52">
        <v>225.3427345811715</v>
      </c>
      <c r="D1205" s="52">
        <v>225.63570851797715</v>
      </c>
      <c r="E1205" s="52">
        <v>1239651.5675076074</v>
      </c>
      <c r="F1205" s="52" t="s">
        <v>1280</v>
      </c>
      <c r="G1205" s="26">
        <f t="shared" si="15"/>
        <v>4.3822276323799425E-3</v>
      </c>
    </row>
    <row r="1206" spans="1:7">
      <c r="A1206" s="52">
        <v>226.13925747186187</v>
      </c>
      <c r="B1206" s="52">
        <v>226.9815575401781</v>
      </c>
      <c r="C1206" s="52">
        <v>223.91448663924396</v>
      </c>
      <c r="D1206" s="52">
        <v>225.92868245478283</v>
      </c>
      <c r="E1206" s="52">
        <v>1222889.9399937661</v>
      </c>
      <c r="F1206" s="52" t="s">
        <v>1281</v>
      </c>
      <c r="G1206" s="26">
        <f t="shared" si="15"/>
        <v>9.3204198241259029E-4</v>
      </c>
    </row>
    <row r="1207" spans="1:7">
      <c r="A1207" s="52">
        <v>226.93578036255224</v>
      </c>
      <c r="B1207" s="52">
        <v>228.69362398338615</v>
      </c>
      <c r="C1207" s="52">
        <v>226.75267165204869</v>
      </c>
      <c r="D1207" s="52">
        <v>228.56544788603367</v>
      </c>
      <c r="E1207" s="52">
        <v>976089.01023063331</v>
      </c>
      <c r="F1207" s="52" t="s">
        <v>1282</v>
      </c>
      <c r="G1207" s="26">
        <f t="shared" si="15"/>
        <v>-7.1299819747646653E-3</v>
      </c>
    </row>
    <row r="1208" spans="1:7">
      <c r="A1208" s="52">
        <v>228.74855659653718</v>
      </c>
      <c r="B1208" s="52">
        <v>229.75565450430662</v>
      </c>
      <c r="C1208" s="52">
        <v>228.03443262557343</v>
      </c>
      <c r="D1208" s="52">
        <v>228.88588812941484</v>
      </c>
      <c r="E1208" s="52">
        <v>1404959.9240394293</v>
      </c>
      <c r="F1208" s="52" t="s">
        <v>1283</v>
      </c>
      <c r="G1208" s="26">
        <f t="shared" si="15"/>
        <v>-6.0000000000004494E-4</v>
      </c>
    </row>
    <row r="1209" spans="1:7">
      <c r="A1209" s="52">
        <v>228.2450076426525</v>
      </c>
      <c r="B1209" s="52">
        <v>228.74397887877461</v>
      </c>
      <c r="C1209" s="52">
        <v>225.38851175879739</v>
      </c>
      <c r="D1209" s="52">
        <v>226.59702924812069</v>
      </c>
      <c r="E1209" s="52">
        <v>1293727.6405287706</v>
      </c>
      <c r="F1209" s="52" t="s">
        <v>1284</v>
      </c>
      <c r="G1209" s="26">
        <f t="shared" ref="G1209:G1272" si="16">A1209/D1209-1</f>
        <v>7.2727272727273196E-3</v>
      </c>
    </row>
    <row r="1210" spans="1:7">
      <c r="A1210" s="52">
        <v>226.94493579807741</v>
      </c>
      <c r="B1210" s="52">
        <v>229.06899683991838</v>
      </c>
      <c r="C1210" s="52">
        <v>226.26743356921432</v>
      </c>
      <c r="D1210" s="52">
        <v>227.86047935059506</v>
      </c>
      <c r="E1210" s="52">
        <v>1407045.0241908643</v>
      </c>
      <c r="F1210" s="52" t="s">
        <v>1285</v>
      </c>
      <c r="G1210" s="26">
        <f t="shared" si="16"/>
        <v>-4.0180006428800485E-3</v>
      </c>
    </row>
    <row r="1211" spans="1:7">
      <c r="A1211" s="52">
        <v>227.33861952565999</v>
      </c>
      <c r="B1211" s="52">
        <v>232.95090150259327</v>
      </c>
      <c r="C1211" s="52">
        <v>227.29284234803413</v>
      </c>
      <c r="D1211" s="52">
        <v>232.24593296715466</v>
      </c>
      <c r="E1211" s="52">
        <v>1661249.2063512874</v>
      </c>
      <c r="F1211" s="52" t="s">
        <v>1286</v>
      </c>
      <c r="G1211" s="26">
        <f t="shared" si="16"/>
        <v>-2.1129814325698826E-2</v>
      </c>
    </row>
    <row r="1212" spans="1:7">
      <c r="A1212" s="52">
        <v>232.07197969217628</v>
      </c>
      <c r="B1212" s="52">
        <v>232.67623843683793</v>
      </c>
      <c r="C1212" s="52">
        <v>227.9337228347965</v>
      </c>
      <c r="D1212" s="52">
        <v>228.61122506365953</v>
      </c>
      <c r="E1212" s="52">
        <v>2607831.1549836919</v>
      </c>
      <c r="F1212" s="52" t="s">
        <v>1287</v>
      </c>
      <c r="G1212" s="26">
        <f t="shared" si="16"/>
        <v>1.5138165798958658E-2</v>
      </c>
    </row>
    <row r="1213" spans="1:7">
      <c r="A1213" s="52">
        <v>228.52882614393297</v>
      </c>
      <c r="B1213" s="52">
        <v>228.73940116101204</v>
      </c>
      <c r="C1213" s="52">
        <v>225.86459440610656</v>
      </c>
      <c r="D1213" s="52">
        <v>227.027334717804</v>
      </c>
      <c r="E1213" s="52">
        <v>1367216.2253317335</v>
      </c>
      <c r="F1213" s="52" t="s">
        <v>1288</v>
      </c>
      <c r="G1213" s="26">
        <f t="shared" si="16"/>
        <v>6.6137032705571031E-3</v>
      </c>
    </row>
    <row r="1214" spans="1:7">
      <c r="A1214" s="52">
        <v>225.94699332583315</v>
      </c>
      <c r="B1214" s="52">
        <v>226.49631945734376</v>
      </c>
      <c r="C1214" s="52">
        <v>224.30817036682654</v>
      </c>
      <c r="D1214" s="52">
        <v>225.31526827459598</v>
      </c>
      <c r="E1214" s="52">
        <v>1252310.7140529887</v>
      </c>
      <c r="F1214" s="52" t="s">
        <v>1289</v>
      </c>
      <c r="G1214" s="26">
        <f t="shared" si="16"/>
        <v>2.803738317757043E-3</v>
      </c>
    </row>
    <row r="1215" spans="1:7">
      <c r="A1215" s="52">
        <v>225.31526827459598</v>
      </c>
      <c r="B1215" s="52">
        <v>226.48716402181859</v>
      </c>
      <c r="C1215" s="52">
        <v>220.75586138305803</v>
      </c>
      <c r="D1215" s="52">
        <v>221.15870054616582</v>
      </c>
      <c r="E1215" s="52">
        <v>4185372.7105200589</v>
      </c>
      <c r="F1215" s="52" t="s">
        <v>1290</v>
      </c>
      <c r="G1215" s="26">
        <f t="shared" si="16"/>
        <v>1.8794502401059621E-2</v>
      </c>
    </row>
    <row r="1216" spans="1:7">
      <c r="A1216" s="52">
        <v>220.3347113488999</v>
      </c>
      <c r="B1216" s="52">
        <v>221.83620277502888</v>
      </c>
      <c r="C1216" s="52">
        <v>218.62264490569189</v>
      </c>
      <c r="D1216" s="52">
        <v>218.68673295436813</v>
      </c>
      <c r="E1216" s="52">
        <v>1271693.7351569002</v>
      </c>
      <c r="F1216" s="52" t="s">
        <v>1291</v>
      </c>
      <c r="G1216" s="26">
        <f t="shared" si="16"/>
        <v>7.5357950263752471E-3</v>
      </c>
    </row>
    <row r="1217" spans="1:7">
      <c r="A1217" s="52">
        <v>218.47615793728906</v>
      </c>
      <c r="B1217" s="52">
        <v>219.73960803976343</v>
      </c>
      <c r="C1217" s="52">
        <v>217.51483720714552</v>
      </c>
      <c r="D1217" s="52">
        <v>218.29304922678554</v>
      </c>
      <c r="E1217" s="52">
        <v>1872414.4747520727</v>
      </c>
      <c r="F1217" s="52" t="s">
        <v>1292</v>
      </c>
      <c r="G1217" s="26">
        <f t="shared" si="16"/>
        <v>8.3882061821083376E-4</v>
      </c>
    </row>
    <row r="1218" spans="1:7">
      <c r="A1218" s="52">
        <v>218.39375901756247</v>
      </c>
      <c r="B1218" s="52">
        <v>221.83620277502888</v>
      </c>
      <c r="C1218" s="52">
        <v>217.4782154650448</v>
      </c>
      <c r="D1218" s="52">
        <v>220.77417225410838</v>
      </c>
      <c r="E1218" s="52">
        <v>1626501.5420675762</v>
      </c>
      <c r="F1218" s="52" t="s">
        <v>1293</v>
      </c>
      <c r="G1218" s="26">
        <f t="shared" si="16"/>
        <v>-1.0782118271543406E-2</v>
      </c>
    </row>
    <row r="1219" spans="1:7">
      <c r="A1219" s="52">
        <v>220.68261789885662</v>
      </c>
      <c r="B1219" s="52">
        <v>222.27566368023736</v>
      </c>
      <c r="C1219" s="52">
        <v>219.6022765068858</v>
      </c>
      <c r="D1219" s="52">
        <v>221.83620277502888</v>
      </c>
      <c r="E1219" s="52">
        <v>1529561.3148594466</v>
      </c>
      <c r="F1219" s="52" t="s">
        <v>1294</v>
      </c>
      <c r="G1219" s="26">
        <f t="shared" si="16"/>
        <v>-5.2001650846058567E-3</v>
      </c>
    </row>
    <row r="1220" spans="1:7">
      <c r="A1220" s="52">
        <v>222.55032674599266</v>
      </c>
      <c r="B1220" s="52">
        <v>224.34479210892727</v>
      </c>
      <c r="C1220" s="52">
        <v>219.72129716871308</v>
      </c>
      <c r="D1220" s="52">
        <v>219.98222708118061</v>
      </c>
      <c r="E1220" s="52">
        <v>2727391.8243794697</v>
      </c>
      <c r="F1220" s="52" t="s">
        <v>1295</v>
      </c>
      <c r="G1220" s="26">
        <f t="shared" si="16"/>
        <v>1.1674123400270631E-2</v>
      </c>
    </row>
    <row r="1221" spans="1:7">
      <c r="A1221" s="52">
        <v>233.22556456834857</v>
      </c>
      <c r="B1221" s="52">
        <v>234.82776578525446</v>
      </c>
      <c r="C1221" s="52">
        <v>232.15895632966547</v>
      </c>
      <c r="D1221" s="52">
        <v>233.38120697227654</v>
      </c>
      <c r="E1221" s="52">
        <v>1133610.7355526171</v>
      </c>
      <c r="F1221" s="52" t="s">
        <v>1296</v>
      </c>
      <c r="G1221" s="26">
        <f t="shared" si="16"/>
        <v>-6.6690204385844165E-4</v>
      </c>
    </row>
    <row r="1222" spans="1:7">
      <c r="A1222" s="52">
        <v>234.16857442744174</v>
      </c>
      <c r="B1222" s="52">
        <v>236.00881696800221</v>
      </c>
      <c r="C1222" s="52">
        <v>233.45445045647799</v>
      </c>
      <c r="D1222" s="52">
        <v>235.14820602863563</v>
      </c>
      <c r="E1222" s="52">
        <v>663278.11312754219</v>
      </c>
      <c r="F1222" s="52" t="s">
        <v>1297</v>
      </c>
      <c r="G1222" s="26">
        <f t="shared" si="16"/>
        <v>-4.1660177542438559E-3</v>
      </c>
    </row>
    <row r="1223" spans="1:7">
      <c r="A1223" s="52">
        <v>234.49817010634808</v>
      </c>
      <c r="B1223" s="52">
        <v>236.14157078311732</v>
      </c>
      <c r="C1223" s="52">
        <v>233.14316564862196</v>
      </c>
      <c r="D1223" s="52">
        <v>234.70874512342718</v>
      </c>
      <c r="E1223" s="52">
        <v>822049.36939412623</v>
      </c>
      <c r="F1223" s="52" t="s">
        <v>1298</v>
      </c>
      <c r="G1223" s="26">
        <f t="shared" si="16"/>
        <v>-8.9717584646609172E-4</v>
      </c>
    </row>
    <row r="1224" spans="1:7">
      <c r="A1224" s="52">
        <v>234.15026355639139</v>
      </c>
      <c r="B1224" s="52">
        <v>235.12531743982271</v>
      </c>
      <c r="C1224" s="52">
        <v>232.41073080660783</v>
      </c>
      <c r="D1224" s="52">
        <v>233.66502547355702</v>
      </c>
      <c r="E1224" s="52">
        <v>1088048.7304625367</v>
      </c>
      <c r="F1224" s="52" t="s">
        <v>1299</v>
      </c>
      <c r="G1224" s="26">
        <f t="shared" si="16"/>
        <v>2.0766397617741905E-3</v>
      </c>
    </row>
    <row r="1225" spans="1:7">
      <c r="A1225" s="52">
        <v>233.74742439328361</v>
      </c>
      <c r="B1225" s="52">
        <v>234.46154836424736</v>
      </c>
      <c r="C1225" s="52">
        <v>231.95295903034901</v>
      </c>
      <c r="D1225" s="52">
        <v>233.27134174597444</v>
      </c>
      <c r="E1225" s="52">
        <v>1010671.745167636</v>
      </c>
      <c r="F1225" s="52" t="s">
        <v>1300</v>
      </c>
      <c r="G1225" s="26">
        <f t="shared" si="16"/>
        <v>2.0408964245064443E-3</v>
      </c>
    </row>
    <row r="1226" spans="1:7">
      <c r="A1226" s="52">
        <v>232.07197969217628</v>
      </c>
      <c r="B1226" s="52">
        <v>233.46360589200316</v>
      </c>
      <c r="C1226" s="52">
        <v>231.25558950639632</v>
      </c>
      <c r="D1226" s="52">
        <v>232.40157537108266</v>
      </c>
      <c r="E1226" s="52">
        <v>718079.43837529141</v>
      </c>
      <c r="F1226" s="52" t="s">
        <v>1301</v>
      </c>
      <c r="G1226" s="26">
        <f t="shared" si="16"/>
        <v>-1.4182161991806996E-3</v>
      </c>
    </row>
    <row r="1227" spans="1:7">
      <c r="A1227" s="52">
        <v>233.17978739072268</v>
      </c>
      <c r="B1227" s="52">
        <v>234.80029947867891</v>
      </c>
      <c r="C1227" s="52">
        <v>228.60206962813436</v>
      </c>
      <c r="D1227" s="52">
        <v>228.65700224128543</v>
      </c>
      <c r="E1227" s="52">
        <v>998902.78019554948</v>
      </c>
      <c r="F1227" s="52" t="s">
        <v>1302</v>
      </c>
      <c r="G1227" s="26">
        <f t="shared" si="16"/>
        <v>1.9779779779779849E-2</v>
      </c>
    </row>
    <row r="1228" spans="1:7">
      <c r="A1228" s="52">
        <v>228.3640283044798</v>
      </c>
      <c r="B1228" s="52">
        <v>230.1282807301813</v>
      </c>
      <c r="C1228" s="52">
        <v>227.64990433351602</v>
      </c>
      <c r="D1228" s="52">
        <v>228.93166530704073</v>
      </c>
      <c r="E1228" s="52">
        <v>758566.86237392749</v>
      </c>
      <c r="F1228" s="52" t="s">
        <v>1303</v>
      </c>
      <c r="G1228" s="26">
        <f t="shared" si="16"/>
        <v>-2.4795040991800743E-3</v>
      </c>
    </row>
    <row r="1229" spans="1:7">
      <c r="A1229" s="52">
        <v>229.87467516613393</v>
      </c>
      <c r="B1229" s="52">
        <v>230.33244694239275</v>
      </c>
      <c r="C1229" s="52">
        <v>228.5105152728826</v>
      </c>
      <c r="D1229" s="52">
        <v>228.88588812941484</v>
      </c>
      <c r="E1229" s="52">
        <v>1320445.1024482329</v>
      </c>
      <c r="F1229" s="52" t="s">
        <v>1304</v>
      </c>
      <c r="G1229" s="26">
        <f t="shared" si="16"/>
        <v>4.3200000000001015E-3</v>
      </c>
    </row>
    <row r="1230" spans="1:7">
      <c r="A1230" s="52">
        <v>228.29078482027836</v>
      </c>
      <c r="B1230" s="52">
        <v>228.60206962813436</v>
      </c>
      <c r="C1230" s="52">
        <v>224.92643692784173</v>
      </c>
      <c r="D1230" s="52">
        <v>226.34067705341576</v>
      </c>
      <c r="E1230" s="52">
        <v>1469441.8373658424</v>
      </c>
      <c r="F1230" s="52" t="s">
        <v>1305</v>
      </c>
      <c r="G1230" s="26">
        <f t="shared" si="16"/>
        <v>8.6158077825417845E-3</v>
      </c>
    </row>
    <row r="1231" spans="1:7">
      <c r="A1231" s="52">
        <v>225.54415416272539</v>
      </c>
      <c r="B1231" s="52">
        <v>226.81675970072496</v>
      </c>
      <c r="C1231" s="52">
        <v>223.3926268143089</v>
      </c>
      <c r="D1231" s="52">
        <v>226.51463032839411</v>
      </c>
      <c r="E1231" s="52">
        <v>1180015.9555808369</v>
      </c>
      <c r="F1231" s="52" t="s">
        <v>1306</v>
      </c>
      <c r="G1231" s="26">
        <f t="shared" si="16"/>
        <v>-4.2843862414615463E-3</v>
      </c>
    </row>
    <row r="1232" spans="1:7">
      <c r="A1232" s="52">
        <v>226.13925747186187</v>
      </c>
      <c r="B1232" s="52">
        <v>229.05068596886804</v>
      </c>
      <c r="C1232" s="52">
        <v>225.66317482455267</v>
      </c>
      <c r="D1232" s="52">
        <v>227.59497172036495</v>
      </c>
      <c r="E1232" s="52">
        <v>1035099.8566851037</v>
      </c>
      <c r="F1232" s="52" t="s">
        <v>1307</v>
      </c>
      <c r="G1232" s="26">
        <f t="shared" si="16"/>
        <v>-6.3960738565509434E-3</v>
      </c>
    </row>
    <row r="1233" spans="1:7">
      <c r="A1233" s="52">
        <v>226.36814335999128</v>
      </c>
      <c r="B1233" s="52">
        <v>228.09852067424964</v>
      </c>
      <c r="C1233" s="52">
        <v>224.94905085358891</v>
      </c>
      <c r="D1233" s="52">
        <v>226.49631945734376</v>
      </c>
      <c r="E1233" s="52">
        <v>1335191.5336397078</v>
      </c>
      <c r="F1233" s="52" t="s">
        <v>1308</v>
      </c>
      <c r="G1233" s="26">
        <f t="shared" si="16"/>
        <v>-5.6590808035894558E-4</v>
      </c>
    </row>
    <row r="1234" spans="1:7">
      <c r="A1234" s="52">
        <v>227.11888907305575</v>
      </c>
      <c r="B1234" s="52">
        <v>228.2450076426525</v>
      </c>
      <c r="C1234" s="52">
        <v>225.26949109697011</v>
      </c>
      <c r="D1234" s="52">
        <v>226.37729879551645</v>
      </c>
      <c r="E1234" s="52">
        <v>1284874.9759256372</v>
      </c>
      <c r="F1234" s="52" t="s">
        <v>1309</v>
      </c>
      <c r="G1234" s="26">
        <f t="shared" si="16"/>
        <v>3.2759039068186446E-3</v>
      </c>
    </row>
    <row r="1235" spans="1:7">
      <c r="A1235" s="52">
        <v>225.79135092190518</v>
      </c>
      <c r="B1235" s="52">
        <v>226.26743356921432</v>
      </c>
      <c r="C1235" s="52">
        <v>222.47708326179122</v>
      </c>
      <c r="D1235" s="52">
        <v>223.7039116221649</v>
      </c>
      <c r="E1235" s="52">
        <v>1047602.8118624099</v>
      </c>
      <c r="F1235" s="52" t="s">
        <v>1310</v>
      </c>
      <c r="G1235" s="26">
        <f t="shared" si="16"/>
        <v>9.3312597200623237E-3</v>
      </c>
    </row>
    <row r="1236" spans="1:7">
      <c r="A1236" s="52">
        <v>225.22371391934422</v>
      </c>
      <c r="B1236" s="52">
        <v>228.02527719004826</v>
      </c>
      <c r="C1236" s="52">
        <v>224.35394754445244</v>
      </c>
      <c r="D1236" s="52">
        <v>227.39355213881106</v>
      </c>
      <c r="E1236" s="52">
        <v>1515181.8787705819</v>
      </c>
      <c r="F1236" s="52" t="s">
        <v>1311</v>
      </c>
      <c r="G1236" s="26">
        <f t="shared" si="16"/>
        <v>-9.5422152433868312E-3</v>
      </c>
    </row>
    <row r="1237" spans="1:7">
      <c r="A1237" s="52">
        <v>227.62243802694047</v>
      </c>
      <c r="B1237" s="52">
        <v>228.93166530704073</v>
      </c>
      <c r="C1237" s="52">
        <v>227.027334717804</v>
      </c>
      <c r="D1237" s="52">
        <v>227.71399238219223</v>
      </c>
      <c r="E1237" s="52">
        <v>572777.77617235214</v>
      </c>
      <c r="F1237" s="52" t="s">
        <v>1312</v>
      </c>
      <c r="G1237" s="26">
        <f t="shared" si="16"/>
        <v>-4.0205853972330452E-4</v>
      </c>
    </row>
    <row r="1238" spans="1:7">
      <c r="A1238" s="52">
        <v>228.50135983735746</v>
      </c>
      <c r="B1238" s="52">
        <v>229.90214147270947</v>
      </c>
      <c r="C1238" s="52">
        <v>228.09852067424964</v>
      </c>
      <c r="D1238" s="52">
        <v>229.22463924384638</v>
      </c>
      <c r="E1238" s="52">
        <v>974195.05336180748</v>
      </c>
      <c r="F1238" s="52" t="s">
        <v>1313</v>
      </c>
      <c r="G1238" s="26">
        <f t="shared" si="16"/>
        <v>-3.1553301114349841E-3</v>
      </c>
    </row>
    <row r="1239" spans="1:7">
      <c r="A1239" s="52">
        <v>228.70277941891132</v>
      </c>
      <c r="B1239" s="52">
        <v>230.75359697655088</v>
      </c>
      <c r="C1239" s="52">
        <v>226.86253687835082</v>
      </c>
      <c r="D1239" s="52">
        <v>230.39653499106899</v>
      </c>
      <c r="E1239" s="52">
        <v>1442159.6835771855</v>
      </c>
      <c r="F1239" s="52" t="s">
        <v>1314</v>
      </c>
      <c r="G1239" s="26">
        <f t="shared" si="16"/>
        <v>-7.351480230478824E-3</v>
      </c>
    </row>
    <row r="1240" spans="1:7">
      <c r="A1240" s="52">
        <v>229.80143168193251</v>
      </c>
      <c r="B1240" s="52">
        <v>230.43773445093228</v>
      </c>
      <c r="C1240" s="52">
        <v>228.02527719004826</v>
      </c>
      <c r="D1240" s="52">
        <v>229.16055119517017</v>
      </c>
      <c r="E1240" s="52">
        <v>977993.88957275101</v>
      </c>
      <c r="F1240" s="52" t="s">
        <v>1315</v>
      </c>
      <c r="G1240" s="26">
        <f t="shared" si="16"/>
        <v>2.7966440271673942E-3</v>
      </c>
    </row>
    <row r="1241" spans="1:7">
      <c r="A1241" s="52">
        <v>230.69866436339981</v>
      </c>
      <c r="B1241" s="52">
        <v>230.76275241207605</v>
      </c>
      <c r="C1241" s="52">
        <v>226.85338144282565</v>
      </c>
      <c r="D1241" s="52">
        <v>228.88588812941484</v>
      </c>
      <c r="E1241" s="52">
        <v>1330067.8014184495</v>
      </c>
      <c r="F1241" s="52" t="s">
        <v>1316</v>
      </c>
      <c r="G1241" s="26">
        <f t="shared" si="16"/>
        <v>7.9200000000001491E-3</v>
      </c>
    </row>
    <row r="1242" spans="1:7">
      <c r="A1242" s="52">
        <v>228.29078482027836</v>
      </c>
      <c r="B1242" s="52">
        <v>228.42811635315601</v>
      </c>
      <c r="C1242" s="52">
        <v>225.65401938902752</v>
      </c>
      <c r="D1242" s="52">
        <v>227.05480102437954</v>
      </c>
      <c r="E1242" s="52">
        <v>1149616.5279146547</v>
      </c>
      <c r="F1242" s="52" t="s">
        <v>1317</v>
      </c>
      <c r="G1242" s="26">
        <f t="shared" si="16"/>
        <v>5.4435483870967083E-3</v>
      </c>
    </row>
    <row r="1243" spans="1:7">
      <c r="A1243" s="52">
        <v>227.46679562301247</v>
      </c>
      <c r="B1243" s="52">
        <v>227.91541196374612</v>
      </c>
      <c r="C1243" s="52">
        <v>225.66317482455267</v>
      </c>
      <c r="D1243" s="52">
        <v>226.67942816784731</v>
      </c>
      <c r="E1243" s="52">
        <v>1080440.1355673575</v>
      </c>
      <c r="F1243" s="52" t="s">
        <v>1318</v>
      </c>
      <c r="G1243" s="26">
        <f t="shared" si="16"/>
        <v>3.4734843895147804E-3</v>
      </c>
    </row>
    <row r="1244" spans="1:7">
      <c r="A1244" s="52">
        <v>225.92868245478283</v>
      </c>
      <c r="B1244" s="52">
        <v>226.17587921396256</v>
      </c>
      <c r="C1244" s="52">
        <v>222.19326476051074</v>
      </c>
      <c r="D1244" s="52">
        <v>222.4862386973164</v>
      </c>
      <c r="E1244" s="52">
        <v>1325445.4107212923</v>
      </c>
      <c r="F1244" s="52" t="s">
        <v>1319</v>
      </c>
      <c r="G1244" s="26">
        <f t="shared" si="16"/>
        <v>1.5472614295708231E-2</v>
      </c>
    </row>
    <row r="1245" spans="1:7">
      <c r="A1245" s="52">
        <v>222.6510365367696</v>
      </c>
      <c r="B1245" s="52">
        <v>226.48716402181859</v>
      </c>
      <c r="C1245" s="52">
        <v>221.03052444881331</v>
      </c>
      <c r="D1245" s="52">
        <v>226.17587921396256</v>
      </c>
      <c r="E1245" s="52">
        <v>1423589.2944861958</v>
      </c>
      <c r="F1245" s="52" t="s">
        <v>1320</v>
      </c>
      <c r="G1245" s="26">
        <f t="shared" si="16"/>
        <v>-1.5584520725388518E-2</v>
      </c>
    </row>
    <row r="1246" spans="1:7">
      <c r="A1246" s="52">
        <v>226.03854768108491</v>
      </c>
      <c r="B1246" s="52">
        <v>226.74351621652352</v>
      </c>
      <c r="C1246" s="52">
        <v>223.37431594325852</v>
      </c>
      <c r="D1246" s="52">
        <v>223.63982357348868</v>
      </c>
      <c r="E1246" s="52">
        <v>1917815.9194847615</v>
      </c>
      <c r="F1246" s="52" t="s">
        <v>1321</v>
      </c>
      <c r="G1246" s="26">
        <f t="shared" si="16"/>
        <v>1.0725836164899194E-2</v>
      </c>
    </row>
    <row r="1247" spans="1:7">
      <c r="A1247" s="52">
        <v>223.11796374855359</v>
      </c>
      <c r="B1247" s="52">
        <v>223.74053336426559</v>
      </c>
      <c r="C1247" s="52">
        <v>221.21363315931686</v>
      </c>
      <c r="D1247" s="52">
        <v>221.36012012771968</v>
      </c>
      <c r="E1247" s="52">
        <v>1308546.1600439723</v>
      </c>
      <c r="F1247" s="52" t="s">
        <v>1322</v>
      </c>
      <c r="G1247" s="26">
        <f t="shared" si="16"/>
        <v>7.9411034825047633E-3</v>
      </c>
    </row>
    <row r="1248" spans="1:7">
      <c r="A1248" s="52">
        <v>220.82910486725945</v>
      </c>
      <c r="B1248" s="52">
        <v>221.38758643429523</v>
      </c>
      <c r="C1248" s="52">
        <v>219.55192161149731</v>
      </c>
      <c r="D1248" s="52">
        <v>219.6022765068858</v>
      </c>
      <c r="E1248" s="52">
        <v>1869170.5001843609</v>
      </c>
      <c r="F1248" s="52" t="s">
        <v>1323</v>
      </c>
      <c r="G1248" s="26">
        <f t="shared" si="16"/>
        <v>5.5865921787707773E-3</v>
      </c>
    </row>
    <row r="1249" spans="1:7">
      <c r="A1249" s="52">
        <v>219.56565476478508</v>
      </c>
      <c r="B1249" s="52">
        <v>221.05799075538886</v>
      </c>
      <c r="C1249" s="52">
        <v>219.46494497400815</v>
      </c>
      <c r="D1249" s="52">
        <v>219.77622978186415</v>
      </c>
      <c r="E1249" s="52">
        <v>843764.3385458712</v>
      </c>
      <c r="F1249" s="52" t="s">
        <v>1324</v>
      </c>
      <c r="G1249" s="26">
        <f t="shared" si="16"/>
        <v>-9.5813372214126336E-4</v>
      </c>
    </row>
    <row r="1250" spans="1:7">
      <c r="A1250" s="52">
        <v>219.93187218579214</v>
      </c>
      <c r="B1250" s="52">
        <v>221.08545706196438</v>
      </c>
      <c r="C1250" s="52">
        <v>218.67757751884295</v>
      </c>
      <c r="D1250" s="52">
        <v>219.53818845820953</v>
      </c>
      <c r="E1250" s="52">
        <v>1528236.418849132</v>
      </c>
      <c r="F1250" s="52" t="s">
        <v>1325</v>
      </c>
      <c r="G1250" s="26">
        <f t="shared" si="16"/>
        <v>1.7932357479462091E-3</v>
      </c>
    </row>
    <row r="1251" spans="1:7">
      <c r="A1251" s="52">
        <v>220.0234265410439</v>
      </c>
      <c r="B1251" s="52">
        <v>220.75586138305803</v>
      </c>
      <c r="C1251" s="52">
        <v>218.75997643856954</v>
      </c>
      <c r="D1251" s="52">
        <v>220.75586138305803</v>
      </c>
      <c r="E1251" s="52">
        <v>1561910.4040082437</v>
      </c>
      <c r="F1251" s="52" t="s">
        <v>1326</v>
      </c>
      <c r="G1251" s="26">
        <f t="shared" si="16"/>
        <v>-3.3178500331785266E-3</v>
      </c>
    </row>
    <row r="1252" spans="1:7">
      <c r="A1252" s="52">
        <v>220.49035375282793</v>
      </c>
      <c r="B1252" s="52">
        <v>221.22278859484203</v>
      </c>
      <c r="C1252" s="52">
        <v>219.27268082797943</v>
      </c>
      <c r="D1252" s="52">
        <v>220.38964396205097</v>
      </c>
      <c r="E1252" s="52">
        <v>1707772.3890910605</v>
      </c>
      <c r="F1252" s="52" t="s">
        <v>1327</v>
      </c>
      <c r="G1252" s="26">
        <f t="shared" si="16"/>
        <v>4.5696244599535696E-4</v>
      </c>
    </row>
    <row r="1253" spans="1:7">
      <c r="A1253" s="52">
        <v>220.2248461225978</v>
      </c>
      <c r="B1253" s="52">
        <v>222.12002127630936</v>
      </c>
      <c r="C1253" s="52">
        <v>218.62264490569189</v>
      </c>
      <c r="D1253" s="52">
        <v>219.1261938595766</v>
      </c>
      <c r="E1253" s="52">
        <v>2797905.127457703</v>
      </c>
      <c r="F1253" s="52" t="s">
        <v>1328</v>
      </c>
      <c r="G1253" s="26">
        <f t="shared" si="16"/>
        <v>5.0137879167710953E-3</v>
      </c>
    </row>
    <row r="1254" spans="1:7">
      <c r="A1254" s="52">
        <v>219.95933849236766</v>
      </c>
      <c r="B1254" s="52">
        <v>221.20447772379171</v>
      </c>
      <c r="C1254" s="52">
        <v>219.54734389373473</v>
      </c>
      <c r="D1254" s="52">
        <v>219.54734389373473</v>
      </c>
      <c r="E1254" s="52">
        <v>1821764.7816025976</v>
      </c>
      <c r="F1254" s="52" t="s">
        <v>1329</v>
      </c>
      <c r="G1254" s="26">
        <f t="shared" si="16"/>
        <v>1.8765638031692511E-3</v>
      </c>
    </row>
    <row r="1255" spans="1:7">
      <c r="A1255" s="52">
        <v>219.98680479894321</v>
      </c>
      <c r="B1255" s="52">
        <v>222.14748758288485</v>
      </c>
      <c r="C1255" s="52">
        <v>219.21774821482836</v>
      </c>
      <c r="D1255" s="52">
        <v>222.09255496973384</v>
      </c>
      <c r="E1255" s="52">
        <v>2176157.5345281791</v>
      </c>
      <c r="F1255" s="52" t="s">
        <v>1330</v>
      </c>
      <c r="G1255" s="26">
        <f t="shared" si="16"/>
        <v>-9.4814081952345752E-3</v>
      </c>
    </row>
    <row r="1256" spans="1:7">
      <c r="A1256" s="52">
        <v>221.04883531986368</v>
      </c>
      <c r="B1256" s="52">
        <v>222.86161155384863</v>
      </c>
      <c r="C1256" s="52">
        <v>220.52697549492862</v>
      </c>
      <c r="D1256" s="52">
        <v>222.26650824471218</v>
      </c>
      <c r="E1256" s="52">
        <v>2175607.0418742644</v>
      </c>
      <c r="F1256" s="52" t="s">
        <v>1331</v>
      </c>
      <c r="G1256" s="26">
        <f t="shared" si="16"/>
        <v>-5.4784363801129166E-3</v>
      </c>
    </row>
    <row r="1257" spans="1:7">
      <c r="A1257" s="52">
        <v>222.22073106708629</v>
      </c>
      <c r="B1257" s="52">
        <v>222.93485503805007</v>
      </c>
      <c r="C1257" s="52">
        <v>219.38254605428156</v>
      </c>
      <c r="D1257" s="52">
        <v>222.27566368023736</v>
      </c>
      <c r="E1257" s="52">
        <v>1366639.518741918</v>
      </c>
      <c r="F1257" s="52" t="s">
        <v>1332</v>
      </c>
      <c r="G1257" s="26">
        <f t="shared" si="16"/>
        <v>-2.4713732597414495E-4</v>
      </c>
    </row>
    <row r="1258" spans="1:7">
      <c r="A1258" s="52">
        <v>222.14748758288485</v>
      </c>
      <c r="B1258" s="52">
        <v>225.90121614820728</v>
      </c>
      <c r="C1258" s="52">
        <v>221.61189460466204</v>
      </c>
      <c r="D1258" s="52">
        <v>225.89206071268208</v>
      </c>
      <c r="E1258" s="52">
        <v>1235613.5291315699</v>
      </c>
      <c r="F1258" s="52" t="s">
        <v>1333</v>
      </c>
      <c r="G1258" s="26">
        <f t="shared" si="16"/>
        <v>-1.6576824869290352E-2</v>
      </c>
    </row>
    <row r="1259" spans="1:7">
      <c r="A1259" s="52">
        <v>224.68354322335878</v>
      </c>
      <c r="B1259" s="52">
        <v>224.79340844966092</v>
      </c>
      <c r="C1259" s="52">
        <v>222.36721803548912</v>
      </c>
      <c r="D1259" s="52">
        <v>222.40383977758981</v>
      </c>
      <c r="E1259" s="52">
        <v>1218309.0546951182</v>
      </c>
      <c r="F1259" s="52" t="s">
        <v>1334</v>
      </c>
      <c r="G1259" s="26">
        <f t="shared" si="16"/>
        <v>1.0250288160711385E-2</v>
      </c>
    </row>
    <row r="1260" spans="1:7">
      <c r="A1260" s="52">
        <v>222.79752350517242</v>
      </c>
      <c r="B1260" s="52">
        <v>223.02640939330183</v>
      </c>
      <c r="C1260" s="52">
        <v>219.3276134411305</v>
      </c>
      <c r="D1260" s="52">
        <v>219.3276134411305</v>
      </c>
      <c r="E1260" s="52">
        <v>1353540.1965228708</v>
      </c>
      <c r="F1260" s="52" t="s">
        <v>1335</v>
      </c>
      <c r="G1260" s="26">
        <f t="shared" si="16"/>
        <v>1.58206712305895E-2</v>
      </c>
    </row>
    <row r="1261" spans="1:7">
      <c r="A1261" s="52">
        <v>219.04379493985002</v>
      </c>
      <c r="B1261" s="52">
        <v>221.26856577246792</v>
      </c>
      <c r="C1261" s="52">
        <v>217.29574763502805</v>
      </c>
      <c r="D1261" s="52">
        <v>219.64805368451167</v>
      </c>
      <c r="E1261" s="52">
        <v>1639863.0036456306</v>
      </c>
      <c r="F1261" s="52" t="s">
        <v>1336</v>
      </c>
      <c r="G1261" s="26">
        <f t="shared" si="16"/>
        <v>-2.7510316368637433E-3</v>
      </c>
    </row>
    <row r="1262" spans="1:7">
      <c r="A1262" s="52">
        <v>218.56771229254088</v>
      </c>
      <c r="B1262" s="52">
        <v>220.90338328715143</v>
      </c>
      <c r="C1262" s="52">
        <v>218.33049570715076</v>
      </c>
      <c r="D1262" s="52">
        <v>220.06400152346325</v>
      </c>
      <c r="E1262" s="52">
        <v>1301336.1586514022</v>
      </c>
      <c r="F1262" s="52" t="s">
        <v>1337</v>
      </c>
      <c r="G1262" s="26">
        <f t="shared" si="16"/>
        <v>-6.7993366500828101E-3</v>
      </c>
    </row>
    <row r="1263" spans="1:7">
      <c r="A1263" s="52">
        <v>219.5713209230376</v>
      </c>
      <c r="B1263" s="52">
        <v>221.16797101700965</v>
      </c>
      <c r="C1263" s="52">
        <v>219.05126917814385</v>
      </c>
      <c r="D1263" s="52">
        <v>220.79389870927906</v>
      </c>
      <c r="E1263" s="52">
        <v>968868.51154193515</v>
      </c>
      <c r="F1263" s="52" t="s">
        <v>1338</v>
      </c>
      <c r="G1263" s="26">
        <f t="shared" si="16"/>
        <v>-5.5371900826446385E-3</v>
      </c>
    </row>
    <row r="1264" spans="1:7">
      <c r="A1264" s="52">
        <v>219.62606321197379</v>
      </c>
      <c r="B1264" s="52">
        <v>220.09657318538029</v>
      </c>
      <c r="C1264" s="52">
        <v>217.25389735807244</v>
      </c>
      <c r="D1264" s="52">
        <v>217.51848508793066</v>
      </c>
      <c r="E1264" s="52">
        <v>1537584.2266683644</v>
      </c>
      <c r="F1264" s="52" t="s">
        <v>1339</v>
      </c>
      <c r="G1264" s="26">
        <f t="shared" si="16"/>
        <v>9.6891908896439283E-3</v>
      </c>
    </row>
    <row r="1265" spans="1:7">
      <c r="A1265" s="52">
        <v>217.76482538814349</v>
      </c>
      <c r="B1265" s="52">
        <v>218.52209371842739</v>
      </c>
      <c r="C1265" s="52">
        <v>217.28126850254054</v>
      </c>
      <c r="D1265" s="52">
        <v>217.53673251757607</v>
      </c>
      <c r="E1265" s="52">
        <v>1727216.4141733735</v>
      </c>
      <c r="F1265" s="52" t="s">
        <v>1340</v>
      </c>
      <c r="G1265" s="26">
        <f t="shared" si="16"/>
        <v>1.0485257727634867E-3</v>
      </c>
    </row>
    <row r="1266" spans="1:7">
      <c r="A1266" s="52">
        <v>217.57322737686684</v>
      </c>
      <c r="B1266" s="52">
        <v>220.38333154225768</v>
      </c>
      <c r="C1266" s="52">
        <v>217.41812422488101</v>
      </c>
      <c r="D1266" s="52">
        <v>220.00013551970437</v>
      </c>
      <c r="E1266" s="52">
        <v>2099752.1702827574</v>
      </c>
      <c r="F1266" s="52" t="s">
        <v>1341</v>
      </c>
      <c r="G1266" s="26">
        <f t="shared" si="16"/>
        <v>-1.1031393853937699E-2</v>
      </c>
    </row>
    <row r="1267" spans="1:7">
      <c r="A1267" s="52">
        <v>220.69353784622936</v>
      </c>
      <c r="B1267" s="52">
        <v>222.8923531184995</v>
      </c>
      <c r="C1267" s="52">
        <v>220.44728878316479</v>
      </c>
      <c r="D1267" s="52">
        <v>221.6880227619034</v>
      </c>
      <c r="E1267" s="52">
        <v>1681595.7423211006</v>
      </c>
      <c r="F1267" s="52" t="s">
        <v>1342</v>
      </c>
      <c r="G1267" s="26">
        <f t="shared" si="16"/>
        <v>-4.4859659231213378E-3</v>
      </c>
    </row>
    <row r="1268" spans="1:7">
      <c r="A1268" s="52">
        <v>219.82678493807313</v>
      </c>
      <c r="B1268" s="52">
        <v>221.67889904708071</v>
      </c>
      <c r="C1268" s="52">
        <v>219.2154960449524</v>
      </c>
      <c r="D1268" s="52">
        <v>220.79389870927906</v>
      </c>
      <c r="E1268" s="52">
        <v>3547174.6573542682</v>
      </c>
      <c r="F1268" s="52" t="s">
        <v>1343</v>
      </c>
      <c r="G1268" s="26">
        <f t="shared" si="16"/>
        <v>-4.3801652892562215E-3</v>
      </c>
    </row>
    <row r="1269" spans="1:7">
      <c r="A1269" s="52">
        <v>220.81214613892448</v>
      </c>
      <c r="B1269" s="52">
        <v>221.93135223622477</v>
      </c>
      <c r="C1269" s="52">
        <v>218.38523799608694</v>
      </c>
      <c r="D1269" s="52">
        <v>219.24286718942051</v>
      </c>
      <c r="E1269" s="52">
        <v>1772624.4533384459</v>
      </c>
      <c r="F1269" s="52" t="s">
        <v>1344</v>
      </c>
      <c r="G1269" s="26">
        <f t="shared" si="16"/>
        <v>7.1577195172700669E-3</v>
      </c>
    </row>
    <row r="1270" spans="1:7">
      <c r="A1270" s="52">
        <v>221.24096073559124</v>
      </c>
      <c r="B1270" s="52">
        <v>223.02920884083994</v>
      </c>
      <c r="C1270" s="52">
        <v>219.88152722700931</v>
      </c>
      <c r="D1270" s="52">
        <v>222.1077136437475</v>
      </c>
      <c r="E1270" s="52">
        <v>1739649.946150698</v>
      </c>
      <c r="F1270" s="52" t="s">
        <v>1345</v>
      </c>
      <c r="G1270" s="26">
        <f t="shared" si="16"/>
        <v>-3.9023989484061605E-3</v>
      </c>
    </row>
    <row r="1271" spans="1:7">
      <c r="A1271" s="52">
        <v>222.36317765878303</v>
      </c>
      <c r="B1271" s="52">
        <v>224.55286921623042</v>
      </c>
      <c r="C1271" s="52">
        <v>221.06761015396</v>
      </c>
      <c r="D1271" s="52">
        <v>223.55838430055638</v>
      </c>
      <c r="E1271" s="52">
        <v>1410965.8456196624</v>
      </c>
      <c r="F1271" s="52" t="s">
        <v>1346</v>
      </c>
      <c r="G1271" s="26">
        <f t="shared" si="16"/>
        <v>-5.3462841284740437E-3</v>
      </c>
    </row>
    <row r="1272" spans="1:7">
      <c r="A1272" s="52">
        <v>223.05657998530802</v>
      </c>
      <c r="B1272" s="52">
        <v>227.28998366303966</v>
      </c>
      <c r="C1272" s="52">
        <v>222.70987882204554</v>
      </c>
      <c r="D1272" s="52">
        <v>224.2882814863722</v>
      </c>
      <c r="E1272" s="52">
        <v>1119663.4483342748</v>
      </c>
      <c r="F1272" s="52" t="s">
        <v>1347</v>
      </c>
      <c r="G1272" s="26">
        <f t="shared" si="16"/>
        <v>-5.4915998861002624E-3</v>
      </c>
    </row>
    <row r="1273" spans="1:7">
      <c r="A1273" s="52">
        <v>223.33941514481165</v>
      </c>
      <c r="B1273" s="52">
        <v>223.78647717112383</v>
      </c>
      <c r="C1273" s="52">
        <v>220.2920943940307</v>
      </c>
      <c r="D1273" s="52">
        <v>220.46544497566194</v>
      </c>
      <c r="E1273" s="52">
        <v>1220142.2574394634</v>
      </c>
      <c r="F1273" s="52" t="s">
        <v>1348</v>
      </c>
      <c r="G1273" s="26">
        <f t="shared" ref="G1273:G1336" si="17">A1273/D1273-1</f>
        <v>1.3035921205098555E-2</v>
      </c>
    </row>
    <row r="1274" spans="1:7">
      <c r="A1274" s="52">
        <v>221.37781645793169</v>
      </c>
      <c r="B1274" s="52">
        <v>221.60590932849911</v>
      </c>
      <c r="C1274" s="52">
        <v>219.41621777105175</v>
      </c>
      <c r="D1274" s="52">
        <v>220.61142441282513</v>
      </c>
      <c r="E1274" s="52">
        <v>1161225.4663684913</v>
      </c>
      <c r="F1274" s="52" t="s">
        <v>1349</v>
      </c>
      <c r="G1274" s="26">
        <f t="shared" si="17"/>
        <v>3.4739454094290245E-3</v>
      </c>
    </row>
    <row r="1275" spans="1:7">
      <c r="A1275" s="52">
        <v>220.95812557608761</v>
      </c>
      <c r="B1275" s="52">
        <v>221.97998163622975</v>
      </c>
      <c r="C1275" s="52">
        <v>218.23925855892375</v>
      </c>
      <c r="D1275" s="52">
        <v>218.8596711668672</v>
      </c>
      <c r="E1275" s="52">
        <v>1845971.7699747793</v>
      </c>
      <c r="F1275" s="52" t="s">
        <v>1350</v>
      </c>
      <c r="G1275" s="26">
        <f t="shared" si="17"/>
        <v>9.5881273970317427E-3</v>
      </c>
    </row>
    <row r="1276" spans="1:7">
      <c r="A1276" s="52">
        <v>219.9636406604136</v>
      </c>
      <c r="B1276" s="52">
        <v>223.79560088594653</v>
      </c>
      <c r="C1276" s="52">
        <v>219.91802208630008</v>
      </c>
      <c r="D1276" s="52">
        <v>221.57853818403106</v>
      </c>
      <c r="E1276" s="52">
        <v>1073317.1948380503</v>
      </c>
      <c r="F1276" s="52" t="s">
        <v>1351</v>
      </c>
      <c r="G1276" s="26">
        <f t="shared" si="17"/>
        <v>-7.2881495511817329E-3</v>
      </c>
    </row>
    <row r="1277" spans="1:7">
      <c r="A1277" s="52">
        <v>221.14059987254157</v>
      </c>
      <c r="B1277" s="52">
        <v>224.89957037949293</v>
      </c>
      <c r="C1277" s="52">
        <v>220.93075443161953</v>
      </c>
      <c r="D1277" s="52">
        <v>223.23905428176198</v>
      </c>
      <c r="E1277" s="52">
        <v>1473957.7311803817</v>
      </c>
      <c r="F1277" s="52" t="s">
        <v>1352</v>
      </c>
      <c r="G1277" s="26">
        <f t="shared" si="17"/>
        <v>-9.4000326957658364E-3</v>
      </c>
    </row>
    <row r="1278" spans="1:7">
      <c r="A1278" s="52">
        <v>222.69163139240015</v>
      </c>
      <c r="B1278" s="52">
        <v>224.37951863459918</v>
      </c>
      <c r="C1278" s="52">
        <v>220.47913054789601</v>
      </c>
      <c r="D1278" s="52">
        <v>221.11322872807347</v>
      </c>
      <c r="E1278" s="52">
        <v>1964893.7245826514</v>
      </c>
      <c r="F1278" s="52" t="s">
        <v>1353</v>
      </c>
      <c r="G1278" s="26">
        <f t="shared" si="17"/>
        <v>7.1384361460697932E-3</v>
      </c>
    </row>
    <row r="1279" spans="1:7">
      <c r="A1279" s="52">
        <v>220.46544497566194</v>
      </c>
      <c r="B1279" s="52">
        <v>222.21719822161987</v>
      </c>
      <c r="C1279" s="52">
        <v>219.00565060403034</v>
      </c>
      <c r="D1279" s="52">
        <v>219.00565060403034</v>
      </c>
      <c r="E1279" s="52">
        <v>1794099.2587009037</v>
      </c>
      <c r="F1279" s="52" t="s">
        <v>1354</v>
      </c>
      <c r="G1279" s="26">
        <f t="shared" si="17"/>
        <v>6.6655557407098165E-3</v>
      </c>
    </row>
    <row r="1280" spans="1:7">
      <c r="A1280" s="52">
        <v>220.06400152346325</v>
      </c>
      <c r="B1280" s="52">
        <v>226.84292163672748</v>
      </c>
      <c r="C1280" s="52">
        <v>219.49833120445604</v>
      </c>
      <c r="D1280" s="52">
        <v>225.6477149949541</v>
      </c>
      <c r="E1280" s="52">
        <v>1734021.7562085646</v>
      </c>
      <c r="F1280" s="52" t="s">
        <v>1355</v>
      </c>
      <c r="G1280" s="26">
        <f t="shared" si="17"/>
        <v>-2.4745269286754024E-2</v>
      </c>
    </row>
    <row r="1281" spans="1:7">
      <c r="A1281" s="52">
        <v>225.01817867218799</v>
      </c>
      <c r="B1281" s="52">
        <v>227.04364336282683</v>
      </c>
      <c r="C1281" s="52">
        <v>218.16626884034218</v>
      </c>
      <c r="D1281" s="52">
        <v>218.4399802850231</v>
      </c>
      <c r="E1281" s="52">
        <v>2039217.6171174152</v>
      </c>
      <c r="F1281" s="52" t="s">
        <v>1356</v>
      </c>
      <c r="G1281" s="26">
        <f t="shared" si="17"/>
        <v>3.0114443237824862E-2</v>
      </c>
    </row>
    <row r="1282" spans="1:7">
      <c r="A1282" s="52">
        <v>218.41260914055499</v>
      </c>
      <c r="B1282" s="52">
        <v>223.48539458197482</v>
      </c>
      <c r="C1282" s="52">
        <v>218.00204197353364</v>
      </c>
      <c r="D1282" s="52">
        <v>218.41260914055499</v>
      </c>
      <c r="E1282" s="52">
        <v>2793055.2954816911</v>
      </c>
      <c r="F1282" s="52" t="s">
        <v>1357</v>
      </c>
      <c r="G1282" s="26">
        <f t="shared" si="17"/>
        <v>0</v>
      </c>
    </row>
    <row r="1283" spans="1:7">
      <c r="A1283" s="52">
        <v>219.70817664537807</v>
      </c>
      <c r="B1283" s="52">
        <v>223.43065229303861</v>
      </c>
      <c r="C1283" s="52">
        <v>217.326887076654</v>
      </c>
      <c r="D1283" s="52">
        <v>220.78477499445637</v>
      </c>
      <c r="E1283" s="52">
        <v>3084203.1504531857</v>
      </c>
      <c r="F1283" s="52" t="s">
        <v>1358</v>
      </c>
      <c r="G1283" s="26">
        <f t="shared" si="17"/>
        <v>-4.8762345551468522E-3</v>
      </c>
    </row>
    <row r="1284" spans="1:7">
      <c r="A1284" s="52">
        <v>227.88302512651501</v>
      </c>
      <c r="B1284" s="52">
        <v>229.91761353197654</v>
      </c>
      <c r="C1284" s="52">
        <v>224.47987949764882</v>
      </c>
      <c r="D1284" s="52">
        <v>229.61653094282752</v>
      </c>
      <c r="E1284" s="52">
        <v>1881091.2367957802</v>
      </c>
      <c r="F1284" s="52" t="s">
        <v>1359</v>
      </c>
      <c r="G1284" s="26">
        <f t="shared" si="17"/>
        <v>-7.5495688798823402E-3</v>
      </c>
    </row>
    <row r="1285" spans="1:7">
      <c r="A1285" s="52">
        <v>229.47967522048708</v>
      </c>
      <c r="B1285" s="52">
        <v>230.62926328814694</v>
      </c>
      <c r="C1285" s="52">
        <v>227.4724579594936</v>
      </c>
      <c r="D1285" s="52">
        <v>230.56539728438807</v>
      </c>
      <c r="E1285" s="52">
        <v>1092390.5660888792</v>
      </c>
      <c r="F1285" s="52" t="s">
        <v>1360</v>
      </c>
      <c r="G1285" s="26">
        <f t="shared" si="17"/>
        <v>-4.7089549285741494E-3</v>
      </c>
    </row>
    <row r="1286" spans="1:7">
      <c r="A1286" s="52">
        <v>230.93946959211866</v>
      </c>
      <c r="B1286" s="52">
        <v>231.51882548335993</v>
      </c>
      <c r="C1286" s="52">
        <v>227.25348880374889</v>
      </c>
      <c r="D1286" s="52">
        <v>227.82828283757883</v>
      </c>
      <c r="E1286" s="52">
        <v>1072891.9294636494</v>
      </c>
      <c r="F1286" s="52" t="s">
        <v>1361</v>
      </c>
      <c r="G1286" s="26">
        <f t="shared" si="17"/>
        <v>1.3655840775299355E-2</v>
      </c>
    </row>
    <row r="1287" spans="1:7">
      <c r="A1287" s="52">
        <v>227.00714850353606</v>
      </c>
      <c r="B1287" s="52">
        <v>229.65302580211832</v>
      </c>
      <c r="C1287" s="52">
        <v>225.67508613942221</v>
      </c>
      <c r="D1287" s="52">
        <v>228.40307687140876</v>
      </c>
      <c r="E1287" s="52">
        <v>1888781.0869679339</v>
      </c>
      <c r="F1287" s="52" t="s">
        <v>1362</v>
      </c>
      <c r="G1287" s="26">
        <f t="shared" si="17"/>
        <v>-6.1116881041782811E-3</v>
      </c>
    </row>
    <row r="1288" spans="1:7">
      <c r="A1288" s="52">
        <v>229.38843807226007</v>
      </c>
      <c r="B1288" s="52">
        <v>235.63818272580784</v>
      </c>
      <c r="C1288" s="52">
        <v>229.07823176828839</v>
      </c>
      <c r="D1288" s="52">
        <v>235.53782186275822</v>
      </c>
      <c r="E1288" s="52">
        <v>1292767.2805661832</v>
      </c>
      <c r="F1288" s="52" t="s">
        <v>1363</v>
      </c>
      <c r="G1288" s="26">
        <f t="shared" si="17"/>
        <v>-2.6107840099163448E-2</v>
      </c>
    </row>
    <row r="1289" spans="1:7">
      <c r="A1289" s="52">
        <v>234.94478039928285</v>
      </c>
      <c r="B1289" s="52">
        <v>237.12534824190755</v>
      </c>
      <c r="C1289" s="52">
        <v>234.22400692828978</v>
      </c>
      <c r="D1289" s="52">
        <v>235.87539931119798</v>
      </c>
      <c r="E1289" s="52">
        <v>914161.62846857437</v>
      </c>
      <c r="F1289" s="52" t="s">
        <v>1364</v>
      </c>
      <c r="G1289" s="26">
        <f t="shared" si="17"/>
        <v>-3.9453835144857008E-3</v>
      </c>
    </row>
    <row r="1290" spans="1:7">
      <c r="A1290" s="52">
        <v>235.58344043687165</v>
      </c>
      <c r="B1290" s="52">
        <v>236.70565736006347</v>
      </c>
      <c r="C1290" s="52">
        <v>231.08544902928182</v>
      </c>
      <c r="D1290" s="52">
        <v>234.60720295084303</v>
      </c>
      <c r="E1290" s="52">
        <v>1154850.8699315977</v>
      </c>
      <c r="F1290" s="52" t="s">
        <v>1365</v>
      </c>
      <c r="G1290" s="26">
        <f t="shared" si="17"/>
        <v>4.161157346192601E-3</v>
      </c>
    </row>
    <row r="1291" spans="1:7">
      <c r="A1291" s="52">
        <v>234.89003811034667</v>
      </c>
      <c r="B1291" s="52">
        <v>235.72029615921215</v>
      </c>
      <c r="C1291" s="52">
        <v>233.43024373871506</v>
      </c>
      <c r="D1291" s="52">
        <v>233.55797574623284</v>
      </c>
      <c r="E1291" s="52">
        <v>1169658.4349010668</v>
      </c>
      <c r="F1291" s="52" t="s">
        <v>1366</v>
      </c>
      <c r="G1291" s="26">
        <f t="shared" si="17"/>
        <v>5.7033477870229721E-3</v>
      </c>
    </row>
    <row r="1292" spans="1:7">
      <c r="A1292" s="52">
        <v>233.43024373871506</v>
      </c>
      <c r="B1292" s="52">
        <v>234.98127525857365</v>
      </c>
      <c r="C1292" s="52">
        <v>230.0362218246716</v>
      </c>
      <c r="D1292" s="52">
        <v>234.98127525857365</v>
      </c>
      <c r="E1292" s="52">
        <v>1679170.1952243252</v>
      </c>
      <c r="F1292" s="52" t="s">
        <v>1367</v>
      </c>
      <c r="G1292" s="26">
        <f t="shared" si="17"/>
        <v>-6.6006600660066805E-3</v>
      </c>
    </row>
    <row r="1293" spans="1:7">
      <c r="A1293" s="52">
        <v>234.59807923602034</v>
      </c>
      <c r="B1293" s="52">
        <v>235.82978073708452</v>
      </c>
      <c r="C1293" s="52">
        <v>233.64921289445979</v>
      </c>
      <c r="D1293" s="52">
        <v>234.50684208779336</v>
      </c>
      <c r="E1293" s="52">
        <v>1070288.823112614</v>
      </c>
      <c r="F1293" s="52" t="s">
        <v>1368</v>
      </c>
      <c r="G1293" s="26">
        <f t="shared" si="17"/>
        <v>3.8905964284330352E-4</v>
      </c>
    </row>
    <row r="1294" spans="1:7">
      <c r="A1294" s="52">
        <v>235.51957443311278</v>
      </c>
      <c r="B1294" s="52">
        <v>236.93375023063089</v>
      </c>
      <c r="C1294" s="52">
        <v>234.63457409531117</v>
      </c>
      <c r="D1294" s="52">
        <v>234.98127525857365</v>
      </c>
      <c r="E1294" s="52">
        <v>1511136.6661418441</v>
      </c>
      <c r="F1294" s="52" t="s">
        <v>1369</v>
      </c>
      <c r="G1294" s="26">
        <f t="shared" si="17"/>
        <v>2.2908173170257395E-3</v>
      </c>
    </row>
    <row r="1295" spans="1:7">
      <c r="A1295" s="52">
        <v>233.96854291325423</v>
      </c>
      <c r="B1295" s="52">
        <v>237.76400827949641</v>
      </c>
      <c r="C1295" s="52">
        <v>233.73132632786408</v>
      </c>
      <c r="D1295" s="52">
        <v>236.04874989282928</v>
      </c>
      <c r="E1295" s="52">
        <v>1639413.3629417531</v>
      </c>
      <c r="F1295" s="52" t="s">
        <v>1370</v>
      </c>
      <c r="G1295" s="26">
        <f t="shared" si="17"/>
        <v>-8.8126159554732242E-3</v>
      </c>
    </row>
    <row r="1296" spans="1:7">
      <c r="A1296" s="52">
        <v>236.26771904857398</v>
      </c>
      <c r="B1296" s="52">
        <v>237.97385372041839</v>
      </c>
      <c r="C1296" s="52">
        <v>234.73493495836078</v>
      </c>
      <c r="D1296" s="52">
        <v>237.48117311999277</v>
      </c>
      <c r="E1296" s="52">
        <v>1580211.6002281413</v>
      </c>
      <c r="F1296" s="52" t="s">
        <v>1371</v>
      </c>
      <c r="G1296" s="26">
        <f t="shared" si="17"/>
        <v>-5.1096853509547957E-3</v>
      </c>
    </row>
    <row r="1297" spans="1:7">
      <c r="A1297" s="52">
        <v>238.07421458346809</v>
      </c>
      <c r="B1297" s="52">
        <v>239.05045206949671</v>
      </c>
      <c r="C1297" s="52">
        <v>235.35908828938153</v>
      </c>
      <c r="D1297" s="52">
        <v>236.29509019304209</v>
      </c>
      <c r="E1297" s="52">
        <v>2087190.4010662448</v>
      </c>
      <c r="F1297" s="52" t="s">
        <v>1372</v>
      </c>
      <c r="G1297" s="26">
        <f t="shared" si="17"/>
        <v>7.529248233522523E-3</v>
      </c>
    </row>
    <row r="1298" spans="1:7">
      <c r="A1298" s="52">
        <v>235.25498670325459</v>
      </c>
      <c r="B1298" s="52">
        <v>236.25859533375129</v>
      </c>
      <c r="C1298" s="52">
        <v>228.79539660878476</v>
      </c>
      <c r="D1298" s="52">
        <v>228.84101518289825</v>
      </c>
      <c r="E1298" s="52">
        <v>2267520.4565286273</v>
      </c>
      <c r="F1298" s="52" t="s">
        <v>1373</v>
      </c>
      <c r="G1298" s="26">
        <f t="shared" si="17"/>
        <v>2.8028067937166057E-2</v>
      </c>
    </row>
    <row r="1299" spans="1:7">
      <c r="A1299" s="52">
        <v>227.92864370062847</v>
      </c>
      <c r="B1299" s="52">
        <v>229.00524204970679</v>
      </c>
      <c r="C1299" s="52">
        <v>226.76080820332319</v>
      </c>
      <c r="D1299" s="52">
        <v>228.70415946055778</v>
      </c>
      <c r="E1299" s="52">
        <v>1209999.45905105</v>
      </c>
      <c r="F1299" s="52" t="s">
        <v>1374</v>
      </c>
      <c r="G1299" s="26">
        <f t="shared" si="17"/>
        <v>-3.3909123548889752E-3</v>
      </c>
    </row>
    <row r="1300" spans="1:7">
      <c r="A1300" s="52">
        <v>228.73153060502585</v>
      </c>
      <c r="B1300" s="52">
        <v>229.42493293155087</v>
      </c>
      <c r="C1300" s="52">
        <v>224.90385852545961</v>
      </c>
      <c r="D1300" s="52">
        <v>225.13678696488304</v>
      </c>
      <c r="E1300" s="52">
        <v>1068370.7447486932</v>
      </c>
      <c r="F1300" s="52" t="s">
        <v>1375</v>
      </c>
      <c r="G1300" s="26">
        <f t="shared" si="17"/>
        <v>1.5966931431350417E-2</v>
      </c>
    </row>
    <row r="1301" spans="1:7">
      <c r="A1301" s="52">
        <v>225.72982842835839</v>
      </c>
      <c r="B1301" s="52">
        <v>226.01266358786202</v>
      </c>
      <c r="C1301" s="52">
        <v>224.33390006048569</v>
      </c>
      <c r="D1301" s="52">
        <v>225.68420985424493</v>
      </c>
      <c r="E1301" s="52">
        <v>1110539.971590688</v>
      </c>
      <c r="F1301" s="52" t="s">
        <v>1376</v>
      </c>
      <c r="G1301" s="26">
        <f t="shared" si="17"/>
        <v>2.0213454075013182E-4</v>
      </c>
    </row>
    <row r="1302" spans="1:7">
      <c r="A1302" s="52">
        <v>226.20426159913868</v>
      </c>
      <c r="B1302" s="52">
        <v>226.25900388807486</v>
      </c>
      <c r="C1302" s="52">
        <v>221.77925991013041</v>
      </c>
      <c r="D1302" s="52">
        <v>221.77925991013041</v>
      </c>
      <c r="E1302" s="52">
        <v>1343867.0802705935</v>
      </c>
      <c r="F1302" s="52" t="s">
        <v>1377</v>
      </c>
      <c r="G1302" s="26">
        <f t="shared" si="17"/>
        <v>1.9952279085074798E-2</v>
      </c>
    </row>
    <row r="1303" spans="1:7">
      <c r="A1303" s="52">
        <v>221.58766189885375</v>
      </c>
      <c r="B1303" s="52">
        <v>223.05657998530802</v>
      </c>
      <c r="C1303" s="52">
        <v>221.18621844665506</v>
      </c>
      <c r="D1303" s="52">
        <v>222.63688910346397</v>
      </c>
      <c r="E1303" s="52">
        <v>1474274.4881216236</v>
      </c>
      <c r="F1303" s="52" t="s">
        <v>1378</v>
      </c>
      <c r="G1303" s="26">
        <f t="shared" si="17"/>
        <v>-4.7127284648799117E-3</v>
      </c>
    </row>
    <row r="1304" spans="1:7">
      <c r="A1304" s="52">
        <v>222.63688910346397</v>
      </c>
      <c r="B1304" s="52">
        <v>223.63137401913798</v>
      </c>
      <c r="C1304" s="52">
        <v>221.11404986240751</v>
      </c>
      <c r="D1304" s="52">
        <v>223.24817799658467</v>
      </c>
      <c r="E1304" s="52">
        <v>846684.72767061822</v>
      </c>
      <c r="F1304" s="52" t="s">
        <v>1379</v>
      </c>
      <c r="G1304" s="26">
        <f t="shared" si="17"/>
        <v>-2.7381584862478103E-3</v>
      </c>
    </row>
    <row r="1305" spans="1:7">
      <c r="A1305" s="52">
        <v>223.1843119928258</v>
      </c>
      <c r="B1305" s="52">
        <v>225.55647784672715</v>
      </c>
      <c r="C1305" s="52">
        <v>222.05297135481132</v>
      </c>
      <c r="D1305" s="52">
        <v>223.65874516360606</v>
      </c>
      <c r="E1305" s="52">
        <v>999567.62976768322</v>
      </c>
      <c r="F1305" s="52" t="s">
        <v>1380</v>
      </c>
      <c r="G1305" s="26">
        <f t="shared" si="17"/>
        <v>-2.12123684425225E-3</v>
      </c>
    </row>
    <row r="1306" spans="1:7">
      <c r="A1306" s="52">
        <v>223.61312658949259</v>
      </c>
      <c r="B1306" s="52">
        <v>225.46067884108882</v>
      </c>
      <c r="C1306" s="52">
        <v>221.14059987254157</v>
      </c>
      <c r="D1306" s="52">
        <v>221.14059987254157</v>
      </c>
      <c r="E1306" s="52">
        <v>1341256.3016061024</v>
      </c>
      <c r="F1306" s="52" t="s">
        <v>1381</v>
      </c>
      <c r="G1306" s="26">
        <f t="shared" si="17"/>
        <v>1.1180790494265125E-2</v>
      </c>
    </row>
    <row r="1307" spans="1:7">
      <c r="A1307" s="52">
        <v>220.41070268672578</v>
      </c>
      <c r="B1307" s="52">
        <v>223.14781713353503</v>
      </c>
      <c r="C1307" s="52">
        <v>219.48920748963332</v>
      </c>
      <c r="D1307" s="52">
        <v>222.20807450679717</v>
      </c>
      <c r="E1307" s="52">
        <v>1050151.1923810039</v>
      </c>
      <c r="F1307" s="52" t="s">
        <v>1382</v>
      </c>
      <c r="G1307" s="26">
        <f t="shared" si="17"/>
        <v>-8.0886881543830169E-3</v>
      </c>
    </row>
    <row r="1308" spans="1:7">
      <c r="A1308" s="52">
        <v>221.84312591388928</v>
      </c>
      <c r="B1308" s="52">
        <v>224.2517866270814</v>
      </c>
      <c r="C1308" s="52">
        <v>221.10410501325077</v>
      </c>
      <c r="D1308" s="52">
        <v>223.68611630807416</v>
      </c>
      <c r="E1308" s="52">
        <v>1289311.4513767876</v>
      </c>
      <c r="F1308" s="52" t="s">
        <v>1383</v>
      </c>
      <c r="G1308" s="26">
        <f t="shared" si="17"/>
        <v>-8.2391809764652546E-3</v>
      </c>
    </row>
    <row r="1309" spans="1:7">
      <c r="A1309" s="52">
        <v>223.70436373771955</v>
      </c>
      <c r="B1309" s="52">
        <v>226.60570505133737</v>
      </c>
      <c r="C1309" s="52">
        <v>222.72812625169092</v>
      </c>
      <c r="D1309" s="52">
        <v>224.56199293105311</v>
      </c>
      <c r="E1309" s="52">
        <v>987329.19376108877</v>
      </c>
      <c r="F1309" s="52" t="s">
        <v>1384</v>
      </c>
      <c r="G1309" s="26">
        <f t="shared" si="17"/>
        <v>-3.8191199772478202E-3</v>
      </c>
    </row>
    <row r="1310" spans="1:7">
      <c r="A1310" s="52">
        <v>225.48348812814555</v>
      </c>
      <c r="B1310" s="52">
        <v>226.64219991062814</v>
      </c>
      <c r="C1310" s="52">
        <v>222.19895079197445</v>
      </c>
      <c r="D1310" s="52">
        <v>224.14230204920904</v>
      </c>
      <c r="E1310" s="52">
        <v>981790.87949086481</v>
      </c>
      <c r="F1310" s="52" t="s">
        <v>1385</v>
      </c>
      <c r="G1310" s="26">
        <f t="shared" si="17"/>
        <v>5.9836365856635876E-3</v>
      </c>
    </row>
    <row r="1311" spans="1:7">
      <c r="A1311" s="52">
        <v>223.64049773396067</v>
      </c>
      <c r="B1311" s="52">
        <v>223.84121946006002</v>
      </c>
      <c r="C1311" s="52">
        <v>218.30312456268265</v>
      </c>
      <c r="D1311" s="52">
        <v>220.9672492909103</v>
      </c>
      <c r="E1311" s="52">
        <v>1231230.9424724849</v>
      </c>
      <c r="F1311" s="52" t="s">
        <v>1386</v>
      </c>
      <c r="G1311" s="26">
        <f t="shared" si="17"/>
        <v>1.2097939634171606E-2</v>
      </c>
    </row>
    <row r="1312" spans="1:7">
      <c r="A1312" s="52">
        <v>220.54755840906623</v>
      </c>
      <c r="B1312" s="52">
        <v>222.29931165502416</v>
      </c>
      <c r="C1312" s="52">
        <v>217.65534081027113</v>
      </c>
      <c r="D1312" s="52">
        <v>222.29931165502416</v>
      </c>
      <c r="E1312" s="52">
        <v>1318134.1409402313</v>
      </c>
      <c r="F1312" s="52" t="s">
        <v>1387</v>
      </c>
      <c r="G1312" s="26">
        <f t="shared" si="17"/>
        <v>-7.88015596142011E-3</v>
      </c>
    </row>
    <row r="1313" spans="1:7">
      <c r="A1313" s="52">
        <v>220.58405326835702</v>
      </c>
      <c r="B1313" s="52">
        <v>221.08585758360536</v>
      </c>
      <c r="C1313" s="52">
        <v>217.84237696413641</v>
      </c>
      <c r="D1313" s="52">
        <v>218.35786685161884</v>
      </c>
      <c r="E1313" s="52">
        <v>1057962.7035236689</v>
      </c>
      <c r="F1313" s="52" t="s">
        <v>1388</v>
      </c>
      <c r="G1313" s="26">
        <f t="shared" si="17"/>
        <v>1.0195128065850545E-2</v>
      </c>
    </row>
    <row r="1314" spans="1:7">
      <c r="A1314" s="52">
        <v>219.20637233012968</v>
      </c>
      <c r="B1314" s="52">
        <v>220.78477499445637</v>
      </c>
      <c r="C1314" s="52">
        <v>218.47647514431389</v>
      </c>
      <c r="D1314" s="52">
        <v>220.75740384998826</v>
      </c>
      <c r="E1314" s="52">
        <v>994964.24169427319</v>
      </c>
      <c r="F1314" s="52" t="s">
        <v>1389</v>
      </c>
      <c r="G1314" s="26">
        <f t="shared" si="17"/>
        <v>-7.0259547032567315E-3</v>
      </c>
    </row>
    <row r="1315" spans="1:7">
      <c r="A1315" s="52">
        <v>220.44719754601655</v>
      </c>
      <c r="B1315" s="52">
        <v>220.51106354977543</v>
      </c>
      <c r="C1315" s="52">
        <v>217.14441278020007</v>
      </c>
      <c r="D1315" s="52">
        <v>217.60059852133494</v>
      </c>
      <c r="E1315" s="52">
        <v>1102924.6524635325</v>
      </c>
      <c r="F1315" s="52" t="s">
        <v>1390</v>
      </c>
      <c r="G1315" s="26">
        <f t="shared" si="17"/>
        <v>1.3081761006289216E-2</v>
      </c>
    </row>
    <row r="1316" spans="1:7">
      <c r="A1316" s="52">
        <v>218.07503169211523</v>
      </c>
      <c r="B1316" s="52">
        <v>220.17804795874696</v>
      </c>
      <c r="C1316" s="52">
        <v>217.02580448750501</v>
      </c>
      <c r="D1316" s="52">
        <v>218.91441345580338</v>
      </c>
      <c r="E1316" s="52">
        <v>2810354.1702346983</v>
      </c>
      <c r="F1316" s="52" t="s">
        <v>1391</v>
      </c>
      <c r="G1316" s="26">
        <f t="shared" si="17"/>
        <v>-3.8342919063097947E-3</v>
      </c>
    </row>
    <row r="1317" spans="1:7">
      <c r="A1317" s="52">
        <v>218.23925855892375</v>
      </c>
      <c r="B1317" s="52">
        <v>219.87240351218662</v>
      </c>
      <c r="C1317" s="52">
        <v>217.17178392466815</v>
      </c>
      <c r="D1317" s="52">
        <v>217.71008309920731</v>
      </c>
      <c r="E1317" s="52">
        <v>944937.46982887923</v>
      </c>
      <c r="F1317" s="52" t="s">
        <v>1392</v>
      </c>
      <c r="G1317" s="26">
        <f t="shared" si="17"/>
        <v>2.4306428631295507E-3</v>
      </c>
    </row>
    <row r="1318" spans="1:7">
      <c r="A1318" s="52">
        <v>218.38523799608694</v>
      </c>
      <c r="B1318" s="52">
        <v>219.85415608254121</v>
      </c>
      <c r="C1318" s="52">
        <v>217.71920681403</v>
      </c>
      <c r="D1318" s="52">
        <v>218.28487713303724</v>
      </c>
      <c r="E1318" s="52">
        <v>1274597.050213566</v>
      </c>
      <c r="F1318" s="52" t="s">
        <v>1393</v>
      </c>
      <c r="G1318" s="26">
        <f t="shared" si="17"/>
        <v>4.5977011494269249E-4</v>
      </c>
    </row>
    <row r="1319" spans="1:7">
      <c r="A1319" s="52">
        <v>218.55858857771818</v>
      </c>
      <c r="B1319" s="52">
        <v>220.3559603977896</v>
      </c>
      <c r="C1319" s="52">
        <v>217.74657795849811</v>
      </c>
      <c r="D1319" s="52">
        <v>220.10049638275405</v>
      </c>
      <c r="E1319" s="52">
        <v>1014672.222872365</v>
      </c>
      <c r="F1319" s="52" t="s">
        <v>1394</v>
      </c>
      <c r="G1319" s="26">
        <f t="shared" si="17"/>
        <v>-7.0054717293980273E-3</v>
      </c>
    </row>
    <row r="1320" spans="1:7">
      <c r="A1320" s="52">
        <v>219.66255807126456</v>
      </c>
      <c r="B1320" s="52">
        <v>219.88152722700931</v>
      </c>
      <c r="C1320" s="52">
        <v>217.07142306161848</v>
      </c>
      <c r="D1320" s="52">
        <v>217.50023765828524</v>
      </c>
      <c r="E1320" s="52">
        <v>1204617.8791842777</v>
      </c>
      <c r="F1320" s="52" t="s">
        <v>1395</v>
      </c>
      <c r="G1320" s="26">
        <f t="shared" si="17"/>
        <v>9.9416921850750128E-3</v>
      </c>
    </row>
    <row r="1321" spans="1:7">
      <c r="A1321" s="52">
        <v>217.3633819359448</v>
      </c>
      <c r="B1321" s="52">
        <v>219.07864032261193</v>
      </c>
      <c r="C1321" s="52">
        <v>215.60250497516418</v>
      </c>
      <c r="D1321" s="52">
        <v>218.39436171090964</v>
      </c>
      <c r="E1321" s="52">
        <v>1316537.2036966698</v>
      </c>
      <c r="F1321" s="52" t="s">
        <v>1396</v>
      </c>
      <c r="G1321" s="26">
        <f t="shared" si="17"/>
        <v>-4.7207252370807806E-3</v>
      </c>
    </row>
    <row r="1322" spans="1:7">
      <c r="A1322" s="52">
        <v>217.326887076654</v>
      </c>
      <c r="B1322" s="52">
        <v>218.72281544452673</v>
      </c>
      <c r="C1322" s="52">
        <v>215.34704096012865</v>
      </c>
      <c r="D1322" s="52">
        <v>217.14441278020007</v>
      </c>
      <c r="E1322" s="52">
        <v>2717880.8721981258</v>
      </c>
      <c r="F1322" s="52" t="s">
        <v>1397</v>
      </c>
      <c r="G1322" s="26">
        <f t="shared" si="17"/>
        <v>8.4033613445377853E-4</v>
      </c>
    </row>
    <row r="1323" spans="1:7">
      <c r="A1323" s="52">
        <v>217.04405191715037</v>
      </c>
      <c r="B1323" s="52">
        <v>223.68611630807416</v>
      </c>
      <c r="C1323" s="52">
        <v>216.06781443112175</v>
      </c>
      <c r="D1323" s="52">
        <v>223.68611630807416</v>
      </c>
      <c r="E1323" s="52">
        <v>2314297.4556231499</v>
      </c>
      <c r="F1323" s="52" t="s">
        <v>1398</v>
      </c>
      <c r="G1323" s="26">
        <f t="shared" si="17"/>
        <v>-2.9693681934984006E-2</v>
      </c>
    </row>
    <row r="1324" spans="1:7">
      <c r="A1324" s="52">
        <v>221.56941446920834</v>
      </c>
      <c r="B1324" s="52">
        <v>226.35024103630184</v>
      </c>
      <c r="C1324" s="52">
        <v>221.44168246169059</v>
      </c>
      <c r="D1324" s="52">
        <v>225.44699326885478</v>
      </c>
      <c r="E1324" s="52">
        <v>1335758.5409927154</v>
      </c>
      <c r="F1324" s="52" t="s">
        <v>1399</v>
      </c>
      <c r="G1324" s="26">
        <f t="shared" si="17"/>
        <v>-1.7199514366653235E-2</v>
      </c>
    </row>
    <row r="1325" spans="1:7">
      <c r="A1325" s="52">
        <v>223.77735345630114</v>
      </c>
      <c r="B1325" s="52">
        <v>226.99625565555067</v>
      </c>
      <c r="C1325" s="52">
        <v>221.88147461860757</v>
      </c>
      <c r="D1325" s="52">
        <v>223.51365807839653</v>
      </c>
      <c r="E1325" s="52">
        <v>1074524.3707020401</v>
      </c>
      <c r="F1325" s="52" t="s">
        <v>1400</v>
      </c>
      <c r="G1325" s="26">
        <f t="shared" si="17"/>
        <v>1.1797729954028391E-3</v>
      </c>
    </row>
    <row r="1326" spans="1:7">
      <c r="A1326" s="52">
        <v>224.09560649859984</v>
      </c>
      <c r="B1326" s="52">
        <v>225.15038801021834</v>
      </c>
      <c r="C1326" s="52">
        <v>219.09448726247771</v>
      </c>
      <c r="D1326" s="52">
        <v>219.90375928432294</v>
      </c>
      <c r="E1326" s="52">
        <v>1215876.8293465066</v>
      </c>
      <c r="F1326" s="52" t="s">
        <v>1401</v>
      </c>
      <c r="G1326" s="26">
        <f t="shared" si="17"/>
        <v>1.9062189877604885E-2</v>
      </c>
    </row>
    <row r="1327" spans="1:7">
      <c r="A1327" s="52">
        <v>219.03083665401797</v>
      </c>
      <c r="B1327" s="52">
        <v>221.75871987372096</v>
      </c>
      <c r="C1327" s="52">
        <v>216.83034419012424</v>
      </c>
      <c r="D1327" s="52">
        <v>219.88557339619157</v>
      </c>
      <c r="E1327" s="52">
        <v>1533578.11279601</v>
      </c>
      <c r="F1327" s="52" t="s">
        <v>1402</v>
      </c>
      <c r="G1327" s="26">
        <f t="shared" si="17"/>
        <v>-3.8871888181292169E-3</v>
      </c>
    </row>
    <row r="1328" spans="1:7">
      <c r="A1328" s="52">
        <v>219.74008629114076</v>
      </c>
      <c r="B1328" s="52">
        <v>222.34976123798992</v>
      </c>
      <c r="C1328" s="52">
        <v>219.34908969631664</v>
      </c>
      <c r="D1328" s="52">
        <v>221.85874225844341</v>
      </c>
      <c r="E1328" s="52">
        <v>1510320.5189438406</v>
      </c>
      <c r="F1328" s="52" t="s">
        <v>1403</v>
      </c>
      <c r="G1328" s="26">
        <f t="shared" si="17"/>
        <v>-9.5495717037583638E-3</v>
      </c>
    </row>
    <row r="1329" spans="1:7">
      <c r="A1329" s="52">
        <v>222.53162011930345</v>
      </c>
      <c r="B1329" s="52">
        <v>224.70483375100017</v>
      </c>
      <c r="C1329" s="52">
        <v>221.29497972637145</v>
      </c>
      <c r="D1329" s="52">
        <v>224.70483375100017</v>
      </c>
      <c r="E1329" s="52">
        <v>912568.02418068715</v>
      </c>
      <c r="F1329" s="52" t="s">
        <v>1404</v>
      </c>
      <c r="G1329" s="26">
        <f t="shared" si="17"/>
        <v>-9.6714146973130299E-3</v>
      </c>
    </row>
    <row r="1330" spans="1:7">
      <c r="A1330" s="52">
        <v>223.74098168003846</v>
      </c>
      <c r="B1330" s="52">
        <v>223.81372523256385</v>
      </c>
      <c r="C1330" s="52">
        <v>219.9128522283886</v>
      </c>
      <c r="D1330" s="52">
        <v>220.69484541803681</v>
      </c>
      <c r="E1330" s="52">
        <v>1447704.9352684522</v>
      </c>
      <c r="F1330" s="52" t="s">
        <v>1405</v>
      </c>
      <c r="G1330" s="26">
        <f t="shared" si="17"/>
        <v>1.3802480326315258E-2</v>
      </c>
    </row>
    <row r="1331" spans="1:7">
      <c r="A1331" s="52">
        <v>219.27634614379124</v>
      </c>
      <c r="B1331" s="52">
        <v>225.05036562549589</v>
      </c>
      <c r="C1331" s="52">
        <v>219.14904492687177</v>
      </c>
      <c r="D1331" s="52">
        <v>223.78644640036686</v>
      </c>
      <c r="E1331" s="52">
        <v>1694600.7683215009</v>
      </c>
      <c r="F1331" s="52" t="s">
        <v>1406</v>
      </c>
      <c r="G1331" s="26">
        <f t="shared" si="17"/>
        <v>-2.0153589858193599E-2</v>
      </c>
    </row>
    <row r="1332" spans="1:7">
      <c r="A1332" s="52">
        <v>224.73211258319722</v>
      </c>
      <c r="B1332" s="52">
        <v>227.50091405119574</v>
      </c>
      <c r="C1332" s="52">
        <v>223.14084737170381</v>
      </c>
      <c r="D1332" s="52">
        <v>224.35930187650447</v>
      </c>
      <c r="E1332" s="52">
        <v>1346012.8987485734</v>
      </c>
      <c r="F1332" s="52" t="s">
        <v>1407</v>
      </c>
      <c r="G1332" s="26">
        <f t="shared" si="17"/>
        <v>1.6616681527112931E-3</v>
      </c>
    </row>
    <row r="1333" spans="1:7">
      <c r="A1333" s="52">
        <v>224.33202304430745</v>
      </c>
      <c r="B1333" s="52">
        <v>225.63231404569916</v>
      </c>
      <c r="C1333" s="52">
        <v>222.48615539897509</v>
      </c>
      <c r="D1333" s="52">
        <v>224.95943618483912</v>
      </c>
      <c r="E1333" s="52">
        <v>1722615.8972126567</v>
      </c>
      <c r="F1333" s="52" t="s">
        <v>1408</v>
      </c>
      <c r="G1333" s="26">
        <f t="shared" si="17"/>
        <v>-2.789005658851984E-3</v>
      </c>
    </row>
    <row r="1334" spans="1:7">
      <c r="A1334" s="52">
        <v>225.23222450680942</v>
      </c>
      <c r="B1334" s="52">
        <v>226.28700601842792</v>
      </c>
      <c r="C1334" s="52">
        <v>221.194957341649</v>
      </c>
      <c r="D1334" s="52">
        <v>224.47751014935827</v>
      </c>
      <c r="E1334" s="52">
        <v>1882534.3998996958</v>
      </c>
      <c r="F1334" s="52" t="s">
        <v>1409</v>
      </c>
      <c r="G1334" s="26">
        <f t="shared" si="17"/>
        <v>3.3620934094866772E-3</v>
      </c>
    </row>
    <row r="1335" spans="1:7">
      <c r="A1335" s="52">
        <v>223.70460990377575</v>
      </c>
      <c r="B1335" s="52">
        <v>225.7414293744873</v>
      </c>
      <c r="C1335" s="52">
        <v>219.9128522283886</v>
      </c>
      <c r="D1335" s="52">
        <v>225.6232211016335</v>
      </c>
      <c r="E1335" s="52">
        <v>1463158.6759914842</v>
      </c>
      <c r="F1335" s="52" t="s">
        <v>1410</v>
      </c>
      <c r="G1335" s="26">
        <f t="shared" si="17"/>
        <v>-8.5036069802119085E-3</v>
      </c>
    </row>
    <row r="1336" spans="1:7">
      <c r="A1336" s="52">
        <v>225.44136222031997</v>
      </c>
      <c r="B1336" s="52">
        <v>232.82937927368224</v>
      </c>
      <c r="C1336" s="52">
        <v>225.30496805933484</v>
      </c>
      <c r="D1336" s="52">
        <v>232.69753158472992</v>
      </c>
      <c r="E1336" s="52">
        <v>2270182.2260097661</v>
      </c>
      <c r="F1336" s="52" t="s">
        <v>1411</v>
      </c>
      <c r="G1336" s="26">
        <f t="shared" si="17"/>
        <v>-3.1182837716384748E-2</v>
      </c>
    </row>
    <row r="1337" spans="1:7">
      <c r="A1337" s="52">
        <v>232.61569508813881</v>
      </c>
      <c r="B1337" s="52">
        <v>234.57977100632499</v>
      </c>
      <c r="C1337" s="52">
        <v>230.96077926818569</v>
      </c>
      <c r="D1337" s="52">
        <v>233.42496710998401</v>
      </c>
      <c r="E1337" s="52">
        <v>1558707.4876551961</v>
      </c>
      <c r="F1337" s="52" t="s">
        <v>1412</v>
      </c>
      <c r="G1337" s="26">
        <f t="shared" ref="G1337:G1400" si="18">A1337/D1337-1</f>
        <v>-3.466947138794696E-3</v>
      </c>
    </row>
    <row r="1338" spans="1:7">
      <c r="A1338" s="52">
        <v>233.52498949470646</v>
      </c>
      <c r="B1338" s="52">
        <v>233.96599728189179</v>
      </c>
      <c r="C1338" s="52">
        <v>231.21538170202462</v>
      </c>
      <c r="D1338" s="52">
        <v>233.42496710998401</v>
      </c>
      <c r="E1338" s="52">
        <v>1266392.9214594983</v>
      </c>
      <c r="F1338" s="52" t="s">
        <v>1413</v>
      </c>
      <c r="G1338" s="26">
        <f t="shared" si="18"/>
        <v>4.284990845702108E-4</v>
      </c>
    </row>
    <row r="1339" spans="1:7">
      <c r="A1339" s="52">
        <v>233.99782258612163</v>
      </c>
      <c r="B1339" s="52">
        <v>234.42519095720846</v>
      </c>
      <c r="C1339" s="52">
        <v>231.93372428321305</v>
      </c>
      <c r="D1339" s="52">
        <v>233.17945762021077</v>
      </c>
      <c r="E1339" s="52">
        <v>1129272.3155265481</v>
      </c>
      <c r="F1339" s="52" t="s">
        <v>1414</v>
      </c>
      <c r="G1339" s="26">
        <f t="shared" si="18"/>
        <v>3.509592887224855E-3</v>
      </c>
    </row>
    <row r="1340" spans="1:7">
      <c r="A1340" s="52">
        <v>233.07034229142263</v>
      </c>
      <c r="B1340" s="52">
        <v>233.70684837601999</v>
      </c>
      <c r="C1340" s="52">
        <v>229.48772232954607</v>
      </c>
      <c r="D1340" s="52">
        <v>230.74254861060942</v>
      </c>
      <c r="E1340" s="52">
        <v>1250173.7520755474</v>
      </c>
      <c r="F1340" s="52" t="s">
        <v>1415</v>
      </c>
      <c r="G1340" s="26">
        <f t="shared" si="18"/>
        <v>1.0088272383354413E-2</v>
      </c>
    </row>
    <row r="1341" spans="1:7">
      <c r="A1341" s="52">
        <v>230.40610968017938</v>
      </c>
      <c r="B1341" s="52">
        <v>231.19719581389325</v>
      </c>
      <c r="C1341" s="52">
        <v>227.97602037862734</v>
      </c>
      <c r="D1341" s="52">
        <v>231.19719581389325</v>
      </c>
      <c r="E1341" s="52">
        <v>1353552.8109601524</v>
      </c>
      <c r="F1341" s="52" t="s">
        <v>1416</v>
      </c>
      <c r="G1341" s="26">
        <f t="shared" si="18"/>
        <v>-3.4216943286399237E-3</v>
      </c>
    </row>
    <row r="1342" spans="1:7">
      <c r="A1342" s="52">
        <v>229.96055542096124</v>
      </c>
      <c r="B1342" s="52">
        <v>233.50680360657515</v>
      </c>
      <c r="C1342" s="52">
        <v>229.21493400757578</v>
      </c>
      <c r="D1342" s="52">
        <v>232.98850579483158</v>
      </c>
      <c r="E1342" s="52">
        <v>1035771.2454815585</v>
      </c>
      <c r="F1342" s="52" t="s">
        <v>1417</v>
      </c>
      <c r="G1342" s="26">
        <f t="shared" si="18"/>
        <v>-1.2996136283807691E-2</v>
      </c>
    </row>
    <row r="1343" spans="1:7">
      <c r="A1343" s="52">
        <v>231.11535931730216</v>
      </c>
      <c r="B1343" s="52">
        <v>233.90416526224521</v>
      </c>
      <c r="C1343" s="52">
        <v>230.08785663788072</v>
      </c>
      <c r="D1343" s="52">
        <v>233.17036467614508</v>
      </c>
      <c r="E1343" s="52">
        <v>1362489.4105271434</v>
      </c>
      <c r="F1343" s="52" t="s">
        <v>1418</v>
      </c>
      <c r="G1343" s="26">
        <f t="shared" si="18"/>
        <v>-8.8133213742541683E-3</v>
      </c>
    </row>
    <row r="1344" spans="1:7">
      <c r="A1344" s="52">
        <v>233.52498949470646</v>
      </c>
      <c r="B1344" s="52">
        <v>234.93439582488637</v>
      </c>
      <c r="C1344" s="52">
        <v>231.89735250695037</v>
      </c>
      <c r="D1344" s="52">
        <v>231.89735250695037</v>
      </c>
      <c r="E1344" s="52">
        <v>1475330.7513062095</v>
      </c>
      <c r="F1344" s="52" t="s">
        <v>1419</v>
      </c>
      <c r="G1344" s="26">
        <f t="shared" si="18"/>
        <v>7.0187821040661458E-3</v>
      </c>
    </row>
    <row r="1345" spans="1:7">
      <c r="A1345" s="52">
        <v>231.5790994646517</v>
      </c>
      <c r="B1345" s="52">
        <v>234.77072283170418</v>
      </c>
      <c r="C1345" s="52">
        <v>229.2694916719698</v>
      </c>
      <c r="D1345" s="52">
        <v>232.13376905265795</v>
      </c>
      <c r="E1345" s="52">
        <v>1672004.12651705</v>
      </c>
      <c r="F1345" s="52" t="s">
        <v>1420</v>
      </c>
      <c r="G1345" s="26">
        <f t="shared" si="18"/>
        <v>-2.3894394610050051E-3</v>
      </c>
    </row>
    <row r="1346" spans="1:7">
      <c r="A1346" s="52">
        <v>231.77005129003089</v>
      </c>
      <c r="B1346" s="52">
        <v>238.1660281458278</v>
      </c>
      <c r="C1346" s="52">
        <v>229.58774471426852</v>
      </c>
      <c r="D1346" s="52">
        <v>236.33470921100056</v>
      </c>
      <c r="E1346" s="52">
        <v>2784759.2393735712</v>
      </c>
      <c r="F1346" s="52" t="s">
        <v>1421</v>
      </c>
      <c r="G1346" s="26">
        <f t="shared" si="18"/>
        <v>-1.9314378053941761E-2</v>
      </c>
    </row>
    <row r="1347" spans="1:7">
      <c r="A1347" s="52">
        <v>237.26218950569955</v>
      </c>
      <c r="B1347" s="52">
        <v>239.71728440343225</v>
      </c>
      <c r="C1347" s="52">
        <v>233.75231309634839</v>
      </c>
      <c r="D1347" s="52">
        <v>235.04351115367447</v>
      </c>
      <c r="E1347" s="52">
        <v>1817521.3528898202</v>
      </c>
      <c r="F1347" s="52" t="s">
        <v>1422</v>
      </c>
      <c r="G1347" s="26">
        <f t="shared" si="18"/>
        <v>9.4394367286936287E-3</v>
      </c>
    </row>
    <row r="1348" spans="1:7">
      <c r="A1348" s="52">
        <v>234.81618755203257</v>
      </c>
      <c r="B1348" s="52">
        <v>240.10373452622349</v>
      </c>
      <c r="C1348" s="52">
        <v>234.68433986308028</v>
      </c>
      <c r="D1348" s="52">
        <v>238.63522405961672</v>
      </c>
      <c r="E1348" s="52">
        <v>1710680.2689699105</v>
      </c>
      <c r="F1348" s="52" t="s">
        <v>1423</v>
      </c>
      <c r="G1348" s="26">
        <f t="shared" si="18"/>
        <v>-1.6003657978966523E-2</v>
      </c>
    </row>
    <row r="1349" spans="1:7">
      <c r="A1349" s="52">
        <v>237.66227904458933</v>
      </c>
      <c r="B1349" s="52">
        <v>240.98575010059412</v>
      </c>
      <c r="C1349" s="52">
        <v>237.18944595317416</v>
      </c>
      <c r="D1349" s="52">
        <v>238.6443170036824</v>
      </c>
      <c r="E1349" s="52">
        <v>1226406.9722032554</v>
      </c>
      <c r="F1349" s="52" t="s">
        <v>1424</v>
      </c>
      <c r="G1349" s="26">
        <f t="shared" si="18"/>
        <v>-4.1150695370546497E-3</v>
      </c>
    </row>
    <row r="1350" spans="1:7">
      <c r="A1350" s="52">
        <v>238.04418269534776</v>
      </c>
      <c r="B1350" s="52">
        <v>240.59020703373719</v>
      </c>
      <c r="C1350" s="52">
        <v>231.79733012222792</v>
      </c>
      <c r="D1350" s="52">
        <v>233.18855056427643</v>
      </c>
      <c r="E1350" s="52">
        <v>2225863.2466902761</v>
      </c>
      <c r="F1350" s="52" t="s">
        <v>1425</v>
      </c>
      <c r="G1350" s="26">
        <f t="shared" si="18"/>
        <v>2.0822772470267203E-2</v>
      </c>
    </row>
    <row r="1351" spans="1:7">
      <c r="A1351" s="52">
        <v>232.97031990670018</v>
      </c>
      <c r="B1351" s="52">
        <v>235.4981583569583</v>
      </c>
      <c r="C1351" s="52">
        <v>228.98761040593388</v>
      </c>
      <c r="D1351" s="52">
        <v>229.75141770745068</v>
      </c>
      <c r="E1351" s="52">
        <v>1741957.2677005562</v>
      </c>
      <c r="F1351" s="52" t="s">
        <v>1426</v>
      </c>
      <c r="G1351" s="26">
        <f t="shared" si="18"/>
        <v>1.4010369256342248E-2</v>
      </c>
    </row>
    <row r="1352" spans="1:7">
      <c r="A1352" s="52">
        <v>228.13287366376025</v>
      </c>
      <c r="B1352" s="52">
        <v>234.29788974028901</v>
      </c>
      <c r="C1352" s="52">
        <v>227.77370237316603</v>
      </c>
      <c r="D1352" s="52">
        <v>233.00669168296292</v>
      </c>
      <c r="E1352" s="52">
        <v>1455327.3290167681</v>
      </c>
      <c r="F1352" s="52" t="s">
        <v>1427</v>
      </c>
      <c r="G1352" s="26">
        <f t="shared" si="18"/>
        <v>-2.091707317073177E-2</v>
      </c>
    </row>
    <row r="1353" spans="1:7">
      <c r="A1353" s="52">
        <v>234.91620993675502</v>
      </c>
      <c r="B1353" s="52">
        <v>236.62568342110222</v>
      </c>
      <c r="C1353" s="52">
        <v>232.29744204584014</v>
      </c>
      <c r="D1353" s="52">
        <v>236.41654570759164</v>
      </c>
      <c r="E1353" s="52">
        <v>1307183.8905142937</v>
      </c>
      <c r="F1353" s="52" t="s">
        <v>1428</v>
      </c>
      <c r="G1353" s="26">
        <f t="shared" si="18"/>
        <v>-6.3461538461537792E-3</v>
      </c>
    </row>
    <row r="1354" spans="1:7">
      <c r="A1354" s="52">
        <v>236.63477636516788</v>
      </c>
      <c r="B1354" s="52">
        <v>237.54407077173553</v>
      </c>
      <c r="C1354" s="52">
        <v>233.99782258612163</v>
      </c>
      <c r="D1354" s="52">
        <v>235.05260409774016</v>
      </c>
      <c r="E1354" s="52">
        <v>927780.91881644737</v>
      </c>
      <c r="F1354" s="52" t="s">
        <v>1429</v>
      </c>
      <c r="G1354" s="26">
        <f t="shared" si="18"/>
        <v>6.7311411992263537E-3</v>
      </c>
    </row>
    <row r="1355" spans="1:7">
      <c r="A1355" s="52">
        <v>235.27992769938206</v>
      </c>
      <c r="B1355" s="52">
        <v>238.56248050709132</v>
      </c>
      <c r="C1355" s="52">
        <v>235.225370034988</v>
      </c>
      <c r="D1355" s="52">
        <v>237.85323086996851</v>
      </c>
      <c r="E1355" s="52">
        <v>1748331.4408595867</v>
      </c>
      <c r="F1355" s="52" t="s">
        <v>1430</v>
      </c>
      <c r="G1355" s="26">
        <f t="shared" si="18"/>
        <v>-1.0818869944185239E-2</v>
      </c>
    </row>
    <row r="1356" spans="1:7">
      <c r="A1356" s="52">
        <v>238.14420508007018</v>
      </c>
      <c r="B1356" s="52">
        <v>240.05372333386228</v>
      </c>
      <c r="C1356" s="52">
        <v>236.57112575670814</v>
      </c>
      <c r="D1356" s="52">
        <v>238.49882989863158</v>
      </c>
      <c r="E1356" s="52">
        <v>1401164.4532261807</v>
      </c>
      <c r="F1356" s="52" t="s">
        <v>1431</v>
      </c>
      <c r="G1356" s="26">
        <f t="shared" si="18"/>
        <v>-1.4869038087613751E-3</v>
      </c>
    </row>
    <row r="1357" spans="1:7">
      <c r="A1357" s="52">
        <v>239.41721724926492</v>
      </c>
      <c r="B1357" s="52">
        <v>239.67181968310385</v>
      </c>
      <c r="C1357" s="52">
        <v>235.50734223046462</v>
      </c>
      <c r="D1357" s="52">
        <v>236.56203281264249</v>
      </c>
      <c r="E1357" s="52">
        <v>1307705.1738264712</v>
      </c>
      <c r="F1357" s="52" t="s">
        <v>1432</v>
      </c>
      <c r="G1357" s="26">
        <f t="shared" si="18"/>
        <v>1.2069495694956967E-2</v>
      </c>
    </row>
    <row r="1358" spans="1:7">
      <c r="A1358" s="52">
        <v>237.11670240064871</v>
      </c>
      <c r="B1358" s="52">
        <v>241.17215545394052</v>
      </c>
      <c r="C1358" s="52">
        <v>235.78003962299428</v>
      </c>
      <c r="D1358" s="52">
        <v>240.03553744573094</v>
      </c>
      <c r="E1358" s="52">
        <v>1343488.9637244232</v>
      </c>
      <c r="F1358" s="52" t="s">
        <v>1433</v>
      </c>
      <c r="G1358" s="26">
        <f t="shared" si="18"/>
        <v>-1.2160012122130692E-2</v>
      </c>
    </row>
    <row r="1359" spans="1:7">
      <c r="A1359" s="52">
        <v>237.99871797501936</v>
      </c>
      <c r="B1359" s="52">
        <v>238.29878512918668</v>
      </c>
      <c r="C1359" s="52">
        <v>234.21605324369787</v>
      </c>
      <c r="D1359" s="52">
        <v>234.47065567753685</v>
      </c>
      <c r="E1359" s="52">
        <v>1608013.8505627126</v>
      </c>
      <c r="F1359" s="52" t="s">
        <v>1434</v>
      </c>
      <c r="G1359" s="26">
        <f t="shared" si="18"/>
        <v>1.50469246878151E-2</v>
      </c>
    </row>
    <row r="1360" spans="1:7">
      <c r="A1360" s="52">
        <v>234.38881918094575</v>
      </c>
      <c r="B1360" s="52">
        <v>239.13533598322894</v>
      </c>
      <c r="C1360" s="52">
        <v>234.07056613864708</v>
      </c>
      <c r="D1360" s="52">
        <v>238.78980410873325</v>
      </c>
      <c r="E1360" s="52">
        <v>1506062.2721405684</v>
      </c>
      <c r="F1360" s="52" t="s">
        <v>1435</v>
      </c>
      <c r="G1360" s="26">
        <f t="shared" si="18"/>
        <v>-1.8430372034576092E-2</v>
      </c>
    </row>
    <row r="1361" spans="1:7">
      <c r="A1361" s="52">
        <v>239.15352187136028</v>
      </c>
      <c r="B1361" s="52">
        <v>242.04507808424546</v>
      </c>
      <c r="C1361" s="52">
        <v>238.23513452072694</v>
      </c>
      <c r="D1361" s="52">
        <v>238.63522405961672</v>
      </c>
      <c r="E1361" s="52">
        <v>1200666.1342183927</v>
      </c>
      <c r="F1361" s="52" t="s">
        <v>1436</v>
      </c>
      <c r="G1361" s="26">
        <f t="shared" si="18"/>
        <v>2.1719250114311528E-3</v>
      </c>
    </row>
    <row r="1362" spans="1:7">
      <c r="A1362" s="52">
        <v>239.21717247982002</v>
      </c>
      <c r="B1362" s="52">
        <v>243.1180454839953</v>
      </c>
      <c r="C1362" s="52">
        <v>236.0528279449646</v>
      </c>
      <c r="D1362" s="52">
        <v>237.99871797501936</v>
      </c>
      <c r="E1362" s="52">
        <v>2387664.5279225637</v>
      </c>
      <c r="F1362" s="52" t="s">
        <v>1437</v>
      </c>
      <c r="G1362" s="26">
        <f t="shared" si="18"/>
        <v>5.1195843203177827E-3</v>
      </c>
    </row>
    <row r="1363" spans="1:7">
      <c r="A1363" s="52">
        <v>233.7886848726111</v>
      </c>
      <c r="B1363" s="52">
        <v>234.41155154110996</v>
      </c>
      <c r="C1363" s="52">
        <v>231.87007367475334</v>
      </c>
      <c r="D1363" s="52">
        <v>232.44292915089096</v>
      </c>
      <c r="E1363" s="52">
        <v>956908.99857664015</v>
      </c>
      <c r="F1363" s="52" t="s">
        <v>1438</v>
      </c>
      <c r="G1363" s="26">
        <f t="shared" si="18"/>
        <v>5.7896178069867243E-3</v>
      </c>
    </row>
    <row r="1364" spans="1:7">
      <c r="A1364" s="52">
        <v>231.9246313391474</v>
      </c>
      <c r="B1364" s="52">
        <v>233.38859533372136</v>
      </c>
      <c r="C1364" s="52">
        <v>230.61979386572281</v>
      </c>
      <c r="D1364" s="52">
        <v>231.46998413586357</v>
      </c>
      <c r="E1364" s="52">
        <v>1602587.6651992456</v>
      </c>
      <c r="F1364" s="52" t="s">
        <v>1439</v>
      </c>
      <c r="G1364" s="26">
        <f t="shared" si="18"/>
        <v>1.9641734758013563E-3</v>
      </c>
    </row>
    <row r="1365" spans="1:7">
      <c r="A1365" s="52">
        <v>230.50613206490183</v>
      </c>
      <c r="B1365" s="52">
        <v>232.6611598084672</v>
      </c>
      <c r="C1365" s="52">
        <v>228.42384787386192</v>
      </c>
      <c r="D1365" s="52">
        <v>231.3790546952068</v>
      </c>
      <c r="E1365" s="52">
        <v>1349885.1319599166</v>
      </c>
      <c r="F1365" s="52" t="s">
        <v>1440</v>
      </c>
      <c r="G1365" s="26">
        <f t="shared" si="18"/>
        <v>-3.7726951190757418E-3</v>
      </c>
    </row>
    <row r="1366" spans="1:7">
      <c r="A1366" s="52">
        <v>230.63343328182131</v>
      </c>
      <c r="B1366" s="52">
        <v>231.52454180025762</v>
      </c>
      <c r="C1366" s="52">
        <v>227.32360164191505</v>
      </c>
      <c r="D1366" s="52">
        <v>227.58729701981966</v>
      </c>
      <c r="E1366" s="52">
        <v>1620154.0330165664</v>
      </c>
      <c r="F1366" s="52" t="s">
        <v>1441</v>
      </c>
      <c r="G1366" s="26">
        <f t="shared" si="18"/>
        <v>1.3384474010148084E-2</v>
      </c>
    </row>
    <row r="1367" spans="1:7">
      <c r="A1367" s="52">
        <v>228.26017488067973</v>
      </c>
      <c r="B1367" s="52">
        <v>229.77869653964771</v>
      </c>
      <c r="C1367" s="52">
        <v>224.97762207297046</v>
      </c>
      <c r="D1367" s="52">
        <v>228.4602196501246</v>
      </c>
      <c r="E1367" s="52">
        <v>1298654.1998618715</v>
      </c>
      <c r="F1367" s="52" t="s">
        <v>1442</v>
      </c>
      <c r="G1367" s="26">
        <f t="shared" si="18"/>
        <v>-8.7562189054724016E-4</v>
      </c>
    </row>
    <row r="1368" spans="1:7">
      <c r="A1368" s="52">
        <v>227.96010772651238</v>
      </c>
      <c r="B1368" s="52">
        <v>228.87849507714574</v>
      </c>
      <c r="C1368" s="52">
        <v>224.36839482057013</v>
      </c>
      <c r="D1368" s="52">
        <v>228.2328960484827</v>
      </c>
      <c r="E1368" s="52">
        <v>1231747.3767685161</v>
      </c>
      <c r="F1368" s="52" t="s">
        <v>1443</v>
      </c>
      <c r="G1368" s="26">
        <f t="shared" si="18"/>
        <v>-1.1952191235060639E-3</v>
      </c>
    </row>
    <row r="1369" spans="1:7">
      <c r="A1369" s="52">
        <v>227.52364641135992</v>
      </c>
      <c r="B1369" s="52">
        <v>228.0328512790378</v>
      </c>
      <c r="C1369" s="52">
        <v>224.37748776463582</v>
      </c>
      <c r="D1369" s="52">
        <v>224.80485613572262</v>
      </c>
      <c r="E1369" s="52">
        <v>767181.66851287277</v>
      </c>
      <c r="F1369" s="52" t="s">
        <v>1444</v>
      </c>
      <c r="G1369" s="26">
        <f t="shared" si="18"/>
        <v>1.209400153703033E-2</v>
      </c>
    </row>
    <row r="1370" spans="1:7">
      <c r="A1370" s="52">
        <v>224.30474421211042</v>
      </c>
      <c r="B1370" s="52">
        <v>226.72346733358037</v>
      </c>
      <c r="C1370" s="52">
        <v>224.22290771551931</v>
      </c>
      <c r="D1370" s="52">
        <v>226.05968241678599</v>
      </c>
      <c r="E1370" s="52">
        <v>733892.12028584583</v>
      </c>
      <c r="F1370" s="52" t="s">
        <v>1445</v>
      </c>
      <c r="G1370" s="26">
        <f t="shared" si="18"/>
        <v>-7.763163187321398E-3</v>
      </c>
    </row>
    <row r="1371" spans="1:7">
      <c r="A1371" s="52">
        <v>225.82326587107838</v>
      </c>
      <c r="B1371" s="52">
        <v>228.00557244684077</v>
      </c>
      <c r="C1371" s="52">
        <v>224.85032085605101</v>
      </c>
      <c r="D1371" s="52">
        <v>226.78711794204011</v>
      </c>
      <c r="E1371" s="52">
        <v>898531.86613570713</v>
      </c>
      <c r="F1371" s="52" t="s">
        <v>1446</v>
      </c>
      <c r="G1371" s="26">
        <f t="shared" si="18"/>
        <v>-4.2500300709675809E-3</v>
      </c>
    </row>
    <row r="1372" spans="1:7">
      <c r="A1372" s="52">
        <v>225.64140698976487</v>
      </c>
      <c r="B1372" s="52">
        <v>227.20084689702841</v>
      </c>
      <c r="C1372" s="52">
        <v>224.85950472955733</v>
      </c>
      <c r="D1372" s="52">
        <v>226.23244835403386</v>
      </c>
      <c r="E1372" s="52">
        <v>708813.33410252491</v>
      </c>
      <c r="F1372" s="52" t="s">
        <v>1447</v>
      </c>
      <c r="G1372" s="26">
        <f t="shared" si="18"/>
        <v>-2.6125401929261161E-3</v>
      </c>
    </row>
    <row r="1373" spans="1:7">
      <c r="A1373" s="52">
        <v>225.49591988471406</v>
      </c>
      <c r="B1373" s="52">
        <v>226.64163083698929</v>
      </c>
      <c r="C1373" s="52">
        <v>222.68620016841999</v>
      </c>
      <c r="D1373" s="52">
        <v>222.68620016841999</v>
      </c>
      <c r="E1373" s="52">
        <v>483870.78686737886</v>
      </c>
      <c r="F1373" s="52" t="s">
        <v>1448</v>
      </c>
      <c r="G1373" s="26">
        <f t="shared" si="18"/>
        <v>1.2617394855042763E-2</v>
      </c>
    </row>
    <row r="1374" spans="1:7">
      <c r="A1374" s="52">
        <v>222.095158804151</v>
      </c>
      <c r="B1374" s="52">
        <v>224.80485613572262</v>
      </c>
      <c r="C1374" s="52">
        <v>222.03150819569126</v>
      </c>
      <c r="D1374" s="52">
        <v>224.66846197473748</v>
      </c>
      <c r="E1374" s="52">
        <v>1011232.4384254088</v>
      </c>
      <c r="F1374" s="52" t="s">
        <v>1449</v>
      </c>
      <c r="G1374" s="26">
        <f t="shared" si="18"/>
        <v>-1.1453780152177462E-2</v>
      </c>
    </row>
    <row r="1375" spans="1:7">
      <c r="A1375" s="52">
        <v>223.59549457498764</v>
      </c>
      <c r="B1375" s="52">
        <v>225.94147414393217</v>
      </c>
      <c r="C1375" s="52">
        <v>222.98626732258728</v>
      </c>
      <c r="D1375" s="52">
        <v>224.96852912890481</v>
      </c>
      <c r="E1375" s="52">
        <v>1035078.4005729683</v>
      </c>
      <c r="F1375" s="52" t="s">
        <v>1450</v>
      </c>
      <c r="G1375" s="26">
        <f t="shared" si="18"/>
        <v>-6.1032294571763401E-3</v>
      </c>
    </row>
    <row r="1376" spans="1:7">
      <c r="A1376" s="52">
        <v>225.37771161186026</v>
      </c>
      <c r="B1376" s="52">
        <v>227.68731940454211</v>
      </c>
      <c r="C1376" s="52">
        <v>223.02263909885002</v>
      </c>
      <c r="D1376" s="52">
        <v>226.74165322171174</v>
      </c>
      <c r="E1376" s="52">
        <v>1032236.6366939251</v>
      </c>
      <c r="F1376" s="52" t="s">
        <v>1451</v>
      </c>
      <c r="G1376" s="26">
        <f t="shared" si="18"/>
        <v>-6.0153994225216056E-3</v>
      </c>
    </row>
    <row r="1377" spans="1:7">
      <c r="A1377" s="52">
        <v>229.22402695164143</v>
      </c>
      <c r="B1377" s="52">
        <v>230.26062257512856</v>
      </c>
      <c r="C1377" s="52">
        <v>224.59571842221206</v>
      </c>
      <c r="D1377" s="52">
        <v>225.91419531173514</v>
      </c>
      <c r="E1377" s="52">
        <v>3025077.4448103053</v>
      </c>
      <c r="F1377" s="52" t="s">
        <v>1452</v>
      </c>
      <c r="G1377" s="26">
        <f t="shared" si="18"/>
        <v>1.4650835178104282E-2</v>
      </c>
    </row>
    <row r="1378" spans="1:7">
      <c r="A1378" s="52">
        <v>226.14151891337707</v>
      </c>
      <c r="B1378" s="52">
        <v>226.98716271148498</v>
      </c>
      <c r="C1378" s="52">
        <v>223.69551695971006</v>
      </c>
      <c r="D1378" s="52">
        <v>224.09560649859984</v>
      </c>
      <c r="E1378" s="52">
        <v>1289724.1988178194</v>
      </c>
      <c r="F1378" s="52" t="s">
        <v>1453</v>
      </c>
      <c r="G1378" s="26">
        <f t="shared" si="18"/>
        <v>9.1296409007912693E-3</v>
      </c>
    </row>
    <row r="1379" spans="1:7">
      <c r="A1379" s="52">
        <v>223.04082498698133</v>
      </c>
      <c r="B1379" s="52">
        <v>224.65482255863895</v>
      </c>
      <c r="C1379" s="52">
        <v>220.27656999101566</v>
      </c>
      <c r="D1379" s="52">
        <v>222.73166488874836</v>
      </c>
      <c r="E1379" s="52">
        <v>1331510.4450825739</v>
      </c>
      <c r="F1379" s="52" t="s">
        <v>1454</v>
      </c>
      <c r="G1379" s="26">
        <f t="shared" si="18"/>
        <v>1.3880383751785352E-3</v>
      </c>
    </row>
    <row r="1380" spans="1:7">
      <c r="A1380" s="52">
        <v>221.98604347536286</v>
      </c>
      <c r="B1380" s="52">
        <v>223.313522379511</v>
      </c>
      <c r="C1380" s="52">
        <v>218.08562511839088</v>
      </c>
      <c r="D1380" s="52">
        <v>218.6307471151282</v>
      </c>
      <c r="E1380" s="52">
        <v>1387553.8999107634</v>
      </c>
      <c r="F1380" s="52" t="s">
        <v>1455</v>
      </c>
      <c r="G1380" s="26">
        <f t="shared" si="18"/>
        <v>1.5346864082515399E-2</v>
      </c>
    </row>
    <row r="1381" spans="1:7">
      <c r="A1381" s="52">
        <v>218.23065757623843</v>
      </c>
      <c r="B1381" s="52">
        <v>224.35930187650447</v>
      </c>
      <c r="C1381" s="52">
        <v>218.12154224745032</v>
      </c>
      <c r="D1381" s="52">
        <v>221.37681622296253</v>
      </c>
      <c r="E1381" s="52">
        <v>1359996.2686100418</v>
      </c>
      <c r="F1381" s="52" t="s">
        <v>1456</v>
      </c>
      <c r="G1381" s="26">
        <f t="shared" si="18"/>
        <v>-1.4211780169226973E-2</v>
      </c>
    </row>
    <row r="1382" spans="1:7">
      <c r="A1382" s="52">
        <v>220.67665952990544</v>
      </c>
      <c r="B1382" s="52">
        <v>220.90398313154736</v>
      </c>
      <c r="C1382" s="52">
        <v>218.27612229656683</v>
      </c>
      <c r="D1382" s="52">
        <v>219.36727558444801</v>
      </c>
      <c r="E1382" s="52">
        <v>1401240.3362399787</v>
      </c>
      <c r="F1382" s="52" t="s">
        <v>1457</v>
      </c>
      <c r="G1382" s="26">
        <f t="shared" si="18"/>
        <v>5.9689119170984739E-3</v>
      </c>
    </row>
    <row r="1383" spans="1:7">
      <c r="A1383" s="52">
        <v>220.34931354354109</v>
      </c>
      <c r="B1383" s="52">
        <v>221.2404220619774</v>
      </c>
      <c r="C1383" s="52">
        <v>218.25793640843546</v>
      </c>
      <c r="D1383" s="52">
        <v>218.62165417106254</v>
      </c>
      <c r="E1383" s="52">
        <v>1486019.2587134931</v>
      </c>
      <c r="F1383" s="52" t="s">
        <v>1458</v>
      </c>
      <c r="G1383" s="26">
        <f t="shared" si="18"/>
        <v>7.9025080064882847E-3</v>
      </c>
    </row>
    <row r="1384" spans="1:7">
      <c r="A1384" s="52">
        <v>218.19428579997575</v>
      </c>
      <c r="B1384" s="52">
        <v>218.93990721336121</v>
      </c>
      <c r="C1384" s="52">
        <v>216.04835100047603</v>
      </c>
      <c r="D1384" s="52">
        <v>218.26702935250114</v>
      </c>
      <c r="E1384" s="52">
        <v>1447021.9881442704</v>
      </c>
      <c r="F1384" s="52" t="s">
        <v>1459</v>
      </c>
      <c r="G1384" s="26">
        <f t="shared" si="18"/>
        <v>-3.3327778703540201E-4</v>
      </c>
    </row>
    <row r="1385" spans="1:7">
      <c r="A1385" s="52">
        <v>217.69417387636361</v>
      </c>
      <c r="B1385" s="52">
        <v>217.80291222495319</v>
      </c>
      <c r="C1385" s="52">
        <v>212.59262363699239</v>
      </c>
      <c r="D1385" s="52">
        <v>213.04560947415854</v>
      </c>
      <c r="E1385" s="52">
        <v>1318703.4920054395</v>
      </c>
      <c r="F1385" s="52" t="s">
        <v>1460</v>
      </c>
      <c r="G1385" s="26">
        <f t="shared" si="18"/>
        <v>2.1819573816511451E-2</v>
      </c>
    </row>
    <row r="1386" spans="1:7">
      <c r="A1386" s="52">
        <v>214.2598543667423</v>
      </c>
      <c r="B1386" s="52">
        <v>220.72072457877391</v>
      </c>
      <c r="C1386" s="52">
        <v>213.72522415284348</v>
      </c>
      <c r="D1386" s="52">
        <v>219.67864873812366</v>
      </c>
      <c r="E1386" s="52">
        <v>1432804.5443106198</v>
      </c>
      <c r="F1386" s="52" t="s">
        <v>1461</v>
      </c>
      <c r="G1386" s="26">
        <f t="shared" si="18"/>
        <v>-2.46669141607887E-2</v>
      </c>
    </row>
    <row r="1387" spans="1:7">
      <c r="A1387" s="52">
        <v>219.97767919674502</v>
      </c>
      <c r="B1387" s="52">
        <v>220.00939454841699</v>
      </c>
      <c r="C1387" s="52">
        <v>216.01779100227404</v>
      </c>
      <c r="D1387" s="52">
        <v>216.10840629276538</v>
      </c>
      <c r="E1387" s="52">
        <v>2605388.1052513644</v>
      </c>
      <c r="F1387" s="52" t="s">
        <v>1462</v>
      </c>
      <c r="G1387" s="26">
        <f t="shared" si="18"/>
        <v>1.7904314646316255E-2</v>
      </c>
    </row>
    <row r="1388" spans="1:7">
      <c r="A1388" s="52">
        <v>216.12652935086362</v>
      </c>
      <c r="B1388" s="52">
        <v>218.68396469440037</v>
      </c>
      <c r="C1388" s="52">
        <v>215.20225338785212</v>
      </c>
      <c r="D1388" s="52">
        <v>218.61844983937513</v>
      </c>
      <c r="E1388" s="52">
        <v>2591072.640466487</v>
      </c>
      <c r="F1388" s="52" t="s">
        <v>1463</v>
      </c>
      <c r="G1388" s="26">
        <f t="shared" si="18"/>
        <v>-1.1398491254248633E-2</v>
      </c>
    </row>
    <row r="1389" spans="1:7">
      <c r="A1389" s="52">
        <v>219.17120311137222</v>
      </c>
      <c r="B1389" s="52">
        <v>223.36669106112066</v>
      </c>
      <c r="C1389" s="52">
        <v>216.05403711847057</v>
      </c>
      <c r="D1389" s="52">
        <v>216.2533907575515</v>
      </c>
      <c r="E1389" s="52">
        <v>2466990.932632905</v>
      </c>
      <c r="F1389" s="52" t="s">
        <v>1464</v>
      </c>
      <c r="G1389" s="26">
        <f t="shared" si="18"/>
        <v>1.3492562329771696E-2</v>
      </c>
    </row>
    <row r="1390" spans="1:7">
      <c r="A1390" s="52">
        <v>216.2533907575515</v>
      </c>
      <c r="B1390" s="52">
        <v>216.32588298994455</v>
      </c>
      <c r="C1390" s="52">
        <v>213.46697057494319</v>
      </c>
      <c r="D1390" s="52">
        <v>213.96082390812094</v>
      </c>
      <c r="E1390" s="52">
        <v>1856340.1285581084</v>
      </c>
      <c r="F1390" s="52" t="s">
        <v>1465</v>
      </c>
      <c r="G1390" s="26">
        <f t="shared" si="18"/>
        <v>1.0714890733525273E-2</v>
      </c>
    </row>
    <row r="1391" spans="1:7">
      <c r="A1391" s="52">
        <v>212.80094818983196</v>
      </c>
      <c r="B1391" s="52">
        <v>212.84625583507759</v>
      </c>
      <c r="C1391" s="52">
        <v>208.38798354290432</v>
      </c>
      <c r="D1391" s="52">
        <v>208.48766036244481</v>
      </c>
      <c r="E1391" s="52">
        <v>4606996.2115274267</v>
      </c>
      <c r="F1391" s="52" t="s">
        <v>1466</v>
      </c>
      <c r="G1391" s="26">
        <f t="shared" si="18"/>
        <v>2.0688456189151605E-2</v>
      </c>
    </row>
    <row r="1392" spans="1:7">
      <c r="A1392" s="52">
        <v>207.47276910894195</v>
      </c>
      <c r="B1392" s="52">
        <v>207.96209167759508</v>
      </c>
      <c r="C1392" s="52">
        <v>204.92647944613566</v>
      </c>
      <c r="D1392" s="52">
        <v>206.87470819169917</v>
      </c>
      <c r="E1392" s="52">
        <v>937070.32819287118</v>
      </c>
      <c r="F1392" s="52" t="s">
        <v>1467</v>
      </c>
      <c r="G1392" s="26">
        <f t="shared" si="18"/>
        <v>2.8909329829172048E-3</v>
      </c>
    </row>
    <row r="1393" spans="1:7">
      <c r="A1393" s="52">
        <v>206.12260128062115</v>
      </c>
      <c r="B1393" s="52">
        <v>209.31225950591588</v>
      </c>
      <c r="C1393" s="52">
        <v>205.48829424718187</v>
      </c>
      <c r="D1393" s="52">
        <v>208.8501215244101</v>
      </c>
      <c r="E1393" s="52">
        <v>1796751.9512127319</v>
      </c>
      <c r="F1393" s="52" t="s">
        <v>1468</v>
      </c>
      <c r="G1393" s="26">
        <f t="shared" si="18"/>
        <v>-1.3059701492537323E-2</v>
      </c>
    </row>
    <row r="1394" spans="1:7">
      <c r="A1394" s="52">
        <v>207.77179956756331</v>
      </c>
      <c r="B1394" s="52">
        <v>208.19769143287255</v>
      </c>
      <c r="C1394" s="52">
        <v>205.57890953767321</v>
      </c>
      <c r="D1394" s="52">
        <v>207.50901522513846</v>
      </c>
      <c r="E1394" s="52">
        <v>2554064.5375092831</v>
      </c>
      <c r="F1394" s="52" t="s">
        <v>1469</v>
      </c>
      <c r="G1394" s="26">
        <f t="shared" si="18"/>
        <v>1.2663755458515169E-3</v>
      </c>
    </row>
    <row r="1395" spans="1:7">
      <c r="A1395" s="52">
        <v>207.03781571458356</v>
      </c>
      <c r="B1395" s="52">
        <v>211.50061877128141</v>
      </c>
      <c r="C1395" s="52">
        <v>206.32195491970208</v>
      </c>
      <c r="D1395" s="52">
        <v>210.02812030079735</v>
      </c>
      <c r="E1395" s="52">
        <v>1651438.7272678136</v>
      </c>
      <c r="F1395" s="52" t="s">
        <v>1470</v>
      </c>
      <c r="G1395" s="26">
        <f t="shared" si="18"/>
        <v>-1.4237639140564418E-2</v>
      </c>
    </row>
    <row r="1396" spans="1:7">
      <c r="A1396" s="52">
        <v>210.10967406223955</v>
      </c>
      <c r="B1396" s="52">
        <v>212.70127137029147</v>
      </c>
      <c r="C1396" s="52">
        <v>209.37297175054505</v>
      </c>
      <c r="D1396" s="52">
        <v>210.78928874092449</v>
      </c>
      <c r="E1396" s="52">
        <v>1385941.5924073046</v>
      </c>
      <c r="F1396" s="52" t="s">
        <v>1471</v>
      </c>
      <c r="G1396" s="26">
        <f t="shared" si="18"/>
        <v>-3.2241423781274037E-3</v>
      </c>
    </row>
    <row r="1397" spans="1:7">
      <c r="A1397" s="52">
        <v>211.04301155430022</v>
      </c>
      <c r="B1397" s="52">
        <v>213.38994757802558</v>
      </c>
      <c r="C1397" s="52">
        <v>210.11873559128867</v>
      </c>
      <c r="D1397" s="52">
        <v>212.26631797593311</v>
      </c>
      <c r="E1397" s="52">
        <v>1588547.5753540483</v>
      </c>
      <c r="F1397" s="52" t="s">
        <v>1472</v>
      </c>
      <c r="G1397" s="26">
        <f t="shared" si="18"/>
        <v>-5.7630736392741966E-3</v>
      </c>
    </row>
    <row r="1398" spans="1:7">
      <c r="A1398" s="52">
        <v>211.55951871010078</v>
      </c>
      <c r="B1398" s="52">
        <v>219.52460274428839</v>
      </c>
      <c r="C1398" s="52">
        <v>211.41453424531466</v>
      </c>
      <c r="D1398" s="52">
        <v>219.45211051189534</v>
      </c>
      <c r="E1398" s="52">
        <v>2052895.2563232703</v>
      </c>
      <c r="F1398" s="52" t="s">
        <v>1473</v>
      </c>
      <c r="G1398" s="26">
        <f t="shared" si="18"/>
        <v>-3.5964984722107518E-2</v>
      </c>
    </row>
    <row r="1399" spans="1:7">
      <c r="A1399" s="52">
        <v>219.66052568002539</v>
      </c>
      <c r="B1399" s="52">
        <v>222.20681534283167</v>
      </c>
      <c r="C1399" s="52">
        <v>217.90258904449365</v>
      </c>
      <c r="D1399" s="52">
        <v>219.06246476278264</v>
      </c>
      <c r="E1399" s="52">
        <v>1245881.3450562819</v>
      </c>
      <c r="F1399" s="52" t="s">
        <v>1474</v>
      </c>
      <c r="G1399" s="26">
        <f t="shared" si="18"/>
        <v>2.7300930713547444E-3</v>
      </c>
    </row>
    <row r="1400" spans="1:7">
      <c r="A1400" s="52">
        <v>219.80551014481151</v>
      </c>
      <c r="B1400" s="52">
        <v>223.36669106112066</v>
      </c>
      <c r="C1400" s="52">
        <v>219.0669955273072</v>
      </c>
      <c r="D1400" s="52">
        <v>223.28513729967847</v>
      </c>
      <c r="E1400" s="52">
        <v>1738318.1044381987</v>
      </c>
      <c r="F1400" s="52" t="s">
        <v>1475</v>
      </c>
      <c r="G1400" s="26">
        <f t="shared" si="18"/>
        <v>-1.5583783125684869E-2</v>
      </c>
    </row>
    <row r="1401" spans="1:7">
      <c r="A1401" s="52">
        <v>220.0229868419907</v>
      </c>
      <c r="B1401" s="52">
        <v>221.30066243791839</v>
      </c>
      <c r="C1401" s="52">
        <v>217.53106635347922</v>
      </c>
      <c r="D1401" s="52">
        <v>218.80874194940691</v>
      </c>
      <c r="E1401" s="52">
        <v>2067193.0640439661</v>
      </c>
      <c r="F1401" s="52" t="s">
        <v>1476</v>
      </c>
      <c r="G1401" s="26">
        <f t="shared" ref="G1401:G1439" si="19">A1401/D1401-1</f>
        <v>5.5493436037603594E-3</v>
      </c>
    </row>
    <row r="1402" spans="1:7">
      <c r="A1402" s="52">
        <v>217.66698928921622</v>
      </c>
      <c r="B1402" s="52">
        <v>220.81587063378981</v>
      </c>
      <c r="C1402" s="52">
        <v>216.68834415190986</v>
      </c>
      <c r="D1402" s="52">
        <v>220.10454060343289</v>
      </c>
      <c r="E1402" s="52">
        <v>1441134.2643380831</v>
      </c>
      <c r="F1402" s="52" t="s">
        <v>1477</v>
      </c>
      <c r="G1402" s="26">
        <f t="shared" si="19"/>
        <v>-1.1074516261836087E-2</v>
      </c>
    </row>
    <row r="1403" spans="1:7">
      <c r="A1403" s="52">
        <v>220.34014035871033</v>
      </c>
      <c r="B1403" s="52">
        <v>221.02881656644442</v>
      </c>
      <c r="C1403" s="52">
        <v>218.21068103216416</v>
      </c>
      <c r="D1403" s="52">
        <v>220.74790916592133</v>
      </c>
      <c r="E1403" s="52">
        <v>1717492.7008030294</v>
      </c>
      <c r="F1403" s="52" t="s">
        <v>1478</v>
      </c>
      <c r="G1403" s="26">
        <f t="shared" si="19"/>
        <v>-1.84721481055794E-3</v>
      </c>
    </row>
    <row r="1404" spans="1:7">
      <c r="A1404" s="52">
        <v>217.74854305065841</v>
      </c>
      <c r="B1404" s="52">
        <v>220.54855552684037</v>
      </c>
      <c r="C1404" s="52">
        <v>217.13235907531737</v>
      </c>
      <c r="D1404" s="52">
        <v>218.41909620029421</v>
      </c>
      <c r="E1404" s="52">
        <v>2390449.7665405902</v>
      </c>
      <c r="F1404" s="52" t="s">
        <v>1479</v>
      </c>
      <c r="G1404" s="26">
        <f t="shared" si="19"/>
        <v>-3.0700298705608198E-3</v>
      </c>
    </row>
    <row r="1405" spans="1:7">
      <c r="A1405" s="52">
        <v>217.75760457970753</v>
      </c>
      <c r="B1405" s="52">
        <v>224.57187442465531</v>
      </c>
      <c r="C1405" s="52">
        <v>217.37702035964395</v>
      </c>
      <c r="D1405" s="52">
        <v>223.6566599906929</v>
      </c>
      <c r="E1405" s="52">
        <v>2128953.0602836255</v>
      </c>
      <c r="F1405" s="52" t="s">
        <v>1480</v>
      </c>
      <c r="G1405" s="26">
        <f t="shared" si="19"/>
        <v>-2.6375496313102653E-2</v>
      </c>
    </row>
    <row r="1406" spans="1:7">
      <c r="A1406" s="52">
        <v>214.41390036057757</v>
      </c>
      <c r="B1406" s="52">
        <v>218.95372641419303</v>
      </c>
      <c r="C1406" s="52">
        <v>212.69220984124235</v>
      </c>
      <c r="D1406" s="52">
        <v>213.11810170655158</v>
      </c>
      <c r="E1406" s="52">
        <v>1471864.177412373</v>
      </c>
      <c r="F1406" s="52" t="s">
        <v>1481</v>
      </c>
      <c r="G1406" s="26">
        <f t="shared" si="19"/>
        <v>6.0801904842893162E-3</v>
      </c>
    </row>
    <row r="1407" spans="1:7">
      <c r="A1407" s="52">
        <v>212.62877913789842</v>
      </c>
      <c r="B1407" s="52">
        <v>221.52720066414673</v>
      </c>
      <c r="C1407" s="52">
        <v>210.6261812180401</v>
      </c>
      <c r="D1407" s="52">
        <v>217.47669717918441</v>
      </c>
      <c r="E1407" s="52">
        <v>2396704.7815267667</v>
      </c>
      <c r="F1407" s="52" t="s">
        <v>1482</v>
      </c>
      <c r="G1407" s="26">
        <f t="shared" si="19"/>
        <v>-2.229166666666671E-2</v>
      </c>
    </row>
    <row r="1408" spans="1:7">
      <c r="A1408" s="52">
        <v>214.56794635441281</v>
      </c>
      <c r="B1408" s="52">
        <v>222.19666643029663</v>
      </c>
      <c r="C1408" s="52">
        <v>214.45014647677408</v>
      </c>
      <c r="D1408" s="52">
        <v>217.99320433498497</v>
      </c>
      <c r="E1408" s="52">
        <v>1636397.115718486</v>
      </c>
      <c r="F1408" s="52" t="s">
        <v>1483</v>
      </c>
      <c r="G1408" s="26">
        <f t="shared" si="19"/>
        <v>-1.5712682379349086E-2</v>
      </c>
    </row>
    <row r="1409" spans="1:7">
      <c r="A1409" s="52">
        <v>215.41066855598217</v>
      </c>
      <c r="B1409" s="52">
        <v>217.19578977866129</v>
      </c>
      <c r="C1409" s="52">
        <v>212.89156348032327</v>
      </c>
      <c r="D1409" s="52">
        <v>214.28703895388969</v>
      </c>
      <c r="E1409" s="52">
        <v>1248458.1728602203</v>
      </c>
      <c r="F1409" s="52" t="s">
        <v>1484</v>
      </c>
      <c r="G1409" s="26">
        <f t="shared" si="19"/>
        <v>5.2435723951287372E-3</v>
      </c>
    </row>
    <row r="1410" spans="1:7">
      <c r="A1410" s="52">
        <v>212.75564054458627</v>
      </c>
      <c r="B1410" s="52">
        <v>214.89416140018162</v>
      </c>
      <c r="C1410" s="52">
        <v>210.26372005607479</v>
      </c>
      <c r="D1410" s="52">
        <v>211.68638011678863</v>
      </c>
      <c r="E1410" s="52">
        <v>1144163.4125746528</v>
      </c>
      <c r="F1410" s="52" t="s">
        <v>1485</v>
      </c>
      <c r="G1410" s="26">
        <f t="shared" si="19"/>
        <v>5.0511536321218298E-3</v>
      </c>
    </row>
    <row r="1411" spans="1:7">
      <c r="A1411" s="52">
        <v>209.43912091260373</v>
      </c>
      <c r="B1411" s="52">
        <v>212.00353363350828</v>
      </c>
      <c r="C1411" s="52">
        <v>206.43975479734081</v>
      </c>
      <c r="D1411" s="52">
        <v>210.55368898564706</v>
      </c>
      <c r="E1411" s="52">
        <v>1559500.6012095255</v>
      </c>
      <c r="F1411" s="52" t="s">
        <v>1486</v>
      </c>
      <c r="G1411" s="26">
        <f t="shared" si="19"/>
        <v>-5.2935100705802096E-3</v>
      </c>
    </row>
    <row r="1412" spans="1:7">
      <c r="A1412" s="52">
        <v>210.65336580518749</v>
      </c>
      <c r="B1412" s="52">
        <v>214.5317002382163</v>
      </c>
      <c r="C1412" s="52">
        <v>209.20352115732626</v>
      </c>
      <c r="D1412" s="52">
        <v>213.70710109474521</v>
      </c>
      <c r="E1412" s="52">
        <v>1187838.1608267571</v>
      </c>
      <c r="F1412" s="52" t="s">
        <v>1487</v>
      </c>
      <c r="G1412" s="26">
        <f t="shared" si="19"/>
        <v>-1.4289348710990524E-2</v>
      </c>
    </row>
    <row r="1413" spans="1:7">
      <c r="A1413" s="52">
        <v>213.75240873999087</v>
      </c>
      <c r="B1413" s="52">
        <v>218.70906512986647</v>
      </c>
      <c r="C1413" s="52">
        <v>213.27649723433044</v>
      </c>
      <c r="D1413" s="52">
        <v>217.56731246967573</v>
      </c>
      <c r="E1413" s="52">
        <v>1169516.7496057788</v>
      </c>
      <c r="F1413" s="52" t="s">
        <v>1488</v>
      </c>
      <c r="G1413" s="26">
        <f t="shared" si="19"/>
        <v>-1.75343606830487E-2</v>
      </c>
    </row>
    <row r="1414" spans="1:7">
      <c r="A1414" s="52">
        <v>221.31878549601669</v>
      </c>
      <c r="B1414" s="52">
        <v>222.7958147310253</v>
      </c>
      <c r="C1414" s="52">
        <v>219.66052568002539</v>
      </c>
      <c r="D1414" s="52">
        <v>220.1589097777277</v>
      </c>
      <c r="E1414" s="52">
        <v>1101330.6855706878</v>
      </c>
      <c r="F1414" s="52" t="s">
        <v>1489</v>
      </c>
      <c r="G1414" s="26">
        <f t="shared" si="19"/>
        <v>5.2683569311819944E-3</v>
      </c>
    </row>
    <row r="1415" spans="1:7">
      <c r="A1415" s="52">
        <v>219.28900298901095</v>
      </c>
      <c r="B1415" s="52">
        <v>220.08641754533463</v>
      </c>
      <c r="C1415" s="52">
        <v>216.18089852515843</v>
      </c>
      <c r="D1415" s="52">
        <v>216.83332861669598</v>
      </c>
      <c r="E1415" s="52">
        <v>1076105.362254875</v>
      </c>
      <c r="F1415" s="52" t="s">
        <v>1490</v>
      </c>
      <c r="G1415" s="26">
        <f t="shared" si="19"/>
        <v>1.1325170295457543E-2</v>
      </c>
    </row>
    <row r="1416" spans="1:7">
      <c r="A1416" s="52">
        <v>217.73041999256012</v>
      </c>
      <c r="B1416" s="52">
        <v>219.85081779005719</v>
      </c>
      <c r="C1416" s="52">
        <v>216.77796267420581</v>
      </c>
      <c r="D1416" s="52">
        <v>218.23786561931155</v>
      </c>
      <c r="E1416" s="52">
        <v>1087419.1261289546</v>
      </c>
      <c r="F1416" s="52" t="s">
        <v>1491</v>
      </c>
      <c r="G1416" s="26">
        <f t="shared" si="19"/>
        <v>-2.3251951503072688E-3</v>
      </c>
    </row>
    <row r="1417" spans="1:7">
      <c r="A1417" s="52">
        <v>218.46440384553989</v>
      </c>
      <c r="B1417" s="52">
        <v>218.76343430416125</v>
      </c>
      <c r="C1417" s="52">
        <v>213.38088604897644</v>
      </c>
      <c r="D1417" s="52">
        <v>213.50774745566432</v>
      </c>
      <c r="E1417" s="52">
        <v>1209633.599425379</v>
      </c>
      <c r="F1417" s="52" t="s">
        <v>1492</v>
      </c>
      <c r="G1417" s="26">
        <f t="shared" si="19"/>
        <v>2.3215346744758447E-2</v>
      </c>
    </row>
    <row r="1418" spans="1:7">
      <c r="A1418" s="52">
        <v>214.21454672149665</v>
      </c>
      <c r="B1418" s="52">
        <v>216.57054427427116</v>
      </c>
      <c r="C1418" s="52">
        <v>211.16534219646348</v>
      </c>
      <c r="D1418" s="52">
        <v>215.8637450084388</v>
      </c>
      <c r="E1418" s="52">
        <v>1296127.8318833124</v>
      </c>
      <c r="F1418" s="52" t="s">
        <v>1493</v>
      </c>
      <c r="G1418" s="26">
        <f t="shared" si="19"/>
        <v>-7.6399966417597387E-3</v>
      </c>
    </row>
    <row r="1419" spans="1:7">
      <c r="A1419" s="52">
        <v>214.08768531480879</v>
      </c>
      <c r="B1419" s="52">
        <v>216.10387552824082</v>
      </c>
      <c r="C1419" s="52">
        <v>213.85208555953133</v>
      </c>
      <c r="D1419" s="52">
        <v>215.5918991369648</v>
      </c>
      <c r="E1419" s="52">
        <v>916560.54457994015</v>
      </c>
      <c r="F1419" s="52" t="s">
        <v>1494</v>
      </c>
      <c r="G1419" s="26">
        <f t="shared" si="19"/>
        <v>-6.9771351714861263E-3</v>
      </c>
    </row>
    <row r="1420" spans="1:7">
      <c r="A1420" s="52">
        <v>215.10257656831163</v>
      </c>
      <c r="B1420" s="52">
        <v>218.15631185786935</v>
      </c>
      <c r="C1420" s="52">
        <v>214.28703895388969</v>
      </c>
      <c r="D1420" s="52">
        <v>215.22943797499951</v>
      </c>
      <c r="E1420" s="52">
        <v>1237806.5488929343</v>
      </c>
      <c r="F1420" s="52" t="s">
        <v>1495</v>
      </c>
      <c r="G1420" s="26">
        <f t="shared" si="19"/>
        <v>-5.8942404850126362E-4</v>
      </c>
    </row>
    <row r="1421" spans="1:7">
      <c r="A1421" s="52">
        <v>214.7491769353955</v>
      </c>
      <c r="B1421" s="52">
        <v>216.7245902681064</v>
      </c>
      <c r="C1421" s="52">
        <v>212.61971760884927</v>
      </c>
      <c r="D1421" s="52">
        <v>213.67991650759782</v>
      </c>
      <c r="E1421" s="52">
        <v>1164323.3656034945</v>
      </c>
      <c r="F1421" s="52" t="s">
        <v>1496</v>
      </c>
      <c r="G1421" s="26">
        <f t="shared" si="19"/>
        <v>5.0040286671473311E-3</v>
      </c>
    </row>
    <row r="1422" spans="1:7">
      <c r="A1422" s="52">
        <v>212.9549941836672</v>
      </c>
      <c r="B1422" s="52">
        <v>214.28250818936513</v>
      </c>
      <c r="C1422" s="52">
        <v>209.77439748742162</v>
      </c>
      <c r="D1422" s="52">
        <v>210.38151993371352</v>
      </c>
      <c r="E1422" s="52">
        <v>1262634.5882646707</v>
      </c>
      <c r="F1422" s="52" t="s">
        <v>1497</v>
      </c>
      <c r="G1422" s="26">
        <f t="shared" si="19"/>
        <v>1.2232415902140747E-2</v>
      </c>
    </row>
    <row r="1423" spans="1:7">
      <c r="A1423" s="52">
        <v>211.7588723491817</v>
      </c>
      <c r="B1423" s="52">
        <v>216.44368286758331</v>
      </c>
      <c r="C1423" s="52">
        <v>211.22877289980741</v>
      </c>
      <c r="D1423" s="52">
        <v>214.55888482536369</v>
      </c>
      <c r="E1423" s="52">
        <v>1017012.6862730823</v>
      </c>
      <c r="F1423" s="52" t="s">
        <v>1498</v>
      </c>
      <c r="G1423" s="26">
        <f t="shared" si="19"/>
        <v>-1.3050088689923078E-2</v>
      </c>
    </row>
    <row r="1424" spans="1:7">
      <c r="A1424" s="52">
        <v>214.49545412201977</v>
      </c>
      <c r="B1424" s="52">
        <v>217.24109742390698</v>
      </c>
      <c r="C1424" s="52">
        <v>213.30839381658339</v>
      </c>
      <c r="D1424" s="52">
        <v>215.14788421355732</v>
      </c>
      <c r="E1424" s="52">
        <v>977830.55728857243</v>
      </c>
      <c r="F1424" s="52" t="s">
        <v>1499</v>
      </c>
      <c r="G1424" s="26">
        <f t="shared" si="19"/>
        <v>-3.0324727288042475E-3</v>
      </c>
    </row>
    <row r="1425" spans="1:7">
      <c r="A1425" s="52">
        <v>215.99060641512668</v>
      </c>
      <c r="B1425" s="52">
        <v>217.92977363164104</v>
      </c>
      <c r="C1425" s="52">
        <v>214.49545412201977</v>
      </c>
      <c r="D1425" s="52">
        <v>215.73688360175095</v>
      </c>
      <c r="E1425" s="52">
        <v>954609.31075732165</v>
      </c>
      <c r="F1425" s="52" t="s">
        <v>1500</v>
      </c>
      <c r="G1425" s="26">
        <f t="shared" si="19"/>
        <v>1.1760752688172449E-3</v>
      </c>
    </row>
    <row r="1426" spans="1:7">
      <c r="A1426" s="52">
        <v>215.03914586496774</v>
      </c>
      <c r="B1426" s="52">
        <v>215.77766048247204</v>
      </c>
      <c r="C1426" s="52">
        <v>212.42036396976837</v>
      </c>
      <c r="D1426" s="52">
        <v>215.22943797499951</v>
      </c>
      <c r="E1426" s="52">
        <v>1735533.8061301317</v>
      </c>
      <c r="F1426" s="52" t="s">
        <v>1501</v>
      </c>
      <c r="G1426" s="26">
        <f t="shared" si="19"/>
        <v>-8.841360727517289E-4</v>
      </c>
    </row>
    <row r="1427" spans="1:7">
      <c r="A1427" s="52">
        <v>214.04237766956314</v>
      </c>
      <c r="B1427" s="52">
        <v>215.10257656831163</v>
      </c>
      <c r="C1427" s="52">
        <v>212.43848702786664</v>
      </c>
      <c r="D1427" s="52">
        <v>213.64367039140129</v>
      </c>
      <c r="E1427" s="52">
        <v>1114924.4178571599</v>
      </c>
      <c r="F1427" s="52" t="s">
        <v>1502</v>
      </c>
      <c r="G1427" s="26">
        <f t="shared" si="19"/>
        <v>1.8662255588073329E-3</v>
      </c>
    </row>
    <row r="1428" spans="1:7">
      <c r="A1428" s="52">
        <v>213.58023968805736</v>
      </c>
      <c r="B1428" s="52">
        <v>215.41973008503129</v>
      </c>
      <c r="C1428" s="52">
        <v>212.08508739495048</v>
      </c>
      <c r="D1428" s="52">
        <v>214.09674684385794</v>
      </c>
      <c r="E1428" s="52">
        <v>1144496.6896610721</v>
      </c>
      <c r="F1428" s="52" t="s">
        <v>1503</v>
      </c>
      <c r="G1428" s="26">
        <f t="shared" si="19"/>
        <v>-2.4124941803869149E-3</v>
      </c>
    </row>
    <row r="1429" spans="1:7">
      <c r="A1429" s="52">
        <v>213.35370146182902</v>
      </c>
      <c r="B1429" s="52">
        <v>217.76666610875665</v>
      </c>
      <c r="C1429" s="52">
        <v>212.97311724176546</v>
      </c>
      <c r="D1429" s="52">
        <v>215.66439136935787</v>
      </c>
      <c r="E1429" s="52">
        <v>1097001.3941467691</v>
      </c>
      <c r="F1429" s="52" t="s">
        <v>1504</v>
      </c>
      <c r="G1429" s="26">
        <f t="shared" si="19"/>
        <v>-1.0714285714285787E-2</v>
      </c>
    </row>
    <row r="1430" spans="1:7">
      <c r="A1430" s="52">
        <v>215.79125277604572</v>
      </c>
      <c r="B1430" s="52">
        <v>216.12652935086362</v>
      </c>
      <c r="C1430" s="52">
        <v>212.15767024263403</v>
      </c>
      <c r="D1430" s="52">
        <v>212.19382574354006</v>
      </c>
      <c r="E1430" s="52">
        <v>1077073.1900853049</v>
      </c>
      <c r="F1430" s="52" t="s">
        <v>1505</v>
      </c>
      <c r="G1430" s="26">
        <f t="shared" si="19"/>
        <v>1.6953495323909884E-2</v>
      </c>
    </row>
    <row r="1431" spans="1:7">
      <c r="A1431" s="52">
        <v>210.82553485712103</v>
      </c>
      <c r="B1431" s="52">
        <v>212.94502650171316</v>
      </c>
      <c r="C1431" s="52">
        <v>209.321321034965</v>
      </c>
      <c r="D1431" s="52">
        <v>210.13685864938694</v>
      </c>
      <c r="E1431" s="52">
        <v>1112505.4000643406</v>
      </c>
      <c r="F1431" s="52" t="s">
        <v>1506</v>
      </c>
      <c r="G1431" s="26">
        <f t="shared" si="19"/>
        <v>3.2772746873652725E-3</v>
      </c>
    </row>
    <row r="1432" spans="1:7">
      <c r="A1432" s="52">
        <v>209.185398099228</v>
      </c>
      <c r="B1432" s="52">
        <v>214.5951309415602</v>
      </c>
      <c r="C1432" s="52">
        <v>207.19186170841883</v>
      </c>
      <c r="D1432" s="52">
        <v>212.41130244071923</v>
      </c>
      <c r="E1432" s="52">
        <v>1339964.8044125813</v>
      </c>
      <c r="F1432" s="52" t="s">
        <v>1507</v>
      </c>
      <c r="G1432" s="26">
        <f t="shared" si="19"/>
        <v>-1.518706539823389E-2</v>
      </c>
    </row>
    <row r="1433" spans="1:7">
      <c r="A1433" s="52">
        <v>210.8436579152193</v>
      </c>
      <c r="B1433" s="52">
        <v>213.46243981041863</v>
      </c>
      <c r="C1433" s="52">
        <v>205.51547883432929</v>
      </c>
      <c r="D1433" s="52">
        <v>205.97761681583503</v>
      </c>
      <c r="E1433" s="52">
        <v>2550699.7632162604</v>
      </c>
      <c r="F1433" s="52" t="s">
        <v>1508</v>
      </c>
      <c r="G1433" s="26">
        <f t="shared" si="19"/>
        <v>2.3624125643394445E-2</v>
      </c>
    </row>
    <row r="1434" spans="1:7">
      <c r="A1434" s="52">
        <v>204.27404935459811</v>
      </c>
      <c r="B1434" s="52">
        <v>205.67858635721365</v>
      </c>
      <c r="C1434" s="52">
        <v>203.82097290214148</v>
      </c>
      <c r="D1434" s="52">
        <v>204.88117180088997</v>
      </c>
      <c r="E1434" s="52">
        <v>933232.12386649114</v>
      </c>
      <c r="F1434" s="52" t="s">
        <v>1509</v>
      </c>
      <c r="G1434" s="26">
        <f t="shared" si="19"/>
        <v>-2.9632905793894881E-3</v>
      </c>
    </row>
    <row r="1435" spans="1:7">
      <c r="A1435" s="52">
        <v>203.88440360548537</v>
      </c>
      <c r="B1435" s="52">
        <v>206.52130855878301</v>
      </c>
      <c r="C1435" s="52">
        <v>203.62161926306055</v>
      </c>
      <c r="D1435" s="52">
        <v>205.16207920141309</v>
      </c>
      <c r="E1435" s="52">
        <v>1154977.2608191031</v>
      </c>
      <c r="F1435" s="52" t="s">
        <v>1510</v>
      </c>
      <c r="G1435" s="26">
        <f t="shared" si="19"/>
        <v>-6.2276401219027999E-3</v>
      </c>
    </row>
    <row r="1436" spans="1:7">
      <c r="A1436" s="52">
        <v>203.05074293296519</v>
      </c>
      <c r="B1436" s="52">
        <v>203.49475785637267</v>
      </c>
      <c r="C1436" s="52">
        <v>198.90056262846241</v>
      </c>
      <c r="D1436" s="52">
        <v>199.39894672616472</v>
      </c>
      <c r="E1436" s="52">
        <v>1647261.7280224573</v>
      </c>
      <c r="F1436" s="52" t="s">
        <v>1511</v>
      </c>
      <c r="G1436" s="26">
        <f t="shared" si="19"/>
        <v>1.8314019541013415E-2</v>
      </c>
    </row>
    <row r="1437" spans="1:7">
      <c r="A1437" s="52">
        <v>200.40477645061844</v>
      </c>
      <c r="B1437" s="52">
        <v>205.2164483757079</v>
      </c>
      <c r="C1437" s="52">
        <v>199.38680427723887</v>
      </c>
      <c r="D1437" s="52">
        <v>204.79055651039866</v>
      </c>
      <c r="E1437" s="52">
        <v>1677769.8242279715</v>
      </c>
      <c r="F1437" s="52" t="s">
        <v>1512</v>
      </c>
      <c r="G1437" s="26">
        <f t="shared" si="19"/>
        <v>-2.1415929203539852E-2</v>
      </c>
    </row>
    <row r="1438" spans="1:7">
      <c r="A1438" s="52">
        <v>204.41903381938423</v>
      </c>
      <c r="B1438" s="52">
        <v>208.16144531667601</v>
      </c>
      <c r="C1438" s="52">
        <v>203.44038868207787</v>
      </c>
      <c r="D1438" s="52">
        <v>204.71806427800558</v>
      </c>
      <c r="E1438" s="52">
        <v>1866881.3958742621</v>
      </c>
      <c r="F1438" s="52" t="s">
        <v>1513</v>
      </c>
      <c r="G1438" s="26">
        <f t="shared" si="19"/>
        <v>-1.4606940509913624E-3</v>
      </c>
    </row>
    <row r="1439" spans="1:7">
      <c r="A1439" s="52">
        <v>202.79702011958946</v>
      </c>
      <c r="B1439" s="52">
        <v>206.67988531714283</v>
      </c>
      <c r="C1439" s="52">
        <v>201.84555956943052</v>
      </c>
      <c r="D1439" s="52">
        <v>206.22227810016162</v>
      </c>
      <c r="E1439" s="52">
        <v>2075229.2353794174</v>
      </c>
      <c r="F1439" s="52" t="s">
        <v>1514</v>
      </c>
      <c r="G1439" s="26">
        <f t="shared" si="19"/>
        <v>-1.6609543896651702E-2</v>
      </c>
    </row>
    <row r="1440" spans="1:7">
      <c r="A1440" s="52">
        <v>207.00156959838702</v>
      </c>
      <c r="B1440" s="52">
        <v>209.67472066788116</v>
      </c>
      <c r="C1440" s="52">
        <v>204.21061865125418</v>
      </c>
      <c r="D1440" s="52">
        <v>209.67472066788116</v>
      </c>
      <c r="E1440" s="52">
        <v>1346042.145190435</v>
      </c>
      <c r="F1440" s="52" t="s">
        <v>1515</v>
      </c>
      <c r="G1440" s="26">
        <f>A1440/D1440-1</f>
        <v>-1.2749038419983538E-2</v>
      </c>
    </row>
    <row r="1441" spans="7:7">
      <c r="G1441" s="26"/>
    </row>
    <row r="1442" spans="7:7">
      <c r="G1442" s="26"/>
    </row>
    <row r="1443" spans="7:7">
      <c r="G1443" s="26"/>
    </row>
    <row r="1444" spans="7:7">
      <c r="G1444" s="26"/>
    </row>
    <row r="1445" spans="7:7">
      <c r="G1445" s="26"/>
    </row>
    <row r="1446" spans="7:7">
      <c r="G1446" s="26"/>
    </row>
    <row r="1447" spans="7:7">
      <c r="G1447" s="26"/>
    </row>
    <row r="1448" spans="7:7">
      <c r="G1448" s="26"/>
    </row>
    <row r="1449" spans="7:7">
      <c r="G1449" s="26"/>
    </row>
    <row r="1450" spans="7:7">
      <c r="G1450" s="26"/>
    </row>
    <row r="1451" spans="7:7">
      <c r="G1451" s="26"/>
    </row>
    <row r="1452" spans="7:7">
      <c r="G1452" s="26"/>
    </row>
    <row r="1453" spans="7:7">
      <c r="G1453" s="26"/>
    </row>
    <row r="1454" spans="7:7">
      <c r="G1454" s="26"/>
    </row>
    <row r="1455" spans="7:7">
      <c r="G1455" s="26"/>
    </row>
    <row r="1456" spans="7:7">
      <c r="G1456" s="26"/>
    </row>
    <row r="1457" spans="7:7">
      <c r="G1457" s="26"/>
    </row>
    <row r="1458" spans="7:7">
      <c r="G1458" s="26"/>
    </row>
    <row r="1459" spans="7:7">
      <c r="G1459" s="26"/>
    </row>
    <row r="1460" spans="7:7">
      <c r="G1460" s="26"/>
    </row>
    <row r="1461" spans="7:7">
      <c r="G1461" s="26"/>
    </row>
    <row r="1462" spans="7:7">
      <c r="G1462" s="26"/>
    </row>
    <row r="1463" spans="7:7">
      <c r="G1463" s="26"/>
    </row>
    <row r="1464" spans="7:7">
      <c r="G1464" s="26"/>
    </row>
    <row r="1465" spans="7:7">
      <c r="G1465" s="26"/>
    </row>
    <row r="1466" spans="7:7">
      <c r="G1466" s="26"/>
    </row>
    <row r="1467" spans="7:7">
      <c r="G1467" s="26"/>
    </row>
    <row r="1468" spans="7:7">
      <c r="G1468" s="26"/>
    </row>
    <row r="1469" spans="7:7">
      <c r="G1469" s="26"/>
    </row>
    <row r="1470" spans="7:7">
      <c r="G1470" s="26"/>
    </row>
    <row r="1471" spans="7:7">
      <c r="G1471" s="26"/>
    </row>
    <row r="1472" spans="7:7">
      <c r="G1472" s="26"/>
    </row>
    <row r="1473" spans="7:7">
      <c r="G1473" s="26"/>
    </row>
    <row r="1474" spans="7:7">
      <c r="G1474" s="26"/>
    </row>
    <row r="1475" spans="7:7">
      <c r="G1475" s="26"/>
    </row>
    <row r="1476" spans="7:7">
      <c r="G1476" s="26"/>
    </row>
    <row r="1477" spans="7:7">
      <c r="G1477" s="26"/>
    </row>
    <row r="1478" spans="7:7">
      <c r="G1478" s="26"/>
    </row>
    <row r="1479" spans="7:7">
      <c r="G1479" s="26"/>
    </row>
    <row r="1480" spans="7:7">
      <c r="G1480" s="26"/>
    </row>
    <row r="1481" spans="7:7">
      <c r="G1481" s="26"/>
    </row>
    <row r="1482" spans="7:7">
      <c r="G1482" s="26"/>
    </row>
    <row r="1483" spans="7:7">
      <c r="G1483" s="26"/>
    </row>
    <row r="1484" spans="7:7">
      <c r="G1484" s="26"/>
    </row>
    <row r="1485" spans="7:7">
      <c r="G1485" s="26"/>
    </row>
    <row r="1486" spans="7:7">
      <c r="G1486" s="26"/>
    </row>
    <row r="1487" spans="7:7">
      <c r="G1487" s="26"/>
    </row>
    <row r="1488" spans="7:7">
      <c r="G1488" s="26"/>
    </row>
    <row r="1489" spans="7:7">
      <c r="G1489" s="26"/>
    </row>
    <row r="1490" spans="7:7">
      <c r="G1490" s="26"/>
    </row>
    <row r="1491" spans="7:7">
      <c r="G1491" s="26"/>
    </row>
    <row r="1492" spans="7:7">
      <c r="G1492" s="26"/>
    </row>
    <row r="1493" spans="7:7">
      <c r="G1493" s="26"/>
    </row>
    <row r="1494" spans="7:7">
      <c r="G1494" s="26"/>
    </row>
    <row r="1495" spans="7:7">
      <c r="G1495" s="26"/>
    </row>
    <row r="1496" spans="7:7">
      <c r="G1496" s="26"/>
    </row>
    <row r="1497" spans="7:7">
      <c r="G1497" s="26"/>
    </row>
    <row r="1498" spans="7:7">
      <c r="G1498" s="26"/>
    </row>
    <row r="1499" spans="7:7">
      <c r="G1499" s="26"/>
    </row>
    <row r="1500" spans="7:7">
      <c r="G1500" s="26"/>
    </row>
    <row r="1501" spans="7:7">
      <c r="G1501" s="26"/>
    </row>
    <row r="1502" spans="7:7">
      <c r="G1502" s="26"/>
    </row>
    <row r="1503" spans="7:7">
      <c r="G1503" s="26"/>
    </row>
    <row r="1504" spans="7:7">
      <c r="G1504" s="26"/>
    </row>
    <row r="1505" spans="7:7">
      <c r="G1505" s="26"/>
    </row>
    <row r="1506" spans="7:7">
      <c r="G1506" s="26"/>
    </row>
    <row r="1507" spans="7:7">
      <c r="G1507" s="26"/>
    </row>
    <row r="1508" spans="7:7">
      <c r="G1508" s="26"/>
    </row>
    <row r="1509" spans="7:7">
      <c r="G1509" s="26"/>
    </row>
    <row r="1510" spans="7:7">
      <c r="G1510" s="26"/>
    </row>
    <row r="1511" spans="7:7">
      <c r="G1511" s="26"/>
    </row>
    <row r="1512" spans="7:7">
      <c r="G1512" s="26"/>
    </row>
    <row r="1513" spans="7:7">
      <c r="G1513" s="26"/>
    </row>
    <row r="1514" spans="7:7">
      <c r="G1514" s="26"/>
    </row>
    <row r="1515" spans="7:7">
      <c r="G1515" s="26"/>
    </row>
    <row r="1516" spans="7:7">
      <c r="G1516" s="26"/>
    </row>
    <row r="1517" spans="7:7">
      <c r="G1517" s="26"/>
    </row>
    <row r="1518" spans="7:7">
      <c r="G1518" s="26"/>
    </row>
    <row r="1519" spans="7:7">
      <c r="G1519" s="26"/>
    </row>
    <row r="1520" spans="7:7">
      <c r="G1520" s="26"/>
    </row>
    <row r="1521" spans="7:7">
      <c r="G1521" s="26"/>
    </row>
    <row r="1522" spans="7:7">
      <c r="G1522" s="26"/>
    </row>
    <row r="1523" spans="7:7">
      <c r="G1523" s="26"/>
    </row>
    <row r="1524" spans="7:7">
      <c r="G1524" s="26"/>
    </row>
    <row r="1525" spans="7:7">
      <c r="G1525" s="26"/>
    </row>
    <row r="1526" spans="7:7">
      <c r="G1526" s="26"/>
    </row>
    <row r="1527" spans="7:7">
      <c r="G1527" s="26"/>
    </row>
    <row r="1528" spans="7:7">
      <c r="G1528" s="26"/>
    </row>
    <row r="1529" spans="7:7">
      <c r="G1529" s="26"/>
    </row>
    <row r="1530" spans="7:7">
      <c r="G1530" s="26"/>
    </row>
    <row r="1531" spans="7:7">
      <c r="G1531" s="26"/>
    </row>
    <row r="1532" spans="7:7">
      <c r="G1532" s="26"/>
    </row>
    <row r="1533" spans="7:7">
      <c r="G1533" s="26"/>
    </row>
    <row r="1534" spans="7:7">
      <c r="G1534" s="26"/>
    </row>
    <row r="1535" spans="7:7">
      <c r="G1535" s="26"/>
    </row>
    <row r="1536" spans="7:7">
      <c r="G1536" s="26"/>
    </row>
    <row r="1537" spans="7:7">
      <c r="G1537" s="26"/>
    </row>
    <row r="1538" spans="7:7">
      <c r="G1538" s="26"/>
    </row>
    <row r="1539" spans="7:7">
      <c r="G1539" s="26"/>
    </row>
    <row r="1540" spans="7:7">
      <c r="G1540" s="26"/>
    </row>
    <row r="1541" spans="7:7">
      <c r="G1541" s="26"/>
    </row>
    <row r="1542" spans="7:7">
      <c r="G1542" s="26"/>
    </row>
    <row r="1543" spans="7:7">
      <c r="G1543" s="26"/>
    </row>
    <row r="1544" spans="7:7">
      <c r="G1544" s="26"/>
    </row>
    <row r="1545" spans="7:7">
      <c r="G1545" s="26"/>
    </row>
    <row r="1546" spans="7:7">
      <c r="G1546" s="26"/>
    </row>
    <row r="1547" spans="7:7">
      <c r="G1547" s="26"/>
    </row>
    <row r="1548" spans="7:7">
      <c r="G1548" s="26"/>
    </row>
    <row r="1549" spans="7:7">
      <c r="G1549" s="26"/>
    </row>
    <row r="1550" spans="7:7">
      <c r="G1550" s="26"/>
    </row>
    <row r="1551" spans="7:7">
      <c r="G1551" s="26"/>
    </row>
    <row r="1552" spans="7:7">
      <c r="G1552" s="26"/>
    </row>
    <row r="1553" spans="7:7">
      <c r="G1553" s="26"/>
    </row>
    <row r="1554" spans="7:7">
      <c r="G1554" s="26"/>
    </row>
    <row r="1555" spans="7:7">
      <c r="G1555" s="26"/>
    </row>
    <row r="1556" spans="7:7">
      <c r="G1556" s="26"/>
    </row>
    <row r="1557" spans="7:7">
      <c r="G1557" s="26"/>
    </row>
    <row r="1558" spans="7:7">
      <c r="G1558" s="26"/>
    </row>
    <row r="1559" spans="7:7">
      <c r="G1559" s="26"/>
    </row>
    <row r="1560" spans="7:7">
      <c r="G1560" s="26"/>
    </row>
    <row r="1561" spans="7:7">
      <c r="G1561" s="26"/>
    </row>
    <row r="1562" spans="7:7">
      <c r="G1562" s="26"/>
    </row>
    <row r="1563" spans="7:7">
      <c r="G1563" s="26"/>
    </row>
    <row r="1564" spans="7:7">
      <c r="G1564" s="26"/>
    </row>
    <row r="1565" spans="7:7">
      <c r="G1565" s="26"/>
    </row>
    <row r="1566" spans="7:7">
      <c r="G1566" s="26"/>
    </row>
    <row r="1567" spans="7:7">
      <c r="G1567" s="26"/>
    </row>
    <row r="1568" spans="7:7">
      <c r="G1568" s="26"/>
    </row>
    <row r="1569" spans="7:7">
      <c r="G1569" s="26"/>
    </row>
    <row r="1570" spans="7:7">
      <c r="G1570" s="26"/>
    </row>
    <row r="1571" spans="7:7">
      <c r="G1571" s="26"/>
    </row>
    <row r="1572" spans="7:7">
      <c r="G1572" s="26"/>
    </row>
    <row r="1573" spans="7:7">
      <c r="G1573" s="26"/>
    </row>
    <row r="1574" spans="7:7">
      <c r="G1574" s="26"/>
    </row>
    <row r="1575" spans="7:7">
      <c r="G1575" s="26"/>
    </row>
    <row r="1576" spans="7:7">
      <c r="G1576" s="26"/>
    </row>
    <row r="1577" spans="7:7">
      <c r="G1577" s="26"/>
    </row>
    <row r="1578" spans="7:7">
      <c r="G1578" s="26"/>
    </row>
    <row r="1579" spans="7:7">
      <c r="G1579" s="26"/>
    </row>
    <row r="1580" spans="7:7">
      <c r="G1580" s="26"/>
    </row>
    <row r="1581" spans="7:7">
      <c r="G1581" s="26"/>
    </row>
    <row r="1582" spans="7:7">
      <c r="G1582" s="26"/>
    </row>
    <row r="1583" spans="7:7">
      <c r="G1583" s="26"/>
    </row>
    <row r="1584" spans="7:7">
      <c r="G1584" s="26"/>
    </row>
    <row r="1585" spans="7:7">
      <c r="G1585" s="26"/>
    </row>
    <row r="1586" spans="7:7">
      <c r="G1586" s="26"/>
    </row>
    <row r="1587" spans="7:7">
      <c r="G1587" s="26"/>
    </row>
    <row r="1588" spans="7:7">
      <c r="G1588" s="26"/>
    </row>
    <row r="1589" spans="7:7">
      <c r="G1589" s="26"/>
    </row>
    <row r="1590" spans="7:7">
      <c r="G1590" s="26"/>
    </row>
    <row r="1591" spans="7:7">
      <c r="G1591" s="26"/>
    </row>
    <row r="1592" spans="7:7">
      <c r="G1592" s="26"/>
    </row>
    <row r="1593" spans="7:7">
      <c r="G1593" s="26"/>
    </row>
    <row r="1594" spans="7:7">
      <c r="G1594" s="26"/>
    </row>
    <row r="1595" spans="7:7">
      <c r="G1595" s="26"/>
    </row>
    <row r="1596" spans="7:7">
      <c r="G1596" s="26"/>
    </row>
    <row r="1597" spans="7:7">
      <c r="G1597" s="26"/>
    </row>
    <row r="1598" spans="7:7">
      <c r="G1598" s="26"/>
    </row>
    <row r="1599" spans="7:7">
      <c r="G1599" s="26"/>
    </row>
    <row r="1600" spans="7:7">
      <c r="G1600" s="26"/>
    </row>
    <row r="1601" spans="7:7">
      <c r="G1601" s="26"/>
    </row>
    <row r="1602" spans="7:7">
      <c r="G1602" s="26"/>
    </row>
    <row r="1603" spans="7:7">
      <c r="G1603" s="26"/>
    </row>
    <row r="1604" spans="7:7">
      <c r="G1604" s="26"/>
    </row>
    <row r="1605" spans="7:7">
      <c r="G1605" s="26"/>
    </row>
    <row r="1606" spans="7:7">
      <c r="G1606" s="26"/>
    </row>
    <row r="1607" spans="7:7">
      <c r="G1607" s="26"/>
    </row>
    <row r="1608" spans="7:7">
      <c r="G1608" s="26"/>
    </row>
    <row r="1609" spans="7:7">
      <c r="G1609" s="26"/>
    </row>
    <row r="1610" spans="7:7">
      <c r="G1610" s="26"/>
    </row>
    <row r="1611" spans="7:7">
      <c r="G1611" s="26"/>
    </row>
    <row r="1612" spans="7:7">
      <c r="G1612" s="26"/>
    </row>
    <row r="1613" spans="7:7">
      <c r="G1613" s="26"/>
    </row>
    <row r="1614" spans="7:7">
      <c r="G1614" s="26"/>
    </row>
    <row r="1615" spans="7:7">
      <c r="G1615" s="26"/>
    </row>
    <row r="1616" spans="7:7">
      <c r="G1616" s="26"/>
    </row>
    <row r="1617" spans="7:7">
      <c r="G1617" s="26"/>
    </row>
    <row r="1618" spans="7:7">
      <c r="G1618" s="26"/>
    </row>
  </sheetData>
  <sortState xmlns:xlrd2="http://schemas.microsoft.com/office/spreadsheetml/2017/richdata2" ref="I206:I236">
    <sortCondition ref="I206"/>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B2"/>
  <sheetViews>
    <sheetView workbookViewId="0">
      <selection activeCell="B4" sqref="B4"/>
    </sheetView>
  </sheetViews>
  <sheetFormatPr defaultColWidth="9.140625" defaultRowHeight="14.25"/>
  <cols>
    <col min="1" max="1" width="3" style="1" customWidth="1"/>
    <col min="2" max="16384" width="9.140625" style="1"/>
  </cols>
  <sheetData>
    <row r="2" spans="2:2">
      <c r="B2" s="1" t="s">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activeCell="N19" sqref="N19"/>
    </sheetView>
  </sheetViews>
  <sheetFormatPr defaultColWidth="9.140625" defaultRowHeight="14.25"/>
  <cols>
    <col min="1" max="1" width="3" style="1" customWidth="1"/>
    <col min="2" max="16384" width="9.140625" style="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4" t="s">
        <v>13</v>
      </c>
      <c r="C2" s="5"/>
      <c r="D2" s="5"/>
      <c r="E2" s="5"/>
      <c r="F2" s="5"/>
      <c r="G2" s="4" t="s">
        <v>13</v>
      </c>
      <c r="H2" s="6"/>
      <c r="I2" s="6"/>
      <c r="J2" s="6"/>
      <c r="K2" s="6"/>
      <c r="L2" s="6"/>
      <c r="M2" s="6"/>
      <c r="N2" s="6"/>
      <c r="O2" s="6"/>
      <c r="P2" s="6"/>
      <c r="Q2" s="6"/>
      <c r="R2" s="6"/>
      <c r="S2" s="6"/>
      <c r="T2" s="6"/>
      <c r="U2" s="6"/>
      <c r="V2" s="6"/>
      <c r="W2" s="6"/>
      <c r="X2" s="6"/>
      <c r="Y2" s="6"/>
      <c r="Z2" s="7"/>
    </row>
    <row r="3" spans="2:26" ht="15">
      <c r="B3" s="8" t="s">
        <v>14</v>
      </c>
      <c r="C3" s="9"/>
      <c r="D3" s="9"/>
      <c r="E3" s="9"/>
      <c r="F3" s="10"/>
      <c r="G3" s="11" t="s">
        <v>15</v>
      </c>
      <c r="H3" s="11"/>
      <c r="I3" s="11"/>
      <c r="J3" s="11"/>
      <c r="K3" s="11"/>
      <c r="L3" s="11"/>
      <c r="M3" s="11"/>
      <c r="N3" s="11"/>
      <c r="O3" s="11"/>
      <c r="P3" s="11"/>
      <c r="Q3" s="11"/>
      <c r="R3" s="11"/>
      <c r="S3" s="11"/>
      <c r="T3" s="11"/>
      <c r="U3" s="11"/>
      <c r="V3" s="11"/>
      <c r="W3" s="11"/>
      <c r="X3" s="11"/>
      <c r="Y3" s="11"/>
      <c r="Z3" s="12"/>
    </row>
    <row r="4" spans="2:26" ht="15">
      <c r="B4" s="13" t="s">
        <v>14</v>
      </c>
      <c r="C4" s="14"/>
      <c r="D4" s="14"/>
      <c r="E4" s="14"/>
      <c r="F4" s="15"/>
      <c r="G4" s="16" t="s">
        <v>16</v>
      </c>
      <c r="H4" s="16"/>
      <c r="I4" s="16"/>
      <c r="J4" s="16"/>
      <c r="K4" s="16"/>
      <c r="L4" s="16"/>
      <c r="M4" s="16"/>
      <c r="N4" s="16"/>
      <c r="O4" s="16"/>
      <c r="P4" s="16"/>
      <c r="Q4" s="16"/>
      <c r="R4" s="16"/>
      <c r="S4" s="16"/>
      <c r="T4" s="16"/>
      <c r="U4" s="16"/>
      <c r="V4" s="16"/>
      <c r="W4" s="16"/>
      <c r="X4" s="16"/>
      <c r="Y4" s="16"/>
      <c r="Z4" s="17"/>
    </row>
    <row r="5" spans="2:26" ht="15">
      <c r="B5" s="13" t="s">
        <v>14</v>
      </c>
      <c r="C5" s="14"/>
      <c r="D5" s="14"/>
      <c r="E5" s="14"/>
      <c r="F5" s="15"/>
      <c r="G5" s="18" t="s">
        <v>15</v>
      </c>
      <c r="H5" s="18"/>
      <c r="I5" s="18"/>
      <c r="J5" s="18"/>
      <c r="K5" s="18"/>
      <c r="L5" s="18"/>
      <c r="M5" s="18"/>
      <c r="N5" s="18"/>
      <c r="O5" s="18"/>
      <c r="P5" s="18"/>
      <c r="Q5" s="18"/>
      <c r="R5" s="18"/>
      <c r="S5" s="18"/>
      <c r="T5" s="18"/>
      <c r="U5" s="18"/>
      <c r="V5" s="18"/>
      <c r="W5" s="18"/>
      <c r="X5" s="18"/>
      <c r="Y5" s="18"/>
      <c r="Z5" s="19"/>
    </row>
    <row r="6" spans="2:26" ht="15">
      <c r="B6" s="13" t="s">
        <v>14</v>
      </c>
      <c r="C6" s="14"/>
      <c r="D6" s="14"/>
      <c r="E6" s="14"/>
      <c r="F6" s="15"/>
      <c r="G6" s="16" t="s">
        <v>16</v>
      </c>
      <c r="H6" s="16"/>
      <c r="I6" s="16"/>
      <c r="J6" s="16"/>
      <c r="K6" s="16"/>
      <c r="L6" s="16"/>
      <c r="M6" s="16"/>
      <c r="N6" s="16"/>
      <c r="O6" s="16"/>
      <c r="P6" s="16"/>
      <c r="Q6" s="16"/>
      <c r="R6" s="16"/>
      <c r="S6" s="16"/>
      <c r="T6" s="16"/>
      <c r="U6" s="16"/>
      <c r="V6" s="16"/>
      <c r="W6" s="16"/>
      <c r="X6" s="16"/>
      <c r="Y6" s="16"/>
      <c r="Z6" s="17"/>
    </row>
    <row r="7" spans="2:26" ht="15">
      <c r="B7" s="13" t="s">
        <v>14</v>
      </c>
      <c r="C7" s="14"/>
      <c r="D7" s="14"/>
      <c r="E7" s="14"/>
      <c r="F7" s="15"/>
      <c r="G7" s="18" t="s">
        <v>15</v>
      </c>
      <c r="H7" s="18"/>
      <c r="I7" s="18"/>
      <c r="J7" s="18"/>
      <c r="K7" s="18"/>
      <c r="L7" s="18"/>
      <c r="M7" s="18"/>
      <c r="N7" s="18"/>
      <c r="O7" s="18"/>
      <c r="P7" s="18"/>
      <c r="Q7" s="18"/>
      <c r="R7" s="18"/>
      <c r="S7" s="18"/>
      <c r="T7" s="18"/>
      <c r="U7" s="18"/>
      <c r="V7" s="18"/>
      <c r="W7" s="18"/>
      <c r="X7" s="18"/>
      <c r="Y7" s="18"/>
      <c r="Z7" s="19"/>
    </row>
    <row r="8" spans="2:26" ht="15">
      <c r="B8" s="20" t="s">
        <v>14</v>
      </c>
      <c r="C8" s="21"/>
      <c r="D8" s="21"/>
      <c r="E8" s="21"/>
      <c r="F8" s="22"/>
      <c r="G8" s="23" t="s">
        <v>16</v>
      </c>
      <c r="H8" s="23"/>
      <c r="I8" s="23"/>
      <c r="J8" s="23"/>
      <c r="K8" s="23"/>
      <c r="L8" s="23"/>
      <c r="M8" s="23"/>
      <c r="N8" s="23"/>
      <c r="O8" s="23"/>
      <c r="P8" s="23"/>
      <c r="Q8" s="23"/>
      <c r="R8" s="23"/>
      <c r="S8" s="23"/>
      <c r="T8" s="23"/>
      <c r="U8" s="23"/>
      <c r="V8" s="23"/>
      <c r="W8" s="23"/>
      <c r="X8" s="23"/>
      <c r="Y8" s="23"/>
      <c r="Z8"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2025-10-12T09:44:08Z</dcterms:modified>
</cp:coreProperties>
</file>