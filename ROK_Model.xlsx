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Industrial\"/>
    </mc:Choice>
  </mc:AlternateContent>
  <xr:revisionPtr revIDLastSave="0" documentId="13_ncr:1_{02CD9D4E-B61A-4786-8DF6-6DBCD6B9F5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P33" i="2" l="1"/>
  <c r="CO33" i="2"/>
  <c r="CN33" i="2"/>
  <c r="CM33" i="2"/>
  <c r="CP32" i="2"/>
  <c r="CO32" i="2"/>
  <c r="CN32" i="2"/>
  <c r="CM32" i="2"/>
  <c r="CP31" i="2"/>
  <c r="CO31" i="2"/>
  <c r="CN31" i="2"/>
  <c r="CM31" i="2"/>
  <c r="CP30" i="2"/>
  <c r="CO30" i="2"/>
  <c r="CN30" i="2"/>
  <c r="CM30" i="2"/>
  <c r="CP28" i="2"/>
  <c r="CO28" i="2"/>
  <c r="CN28" i="2"/>
  <c r="CP27" i="2"/>
  <c r="CO27" i="2"/>
  <c r="CN27" i="2"/>
  <c r="CP26" i="2"/>
  <c r="CO26" i="2"/>
  <c r="CN26" i="2"/>
  <c r="CP25" i="2"/>
  <c r="CO25" i="2"/>
  <c r="CN25" i="2"/>
  <c r="CP24" i="2"/>
  <c r="CO24" i="2"/>
  <c r="CN24" i="2"/>
  <c r="CQ28" i="2"/>
  <c r="CQ27" i="2"/>
  <c r="CQ26" i="2"/>
  <c r="CQ25" i="2"/>
  <c r="CQ24" i="2"/>
  <c r="CQ33" i="2"/>
  <c r="CQ32" i="2"/>
  <c r="CQ31" i="2"/>
  <c r="CQ30" i="2"/>
  <c r="BC64" i="2"/>
  <c r="BD64" i="2"/>
  <c r="BE64" i="2"/>
  <c r="BB64" i="2"/>
  <c r="BG64" i="2"/>
  <c r="BG65" i="2" s="1"/>
  <c r="BH64" i="2"/>
  <c r="BI64" i="2"/>
  <c r="BI65" i="2" s="1"/>
  <c r="BF64" i="2"/>
  <c r="BF65" i="2" s="1"/>
  <c r="CN65" i="2" s="1"/>
  <c r="BK64" i="2"/>
  <c r="BK65" i="2" s="1"/>
  <c r="BL64" i="2"/>
  <c r="BL65" i="2" s="1"/>
  <c r="BM64" i="2"/>
  <c r="BM65" i="2"/>
  <c r="DA60" i="2"/>
  <c r="DA61" i="2"/>
  <c r="DA65" i="2"/>
  <c r="DA67" i="2"/>
  <c r="BJ64" i="2"/>
  <c r="BJ65" i="2" s="1"/>
  <c r="CO65" i="2" s="1"/>
  <c r="BQ78" i="2"/>
  <c r="BQ80" i="2" s="1"/>
  <c r="BP78" i="2"/>
  <c r="BP80" i="2" s="1"/>
  <c r="BO78" i="2"/>
  <c r="BO80" i="2" s="1"/>
  <c r="BN78" i="2"/>
  <c r="BM78" i="2"/>
  <c r="BM80" i="2" s="1"/>
  <c r="BL78" i="2"/>
  <c r="BL80" i="2" s="1"/>
  <c r="BK78" i="2"/>
  <c r="BK80" i="2" s="1"/>
  <c r="BJ78" i="2"/>
  <c r="BI78" i="2"/>
  <c r="BI80" i="2" s="1"/>
  <c r="BH78" i="2"/>
  <c r="BH80" i="2" s="1"/>
  <c r="BG78" i="2"/>
  <c r="BG80" i="2" s="1"/>
  <c r="BF78" i="2"/>
  <c r="BE78" i="2"/>
  <c r="BE80" i="2" s="1"/>
  <c r="BD78" i="2"/>
  <c r="BD80" i="2" s="1"/>
  <c r="BC78" i="2"/>
  <c r="BC80" i="2" s="1"/>
  <c r="BB78" i="2"/>
  <c r="BR78" i="2"/>
  <c r="BR80" i="2" s="1"/>
  <c r="CQ79" i="2"/>
  <c r="CP79" i="2"/>
  <c r="CO79" i="2"/>
  <c r="CN79" i="2"/>
  <c r="CM79" i="2"/>
  <c r="CQ78" i="2"/>
  <c r="CQ77" i="2"/>
  <c r="CP77" i="2"/>
  <c r="CO77" i="2"/>
  <c r="CN77" i="2"/>
  <c r="CM77" i="2"/>
  <c r="CQ76" i="2"/>
  <c r="CP76" i="2"/>
  <c r="CO76" i="2"/>
  <c r="CN76" i="2"/>
  <c r="CM76" i="2"/>
  <c r="CQ75" i="2"/>
  <c r="CP75" i="2"/>
  <c r="CO75" i="2"/>
  <c r="CN75" i="2"/>
  <c r="CM75" i="2"/>
  <c r="CQ74" i="2"/>
  <c r="CP74" i="2"/>
  <c r="CO74" i="2"/>
  <c r="CN74" i="2"/>
  <c r="CM74" i="2"/>
  <c r="CQ73" i="2"/>
  <c r="CP73" i="2"/>
  <c r="CO73" i="2"/>
  <c r="CN73" i="2"/>
  <c r="CM73" i="2"/>
  <c r="CQ72" i="2"/>
  <c r="CP72" i="2"/>
  <c r="CO72" i="2"/>
  <c r="CN72" i="2"/>
  <c r="CM72" i="2"/>
  <c r="CQ71" i="2"/>
  <c r="CP71" i="2"/>
  <c r="CO71" i="2"/>
  <c r="CN71" i="2"/>
  <c r="CM71" i="2"/>
  <c r="CQ70" i="2"/>
  <c r="CP70" i="2"/>
  <c r="CO70" i="2"/>
  <c r="CN70" i="2"/>
  <c r="CM70" i="2"/>
  <c r="CQ69" i="2"/>
  <c r="CP69" i="2"/>
  <c r="CO69" i="2"/>
  <c r="CN69" i="2"/>
  <c r="CM69" i="2"/>
  <c r="CQ68" i="2"/>
  <c r="CP68" i="2"/>
  <c r="CO68" i="2"/>
  <c r="CN68" i="2"/>
  <c r="CM68" i="2"/>
  <c r="CQ67" i="2"/>
  <c r="CP67" i="2"/>
  <c r="CO67" i="2"/>
  <c r="CN67" i="2"/>
  <c r="CM67" i="2"/>
  <c r="CQ64" i="2"/>
  <c r="CP64" i="2"/>
  <c r="CO64" i="2"/>
  <c r="CN64" i="2"/>
  <c r="CM64" i="2"/>
  <c r="CQ63" i="2"/>
  <c r="CP63" i="2"/>
  <c r="CO63" i="2"/>
  <c r="CN63" i="2"/>
  <c r="CM63" i="2"/>
  <c r="CQ62" i="2"/>
  <c r="CP62" i="2"/>
  <c r="CO62" i="2"/>
  <c r="CN62" i="2"/>
  <c r="CM62" i="2"/>
  <c r="BE65" i="2"/>
  <c r="BD65" i="2"/>
  <c r="BC65" i="2"/>
  <c r="BB65" i="2"/>
  <c r="CM65" i="2" s="1"/>
  <c r="CQ46" i="2"/>
  <c r="CQ94" i="2" s="1"/>
  <c r="CQ93" i="2"/>
  <c r="CP93" i="2"/>
  <c r="CO93" i="2"/>
  <c r="CN93" i="2"/>
  <c r="CM93" i="2"/>
  <c r="CL93" i="2"/>
  <c r="CK93" i="2"/>
  <c r="CJ93" i="2"/>
  <c r="CI93" i="2"/>
  <c r="CH93" i="2"/>
  <c r="CG93" i="2"/>
  <c r="CF93" i="2"/>
  <c r="CQ92" i="2"/>
  <c r="CP92" i="2"/>
  <c r="CO92" i="2"/>
  <c r="CN92" i="2"/>
  <c r="CM92" i="2"/>
  <c r="CL92" i="2"/>
  <c r="CK92" i="2"/>
  <c r="CJ92" i="2"/>
  <c r="CI92" i="2"/>
  <c r="CH92" i="2"/>
  <c r="CG92" i="2"/>
  <c r="CF92" i="2"/>
  <c r="CQ91" i="2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U347" i="3"/>
  <c r="U346" i="3"/>
  <c r="U345" i="3"/>
  <c r="U344" i="3"/>
  <c r="U343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248" i="3"/>
  <c r="U249" i="3"/>
  <c r="U250" i="3"/>
  <c r="U251" i="3"/>
  <c r="U247" i="3"/>
  <c r="S242" i="3"/>
  <c r="S240" i="3"/>
  <c r="S239" i="3"/>
  <c r="S238" i="3"/>
  <c r="S237" i="3"/>
  <c r="S236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BQ65" i="2"/>
  <c r="BP65" i="2"/>
  <c r="BO65" i="2"/>
  <c r="BN65" i="2"/>
  <c r="CP65" i="2" s="1"/>
  <c r="BH65" i="2"/>
  <c r="BR65" i="2"/>
  <c r="CQ65" i="2" s="1"/>
  <c r="CQ61" i="2"/>
  <c r="CQ60" i="2"/>
  <c r="CQ59" i="2"/>
  <c r="CQ58" i="2"/>
  <c r="CQ57" i="2"/>
  <c r="CQ56" i="2"/>
  <c r="CQ55" i="2"/>
  <c r="CQ44" i="2"/>
  <c r="CQ42" i="2"/>
  <c r="CQ41" i="2"/>
  <c r="CQ39" i="2"/>
  <c r="CQ38" i="2"/>
  <c r="CQ36" i="2"/>
  <c r="AT44" i="2"/>
  <c r="CK44" i="2" s="1"/>
  <c r="AT38" i="2"/>
  <c r="CK38" i="2" s="1"/>
  <c r="AT36" i="2"/>
  <c r="CK36" i="2" s="1"/>
  <c r="AT35" i="2"/>
  <c r="AR41" i="2"/>
  <c r="AQ41" i="2"/>
  <c r="AT41" i="2" s="1"/>
  <c r="CK41" i="2" s="1"/>
  <c r="H92" i="2"/>
  <c r="L92" i="2"/>
  <c r="I92" i="2"/>
  <c r="J92" i="2" s="1"/>
  <c r="M92" i="2"/>
  <c r="P92" i="2"/>
  <c r="P93" i="2" s="1"/>
  <c r="D92" i="2"/>
  <c r="T92" i="2"/>
  <c r="Q92" i="2"/>
  <c r="U92" i="2"/>
  <c r="C93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S93" i="2"/>
  <c r="O93" i="2"/>
  <c r="K93" i="2"/>
  <c r="G93" i="2"/>
  <c r="CP46" i="2"/>
  <c r="CP94" i="2" s="1"/>
  <c r="CO46" i="2"/>
  <c r="CO94" i="2" s="1"/>
  <c r="CN46" i="2"/>
  <c r="CN94" i="2" s="1"/>
  <c r="CM46" i="2"/>
  <c r="CM94" i="2" s="1"/>
  <c r="CL46" i="2"/>
  <c r="CL94" i="2" s="1"/>
  <c r="CK46" i="2"/>
  <c r="CK94" i="2" s="1"/>
  <c r="CJ46" i="2"/>
  <c r="CJ94" i="2" s="1"/>
  <c r="CI46" i="2"/>
  <c r="CI94" i="2" s="1"/>
  <c r="CH46" i="2"/>
  <c r="CH94" i="2" s="1"/>
  <c r="CG46" i="2"/>
  <c r="CG94" i="2" s="1"/>
  <c r="CF46" i="2"/>
  <c r="CF94" i="2" s="1"/>
  <c r="CE46" i="2"/>
  <c r="CE94" i="2" s="1"/>
  <c r="CD46" i="2"/>
  <c r="CD94" i="2" s="1"/>
  <c r="CC46" i="2"/>
  <c r="CC94" i="2" s="1"/>
  <c r="CB46" i="2"/>
  <c r="CB94" i="2" s="1"/>
  <c r="CA46" i="2"/>
  <c r="CA94" i="2" s="1"/>
  <c r="CP44" i="2"/>
  <c r="CO44" i="2"/>
  <c r="CN44" i="2"/>
  <c r="CM44" i="2"/>
  <c r="CL44" i="2"/>
  <c r="CJ44" i="2"/>
  <c r="CI44" i="2"/>
  <c r="CH44" i="2"/>
  <c r="CG44" i="2"/>
  <c r="CF44" i="2"/>
  <c r="CE44" i="2"/>
  <c r="CD44" i="2"/>
  <c r="CC44" i="2"/>
  <c r="CB44" i="2"/>
  <c r="CA44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CP41" i="2"/>
  <c r="CO41" i="2"/>
  <c r="CN41" i="2"/>
  <c r="CM41" i="2"/>
  <c r="CL41" i="2"/>
  <c r="CJ41" i="2"/>
  <c r="CI41" i="2"/>
  <c r="CH41" i="2"/>
  <c r="CG41" i="2"/>
  <c r="CF41" i="2"/>
  <c r="CE41" i="2"/>
  <c r="CD41" i="2"/>
  <c r="CC41" i="2"/>
  <c r="CB41" i="2"/>
  <c r="CA41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CP38" i="2"/>
  <c r="CO38" i="2"/>
  <c r="CN38" i="2"/>
  <c r="CM38" i="2"/>
  <c r="CL38" i="2"/>
  <c r="CJ38" i="2"/>
  <c r="CI38" i="2"/>
  <c r="CH38" i="2"/>
  <c r="CG38" i="2"/>
  <c r="CF38" i="2"/>
  <c r="CE38" i="2"/>
  <c r="CD38" i="2"/>
  <c r="CC38" i="2"/>
  <c r="CB38" i="2"/>
  <c r="CA38" i="2"/>
  <c r="CP60" i="2"/>
  <c r="CO60" i="2"/>
  <c r="CN60" i="2"/>
  <c r="CM60" i="2"/>
  <c r="CP59" i="2"/>
  <c r="CO59" i="2"/>
  <c r="CN59" i="2"/>
  <c r="CM59" i="2"/>
  <c r="CP58" i="2"/>
  <c r="CO58" i="2"/>
  <c r="CN58" i="2"/>
  <c r="CM58" i="2"/>
  <c r="CP57" i="2"/>
  <c r="CO57" i="2"/>
  <c r="CN57" i="2"/>
  <c r="CM57" i="2"/>
  <c r="CP56" i="2"/>
  <c r="CO56" i="2"/>
  <c r="CN56" i="2"/>
  <c r="CM56" i="2"/>
  <c r="CP55" i="2"/>
  <c r="CO55" i="2"/>
  <c r="CN55" i="2"/>
  <c r="CM55" i="2"/>
  <c r="CM36" i="2"/>
  <c r="AX50" i="2"/>
  <c r="AW50" i="2"/>
  <c r="AV50" i="2"/>
  <c r="AU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AX49" i="2"/>
  <c r="AW49" i="2"/>
  <c r="AV49" i="2"/>
  <c r="AU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AS37" i="2"/>
  <c r="AR37" i="2"/>
  <c r="AQ37" i="2"/>
  <c r="AP37" i="2"/>
  <c r="AO37" i="2"/>
  <c r="AN37" i="2"/>
  <c r="AM37" i="2"/>
  <c r="AL37" i="2"/>
  <c r="AK37" i="2"/>
  <c r="AJ37" i="2"/>
  <c r="AI37" i="2"/>
  <c r="CI37" i="2" s="1"/>
  <c r="AH37" i="2"/>
  <c r="AG37" i="2"/>
  <c r="AF37" i="2"/>
  <c r="AE37" i="2"/>
  <c r="CH37" i="2" s="1"/>
  <c r="AD37" i="2"/>
  <c r="AC37" i="2"/>
  <c r="AB37" i="2"/>
  <c r="AA37" i="2"/>
  <c r="CG37" i="2" s="1"/>
  <c r="Z37" i="2"/>
  <c r="Y37" i="2"/>
  <c r="X37" i="2"/>
  <c r="W37" i="2"/>
  <c r="CF37" i="2" s="1"/>
  <c r="V37" i="2"/>
  <c r="U37" i="2"/>
  <c r="T37" i="2"/>
  <c r="S37" i="2"/>
  <c r="CE37" i="2" s="1"/>
  <c r="R37" i="2"/>
  <c r="Q37" i="2"/>
  <c r="P37" i="2"/>
  <c r="O37" i="2"/>
  <c r="CD37" i="2" s="1"/>
  <c r="N37" i="2"/>
  <c r="M37" i="2"/>
  <c r="L37" i="2"/>
  <c r="K37" i="2"/>
  <c r="CC37" i="2" s="1"/>
  <c r="J37" i="2"/>
  <c r="I37" i="2"/>
  <c r="H37" i="2"/>
  <c r="G37" i="2"/>
  <c r="F37" i="2"/>
  <c r="E37" i="2"/>
  <c r="D37" i="2"/>
  <c r="C37" i="2"/>
  <c r="CA37" i="2" s="1"/>
  <c r="BB21" i="2"/>
  <c r="BB20" i="2"/>
  <c r="BB19" i="2"/>
  <c r="BB18" i="2"/>
  <c r="BB6" i="2"/>
  <c r="BB5" i="2"/>
  <c r="BB4" i="2"/>
  <c r="BF21" i="2"/>
  <c r="CN21" i="2" s="1"/>
  <c r="BF20" i="2"/>
  <c r="BF19" i="2"/>
  <c r="CN19" i="2" s="1"/>
  <c r="BF18" i="2"/>
  <c r="CN18" i="2" s="1"/>
  <c r="BF6" i="2"/>
  <c r="BF5" i="2"/>
  <c r="CN5" i="2" s="1"/>
  <c r="BF4" i="2"/>
  <c r="BJ21" i="2"/>
  <c r="BJ20" i="2"/>
  <c r="BJ19" i="2"/>
  <c r="CO19" i="2" s="1"/>
  <c r="BJ18" i="2"/>
  <c r="BN21" i="2"/>
  <c r="BN20" i="2"/>
  <c r="BN19" i="2"/>
  <c r="BN18" i="2"/>
  <c r="BJ6" i="2"/>
  <c r="BJ5" i="2"/>
  <c r="BJ4" i="2"/>
  <c r="BN6" i="2"/>
  <c r="CP6" i="2" s="1"/>
  <c r="BN5" i="2"/>
  <c r="BN4" i="2"/>
  <c r="CP4" i="2" s="1"/>
  <c r="BR21" i="2"/>
  <c r="CQ21" i="2" s="1"/>
  <c r="BR20" i="2"/>
  <c r="CQ20" i="2" s="1"/>
  <c r="BR19" i="2"/>
  <c r="CQ19" i="2" s="1"/>
  <c r="BR18" i="2"/>
  <c r="CQ18" i="2" s="1"/>
  <c r="BR6" i="2"/>
  <c r="CQ6" i="2" s="1"/>
  <c r="BR5" i="2"/>
  <c r="CQ5" i="2" s="1"/>
  <c r="BR4" i="2"/>
  <c r="CQ4" i="2" s="1"/>
  <c r="BQ27" i="2"/>
  <c r="BP27" i="2"/>
  <c r="BO27" i="2"/>
  <c r="BM27" i="2"/>
  <c r="BL27" i="2"/>
  <c r="BK27" i="2"/>
  <c r="BI27" i="2"/>
  <c r="BH27" i="2"/>
  <c r="BG27" i="2"/>
  <c r="BE27" i="2"/>
  <c r="BD27" i="2"/>
  <c r="BC27" i="2"/>
  <c r="BQ26" i="2"/>
  <c r="BP26" i="2"/>
  <c r="BO26" i="2"/>
  <c r="BM26" i="2"/>
  <c r="BL26" i="2"/>
  <c r="BK26" i="2"/>
  <c r="BI26" i="2"/>
  <c r="BH26" i="2"/>
  <c r="BG26" i="2"/>
  <c r="BE26" i="2"/>
  <c r="BD26" i="2"/>
  <c r="BC26" i="2"/>
  <c r="BQ25" i="2"/>
  <c r="BP25" i="2"/>
  <c r="BO25" i="2"/>
  <c r="BM25" i="2"/>
  <c r="BL25" i="2"/>
  <c r="BK25" i="2"/>
  <c r="BI25" i="2"/>
  <c r="BH25" i="2"/>
  <c r="BG25" i="2"/>
  <c r="BE25" i="2"/>
  <c r="BD25" i="2"/>
  <c r="BC25" i="2"/>
  <c r="BQ24" i="2"/>
  <c r="BP24" i="2"/>
  <c r="BO24" i="2"/>
  <c r="BM24" i="2"/>
  <c r="BL24" i="2"/>
  <c r="BK24" i="2"/>
  <c r="BI24" i="2"/>
  <c r="BH24" i="2"/>
  <c r="BG24" i="2"/>
  <c r="BE24" i="2"/>
  <c r="BD24" i="2"/>
  <c r="BC24" i="2"/>
  <c r="BQ22" i="2"/>
  <c r="BP22" i="2"/>
  <c r="BO22" i="2"/>
  <c r="BM22" i="2"/>
  <c r="BL22" i="2"/>
  <c r="BK22" i="2"/>
  <c r="BI22" i="2"/>
  <c r="BH22" i="2"/>
  <c r="BG22" i="2"/>
  <c r="BE22" i="2"/>
  <c r="BD22" i="2"/>
  <c r="BC22" i="2"/>
  <c r="BA22" i="2"/>
  <c r="AZ22" i="2"/>
  <c r="AY22" i="2"/>
  <c r="BQ11" i="2"/>
  <c r="BP11" i="2"/>
  <c r="BO11" i="2"/>
  <c r="BM11" i="2"/>
  <c r="BL11" i="2"/>
  <c r="BK11" i="2"/>
  <c r="BI11" i="2"/>
  <c r="BH11" i="2"/>
  <c r="BG11" i="2"/>
  <c r="BE11" i="2"/>
  <c r="BD11" i="2"/>
  <c r="BC11" i="2"/>
  <c r="BQ10" i="2"/>
  <c r="BP10" i="2"/>
  <c r="BO10" i="2"/>
  <c r="BM10" i="2"/>
  <c r="BL10" i="2"/>
  <c r="BK10" i="2"/>
  <c r="BI10" i="2"/>
  <c r="BH10" i="2"/>
  <c r="BG10" i="2"/>
  <c r="BE10" i="2"/>
  <c r="BD10" i="2"/>
  <c r="BC10" i="2"/>
  <c r="BQ9" i="2"/>
  <c r="BP9" i="2"/>
  <c r="BO9" i="2"/>
  <c r="BM9" i="2"/>
  <c r="BL9" i="2"/>
  <c r="BK9" i="2"/>
  <c r="BI9" i="2"/>
  <c r="BH9" i="2"/>
  <c r="BG9" i="2"/>
  <c r="BE9" i="2"/>
  <c r="BD9" i="2"/>
  <c r="BC9" i="2"/>
  <c r="BQ7" i="2"/>
  <c r="BP7" i="2"/>
  <c r="BO7" i="2"/>
  <c r="BM7" i="2"/>
  <c r="BL7" i="2"/>
  <c r="BK7" i="2"/>
  <c r="BI7" i="2"/>
  <c r="BH7" i="2"/>
  <c r="BG7" i="2"/>
  <c r="BG14" i="2" s="1"/>
  <c r="BE7" i="2"/>
  <c r="BD7" i="2"/>
  <c r="BC7" i="2"/>
  <c r="BA7" i="2"/>
  <c r="AZ7" i="2"/>
  <c r="AY7" i="2"/>
  <c r="C7" i="1"/>
  <c r="CP36" i="2"/>
  <c r="CL36" i="2"/>
  <c r="CJ36" i="2"/>
  <c r="CI36" i="2"/>
  <c r="CH36" i="2"/>
  <c r="CG36" i="2"/>
  <c r="CF36" i="2"/>
  <c r="CE36" i="2"/>
  <c r="CD36" i="2"/>
  <c r="CC36" i="2"/>
  <c r="CB36" i="2"/>
  <c r="CA36" i="2"/>
  <c r="G223" i="3"/>
  <c r="CM61" i="2"/>
  <c r="CN61" i="2"/>
  <c r="CO61" i="2"/>
  <c r="CP61" i="2"/>
  <c r="CJ35" i="2"/>
  <c r="CI35" i="2"/>
  <c r="CH35" i="2"/>
  <c r="CG35" i="2"/>
  <c r="CF35" i="2"/>
  <c r="CE35" i="2"/>
  <c r="CD35" i="2"/>
  <c r="CC35" i="2"/>
  <c r="CB35" i="2"/>
  <c r="CA35" i="2"/>
  <c r="CB3" i="2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O223" i="3"/>
  <c r="C5" i="1"/>
  <c r="CV59" i="2" l="1"/>
  <c r="BB80" i="2"/>
  <c r="CM80" i="2" s="1"/>
  <c r="CM78" i="2"/>
  <c r="BF80" i="2"/>
  <c r="CN80" i="2" s="1"/>
  <c r="CN78" i="2"/>
  <c r="BJ80" i="2"/>
  <c r="CO80" i="2" s="1"/>
  <c r="CO78" i="2"/>
  <c r="CU59" i="2"/>
  <c r="CX59" i="2" s="1"/>
  <c r="DA62" i="2"/>
  <c r="CJ37" i="2"/>
  <c r="H93" i="2"/>
  <c r="H95" i="2" s="1"/>
  <c r="CB92" i="2"/>
  <c r="T93" i="2"/>
  <c r="T95" i="2" s="1"/>
  <c r="V92" i="2"/>
  <c r="U93" i="2"/>
  <c r="U95" i="2" s="1"/>
  <c r="BR95" i="2"/>
  <c r="BQ95" i="2"/>
  <c r="BP95" i="2"/>
  <c r="BO95" i="2"/>
  <c r="CQ95" i="2" s="1"/>
  <c r="BN95" i="2"/>
  <c r="BM95" i="2"/>
  <c r="BL95" i="2"/>
  <c r="BK95" i="2"/>
  <c r="CP95" i="2" s="1"/>
  <c r="BJ95" i="2"/>
  <c r="BI95" i="2"/>
  <c r="BH95" i="2"/>
  <c r="BG95" i="2"/>
  <c r="CO95" i="2" s="1"/>
  <c r="BF95" i="2"/>
  <c r="BE95" i="2"/>
  <c r="BD95" i="2"/>
  <c r="BC95" i="2"/>
  <c r="CN95" i="2" s="1"/>
  <c r="BB95" i="2"/>
  <c r="BA95" i="2"/>
  <c r="AZ95" i="2"/>
  <c r="AY95" i="2"/>
  <c r="CM95" i="2" s="1"/>
  <c r="AX95" i="2"/>
  <c r="AW95" i="2"/>
  <c r="AV95" i="2"/>
  <c r="AU95" i="2"/>
  <c r="CL95" i="2" s="1"/>
  <c r="AT95" i="2"/>
  <c r="AR95" i="2"/>
  <c r="AQ95" i="2"/>
  <c r="AP95" i="2"/>
  <c r="BN80" i="2"/>
  <c r="CP80" i="2" s="1"/>
  <c r="CP78" i="2"/>
  <c r="CQ80" i="2"/>
  <c r="CI49" i="2"/>
  <c r="CH49" i="2"/>
  <c r="CF49" i="2"/>
  <c r="CD49" i="2"/>
  <c r="CB49" i="2"/>
  <c r="CJ49" i="2"/>
  <c r="CG49" i="2"/>
  <c r="CE49" i="2"/>
  <c r="CC49" i="2"/>
  <c r="CA49" i="2"/>
  <c r="CJ50" i="2"/>
  <c r="CI50" i="2"/>
  <c r="CH50" i="2"/>
  <c r="CG50" i="2"/>
  <c r="CF50" i="2"/>
  <c r="CE50" i="2"/>
  <c r="CD50" i="2"/>
  <c r="CC50" i="2"/>
  <c r="CB50" i="2"/>
  <c r="CA50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CG95" i="2" s="1"/>
  <c r="Z95" i="2"/>
  <c r="Y95" i="2"/>
  <c r="X95" i="2"/>
  <c r="W95" i="2"/>
  <c r="CF95" i="2" s="1"/>
  <c r="S95" i="2"/>
  <c r="O95" i="2"/>
  <c r="K95" i="2"/>
  <c r="G95" i="2"/>
  <c r="CB37" i="2"/>
  <c r="CQ11" i="2"/>
  <c r="CQ9" i="2"/>
  <c r="CR4" i="2"/>
  <c r="CS4" i="2" s="1"/>
  <c r="CT4" i="2" s="1"/>
  <c r="CU4" i="2" s="1"/>
  <c r="CV4" i="2" s="1"/>
  <c r="CW4" i="2" s="1"/>
  <c r="CX4" i="2" s="1"/>
  <c r="CY4" i="2" s="1"/>
  <c r="CZ4" i="2" s="1"/>
  <c r="C95" i="2"/>
  <c r="P95" i="2"/>
  <c r="S241" i="3"/>
  <c r="AT50" i="2"/>
  <c r="AT49" i="2"/>
  <c r="AT37" i="2"/>
  <c r="CK37" i="2" s="1"/>
  <c r="CK35" i="2"/>
  <c r="AS95" i="2"/>
  <c r="E92" i="2"/>
  <c r="D93" i="2"/>
  <c r="J93" i="2"/>
  <c r="J95" i="2" s="1"/>
  <c r="I93" i="2"/>
  <c r="L93" i="2"/>
  <c r="M93" i="2"/>
  <c r="M95" i="2" s="1"/>
  <c r="N92" i="2"/>
  <c r="R92" i="2"/>
  <c r="Q93" i="2"/>
  <c r="D95" i="2"/>
  <c r="CN36" i="2"/>
  <c r="CO36" i="2"/>
  <c r="AY31" i="2"/>
  <c r="AY30" i="2"/>
  <c r="AZ31" i="2"/>
  <c r="AZ30" i="2"/>
  <c r="BE28" i="2"/>
  <c r="BA30" i="2"/>
  <c r="BA31" i="2"/>
  <c r="BC31" i="2"/>
  <c r="BC30" i="2"/>
  <c r="BC28" i="2"/>
  <c r="BF11" i="2"/>
  <c r="CN6" i="2"/>
  <c r="BD31" i="2"/>
  <c r="BD30" i="2"/>
  <c r="BD28" i="2"/>
  <c r="BE31" i="2"/>
  <c r="BE30" i="2"/>
  <c r="BF7" i="2"/>
  <c r="BF10" i="2"/>
  <c r="BF9" i="2"/>
  <c r="CN4" i="2"/>
  <c r="BH30" i="2"/>
  <c r="BH31" i="2"/>
  <c r="BH28" i="2"/>
  <c r="CO5" i="2"/>
  <c r="BJ10" i="2"/>
  <c r="CO20" i="2"/>
  <c r="BJ26" i="2"/>
  <c r="BJ25" i="2"/>
  <c r="BI33" i="2"/>
  <c r="BI32" i="2"/>
  <c r="BI31" i="2"/>
  <c r="BI30" i="2"/>
  <c r="BI28" i="2"/>
  <c r="BH33" i="2"/>
  <c r="BH32" i="2"/>
  <c r="BE32" i="2"/>
  <c r="BE33" i="2"/>
  <c r="BD33" i="2"/>
  <c r="BD32" i="2"/>
  <c r="BC33" i="2"/>
  <c r="BC32" i="2"/>
  <c r="BA33" i="2"/>
  <c r="BA32" i="2"/>
  <c r="AZ32" i="2"/>
  <c r="AZ33" i="2"/>
  <c r="AY33" i="2"/>
  <c r="AY32" i="2"/>
  <c r="BJ11" i="2"/>
  <c r="CN20" i="2"/>
  <c r="BF22" i="2"/>
  <c r="CN22" i="2" s="1"/>
  <c r="BH35" i="2"/>
  <c r="BH16" i="2"/>
  <c r="BH15" i="2"/>
  <c r="BH14" i="2"/>
  <c r="BH12" i="2"/>
  <c r="BE35" i="2"/>
  <c r="BE16" i="2"/>
  <c r="BE14" i="2"/>
  <c r="BE15" i="2"/>
  <c r="BE12" i="2"/>
  <c r="BD35" i="2"/>
  <c r="BD16" i="2"/>
  <c r="BD14" i="2"/>
  <c r="BD15" i="2"/>
  <c r="BD12" i="2"/>
  <c r="BC16" i="2"/>
  <c r="BC14" i="2"/>
  <c r="BC15" i="2"/>
  <c r="BC12" i="2"/>
  <c r="BA35" i="2"/>
  <c r="BA16" i="2"/>
  <c r="BA14" i="2"/>
  <c r="BA15" i="2"/>
  <c r="AZ35" i="2"/>
  <c r="AZ15" i="2"/>
  <c r="AZ14" i="2"/>
  <c r="AZ16" i="2"/>
  <c r="AY14" i="2"/>
  <c r="AY15" i="2"/>
  <c r="AY16" i="2"/>
  <c r="AW37" i="2"/>
  <c r="AV37" i="2"/>
  <c r="BN25" i="2"/>
  <c r="BG33" i="2"/>
  <c r="BG32" i="2"/>
  <c r="BG31" i="2"/>
  <c r="BG30" i="2"/>
  <c r="BG28" i="2"/>
  <c r="BG15" i="2"/>
  <c r="BG12" i="2"/>
  <c r="BG16" i="2"/>
  <c r="BI35" i="2"/>
  <c r="BI15" i="2"/>
  <c r="BI14" i="2"/>
  <c r="BI16" i="2"/>
  <c r="BI12" i="2"/>
  <c r="BK33" i="2"/>
  <c r="BK31" i="2"/>
  <c r="BK30" i="2"/>
  <c r="BK32" i="2"/>
  <c r="BK28" i="2"/>
  <c r="BO33" i="2"/>
  <c r="BO32" i="2"/>
  <c r="BO31" i="2"/>
  <c r="BO30" i="2"/>
  <c r="BO28" i="2"/>
  <c r="BK16" i="2"/>
  <c r="BK15" i="2"/>
  <c r="BK14" i="2"/>
  <c r="BK12" i="2"/>
  <c r="BO35" i="2"/>
  <c r="BO16" i="2"/>
  <c r="BO15" i="2"/>
  <c r="BO14" i="2"/>
  <c r="BO12" i="2"/>
  <c r="BL33" i="2"/>
  <c r="BL31" i="2"/>
  <c r="BL30" i="2"/>
  <c r="BL32" i="2"/>
  <c r="BL28" i="2"/>
  <c r="BP33" i="2"/>
  <c r="BP32" i="2"/>
  <c r="BP31" i="2"/>
  <c r="BP28" i="2"/>
  <c r="BP30" i="2"/>
  <c r="BL35" i="2"/>
  <c r="BL15" i="2"/>
  <c r="BL14" i="2"/>
  <c r="BL16" i="2"/>
  <c r="BL12" i="2"/>
  <c r="BP16" i="2"/>
  <c r="BP15" i="2"/>
  <c r="BP12" i="2"/>
  <c r="BP35" i="2"/>
  <c r="BP14" i="2"/>
  <c r="BM33" i="2"/>
  <c r="BM32" i="2"/>
  <c r="BM31" i="2"/>
  <c r="BM30" i="2"/>
  <c r="BM28" i="2"/>
  <c r="BM35" i="2"/>
  <c r="BM12" i="2"/>
  <c r="BM14" i="2"/>
  <c r="BM16" i="2"/>
  <c r="BM15" i="2"/>
  <c r="BQ33" i="2"/>
  <c r="BQ32" i="2"/>
  <c r="BQ30" i="2"/>
  <c r="BQ28" i="2"/>
  <c r="BQ31" i="2"/>
  <c r="BR7" i="2"/>
  <c r="BQ12" i="2"/>
  <c r="BQ14" i="2"/>
  <c r="BQ15" i="2"/>
  <c r="BQ16" i="2"/>
  <c r="BQ35" i="2"/>
  <c r="BJ27" i="2"/>
  <c r="CO21" i="2"/>
  <c r="BJ24" i="2"/>
  <c r="BJ22" i="2"/>
  <c r="CO18" i="2"/>
  <c r="BN27" i="2"/>
  <c r="CP21" i="2"/>
  <c r="BR26" i="2"/>
  <c r="CP20" i="2"/>
  <c r="BN26" i="2"/>
  <c r="CP19" i="2"/>
  <c r="BR25" i="2"/>
  <c r="BR24" i="2"/>
  <c r="BN24" i="2"/>
  <c r="BN22" i="2"/>
  <c r="CP22" i="2" s="1"/>
  <c r="CP18" i="2"/>
  <c r="BN11" i="2"/>
  <c r="BJ9" i="2"/>
  <c r="BJ7" i="2"/>
  <c r="CO4" i="2"/>
  <c r="BR11" i="2"/>
  <c r="BR10" i="2"/>
  <c r="BN10" i="2"/>
  <c r="CP5" i="2"/>
  <c r="CQ10" i="2" s="1"/>
  <c r="BR9" i="2"/>
  <c r="BN9" i="2"/>
  <c r="BN7" i="2"/>
  <c r="BF27" i="2"/>
  <c r="CM21" i="2"/>
  <c r="BF26" i="2"/>
  <c r="CM20" i="2"/>
  <c r="BF25" i="2"/>
  <c r="CM19" i="2"/>
  <c r="BF24" i="2"/>
  <c r="BB22" i="2"/>
  <c r="CM22" i="2" s="1"/>
  <c r="CM18" i="2"/>
  <c r="BR27" i="2"/>
  <c r="BR22" i="2"/>
  <c r="CQ22" i="2" s="1"/>
  <c r="CM6" i="2"/>
  <c r="CM5" i="2"/>
  <c r="BB7" i="2"/>
  <c r="CM4" i="2"/>
  <c r="CO6" i="2"/>
  <c r="BK35" i="2"/>
  <c r="BG35" i="2"/>
  <c r="BC35" i="2"/>
  <c r="AY35" i="2"/>
  <c r="C8" i="1"/>
  <c r="CR6" i="2"/>
  <c r="CS6" i="2" s="1"/>
  <c r="CT6" i="2" s="1"/>
  <c r="CU6" i="2" s="1"/>
  <c r="CV6" i="2" s="1"/>
  <c r="CW6" i="2" s="1"/>
  <c r="CX6" i="2" s="1"/>
  <c r="CY6" i="2" s="1"/>
  <c r="CZ6" i="2" s="1"/>
  <c r="CJ95" i="2" l="1"/>
  <c r="CH95" i="2"/>
  <c r="CI95" i="2"/>
  <c r="V93" i="2"/>
  <c r="CE92" i="2"/>
  <c r="CK95" i="2"/>
  <c r="F92" i="2"/>
  <c r="I95" i="2"/>
  <c r="CB95" i="2" s="1"/>
  <c r="CB93" i="2"/>
  <c r="L95" i="2"/>
  <c r="N93" i="2"/>
  <c r="CC92" i="2"/>
  <c r="R93" i="2"/>
  <c r="R95" i="2" s="1"/>
  <c r="CD92" i="2"/>
  <c r="Q95" i="2"/>
  <c r="CD93" i="2"/>
  <c r="X258" i="3"/>
  <c r="CK50" i="2"/>
  <c r="CK49" i="2"/>
  <c r="BJ31" i="2"/>
  <c r="CO22" i="2"/>
  <c r="E93" i="2"/>
  <c r="CN11" i="2"/>
  <c r="CN9" i="2"/>
  <c r="CO10" i="2"/>
  <c r="CO9" i="2"/>
  <c r="CN10" i="2"/>
  <c r="CO11" i="2"/>
  <c r="BH37" i="2"/>
  <c r="BH49" i="2"/>
  <c r="BH50" i="2"/>
  <c r="BE37" i="2"/>
  <c r="BE49" i="2"/>
  <c r="BE50" i="2"/>
  <c r="BD37" i="2"/>
  <c r="BD50" i="2"/>
  <c r="BD49" i="2"/>
  <c r="BA37" i="2"/>
  <c r="BA49" i="2"/>
  <c r="BA50" i="2"/>
  <c r="AZ37" i="2"/>
  <c r="AZ50" i="2"/>
  <c r="AZ49" i="2"/>
  <c r="BI37" i="2"/>
  <c r="BI50" i="2"/>
  <c r="BI49" i="2"/>
  <c r="BO37" i="2"/>
  <c r="BO50" i="2"/>
  <c r="BO49" i="2"/>
  <c r="BL37" i="2"/>
  <c r="BL50" i="2"/>
  <c r="BL49" i="2"/>
  <c r="BP37" i="2"/>
  <c r="BP49" i="2"/>
  <c r="BP50" i="2"/>
  <c r="BM37" i="2"/>
  <c r="BM49" i="2"/>
  <c r="BM50" i="2"/>
  <c r="BQ37" i="2"/>
  <c r="BQ49" i="2"/>
  <c r="BQ50" i="2"/>
  <c r="BK50" i="2"/>
  <c r="BK49" i="2"/>
  <c r="BG50" i="2"/>
  <c r="BG49" i="2"/>
  <c r="BC49" i="2"/>
  <c r="BC50" i="2"/>
  <c r="AY49" i="2"/>
  <c r="AY50" i="2"/>
  <c r="BF15" i="2"/>
  <c r="BF16" i="2"/>
  <c r="BF14" i="2"/>
  <c r="BF35" i="2"/>
  <c r="CN7" i="2"/>
  <c r="BF12" i="2"/>
  <c r="BJ35" i="2"/>
  <c r="BJ15" i="2"/>
  <c r="BF31" i="2"/>
  <c r="BF32" i="2"/>
  <c r="BF33" i="2"/>
  <c r="BF30" i="2"/>
  <c r="BJ30" i="2"/>
  <c r="BJ32" i="2"/>
  <c r="CP9" i="2"/>
  <c r="BR14" i="2"/>
  <c r="BR15" i="2"/>
  <c r="BR35" i="2"/>
  <c r="CQ35" i="2" s="1"/>
  <c r="BR16" i="2"/>
  <c r="BN31" i="2"/>
  <c r="BN33" i="2"/>
  <c r="BN30" i="2"/>
  <c r="BN32" i="2"/>
  <c r="BR28" i="2"/>
  <c r="BR30" i="2"/>
  <c r="BR31" i="2"/>
  <c r="BR32" i="2"/>
  <c r="BR33" i="2"/>
  <c r="BJ28" i="2"/>
  <c r="BJ33" i="2"/>
  <c r="BN28" i="2"/>
  <c r="BJ12" i="2"/>
  <c r="BJ16" i="2"/>
  <c r="BJ14" i="2"/>
  <c r="CO7" i="2"/>
  <c r="CP10" i="2"/>
  <c r="BN35" i="2"/>
  <c r="BN16" i="2"/>
  <c r="BN14" i="2"/>
  <c r="BN15" i="2"/>
  <c r="CP7" i="2"/>
  <c r="BR12" i="2"/>
  <c r="BN12" i="2"/>
  <c r="BB33" i="2"/>
  <c r="BB32" i="2"/>
  <c r="BB31" i="2"/>
  <c r="BB30" i="2"/>
  <c r="BF28" i="2"/>
  <c r="BB35" i="2"/>
  <c r="BB16" i="2"/>
  <c r="BB14" i="2"/>
  <c r="CM7" i="2"/>
  <c r="CM15" i="2" s="1"/>
  <c r="BB15" i="2"/>
  <c r="CP11" i="2"/>
  <c r="BG37" i="2"/>
  <c r="BK37" i="2"/>
  <c r="BC37" i="2"/>
  <c r="AY37" i="2"/>
  <c r="AU37" i="2"/>
  <c r="X248" i="3"/>
  <c r="X247" i="3"/>
  <c r="X250" i="3"/>
  <c r="X257" i="3"/>
  <c r="X249" i="3"/>
  <c r="X260" i="3"/>
  <c r="X256" i="3"/>
  <c r="X252" i="3"/>
  <c r="X255" i="3"/>
  <c r="X259" i="3"/>
  <c r="X254" i="3"/>
  <c r="X251" i="3"/>
  <c r="X253" i="3"/>
  <c r="CD95" i="2" l="1"/>
  <c r="V95" i="2"/>
  <c r="CE95" i="2" s="1"/>
  <c r="CE93" i="2"/>
  <c r="CA92" i="2"/>
  <c r="F93" i="2"/>
  <c r="F95" i="2" s="1"/>
  <c r="N95" i="2"/>
  <c r="CC95" i="2" s="1"/>
  <c r="CC93" i="2"/>
  <c r="E95" i="2"/>
  <c r="CA95" i="2" s="1"/>
  <c r="CA93" i="2"/>
  <c r="CQ50" i="2"/>
  <c r="DA64" i="2" s="1"/>
  <c r="DA66" i="2" s="1"/>
  <c r="DA68" i="2" s="1"/>
  <c r="CQ49" i="2"/>
  <c r="CN16" i="2"/>
  <c r="CN14" i="2"/>
  <c r="CN15" i="2"/>
  <c r="CN12" i="2"/>
  <c r="CO15" i="2"/>
  <c r="CO14" i="2"/>
  <c r="CO16" i="2"/>
  <c r="CO12" i="2"/>
  <c r="CP14" i="2"/>
  <c r="CP16" i="2"/>
  <c r="CP15" i="2"/>
  <c r="CM16" i="2"/>
  <c r="CM14" i="2"/>
  <c r="BF50" i="2"/>
  <c r="BF49" i="2"/>
  <c r="BJ50" i="2"/>
  <c r="BJ49" i="2"/>
  <c r="BN50" i="2"/>
  <c r="BN49" i="2"/>
  <c r="BB50" i="2"/>
  <c r="BB49" i="2"/>
  <c r="BR37" i="2"/>
  <c r="CQ37" i="2" s="1"/>
  <c r="BR50" i="2"/>
  <c r="BR49" i="2"/>
  <c r="CR5" i="2"/>
  <c r="CQ7" i="2"/>
  <c r="AX37" i="2"/>
  <c r="CL37" i="2" s="1"/>
  <c r="CL35" i="2"/>
  <c r="BF37" i="2"/>
  <c r="CN37" i="2" s="1"/>
  <c r="CN35" i="2"/>
  <c r="BB37" i="2"/>
  <c r="CM37" i="2" s="1"/>
  <c r="CM35" i="2"/>
  <c r="BJ37" i="2"/>
  <c r="CO37" i="2" s="1"/>
  <c r="CO35" i="2"/>
  <c r="BN37" i="2"/>
  <c r="CP37" i="2" s="1"/>
  <c r="CP35" i="2"/>
  <c r="CP12" i="2"/>
  <c r="DB68" i="2" l="1"/>
  <c r="CZ69" i="2" a="1"/>
  <c r="CZ69" i="2" s="1"/>
  <c r="CQ12" i="2"/>
  <c r="CQ16" i="2"/>
  <c r="CQ15" i="2"/>
  <c r="CQ14" i="2"/>
  <c r="CL49" i="2"/>
  <c r="CL50" i="2"/>
  <c r="CN50" i="2"/>
  <c r="CN49" i="2"/>
  <c r="CM50" i="2"/>
  <c r="CM49" i="2"/>
  <c r="CO50" i="2"/>
  <c r="CO49" i="2"/>
  <c r="CP49" i="2"/>
  <c r="CP50" i="2"/>
  <c r="CR7" i="2"/>
  <c r="CR12" i="2" s="1"/>
  <c r="CS5" i="2"/>
  <c r="CS7" i="2" l="1"/>
  <c r="CS12" i="2" s="1"/>
  <c r="CT5" i="2"/>
  <c r="CT7" i="2" l="1"/>
  <c r="CT12" i="2" s="1"/>
  <c r="CU5" i="2"/>
  <c r="CU7" i="2" l="1"/>
  <c r="CV5" i="2"/>
  <c r="CV7" i="2" l="1"/>
  <c r="CV12" i="2" s="1"/>
  <c r="CW5" i="2"/>
  <c r="CU12" i="2"/>
  <c r="CW7" i="2" l="1"/>
  <c r="CW12" i="2" s="1"/>
  <c r="CX5" i="2"/>
  <c r="CX7" i="2" l="1"/>
  <c r="CX12" i="2" s="1"/>
  <c r="CY5" i="2"/>
  <c r="CZ5" i="2" l="1"/>
  <c r="CZ7" i="2" s="1"/>
  <c r="CY7" i="2"/>
  <c r="CY12" i="2" s="1"/>
  <c r="CZ12" i="2" l="1"/>
  <c r="Z40" i="2" l="1"/>
  <c r="AQ40" i="2"/>
  <c r="AN40" i="2"/>
  <c r="T40" i="2"/>
  <c r="Q40" i="2"/>
  <c r="L40" i="2"/>
  <c r="I40" i="2"/>
  <c r="E40" i="2"/>
  <c r="AK40" i="2"/>
  <c r="AG40" i="2"/>
  <c r="Y40" i="2"/>
  <c r="R40" i="2"/>
  <c r="N40" i="2"/>
  <c r="F40" i="2"/>
  <c r="AS40" i="2"/>
  <c r="AJ40" i="2"/>
  <c r="AF40" i="2"/>
  <c r="AC40" i="2"/>
  <c r="V40" i="2"/>
  <c r="AM40" i="2"/>
  <c r="AH40" i="2"/>
  <c r="AD40" i="2"/>
  <c r="S40" i="2"/>
  <c r="O40" i="2"/>
  <c r="J40" i="2"/>
  <c r="C40" i="2"/>
  <c r="AR40" i="2"/>
  <c r="AO40" i="2"/>
  <c r="AA40" i="2"/>
  <c r="W40" i="2"/>
  <c r="K40" i="2"/>
  <c r="G40" i="2"/>
  <c r="AT40" i="2"/>
  <c r="AP40" i="2"/>
  <c r="AL40" i="2"/>
  <c r="AI40" i="2"/>
  <c r="AE40" i="2"/>
  <c r="AE51" i="2" s="1"/>
  <c r="AB40" i="2"/>
  <c r="X40" i="2"/>
  <c r="U40" i="2"/>
  <c r="P40" i="2"/>
  <c r="M40" i="2"/>
  <c r="H40" i="2"/>
  <c r="D40" i="2"/>
  <c r="BH40" i="2"/>
  <c r="BE40" i="2"/>
  <c r="BD40" i="2"/>
  <c r="BL40" i="2"/>
  <c r="BM40" i="2"/>
  <c r="BQ40" i="2"/>
  <c r="BA40" i="2"/>
  <c r="AZ40" i="2"/>
  <c r="AW40" i="2"/>
  <c r="AV40" i="2"/>
  <c r="BI40" i="2"/>
  <c r="BO40" i="2"/>
  <c r="BP40" i="2"/>
  <c r="BG40" i="2"/>
  <c r="BK40" i="2"/>
  <c r="BC40" i="2"/>
  <c r="AY40" i="2"/>
  <c r="AU40" i="2"/>
  <c r="BR40" i="2"/>
  <c r="BF40" i="2"/>
  <c r="BN40" i="2"/>
  <c r="AX40" i="2"/>
  <c r="BJ40" i="2"/>
  <c r="BB40" i="2"/>
  <c r="BJ43" i="2"/>
  <c r="BB43" i="2"/>
  <c r="BJ51" i="2"/>
  <c r="AX43" i="2"/>
  <c r="BB51" i="2"/>
  <c r="AX51" i="2"/>
  <c r="CQ40" i="2" l="1"/>
  <c r="CQ51" i="2" s="1"/>
  <c r="CE40" i="2"/>
  <c r="CE51" i="2" s="1"/>
  <c r="CD40" i="2"/>
  <c r="CD51" i="2" s="1"/>
  <c r="CA40" i="2"/>
  <c r="CA51" i="2" s="1"/>
  <c r="CM40" i="2"/>
  <c r="CM51" i="2" s="1"/>
  <c r="CC40" i="2"/>
  <c r="CC51" i="2" s="1"/>
  <c r="CI40" i="2"/>
  <c r="CI51" i="2" s="1"/>
  <c r="CP40" i="2"/>
  <c r="CP51" i="2" s="1"/>
  <c r="CL40" i="2"/>
  <c r="CL51" i="2" s="1"/>
  <c r="CN40" i="2"/>
  <c r="CN51" i="2" s="1"/>
  <c r="F51" i="2"/>
  <c r="F43" i="2"/>
  <c r="AF43" i="2"/>
  <c r="AF51" i="2"/>
  <c r="CJ40" i="2"/>
  <c r="CJ51" i="2" s="1"/>
  <c r="CF40" i="2"/>
  <c r="CF51" i="2" s="1"/>
  <c r="CB40" i="2"/>
  <c r="CB51" i="2" s="1"/>
  <c r="CO40" i="2"/>
  <c r="CO51" i="2" s="1"/>
  <c r="AS43" i="2"/>
  <c r="AS51" i="2"/>
  <c r="AT43" i="2"/>
  <c r="AT51" i="2"/>
  <c r="CK40" i="2"/>
  <c r="CK51" i="2" s="1"/>
  <c r="AA43" i="2"/>
  <c r="AA51" i="2"/>
  <c r="CG40" i="2"/>
  <c r="CG51" i="2" s="1"/>
  <c r="AE43" i="2"/>
  <c r="CH40" i="2"/>
  <c r="CH51" i="2" s="1"/>
  <c r="Z51" i="2"/>
  <c r="Z43" i="2"/>
  <c r="AQ43" i="2"/>
  <c r="AQ51" i="2"/>
  <c r="AN51" i="2"/>
  <c r="AN43" i="2"/>
  <c r="T51" i="2"/>
  <c r="T43" i="2"/>
  <c r="Q43" i="2"/>
  <c r="Q51" i="2"/>
  <c r="L43" i="2"/>
  <c r="L51" i="2"/>
  <c r="I43" i="2"/>
  <c r="I51" i="2"/>
  <c r="E43" i="2"/>
  <c r="E51" i="2"/>
  <c r="AG51" i="2"/>
  <c r="AG43" i="2"/>
  <c r="N43" i="2"/>
  <c r="N51" i="2"/>
  <c r="AM43" i="2"/>
  <c r="AM51" i="2"/>
  <c r="AD51" i="2"/>
  <c r="AD43" i="2"/>
  <c r="S43" i="2"/>
  <c r="S51" i="2"/>
  <c r="J51" i="2"/>
  <c r="J43" i="2"/>
  <c r="AR43" i="2"/>
  <c r="AR51" i="2"/>
  <c r="AO43" i="2"/>
  <c r="AO51" i="2"/>
  <c r="AP43" i="2"/>
  <c r="AP51" i="2"/>
  <c r="AL51" i="2"/>
  <c r="AL43" i="2"/>
  <c r="BH43" i="2"/>
  <c r="BH51" i="2"/>
  <c r="BD43" i="2"/>
  <c r="BD51" i="2"/>
  <c r="BA43" i="2"/>
  <c r="BA51" i="2"/>
  <c r="AZ43" i="2"/>
  <c r="AZ51" i="2"/>
  <c r="AK43" i="2"/>
  <c r="AK51" i="2"/>
  <c r="R51" i="2"/>
  <c r="R43" i="2"/>
  <c r="AJ43" i="2"/>
  <c r="AJ51" i="2"/>
  <c r="AC51" i="2"/>
  <c r="AC43" i="2"/>
  <c r="V43" i="2"/>
  <c r="V51" i="2"/>
  <c r="AH43" i="2"/>
  <c r="AH51" i="2"/>
  <c r="G51" i="2"/>
  <c r="G43" i="2"/>
  <c r="AI43" i="2"/>
  <c r="AI51" i="2"/>
  <c r="P51" i="2"/>
  <c r="P43" i="2"/>
  <c r="BE51" i="2"/>
  <c r="BE43" i="2"/>
  <c r="AW51" i="2"/>
  <c r="AW43" i="2"/>
  <c r="AV43" i="2"/>
  <c r="AV51" i="2"/>
  <c r="BI43" i="2"/>
  <c r="BI51" i="2"/>
  <c r="BO43" i="2"/>
  <c r="BO51" i="2"/>
  <c r="BP51" i="2"/>
  <c r="BP43" i="2"/>
  <c r="BR51" i="2"/>
  <c r="BR43" i="2"/>
  <c r="BF51" i="2"/>
  <c r="BF43" i="2"/>
  <c r="BN51" i="2"/>
  <c r="BN43" i="2"/>
  <c r="C51" i="2"/>
  <c r="C43" i="2"/>
  <c r="BJ52" i="2"/>
  <c r="BJ45" i="2"/>
  <c r="BB52" i="2"/>
  <c r="BB45" i="2"/>
  <c r="AX45" i="2"/>
  <c r="AX52" i="2"/>
  <c r="Y43" i="2"/>
  <c r="Y51" i="2"/>
  <c r="O43" i="2"/>
  <c r="O51" i="2"/>
  <c r="W43" i="2"/>
  <c r="W51" i="2"/>
  <c r="K51" i="2"/>
  <c r="K43" i="2"/>
  <c r="AB51" i="2"/>
  <c r="AB43" i="2"/>
  <c r="X43" i="2"/>
  <c r="X51" i="2"/>
  <c r="U43" i="2"/>
  <c r="U51" i="2"/>
  <c r="M43" i="2"/>
  <c r="M51" i="2"/>
  <c r="H51" i="2"/>
  <c r="H43" i="2"/>
  <c r="D51" i="2"/>
  <c r="D43" i="2"/>
  <c r="BL43" i="2"/>
  <c r="BL51" i="2"/>
  <c r="BM51" i="2"/>
  <c r="BM43" i="2"/>
  <c r="BQ43" i="2"/>
  <c r="BQ51" i="2"/>
  <c r="BG51" i="2"/>
  <c r="BG43" i="2"/>
  <c r="BK51" i="2"/>
  <c r="BK43" i="2"/>
  <c r="BC51" i="2"/>
  <c r="BC43" i="2"/>
  <c r="AY51" i="2"/>
  <c r="AY43" i="2"/>
  <c r="AU51" i="2"/>
  <c r="AU43" i="2"/>
  <c r="AS45" i="2" l="1"/>
  <c r="AS52" i="2"/>
  <c r="CQ43" i="2"/>
  <c r="CQ52" i="2" s="1"/>
  <c r="AF52" i="2"/>
  <c r="AF45" i="2"/>
  <c r="I45" i="2"/>
  <c r="I90" i="2" s="1"/>
  <c r="I52" i="2"/>
  <c r="BD45" i="2"/>
  <c r="BD52" i="2"/>
  <c r="CD43" i="2"/>
  <c r="CD52" i="2" s="1"/>
  <c r="CO43" i="2"/>
  <c r="CO52" i="2" s="1"/>
  <c r="CP43" i="2"/>
  <c r="CP52" i="2" s="1"/>
  <c r="CN43" i="2"/>
  <c r="CN52" i="2" s="1"/>
  <c r="CM43" i="2"/>
  <c r="CM52" i="2" s="1"/>
  <c r="CL43" i="2"/>
  <c r="CL52" i="2" s="1"/>
  <c r="F45" i="2"/>
  <c r="F90" i="2" s="1"/>
  <c r="F52" i="2"/>
  <c r="Q45" i="2"/>
  <c r="Q52" i="2"/>
  <c r="N45" i="2"/>
  <c r="N52" i="2"/>
  <c r="S45" i="2"/>
  <c r="S52" i="2"/>
  <c r="AO45" i="2"/>
  <c r="AO53" i="2" s="1"/>
  <c r="AO52" i="2"/>
  <c r="CJ43" i="2"/>
  <c r="CJ52" i="2" s="1"/>
  <c r="CE43" i="2"/>
  <c r="CE52" i="2" s="1"/>
  <c r="CB43" i="2"/>
  <c r="CB52" i="2" s="1"/>
  <c r="CA43" i="2"/>
  <c r="CA52" i="2" s="1"/>
  <c r="CF43" i="2"/>
  <c r="CF52" i="2" s="1"/>
  <c r="CC43" i="2"/>
  <c r="CC52" i="2" s="1"/>
  <c r="AT45" i="2"/>
  <c r="AT52" i="2"/>
  <c r="AA45" i="2"/>
  <c r="AA90" i="2" s="1"/>
  <c r="AA52" i="2"/>
  <c r="AE52" i="2"/>
  <c r="AE45" i="2"/>
  <c r="AE90" i="2" s="1"/>
  <c r="CK43" i="2"/>
  <c r="CK52" i="2" s="1"/>
  <c r="CG43" i="2"/>
  <c r="CG52" i="2" s="1"/>
  <c r="CH43" i="2"/>
  <c r="CH52" i="2" s="1"/>
  <c r="T52" i="2"/>
  <c r="T45" i="2"/>
  <c r="L45" i="2"/>
  <c r="L53" i="2" s="1"/>
  <c r="L52" i="2"/>
  <c r="AL52" i="2"/>
  <c r="AL45" i="2"/>
  <c r="AL53" i="2" s="1"/>
  <c r="BH45" i="2"/>
  <c r="BH53" i="2" s="1"/>
  <c r="BH52" i="2"/>
  <c r="BA52" i="2"/>
  <c r="BA45" i="2"/>
  <c r="AZ45" i="2"/>
  <c r="AZ52" i="2"/>
  <c r="AK45" i="2"/>
  <c r="AK53" i="2" s="1"/>
  <c r="AK52" i="2"/>
  <c r="R52" i="2"/>
  <c r="R45" i="2"/>
  <c r="R53" i="2" s="1"/>
  <c r="AJ52" i="2"/>
  <c r="AJ45" i="2"/>
  <c r="AJ53" i="2" s="1"/>
  <c r="V52" i="2"/>
  <c r="V45" i="2"/>
  <c r="V53" i="2" s="1"/>
  <c r="AH52" i="2"/>
  <c r="AH45" i="2"/>
  <c r="AH53" i="2" s="1"/>
  <c r="CI43" i="2"/>
  <c r="CI52" i="2" s="1"/>
  <c r="AI45" i="2"/>
  <c r="AI53" i="2" s="1"/>
  <c r="AI52" i="2"/>
  <c r="BI52" i="2"/>
  <c r="BI45" i="2"/>
  <c r="BI53" i="2" s="1"/>
  <c r="BO52" i="2"/>
  <c r="BO45" i="2"/>
  <c r="BJ47" i="2"/>
  <c r="BJ90" i="2"/>
  <c r="BB47" i="2"/>
  <c r="BB90" i="2"/>
  <c r="AX47" i="2"/>
  <c r="AX90" i="2"/>
  <c r="AQ45" i="2"/>
  <c r="AQ52" i="2"/>
  <c r="AG45" i="2"/>
  <c r="AG52" i="2"/>
  <c r="AD52" i="2"/>
  <c r="AD45" i="2"/>
  <c r="AD90" i="2" s="1"/>
  <c r="AR45" i="2"/>
  <c r="AR90" i="2" s="1"/>
  <c r="AR52" i="2"/>
  <c r="AP52" i="2"/>
  <c r="AP45" i="2"/>
  <c r="AP90" i="2" s="1"/>
  <c r="Z52" i="2"/>
  <c r="Z45" i="2"/>
  <c r="Z53" i="2" s="1"/>
  <c r="AN45" i="2"/>
  <c r="AN90" i="2" s="1"/>
  <c r="AN52" i="2"/>
  <c r="E52" i="2"/>
  <c r="E45" i="2"/>
  <c r="E53" i="2" s="1"/>
  <c r="AM45" i="2"/>
  <c r="AM52" i="2"/>
  <c r="J45" i="2"/>
  <c r="J53" i="2" s="1"/>
  <c r="J52" i="2"/>
  <c r="G45" i="2"/>
  <c r="G53" i="2" s="1"/>
  <c r="G52" i="2"/>
  <c r="BN52" i="2"/>
  <c r="BN45" i="2"/>
  <c r="BN53" i="2" s="1"/>
  <c r="BR52" i="2"/>
  <c r="BR45" i="2"/>
  <c r="BR90" i="2" s="1"/>
  <c r="AC45" i="2"/>
  <c r="AC52" i="2"/>
  <c r="BE45" i="2"/>
  <c r="BE52" i="2"/>
  <c r="AW45" i="2"/>
  <c r="AW52" i="2"/>
  <c r="AV45" i="2"/>
  <c r="AV52" i="2"/>
  <c r="BF45" i="2"/>
  <c r="BF52" i="2"/>
  <c r="P45" i="2"/>
  <c r="P90" i="2" s="1"/>
  <c r="P52" i="2"/>
  <c r="BP52" i="2"/>
  <c r="BP45" i="2"/>
  <c r="C52" i="2"/>
  <c r="C45" i="2"/>
  <c r="BJ53" i="2"/>
  <c r="BB53" i="2"/>
  <c r="AX53" i="2"/>
  <c r="Y45" i="2"/>
  <c r="Y52" i="2"/>
  <c r="O45" i="2"/>
  <c r="O52" i="2"/>
  <c r="W45" i="2"/>
  <c r="W52" i="2"/>
  <c r="K45" i="2"/>
  <c r="K52" i="2"/>
  <c r="AB45" i="2"/>
  <c r="AB52" i="2"/>
  <c r="X45" i="2"/>
  <c r="X52" i="2"/>
  <c r="U45" i="2"/>
  <c r="U52" i="2"/>
  <c r="M45" i="2"/>
  <c r="M52" i="2"/>
  <c r="H45" i="2"/>
  <c r="H52" i="2"/>
  <c r="D45" i="2"/>
  <c r="D52" i="2"/>
  <c r="BL45" i="2"/>
  <c r="BL52" i="2"/>
  <c r="BM45" i="2"/>
  <c r="BM52" i="2"/>
  <c r="BQ45" i="2"/>
  <c r="BQ52" i="2"/>
  <c r="BG52" i="2"/>
  <c r="BG45" i="2"/>
  <c r="BK52" i="2"/>
  <c r="BK45" i="2"/>
  <c r="BC45" i="2"/>
  <c r="BC52" i="2"/>
  <c r="AY45" i="2"/>
  <c r="AY52" i="2"/>
  <c r="AU52" i="2"/>
  <c r="AU45" i="2"/>
  <c r="AS47" i="2" l="1"/>
  <c r="AS90" i="2"/>
  <c r="AS53" i="2"/>
  <c r="BD47" i="2"/>
  <c r="BD53" i="2"/>
  <c r="BD90" i="2"/>
  <c r="AF47" i="2"/>
  <c r="AF53" i="2"/>
  <c r="AF90" i="2"/>
  <c r="I47" i="2"/>
  <c r="I53" i="2"/>
  <c r="F47" i="2"/>
  <c r="F53" i="2"/>
  <c r="Q53" i="2"/>
  <c r="Q47" i="2"/>
  <c r="Q90" i="2"/>
  <c r="N53" i="2"/>
  <c r="N47" i="2"/>
  <c r="N90" i="2"/>
  <c r="S53" i="2"/>
  <c r="S47" i="2"/>
  <c r="S90" i="2"/>
  <c r="AT47" i="2"/>
  <c r="AT90" i="2"/>
  <c r="AT53" i="2"/>
  <c r="AO47" i="2"/>
  <c r="AO90" i="2"/>
  <c r="AA47" i="2"/>
  <c r="AA53" i="2"/>
  <c r="AE47" i="2"/>
  <c r="AE53" i="2"/>
  <c r="BO53" i="2"/>
  <c r="CQ45" i="2"/>
  <c r="CS59" i="2" s="1"/>
  <c r="CS60" i="2" s="1"/>
  <c r="T90" i="2"/>
  <c r="T47" i="2"/>
  <c r="L90" i="2"/>
  <c r="L47" i="2"/>
  <c r="AL90" i="2"/>
  <c r="AL47" i="2"/>
  <c r="BH90" i="2"/>
  <c r="BH47" i="2"/>
  <c r="BA90" i="2"/>
  <c r="BA53" i="2"/>
  <c r="BA47" i="2"/>
  <c r="AZ90" i="2"/>
  <c r="AZ53" i="2"/>
  <c r="AZ47" i="2"/>
  <c r="AK90" i="2"/>
  <c r="AK47" i="2"/>
  <c r="R90" i="2"/>
  <c r="R47" i="2"/>
  <c r="AJ90" i="2"/>
  <c r="AJ47" i="2"/>
  <c r="V90" i="2"/>
  <c r="V47" i="2"/>
  <c r="AH90" i="2"/>
  <c r="AH47" i="2"/>
  <c r="CI45" i="2"/>
  <c r="CI53" i="2" s="1"/>
  <c r="AI90" i="2"/>
  <c r="AI47" i="2"/>
  <c r="BI90" i="2"/>
  <c r="BI47" i="2"/>
  <c r="BO90" i="2"/>
  <c r="BO47" i="2"/>
  <c r="CE45" i="2"/>
  <c r="CE53" i="2" s="1"/>
  <c r="T53" i="2"/>
  <c r="CK45" i="2"/>
  <c r="CK53" i="2" s="1"/>
  <c r="AQ90" i="2"/>
  <c r="CK90" i="2" s="1"/>
  <c r="CH45" i="2"/>
  <c r="CH53" i="2" s="1"/>
  <c r="AG90" i="2"/>
  <c r="Z47" i="2"/>
  <c r="Z90" i="2"/>
  <c r="E47" i="2"/>
  <c r="E90" i="2"/>
  <c r="CJ45" i="2"/>
  <c r="CJ53" i="2" s="1"/>
  <c r="AM90" i="2"/>
  <c r="J47" i="2"/>
  <c r="J90" i="2"/>
  <c r="G47" i="2"/>
  <c r="CB45" i="2"/>
  <c r="CB53" i="2" s="1"/>
  <c r="G90" i="2"/>
  <c r="CB90" i="2" s="1"/>
  <c r="BN47" i="2"/>
  <c r="BN90" i="2"/>
  <c r="AC47" i="2"/>
  <c r="AC90" i="2"/>
  <c r="BE47" i="2"/>
  <c r="BE90" i="2"/>
  <c r="AW47" i="2"/>
  <c r="AW90" i="2"/>
  <c r="AV47" i="2"/>
  <c r="AV90" i="2"/>
  <c r="BF47" i="2"/>
  <c r="BF90" i="2"/>
  <c r="BP47" i="2"/>
  <c r="BP90" i="2"/>
  <c r="C90" i="2"/>
  <c r="CA45" i="2"/>
  <c r="CA53" i="2" s="1"/>
  <c r="Y47" i="2"/>
  <c r="Y90" i="2"/>
  <c r="O47" i="2"/>
  <c r="CD45" i="2"/>
  <c r="CD53" i="2" s="1"/>
  <c r="O90" i="2"/>
  <c r="W47" i="2"/>
  <c r="CF45" i="2"/>
  <c r="CF53" i="2" s="1"/>
  <c r="W90" i="2"/>
  <c r="K47" i="2"/>
  <c r="CC45" i="2"/>
  <c r="CC53" i="2" s="1"/>
  <c r="K90" i="2"/>
  <c r="AB47" i="2"/>
  <c r="CG45" i="2"/>
  <c r="CG53" i="2" s="1"/>
  <c r="AB90" i="2"/>
  <c r="X47" i="2"/>
  <c r="X90" i="2"/>
  <c r="U47" i="2"/>
  <c r="U90" i="2"/>
  <c r="M47" i="2"/>
  <c r="M90" i="2"/>
  <c r="H47" i="2"/>
  <c r="H90" i="2"/>
  <c r="D47" i="2"/>
  <c r="D90" i="2"/>
  <c r="BL47" i="2"/>
  <c r="BL90" i="2"/>
  <c r="BM47" i="2"/>
  <c r="BM90" i="2"/>
  <c r="BQ47" i="2"/>
  <c r="BQ90" i="2"/>
  <c r="BG47" i="2"/>
  <c r="CO45" i="2"/>
  <c r="CO53" i="2" s="1"/>
  <c r="BG90" i="2"/>
  <c r="BK47" i="2"/>
  <c r="CP45" i="2"/>
  <c r="CP53" i="2" s="1"/>
  <c r="BK90" i="2"/>
  <c r="BC47" i="2"/>
  <c r="BC90" i="2"/>
  <c r="CN45" i="2"/>
  <c r="CN53" i="2" s="1"/>
  <c r="AY47" i="2"/>
  <c r="AY90" i="2"/>
  <c r="CM45" i="2"/>
  <c r="CM53" i="2" s="1"/>
  <c r="AU47" i="2"/>
  <c r="CL45" i="2"/>
  <c r="CL53" i="2" s="1"/>
  <c r="AU90" i="2"/>
  <c r="AQ53" i="2"/>
  <c r="AQ47" i="2"/>
  <c r="AG53" i="2"/>
  <c r="AG47" i="2"/>
  <c r="AD53" i="2"/>
  <c r="AD47" i="2"/>
  <c r="AR53" i="2"/>
  <c r="AR47" i="2"/>
  <c r="AP53" i="2"/>
  <c r="AP47" i="2"/>
  <c r="AN53" i="2"/>
  <c r="AN47" i="2"/>
  <c r="AM53" i="2"/>
  <c r="AM47" i="2"/>
  <c r="P47" i="2"/>
  <c r="P53" i="2"/>
  <c r="C47" i="2"/>
  <c r="C53" i="2"/>
  <c r="BR53" i="2"/>
  <c r="BR47" i="2"/>
  <c r="BP53" i="2"/>
  <c r="AC53" i="2"/>
  <c r="BE53" i="2"/>
  <c r="AW53" i="2"/>
  <c r="AV53" i="2"/>
  <c r="BF53" i="2"/>
  <c r="Y53" i="2"/>
  <c r="O53" i="2"/>
  <c r="W53" i="2"/>
  <c r="K53" i="2"/>
  <c r="AB53" i="2"/>
  <c r="X53" i="2"/>
  <c r="U53" i="2"/>
  <c r="M53" i="2"/>
  <c r="H53" i="2"/>
  <c r="D53" i="2"/>
  <c r="BL53" i="2"/>
  <c r="BM53" i="2"/>
  <c r="BQ53" i="2"/>
  <c r="BG53" i="2"/>
  <c r="BK53" i="2"/>
  <c r="BC53" i="2"/>
  <c r="AY53" i="2"/>
  <c r="AU53" i="2"/>
  <c r="CA90" i="2" l="1"/>
  <c r="CJ90" i="2"/>
  <c r="CC90" i="2"/>
  <c r="CH90" i="2"/>
  <c r="CE90" i="2"/>
  <c r="CI90" i="2"/>
  <c r="CQ90" i="2"/>
  <c r="CD90" i="2"/>
  <c r="CF90" i="2"/>
  <c r="CG90" i="2"/>
  <c r="CO90" i="2"/>
  <c r="CP90" i="2"/>
  <c r="CN90" i="2"/>
  <c r="CM90" i="2"/>
  <c r="CL90" i="2"/>
  <c r="CA47" i="2"/>
  <c r="CL47" i="2"/>
  <c r="CH47" i="2"/>
  <c r="CJ47" i="2"/>
  <c r="CQ47" i="2"/>
  <c r="CC47" i="2"/>
  <c r="CQ53" i="2"/>
  <c r="CG47" i="2"/>
  <c r="CB47" i="2"/>
  <c r="CF47" i="2"/>
  <c r="CP47" i="2"/>
  <c r="CN47" i="2"/>
  <c r="CE47" i="2"/>
  <c r="CK47" i="2"/>
  <c r="CI47" i="2"/>
  <c r="CD47" i="2"/>
  <c r="CO47" i="2"/>
  <c r="CM4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<sst xmlns="http://schemas.openxmlformats.org/spreadsheetml/2006/main" count="1922" uniqueCount="1048">
  <si>
    <t xml:space="preserve">Price </t>
  </si>
  <si>
    <t>SO</t>
  </si>
  <si>
    <t>MC</t>
  </si>
  <si>
    <t>Cash</t>
  </si>
  <si>
    <t>Debt</t>
  </si>
  <si>
    <t>EV</t>
  </si>
  <si>
    <t>Registered Exchange: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</si>
  <si>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</si>
  <si>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</si>
  <si>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</si>
  <si>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</si>
  <si>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</si>
  <si>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</si>
  <si>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</si>
  <si>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</si>
  <si>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</si>
  <si>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</si>
  <si>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</si>
  <si>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</si>
  <si>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</si>
  <si>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</si>
  <si>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</si>
  <si>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</si>
  <si>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</si>
  <si>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</si>
  <si>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</si>
  <si>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</si>
  <si>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</si>
  <si>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</si>
  <si>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</si>
  <si>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</si>
  <si>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</si>
  <si>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</si>
  <si>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</si>
  <si>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</si>
  <si>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</si>
  <si>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</si>
  <si>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</si>
  <si>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</si>
  <si>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</si>
  <si>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</si>
  <si>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</si>
  <si>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</si>
  <si>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</si>
  <si>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</si>
  <si>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</si>
  <si>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</si>
  <si>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</si>
  <si>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</si>
  <si>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</si>
  <si>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</si>
  <si>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</si>
  <si>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</si>
  <si>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</si>
  <si>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</si>
  <si>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</si>
  <si>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</si>
  <si>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</si>
  <si>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</si>
  <si>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</si>
  <si>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</si>
  <si>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</si>
  <si>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</si>
  <si>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</si>
  <si>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</si>
  <si>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</si>
  <si>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</si>
  <si>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</si>
  <si>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</si>
  <si>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</si>
  <si>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</si>
  <si>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</si>
  <si>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</si>
  <si>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</si>
  <si>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</si>
  <si>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</si>
  <si>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</si>
  <si>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</si>
  <si>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</si>
  <si>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</si>
  <si>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</si>
  <si>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</si>
  <si>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</si>
  <si>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</si>
  <si>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</si>
  <si>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</si>
  <si>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</si>
  <si>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</si>
  <si>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</si>
  <si>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</si>
  <si>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</si>
  <si>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</si>
  <si>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</si>
  <si>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</si>
  <si>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</si>
  <si>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</si>
  <si>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</si>
  <si>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</si>
  <si>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</si>
  <si>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</si>
  <si>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</si>
  <si>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</si>
  <si>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</si>
  <si>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</si>
  <si>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</si>
  <si>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</si>
  <si>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</si>
  <si>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</si>
  <si>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</si>
  <si>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</si>
  <si>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</si>
  <si>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</si>
  <si>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</si>
  <si>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</si>
  <si>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</si>
  <si>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</si>
  <si>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[Use for Graphing]</t>
  </si>
  <si>
    <t>Quarterly</t>
  </si>
  <si>
    <t>Revenues</t>
  </si>
  <si>
    <t>Ttl Revenues</t>
  </si>
  <si>
    <t>COGS</t>
  </si>
  <si>
    <t>GP</t>
  </si>
  <si>
    <t>Gross Profit Margin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</si>
  <si>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</si>
  <si>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</si>
  <si>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</si>
  <si>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</si>
  <si>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</si>
  <si>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Current Ratio</t>
  </si>
  <si>
    <t>Quick Ratio</t>
  </si>
  <si>
    <t>Cash Ratio</t>
  </si>
  <si>
    <t>Ttl Asset Turnover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</si>
  <si>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</si>
  <si>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</si>
  <si>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</si>
  <si>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</si>
  <si>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</si>
  <si>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</si>
  <si>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</si>
  <si>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</si>
  <si>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</si>
  <si>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Financial Stmts. Notes/Observations (Updated Q1'25)</t>
  </si>
  <si>
    <t>Revenues:</t>
  </si>
  <si>
    <t>Earnings Scope:</t>
  </si>
  <si>
    <t>Balance Sheet Scope:</t>
  </si>
  <si>
    <t>[Equity Preformance Compared to Peers]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</si>
  <si>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</si>
  <si>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</si>
  <si>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</si>
  <si>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</si>
  <si>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</si>
  <si>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</si>
  <si>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</si>
  <si>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</si>
  <si>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</si>
  <si>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</si>
  <si>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</si>
  <si>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</si>
  <si>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</si>
  <si>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</si>
  <si>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</si>
  <si>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>Employee Scope:</t>
  </si>
  <si>
    <t>Resources:</t>
  </si>
  <si>
    <t>Y/y Total Revenues, Net Income, FCF</t>
  </si>
  <si>
    <t>Q/q Total Revenues, Net Income, FCF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</si>
  <si>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</si>
  <si>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</si>
  <si>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</si>
  <si>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</si>
  <si>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</si>
  <si>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</si>
  <si>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</si>
  <si>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AVG Invested Capital</t>
  </si>
  <si>
    <t>ROIC</t>
  </si>
  <si>
    <t>2023-2024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</si>
  <si>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</si>
  <si>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</si>
  <si>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</si>
  <si>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</si>
  <si>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</si>
  <si>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</si>
  <si>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Q2'25</t>
  </si>
  <si>
    <t>FV</t>
  </si>
  <si>
    <t>CP</t>
  </si>
  <si>
    <t>Change Δ</t>
  </si>
  <si>
    <t>VOO Historical Returns</t>
  </si>
  <si>
    <t>ROK</t>
  </si>
  <si>
    <t>Rockwell Automation, Inc. (ROK)</t>
  </si>
  <si>
    <t>Q3'25</t>
  </si>
  <si>
    <t>https://www.sec.gov/edgar/browse/?CIK=1024478&amp;owner=exclude</t>
  </si>
  <si>
    <t>https://www.rockwellautomation.com/</t>
  </si>
  <si>
    <t>https://www.rockwellautomation.com/en-us/company/investor-relations.html</t>
  </si>
  <si>
    <t>https://seekingalpha.com/symbol/ROK/earnings/transcripts</t>
  </si>
  <si>
    <t>https://stockanalysis.com/stocks/rok/company/</t>
  </si>
  <si>
    <t>https://www.macrotrends.net/stocks/charts/ROK/rockwell-automation/income-statement</t>
  </si>
  <si>
    <t>https://www.gurufocus.com/term/wacc/ROK</t>
  </si>
  <si>
    <t>Founder(s): Lynde Bradley &amp; Dr. Stanton Allen</t>
  </si>
  <si>
    <t>Founded: 1903</t>
  </si>
  <si>
    <t>Headquarters: Milwaukee, WI</t>
  </si>
  <si>
    <t>Current CEO: Blake Moret</t>
  </si>
  <si>
    <t>Employees: 26,000 (Q4'25)</t>
  </si>
  <si>
    <t>Industry: Specialized Industrial Machinery</t>
  </si>
  <si>
    <t>Sector: Industrials</t>
  </si>
  <si>
    <t>IPO: January 1, 1987</t>
  </si>
  <si>
    <t>Fiscal Year: [October - September]</t>
  </si>
  <si>
    <t>Address: 1201 South Second Street Milwaukee, WI 53204-2410 U.S.</t>
  </si>
  <si>
    <t>(414) 382 2000</t>
  </si>
  <si>
    <t xml:space="preserve">Rockwell Automation is the largest pure-play industrial automation company in North America </t>
  </si>
  <si>
    <t>The Company possesses a core advantage in it's widespread domestic install base, and the prohibitively expensive switching costs associated with heavy machinery CapEx … further moat developed from software integration</t>
  </si>
  <si>
    <t>This creates a sticky ecosystem where customers are locked into Rockwell’s software and lifecycle services for decades</t>
  </si>
  <si>
    <t xml:space="preserve">Investigate market penetration/concentration … may offer an interesting window into America's industrial capacity </t>
  </si>
  <si>
    <t>Investigate cloud integration plans … physical AI data for big tech … Look into deals with the hyperscalers</t>
  </si>
  <si>
    <t>The Company reports in three segments that reflect its hardware-software-services mix</t>
  </si>
  <si>
    <t>Intelligent Devices:</t>
  </si>
  <si>
    <t>Software &amp; Control:</t>
  </si>
  <si>
    <t>Lifecycle Services:</t>
  </si>
  <si>
    <t>The Company developed and manages Logix control architecture, a proprietary control platform … serves as a software moat and integrates factory floors</t>
  </si>
  <si>
    <t>Unlike open standards, Logix is a closed ecosystem that guarantees seamless integration between controller, drive, and software, but makes it hard to mix and match offerings with competitors (SIE, SBGSY)</t>
  </si>
  <si>
    <t>Rockwell holds hundreds of active patents, with recent filings heavily skewed toward cybersecurity, edge computing, and digital twin technologies</t>
  </si>
  <si>
    <t>They actively use the "Track One" prioritized patent examination to block competitors in niche control logic areas</t>
  </si>
  <si>
    <t xml:space="preserve">Through strategic partnerships, The Company is able to operate an asset light business compared to peer competitors </t>
  </si>
  <si>
    <t>Instead of acquiring a massive CAD/PLM firm, Rockwell has a strategic equity investment and partnership with PTC (ThingWorx/Vuforia) and a deep alliance with Microsoft</t>
  </si>
  <si>
    <t>This allows them to offer a full "digital thread" solution without the R&amp;D burden of building it all in-house</t>
  </si>
  <si>
    <t>The Company is heavily weighted to North America … primary beneficiary of any reshoring/nearshoring efforts … quasi-forward indicator into manufacturing industrial policy success/failure</t>
  </si>
  <si>
    <t>Less exposure to China than Euro peer competitors</t>
  </si>
  <si>
    <t>Intelligent Devices</t>
  </si>
  <si>
    <t>Software &amp; Control</t>
  </si>
  <si>
    <t>Lifecycle Services</t>
  </si>
  <si>
    <t>Intelligent Devices Growth Y/y</t>
  </si>
  <si>
    <t>Software &amp; Control Growth Y/y</t>
  </si>
  <si>
    <t>Lifecycle Services Growth Y/y</t>
  </si>
  <si>
    <t>Intelligent Devices % of Ttl Revenues</t>
  </si>
  <si>
    <t>Software &amp; Control % of Ttl Revenues</t>
  </si>
  <si>
    <t>Lifecycle Services % of Ttl Revenues</t>
  </si>
  <si>
    <t>North America</t>
  </si>
  <si>
    <t>Euro, Mid-East, Africa</t>
  </si>
  <si>
    <t>APac</t>
  </si>
  <si>
    <t>Latin America</t>
  </si>
  <si>
    <t>Euro, Mid-East, Africa Growth Y/y</t>
  </si>
  <si>
    <t>North America Growth Y/y</t>
  </si>
  <si>
    <t>APac Growth Y/y</t>
  </si>
  <si>
    <t>Latin America Growth Y/y</t>
  </si>
  <si>
    <t>North America % of Ttl Revenues</t>
  </si>
  <si>
    <t>Euro, Mid-East, Africa % of Ttl Revenues</t>
  </si>
  <si>
    <t>APac % of Ttl Revenues</t>
  </si>
  <si>
    <t>Latin America % of Ttl Revenues</t>
  </si>
  <si>
    <t>SG&amp;A</t>
  </si>
  <si>
    <t>Impairment</t>
  </si>
  <si>
    <t>Operating Income</t>
  </si>
  <si>
    <t>Other Income</t>
  </si>
  <si>
    <t>Interest Expenses</t>
  </si>
  <si>
    <t>Pretax Income</t>
  </si>
  <si>
    <t>Taxes</t>
  </si>
  <si>
    <t>EPS</t>
  </si>
  <si>
    <t>Sept.</t>
  </si>
  <si>
    <t>June</t>
  </si>
  <si>
    <t>Mar.</t>
  </si>
  <si>
    <t>Dec.</t>
  </si>
  <si>
    <t>Institutional Ownership Snapshot</t>
  </si>
  <si>
    <t>General Notes/Observations</t>
  </si>
  <si>
    <t xml:space="preserve">Revenue Breakdown by Segment </t>
  </si>
  <si>
    <t xml:space="preserve">Often viewed by equity analysts as a high-quality short-cycle industrial stock … Unlike conglomerates (HON, SIE), The Company is singularly focused on factory floor operations ... direct bet on manufacturing capex, reshoring and robotics / automation </t>
  </si>
  <si>
    <t xml:space="preserve">Rockwell’s "Logix" control architecture (PLCs) and "Allen-Bradley" hardware create a "connected enterprise" … </t>
  </si>
  <si>
    <t>The Company provides industrial-grade computers (PLCs) and variable frequency drives (VFDs) that tell that mechanical equipment when to turn on, how fast to run, and how to manage redundancy if a unit fails</t>
  </si>
  <si>
    <t xml:space="preserve">Positions The Company not just as a hardware vendor, but as the bridge connecting plant-floor data (OT) to enterprise-level cloud systems (IT) … </t>
  </si>
  <si>
    <t>The market is looking for robotics companies to bring "embodied intelligence" to life … they widespread automation … TSLA has pitched their silly optimus project … Could ROK develop an industrial offering</t>
  </si>
  <si>
    <t>The Company sells control systems, drives, and software that operate, monitor, and optimize cooling systems for scaled data centers and the factory floor</t>
  </si>
  <si>
    <t>A/R</t>
  </si>
  <si>
    <t>Inventories</t>
  </si>
  <si>
    <t>Other ST Assets</t>
  </si>
  <si>
    <t>PP&amp;E</t>
  </si>
  <si>
    <t>LT Operating Lease Assets</t>
  </si>
  <si>
    <t>Goodwill</t>
  </si>
  <si>
    <t>Intangibles</t>
  </si>
  <si>
    <t>LT Deffered Taxes</t>
  </si>
  <si>
    <t>Other LT Assets</t>
  </si>
  <si>
    <t>ST Debt</t>
  </si>
  <si>
    <t>Current Portion of LT Debt</t>
  </si>
  <si>
    <t>A/P</t>
  </si>
  <si>
    <t>ST Salaries Liabilities</t>
  </si>
  <si>
    <t>Contract Liabilities</t>
  </si>
  <si>
    <t>ST Customer Returns, Rebates</t>
  </si>
  <si>
    <t>Other ST Liabilities</t>
  </si>
  <si>
    <t>LT Debt</t>
  </si>
  <si>
    <t>LT Salaries Liabilities</t>
  </si>
  <si>
    <t>LT Operating Lease Liabilities</t>
  </si>
  <si>
    <t>Other LT Liabilities</t>
  </si>
  <si>
    <t>Ttl Liabilities</t>
  </si>
  <si>
    <t>Ttl SE</t>
  </si>
  <si>
    <t>Ttl L + SE</t>
  </si>
  <si>
    <t>Ttl Assets</t>
  </si>
  <si>
    <t>Fri, 05 Dec 2025 00:00:00 GMT</t>
  </si>
  <si>
    <t>Thu, 04 Dec 2025 00:00:00 GMT</t>
  </si>
  <si>
    <t>Wed, 03 Dec 2025 00:00:00 GMT</t>
  </si>
  <si>
    <t>Tue, 02 Dec 2025 00:00:00 GMT</t>
  </si>
  <si>
    <t>Mon, 01 Dec 2025 00:00:00 GMT</t>
  </si>
  <si>
    <t>Fri, 28 Nov 2025 00:00:00 GMT</t>
  </si>
  <si>
    <t>Wed, 26 Nov 2025 00:00:00 GMT</t>
  </si>
  <si>
    <t>Tue, 25 Nov 2025 00:00:00 GMT</t>
  </si>
  <si>
    <t>Mon, 24 Nov 2025 00:00:00 GMT</t>
  </si>
  <si>
    <t>Fri, 21 Nov 2025 00:00:00 GMT</t>
  </si>
  <si>
    <t>Thu, 20 Nov 2025 00:00:00 GMT</t>
  </si>
  <si>
    <t>Wed, 19 Nov 2025 00:00:00 GMT</t>
  </si>
  <si>
    <t>Tue, 18 Nov 2025 00:00:00 GMT</t>
  </si>
  <si>
    <t>Mon, 17 Nov 2025 00:00:00 GMT</t>
  </si>
  <si>
    <t>Fri, 14 Nov 2025 00:00:00 GMT</t>
  </si>
  <si>
    <t>Thu, 13 Nov 2025 00:00:00 GMT</t>
  </si>
  <si>
    <t>Wed, 12 Nov 2025 00:00:00 GMT</t>
  </si>
  <si>
    <t>Tue, 11 Nov 2025 00:00:00 GMT</t>
  </si>
  <si>
    <t>Mon, 10 Nov 2025 00:00:00 GMT</t>
  </si>
  <si>
    <t>Fri, 07 Nov 2025 00:00:00 GMT</t>
  </si>
  <si>
    <t>Thu, 06 Nov 2025 00:00:00 GMT</t>
  </si>
  <si>
    <t>Wed, 05 Nov 2025 00:00:00 GMT</t>
  </si>
  <si>
    <t>Tue, 04 Nov 2025 00:00:00 GMT</t>
  </si>
  <si>
    <t>Mon, 03 Nov 2025 00:00:00 GMT</t>
  </si>
  <si>
    <t>Fri, 31 Oct 2025 00:00:00 GMT</t>
  </si>
  <si>
    <t>Thu, 30 Oct 2025 00:00:00 GMT</t>
  </si>
  <si>
    <t>Wed, 29 Oct 2025 00:00:00 GMT</t>
  </si>
  <si>
    <t>Tue, 28 Oct 2025 00:00:00 GMT</t>
  </si>
  <si>
    <t>Mon, 27 Oct 2025 00:00:00 GMT</t>
  </si>
  <si>
    <t>Fri, 24 Oct 2025 00:00:00 GMT</t>
  </si>
  <si>
    <t>Thu, 23 Oct 2025 00:00:00 GMT</t>
  </si>
  <si>
    <t>Wed, 22 Oct 2025 00:00:00 GMT</t>
  </si>
  <si>
    <t>Tue, 21 Oct 2025 00:00:00 GMT</t>
  </si>
  <si>
    <t>Mon, 20 Oct 2025 00:00:00 GMT</t>
  </si>
  <si>
    <t>Fri, 17 Oct 2025 00:00:00 GMT</t>
  </si>
  <si>
    <t>Thu, 16 Oct 2025 00:00:00 GMT</t>
  </si>
  <si>
    <t>Wed, 15 Oct 2025 00:00:00 GMT</t>
  </si>
  <si>
    <t>Tue, 14 Oct 2025 00:00:00 GMT</t>
  </si>
  <si>
    <t>Mon, 13 Oct 2025 00:00:00 GMT</t>
  </si>
  <si>
    <t>Fri, 10 Oct 2025 00:00:00 GMT</t>
  </si>
  <si>
    <t>Thu, 09 Oct 2025 00:00:00 GMT</t>
  </si>
  <si>
    <t>Wed, 08 Oct 2025 00:00:00 GMT</t>
  </si>
  <si>
    <t>Tue, 07 Oct 2025 00:00:00 GMT</t>
  </si>
  <si>
    <t>Mon, 06 Oct 2025 00:00:00 GMT</t>
  </si>
  <si>
    <t>Fri, 03 Oct 2025 00:00:00 GMT</t>
  </si>
  <si>
    <t>Thu, 02 Oct 2025 00:00:00 GMT</t>
  </si>
  <si>
    <t>Wed, 01 Oct 2025 00:00:00 GMT</t>
  </si>
  <si>
    <t>Tue, 30 Sep 2025 00:00:00 GMT</t>
  </si>
  <si>
    <t>Mon, 29 Sep 2025 00:00:00 GMT</t>
  </si>
  <si>
    <t>Fri, 26 Sep 2025 00:00:00 GMT</t>
  </si>
  <si>
    <t>Thu, 25 Sep 2025 00:00:00 GMT</t>
  </si>
  <si>
    <t>Wed, 24 Sep 2025 00:00:00 GMT</t>
  </si>
  <si>
    <t>Tue, 23 Sep 2025 00:00:00 GMT</t>
  </si>
  <si>
    <t>Mon, 22 Sep 2025 00:00:00 GMT</t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</si>
  <si>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</si>
  <si>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</si>
  <si>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</si>
  <si>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</si>
  <si>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</si>
  <si>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</si>
  <si>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</si>
  <si>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</si>
  <si>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</si>
  <si>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</si>
  <si>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</si>
  <si>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</si>
  <si>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</si>
  <si>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</si>
  <si>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</si>
  <si>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</si>
  <si>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</si>
  <si>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</si>
  <si>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</si>
  <si>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</si>
  <si>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</si>
  <si>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</si>
  <si>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</si>
  <si>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</si>
  <si>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</si>
  <si>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</si>
  <si>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</si>
  <si>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</si>
  <si>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</si>
  <si>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</si>
  <si>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</si>
  <si>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</si>
  <si>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</si>
  <si>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</si>
  <si>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</si>
  <si>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</si>
  <si>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</si>
  <si>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</si>
  <si>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</si>
  <si>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</si>
  <si>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</si>
  <si>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</si>
  <si>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</si>
  <si>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</si>
  <si>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</si>
  <si>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</si>
  <si>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</si>
  <si>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</si>
  <si>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</si>
  <si>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</si>
  <si>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</si>
  <si>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</si>
  <si>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</si>
  <si>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</si>
  <si>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</si>
  <si>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</si>
  <si>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</si>
  <si>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</si>
  <si>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</si>
  <si>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</si>
  <si>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</si>
  <si>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</si>
  <si>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</si>
  <si>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</si>
  <si>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</si>
  <si>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</si>
  <si>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</si>
  <si>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</si>
  <si>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</si>
  <si>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</si>
  <si>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</si>
  <si>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</si>
  <si>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</si>
  <si>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</si>
  <si>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</si>
  <si>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</si>
  <si>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</si>
  <si>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</si>
  <si>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</si>
  <si>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</si>
  <si>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</si>
  <si>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</si>
  <si>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</si>
  <si>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</si>
  <si>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</si>
  <si>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</si>
  <si>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</si>
  <si>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</si>
  <si>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</si>
  <si>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</si>
  <si>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</si>
  <si>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</si>
  <si>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</si>
  <si>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</si>
  <si>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</si>
  <si>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</si>
  <si>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</si>
  <si>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</si>
  <si>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</si>
  <si>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</si>
  <si>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</si>
  <si>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</si>
  <si>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</si>
  <si>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</si>
  <si>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</si>
  <si>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</si>
  <si>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</si>
  <si>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</si>
  <si>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</si>
  <si>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</si>
  <si>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</si>
  <si>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</si>
  <si>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</si>
  <si>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</si>
  <si>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</si>
  <si>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</si>
  <si>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</si>
  <si>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</si>
  <si>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</si>
  <si>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</si>
  <si>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</si>
  <si>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</si>
  <si>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</si>
  <si>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</si>
  <si>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</si>
  <si>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</si>
  <si>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</si>
  <si>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</si>
  <si>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</si>
  <si>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</si>
  <si>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</si>
  <si>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</si>
  <si>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</si>
  <si>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</si>
  <si>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</si>
  <si>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</si>
  <si>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</si>
  <si>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</si>
  <si>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</si>
  <si>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</si>
  <si>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</si>
  <si>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</si>
  <si>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</si>
  <si>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</si>
  <si>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</si>
  <si>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</si>
  <si>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</si>
  <si>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</si>
  <si>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</si>
  <si>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</si>
  <si>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</si>
  <si>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</si>
  <si>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</si>
  <si>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</si>
  <si>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</si>
  <si>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</si>
  <si>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</si>
  <si>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</si>
  <si>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</si>
  <si>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</si>
  <si>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</si>
  <si>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</si>
  <si>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</si>
  <si>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</si>
  <si>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</si>
  <si>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</si>
  <si>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</si>
  <si>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</si>
  <si>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</si>
  <si>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</si>
  <si>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</si>
  <si>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</si>
  <si>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</si>
  <si>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</si>
  <si>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</si>
  <si>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</si>
  <si>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</si>
  <si>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</si>
  <si>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</si>
  <si>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</si>
  <si>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</si>
  <si>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</si>
  <si>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</si>
  <si>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</si>
  <si>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</si>
  <si>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</si>
  <si>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</si>
  <si>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</si>
  <si>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</si>
  <si>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</si>
  <si>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</si>
  <si>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</si>
  <si>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</si>
  <si>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</si>
  <si>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</si>
  <si>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</si>
  <si>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</si>
  <si>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</si>
  <si>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</si>
  <si>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</si>
  <si>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</si>
  <si>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</si>
  <si>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</si>
  <si>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</si>
  <si>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</si>
  <si>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</si>
  <si>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</si>
  <si>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</si>
  <si>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</si>
  <si>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</si>
  <si>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</si>
  <si>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</si>
  <si>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</si>
  <si>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</si>
  <si>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</si>
  <si>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</si>
  <si>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</si>
  <si>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</si>
  <si>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</si>
  <si>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</si>
  <si>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</si>
  <si>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</si>
  <si>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</si>
  <si>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</si>
  <si>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</si>
  <si>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</si>
  <si>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</si>
  <si>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</si>
  <si>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</si>
  <si>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</si>
  <si>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</si>
  <si>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</si>
  <si>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</si>
  <si>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</si>
  <si>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</si>
  <si>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</si>
  <si>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</si>
  <si>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</si>
  <si>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</si>
  <si>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</si>
  <si>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</si>
  <si>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</si>
  <si>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</si>
  <si>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</si>
  <si>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</si>
  <si>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</si>
  <si>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</si>
  <si>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</si>
  <si>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</si>
  <si>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</si>
  <si>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</si>
  <si>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</si>
  <si>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</si>
  <si>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</si>
  <si>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</si>
  <si>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</si>
  <si>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</si>
  <si>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</si>
  <si>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</si>
  <si>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</si>
  <si>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</si>
  <si>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</si>
  <si>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</si>
  <si>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</si>
  <si>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</si>
  <si>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</si>
  <si>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</si>
  <si>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</si>
  <si>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</si>
  <si>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</si>
  <si>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</si>
  <si>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</si>
  <si>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</si>
  <si>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</si>
  <si>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</si>
  <si>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</si>
  <si>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</si>
  <si>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</si>
  <si>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</si>
  <si>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</si>
  <si>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</si>
  <si>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</si>
  <si>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</si>
  <si>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</si>
  <si>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</si>
  <si>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</si>
  <si>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</si>
  <si>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</si>
  <si>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</si>
  <si>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</si>
  <si>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</si>
  <si>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</si>
  <si>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</si>
  <si>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</si>
  <si>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</si>
  <si>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</si>
  <si>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</si>
  <si>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</si>
  <si>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</si>
  <si>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</si>
  <si>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</si>
  <si>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</si>
  <si>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</si>
  <si>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</si>
  <si>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</si>
  <si>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</si>
  <si>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</si>
  <si>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</si>
  <si>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</si>
  <si>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</si>
  <si>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</si>
  <si>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</si>
  <si>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</si>
  <si>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</si>
  <si>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</si>
  <si>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</si>
  <si>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</si>
  <si>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</si>
  <si>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</si>
  <si>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</si>
  <si>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</si>
  <si>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</si>
  <si>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</si>
  <si>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</si>
  <si>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</si>
  <si>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</si>
  <si>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</si>
  <si>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</si>
  <si>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</si>
  <si>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</si>
  <si>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</si>
  <si>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</si>
  <si>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</si>
  <si>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</si>
  <si>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</si>
  <si>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</si>
  <si>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</si>
  <si>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</si>
  <si>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</si>
  <si>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</si>
  <si>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</si>
  <si>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</si>
  <si>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</si>
  <si>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</si>
  <si>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</si>
  <si>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</si>
  <si>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</si>
  <si>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</si>
  <si>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</si>
  <si>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</si>
  <si>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</si>
  <si>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</si>
  <si>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</si>
  <si>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</si>
  <si>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</si>
  <si>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</si>
  <si>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</si>
  <si>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</si>
  <si>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</si>
  <si>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</si>
  <si>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</si>
  <si>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</si>
  <si>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</si>
  <si>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</si>
  <si>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</si>
  <si>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</si>
  <si>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</si>
  <si>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</si>
  <si>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</si>
  <si>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</si>
  <si>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</si>
  <si>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</si>
  <si>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</si>
  <si>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</si>
  <si>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</si>
  <si>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</si>
  <si>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</si>
  <si>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</si>
  <si>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</si>
  <si>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</si>
  <si>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</si>
  <si>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</si>
  <si>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</si>
  <si>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</si>
  <si>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</si>
  <si>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</si>
  <si>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</si>
  <si>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</si>
  <si>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</si>
  <si>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</si>
  <si>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</si>
  <si>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</si>
  <si>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</si>
  <si>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</si>
  <si>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</si>
  <si>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</si>
  <si>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</si>
  <si>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</si>
  <si>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</si>
  <si>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</si>
  <si>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</si>
  <si>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</si>
  <si>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</si>
  <si>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</si>
  <si>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</si>
  <si>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</si>
  <si>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</si>
  <si>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</si>
  <si>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</si>
  <si>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</si>
  <si>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</si>
  <si>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</si>
  <si>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</si>
  <si>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</si>
  <si>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</si>
  <si>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</si>
  <si>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</si>
  <si>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</si>
  <si>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</si>
  <si>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</si>
  <si>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</si>
  <si>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</si>
  <si>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</si>
  <si>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</si>
  <si>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</si>
  <si>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</si>
  <si>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</si>
  <si>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</si>
  <si>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</si>
  <si>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</si>
  <si>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</si>
  <si>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</si>
  <si>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</si>
  <si>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</si>
  <si>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</si>
  <si>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</si>
  <si>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</si>
  <si>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</si>
  <si>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</si>
  <si>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</si>
  <si>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</si>
  <si>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</si>
  <si>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</si>
  <si>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</si>
  <si>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</si>
  <si>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</si>
  <si>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</si>
  <si>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</si>
  <si>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</si>
  <si>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</si>
  <si>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</si>
  <si>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</si>
  <si>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</si>
  <si>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</si>
  <si>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</si>
  <si>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</si>
  <si>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</si>
  <si>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</si>
  <si>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</si>
  <si>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</si>
  <si>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</si>
  <si>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</si>
  <si>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</si>
  <si>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</si>
  <si>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</si>
  <si>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</si>
  <si>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</si>
  <si>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</si>
  <si>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</si>
  <si>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</si>
  <si>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</si>
  <si>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</si>
  <si>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</si>
  <si>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</si>
  <si>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</si>
  <si>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</si>
  <si>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</si>
  <si>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</si>
  <si>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</si>
  <si>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</si>
  <si>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</si>
  <si>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</si>
  <si>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</si>
  <si>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</si>
  <si>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</si>
  <si>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</si>
  <si>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</si>
  <si>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</si>
  <si>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</si>
  <si>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</si>
  <si>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</si>
  <si>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</si>
  <si>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</si>
  <si>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</si>
  <si>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</si>
  <si>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</si>
  <si>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</si>
  <si>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</si>
  <si>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</si>
  <si>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</si>
  <si>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</si>
  <si>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</si>
  <si>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</si>
  <si>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</si>
  <si>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</si>
  <si>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</si>
  <si>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</si>
  <si>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</si>
  <si>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</si>
  <si>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</si>
  <si>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</si>
  <si>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</si>
  <si>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</si>
  <si>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</si>
  <si>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</si>
  <si>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</si>
  <si>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</si>
  <si>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</si>
  <si>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</si>
  <si>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</si>
  <si>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</si>
  <si>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</si>
  <si>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</si>
  <si>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</si>
  <si>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</si>
  <si>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</si>
  <si>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</si>
  <si>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</si>
  <si>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</si>
  <si>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</si>
  <si>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</si>
  <si>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</si>
  <si>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</si>
  <si>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</si>
  <si>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</si>
  <si>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</si>
  <si>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</si>
  <si>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</si>
  <si>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</si>
  <si>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</si>
  <si>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</si>
  <si>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</si>
  <si>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</si>
  <si>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</si>
  <si>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</si>
  <si>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</si>
  <si>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</si>
  <si>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</si>
  <si>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</si>
  <si>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</si>
  <si>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</si>
  <si>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</si>
  <si>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</si>
  <si>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</si>
  <si>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</si>
  <si>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</si>
  <si>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</si>
  <si>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</si>
  <si>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</si>
  <si>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</si>
  <si>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</si>
  <si>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</si>
  <si>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</si>
  <si>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</si>
  <si>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</si>
  <si>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</si>
  <si>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</si>
  <si>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</si>
  <si>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</si>
  <si>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</si>
  <si>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</si>
  <si>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</si>
  <si>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</si>
  <si>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</si>
  <si>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</si>
  <si>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</si>
  <si>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</si>
  <si>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</si>
  <si>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</si>
  <si>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</si>
  <si>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</si>
  <si>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</si>
  <si>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</si>
  <si>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</si>
  <si>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</si>
  <si>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</si>
  <si>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</si>
  <si>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</si>
  <si>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</si>
  <si>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</si>
  <si>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</si>
  <si>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</si>
  <si>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</si>
  <si>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</si>
  <si>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</si>
  <si>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</si>
  <si>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</si>
  <si>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</si>
  <si>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</si>
  <si>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</si>
  <si>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</si>
  <si>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</si>
  <si>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</si>
  <si>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</si>
  <si>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</si>
  <si>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</si>
  <si>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</si>
  <si>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</si>
  <si>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</si>
  <si>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</si>
  <si>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</si>
  <si>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</si>
  <si>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</si>
  <si>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</si>
  <si>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</si>
  <si>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</si>
  <si>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</si>
  <si>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</si>
  <si>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</si>
  <si>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</si>
  <si>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</si>
  <si>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</si>
  <si>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</si>
  <si>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</si>
  <si>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</si>
  <si>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</si>
  <si>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</si>
  <si>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</si>
  <si>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</si>
  <si>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</si>
  <si>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</si>
  <si>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</si>
  <si>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</si>
  <si>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</si>
  <si>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</si>
  <si>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</si>
  <si>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</si>
  <si>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</si>
  <si>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</si>
  <si>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</si>
  <si>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</si>
  <si>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</si>
  <si>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</si>
  <si>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</si>
  <si>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</si>
  <si>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</si>
  <si>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</si>
  <si>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</si>
  <si>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</si>
  <si>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</si>
  <si>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</si>
  <si>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</si>
  <si>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</si>
  <si>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</si>
  <si>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</si>
  <si>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</si>
  <si>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</si>
  <si>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</si>
  <si>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</si>
  <si>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</si>
  <si>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</si>
  <si>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</si>
  <si>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</si>
  <si>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</si>
  <si>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</si>
  <si>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</si>
  <si>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</si>
  <si>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</si>
  <si>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</si>
  <si>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</si>
  <si>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</si>
  <si>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</si>
  <si>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</si>
  <si>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</si>
  <si>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</si>
  <si>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</si>
  <si>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</si>
  <si>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</si>
  <si>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</si>
  <si>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</si>
  <si>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</si>
  <si>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</si>
  <si>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</si>
  <si>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</si>
  <si>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</si>
  <si>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</si>
  <si>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</si>
  <si>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</si>
  <si>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</si>
  <si>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</si>
  <si>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</si>
  <si>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</si>
  <si>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</si>
  <si>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</si>
  <si>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</si>
  <si>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</si>
  <si>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</si>
  <si>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</si>
  <si>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</si>
  <si>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ROK Historical Returns</t>
  </si>
  <si>
    <r>
      <t xml:space="preserve">753 Trading Days (From: </t>
    </r>
    <r>
      <rPr>
        <i/>
        <sz val="11"/>
        <color theme="1"/>
        <rFont val="Calibre"/>
      </rPr>
      <t>12/6/22 - 12/6/25)</t>
    </r>
  </si>
  <si>
    <t>More</t>
  </si>
  <si>
    <t>12/22/25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</si>
</sst>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1"/>
      <color theme="4" tint="-0.249977111117893"/>
      <name val="Calibre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44" fontId="2" fillId="0" borderId="0" xfId="0" applyNumberFormat="1" applyFont="1" applyAlignment="1">
      <alignment horizontal="right" indent="1"/>
    </xf>
    <xf numFmtId="1" fontId="2" fillId="0" borderId="0" xfId="0" applyNumberFormat="1" applyFont="1" applyAlignment="1">
      <alignment horizontal="left" indent="5"/>
    </xf>
    <xf numFmtId="0" fontId="16" fillId="0" borderId="0" xfId="3" applyFont="1"/>
    <xf numFmtId="9" fontId="13" fillId="0" borderId="0" xfId="0" applyNumberFormat="1" applyFont="1"/>
    <xf numFmtId="9" fontId="12" fillId="0" borderId="0" xfId="0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5" fontId="13" fillId="0" borderId="0" xfId="0" applyNumberFormat="1" applyFont="1" applyAlignment="1">
      <alignment vertical="top"/>
    </xf>
    <xf numFmtId="166" fontId="13" fillId="0" borderId="0" xfId="1" applyNumberFormat="1" applyFont="1" applyAlignment="1">
      <alignment vertical="top"/>
    </xf>
    <xf numFmtId="14" fontId="13" fillId="0" borderId="0" xfId="0" applyNumberFormat="1" applyFont="1" applyAlignment="1">
      <alignment horizontal="left"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/>
    </xf>
    <xf numFmtId="10" fontId="2" fillId="0" borderId="0" xfId="1" applyNumberFormat="1" applyFont="1"/>
    <xf numFmtId="164" fontId="2" fillId="0" borderId="0" xfId="2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2" fontId="8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/>
    </xf>
    <xf numFmtId="166" fontId="2" fillId="0" borderId="0" xfId="1" applyNumberFormat="1" applyFont="1"/>
    <xf numFmtId="166" fontId="3" fillId="0" borderId="0" xfId="1" applyNumberFormat="1" applyFont="1"/>
    <xf numFmtId="1" fontId="3" fillId="0" borderId="0" xfId="0" applyNumberFormat="1" applyFont="1"/>
    <xf numFmtId="0" fontId="6" fillId="0" borderId="0" xfId="0" applyFont="1"/>
    <xf numFmtId="1" fontId="2" fillId="0" borderId="0" xfId="0" applyNumberFormat="1" applyFont="1"/>
    <xf numFmtId="9" fontId="2" fillId="0" borderId="0" xfId="1" applyNumberFormat="1" applyFont="1"/>
    <xf numFmtId="0" fontId="18" fillId="6" borderId="0" xfId="0" applyFont="1" applyFill="1"/>
    <xf numFmtId="0" fontId="18" fillId="0" borderId="0" xfId="0" applyFont="1"/>
    <xf numFmtId="0" fontId="18" fillId="0" borderId="0" xfId="0" applyFont="1"/>
    <xf numFmtId="1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8" xfId="0" applyFill="1" applyBorder="1" applyAlignment="1"/>
    <xf numFmtId="0" fontId="9" fillId="0" borderId="17" xfId="0" applyFont="1" applyFill="1" applyBorder="1" applyAlignment="1">
      <alignment horizont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10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(ROK)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6"/>
          <c:order val="0"/>
          <c:tx>
            <c:strRef>
              <c:f>Model!$B$24</c:f>
              <c:strCache>
                <c:ptCount val="1"/>
                <c:pt idx="0">
                  <c:v>North America Growth Y/y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Model!$AY$1:$BR$1</c:f>
              <c:strCache>
                <c:ptCount val="17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</c:strCache>
            </c:strRef>
          </c:cat>
          <c:val>
            <c:numRef>
              <c:f>Model!$AY$18:$BR$18</c:f>
              <c:numCache>
                <c:formatCode>General</c:formatCode>
                <c:ptCount val="20"/>
                <c:pt idx="0">
                  <c:v>912</c:v>
                </c:pt>
                <c:pt idx="1">
                  <c:v>1066</c:v>
                </c:pt>
                <c:pt idx="2">
                  <c:v>1087</c:v>
                </c:pt>
                <c:pt idx="3">
                  <c:v>1068</c:v>
                </c:pt>
                <c:pt idx="4">
                  <c:v>1101</c:v>
                </c:pt>
                <c:pt idx="5">
                  <c:v>1072</c:v>
                </c:pt>
                <c:pt idx="6">
                  <c:v>1240</c:v>
                </c:pt>
                <c:pt idx="7">
                  <c:v>1309</c:v>
                </c:pt>
                <c:pt idx="8">
                  <c:v>1179</c:v>
                </c:pt>
                <c:pt idx="9">
                  <c:v>1310</c:v>
                </c:pt>
                <c:pt idx="10">
                  <c:v>1261</c:v>
                </c:pt>
                <c:pt idx="11">
                  <c:v>1474</c:v>
                </c:pt>
                <c:pt idx="12">
                  <c:v>1247</c:v>
                </c:pt>
                <c:pt idx="13">
                  <c:v>1294</c:v>
                </c:pt>
                <c:pt idx="14">
                  <c:v>1268</c:v>
                </c:pt>
                <c:pt idx="15">
                  <c:v>1244</c:v>
                </c:pt>
                <c:pt idx="16">
                  <c:v>1150</c:v>
                </c:pt>
                <c:pt idx="17">
                  <c:v>1288</c:v>
                </c:pt>
                <c:pt idx="18">
                  <c:v>1354</c:v>
                </c:pt>
                <c:pt idx="19">
                  <c:v>1478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1"/>
          <c:tx>
            <c:strRef>
              <c:f>Model!$B$19</c:f>
              <c:strCache>
                <c:ptCount val="1"/>
                <c:pt idx="0">
                  <c:v>Euro, Mid-East, Africa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Model!$AY$1:$BR$1</c:f>
              <c:strCache>
                <c:ptCount val="17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</c:strCache>
            </c:strRef>
          </c:cat>
          <c:val>
            <c:numRef>
              <c:f>Model!$AY$19:$BR$19</c:f>
              <c:numCache>
                <c:formatCode>General</c:formatCode>
                <c:ptCount val="20"/>
                <c:pt idx="0">
                  <c:v>321</c:v>
                </c:pt>
                <c:pt idx="1">
                  <c:v>354</c:v>
                </c:pt>
                <c:pt idx="2">
                  <c:v>377</c:v>
                </c:pt>
                <c:pt idx="3">
                  <c:v>354</c:v>
                </c:pt>
                <c:pt idx="4">
                  <c:v>355</c:v>
                </c:pt>
                <c:pt idx="5">
                  <c:v>349</c:v>
                </c:pt>
                <c:pt idx="6">
                  <c:v>353</c:v>
                </c:pt>
                <c:pt idx="7">
                  <c:v>381</c:v>
                </c:pt>
                <c:pt idx="8">
                  <c:v>373</c:v>
                </c:pt>
                <c:pt idx="9">
                  <c:v>487</c:v>
                </c:pt>
                <c:pt idx="10">
                  <c:v>494</c:v>
                </c:pt>
                <c:pt idx="11">
                  <c:v>517</c:v>
                </c:pt>
                <c:pt idx="12">
                  <c:v>388</c:v>
                </c:pt>
                <c:pt idx="13">
                  <c:v>399</c:v>
                </c:pt>
                <c:pt idx="14">
                  <c:v>356</c:v>
                </c:pt>
                <c:pt idx="15">
                  <c:v>361</c:v>
                </c:pt>
                <c:pt idx="16">
                  <c:v>332</c:v>
                </c:pt>
                <c:pt idx="17">
                  <c:v>358</c:v>
                </c:pt>
                <c:pt idx="18">
                  <c:v>392</c:v>
                </c:pt>
                <c:pt idx="19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2"/>
          <c:tx>
            <c:strRef>
              <c:f>Model!$B$20</c:f>
              <c:strCache>
                <c:ptCount val="1"/>
                <c:pt idx="0">
                  <c:v>APac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Model!$AY$1:$BR$1</c:f>
              <c:strCache>
                <c:ptCount val="17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</c:strCache>
            </c:strRef>
          </c:cat>
          <c:val>
            <c:numRef>
              <c:f>Model!$AY$20:$BR$20</c:f>
              <c:numCache>
                <c:formatCode>General</c:formatCode>
                <c:ptCount val="20"/>
                <c:pt idx="0">
                  <c:v>222</c:v>
                </c:pt>
                <c:pt idx="1">
                  <c:v>247</c:v>
                </c:pt>
                <c:pt idx="2">
                  <c:v>275</c:v>
                </c:pt>
                <c:pt idx="3">
                  <c:v>268</c:v>
                </c:pt>
                <c:pt idx="4">
                  <c:v>278</c:v>
                </c:pt>
                <c:pt idx="5">
                  <c:v>266</c:v>
                </c:pt>
                <c:pt idx="6">
                  <c:v>247</c:v>
                </c:pt>
                <c:pt idx="7">
                  <c:v>297</c:v>
                </c:pt>
                <c:pt idx="8">
                  <c:v>297</c:v>
                </c:pt>
                <c:pt idx="9">
                  <c:v>334</c:v>
                </c:pt>
                <c:pt idx="10">
                  <c:v>343</c:v>
                </c:pt>
                <c:pt idx="11">
                  <c:v>384</c:v>
                </c:pt>
                <c:pt idx="12">
                  <c:v>276</c:v>
                </c:pt>
                <c:pt idx="13">
                  <c:v>270</c:v>
                </c:pt>
                <c:pt idx="14">
                  <c:v>260</c:v>
                </c:pt>
                <c:pt idx="15">
                  <c:v>267</c:v>
                </c:pt>
                <c:pt idx="16">
                  <c:v>251</c:v>
                </c:pt>
                <c:pt idx="17">
                  <c:v>227</c:v>
                </c:pt>
                <c:pt idx="18">
                  <c:v>266</c:v>
                </c:pt>
                <c:pt idx="19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0"/>
          <c:order val="3"/>
          <c:tx>
            <c:strRef>
              <c:f>Model!$B$21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Model!$AY$1:$BR$1</c:f>
              <c:strCache>
                <c:ptCount val="17"/>
                <c:pt idx="0">
                  <c:v>Q1 2021</c:v>
                </c:pt>
                <c:pt idx="4">
                  <c:v>Q1 2022</c:v>
                </c:pt>
                <c:pt idx="8">
                  <c:v>Q1 2023</c:v>
                </c:pt>
                <c:pt idx="12">
                  <c:v>Q1 2024</c:v>
                </c:pt>
                <c:pt idx="16">
                  <c:v>Q1 2025</c:v>
                </c:pt>
              </c:strCache>
            </c:strRef>
          </c:cat>
          <c:val>
            <c:numRef>
              <c:f>Model!$AY$21:$BR$21</c:f>
              <c:numCache>
                <c:formatCode>General</c:formatCode>
                <c:ptCount val="20"/>
                <c:pt idx="0">
                  <c:v>111</c:v>
                </c:pt>
                <c:pt idx="1">
                  <c:v>109</c:v>
                </c:pt>
                <c:pt idx="2">
                  <c:v>110</c:v>
                </c:pt>
                <c:pt idx="3">
                  <c:v>117</c:v>
                </c:pt>
                <c:pt idx="4">
                  <c:v>123</c:v>
                </c:pt>
                <c:pt idx="5">
                  <c:v>122</c:v>
                </c:pt>
                <c:pt idx="6">
                  <c:v>129</c:v>
                </c:pt>
                <c:pt idx="7">
                  <c:v>139</c:v>
                </c:pt>
                <c:pt idx="8">
                  <c:v>132</c:v>
                </c:pt>
                <c:pt idx="9">
                  <c:v>144</c:v>
                </c:pt>
                <c:pt idx="10">
                  <c:v>140</c:v>
                </c:pt>
                <c:pt idx="11">
                  <c:v>213</c:v>
                </c:pt>
                <c:pt idx="12">
                  <c:v>141</c:v>
                </c:pt>
                <c:pt idx="13">
                  <c:v>163</c:v>
                </c:pt>
                <c:pt idx="14">
                  <c:v>167</c:v>
                </c:pt>
                <c:pt idx="15">
                  <c:v>163</c:v>
                </c:pt>
                <c:pt idx="16">
                  <c:v>148</c:v>
                </c:pt>
                <c:pt idx="17">
                  <c:v>128</c:v>
                </c:pt>
                <c:pt idx="18">
                  <c:v>132</c:v>
                </c:pt>
                <c:pt idx="19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2-437C-BFA2-4649A8D81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2932104437220135"/>
          <c:y val="9.7743479169566952E-2"/>
          <c:w val="0.55052269929673103"/>
          <c:h val="4.32571759697946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(ROK)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Model!$AU$45:$BR$45</c:f>
              <c:numCache>
                <c:formatCode>0</c:formatCode>
                <c:ptCount val="24"/>
                <c:pt idx="0">
                  <c:v>315.40000000000003</c:v>
                </c:pt>
                <c:pt idx="1">
                  <c:v>129.89999999999992</c:v>
                </c:pt>
                <c:pt idx="2">
                  <c:v>314.2</c:v>
                </c:pt>
                <c:pt idx="3">
                  <c:v>263.69999999999993</c:v>
                </c:pt>
                <c:pt idx="4">
                  <c:v>591.1</c:v>
                </c:pt>
                <c:pt idx="5">
                  <c:v>410.19999999999993</c:v>
                </c:pt>
                <c:pt idx="6">
                  <c:v>269.80000000000007</c:v>
                </c:pt>
                <c:pt idx="7">
                  <c:v>73.79999999999994</c:v>
                </c:pt>
                <c:pt idx="8">
                  <c:v>238.59999999999994</c:v>
                </c:pt>
                <c:pt idx="9">
                  <c:v>50.3</c:v>
                </c:pt>
                <c:pt idx="10">
                  <c:v>295.10000000000008</c:v>
                </c:pt>
                <c:pt idx="11">
                  <c:v>335.69999999999987</c:v>
                </c:pt>
                <c:pt idx="12">
                  <c:v>378.69999999999993</c:v>
                </c:pt>
                <c:pt idx="13">
                  <c:v>294.49999999999994</c:v>
                </c:pt>
                <c:pt idx="14">
                  <c:v>398.00000000000011</c:v>
                </c:pt>
                <c:pt idx="15">
                  <c:v>206.79999999999995</c:v>
                </c:pt>
                <c:pt idx="16">
                  <c:v>213</c:v>
                </c:pt>
                <c:pt idx="17">
                  <c:v>265</c:v>
                </c:pt>
                <c:pt idx="18">
                  <c:v>231</c:v>
                </c:pt>
                <c:pt idx="19">
                  <c:v>239</c:v>
                </c:pt>
                <c:pt idx="20">
                  <c:v>178</c:v>
                </c:pt>
                <c:pt idx="21">
                  <c:v>248</c:v>
                </c:pt>
                <c:pt idx="22">
                  <c:v>293</c:v>
                </c:pt>
                <c:pt idx="2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Model!$AU$93:$BR$93</c:f>
              <c:numCache>
                <c:formatCode>0</c:formatCode>
                <c:ptCount val="24"/>
                <c:pt idx="0">
                  <c:v>194.1</c:v>
                </c:pt>
                <c:pt idx="1">
                  <c:v>197.8</c:v>
                </c:pt>
                <c:pt idx="2">
                  <c:v>310.89999999999998</c:v>
                </c:pt>
                <c:pt idx="3">
                  <c:v>303.8</c:v>
                </c:pt>
                <c:pt idx="4">
                  <c:v>319.39999999999998</c:v>
                </c:pt>
                <c:pt idx="5">
                  <c:v>223.9</c:v>
                </c:pt>
                <c:pt idx="6">
                  <c:v>437</c:v>
                </c:pt>
                <c:pt idx="7">
                  <c:v>160.39999999999998</c:v>
                </c:pt>
                <c:pt idx="8">
                  <c:v>-49.1</c:v>
                </c:pt>
                <c:pt idx="9">
                  <c:v>45.9</c:v>
                </c:pt>
                <c:pt idx="10">
                  <c:v>326.59999999999997</c:v>
                </c:pt>
                <c:pt idx="11">
                  <c:v>358.59999999999997</c:v>
                </c:pt>
                <c:pt idx="12">
                  <c:v>42.099999999999994</c:v>
                </c:pt>
                <c:pt idx="13">
                  <c:v>155.6</c:v>
                </c:pt>
                <c:pt idx="14">
                  <c:v>240.1</c:v>
                </c:pt>
                <c:pt idx="15">
                  <c:v>776.3</c:v>
                </c:pt>
                <c:pt idx="16">
                  <c:v>-35</c:v>
                </c:pt>
                <c:pt idx="17">
                  <c:v>69</c:v>
                </c:pt>
                <c:pt idx="18">
                  <c:v>238</c:v>
                </c:pt>
                <c:pt idx="19">
                  <c:v>367</c:v>
                </c:pt>
                <c:pt idx="20">
                  <c:v>293</c:v>
                </c:pt>
                <c:pt idx="21">
                  <c:v>171</c:v>
                </c:pt>
                <c:pt idx="22">
                  <c:v>489</c:v>
                </c:pt>
                <c:pt idx="23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Model!$AU$1:$BR$1</c:f>
              <c:strCache>
                <c:ptCount val="21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</c:strCache>
            </c:strRef>
          </c:cat>
          <c:val>
            <c:numRef>
              <c:f>Model!$AU$35:$BR$35</c:f>
              <c:numCache>
                <c:formatCode>0</c:formatCode>
                <c:ptCount val="24"/>
                <c:pt idx="0">
                  <c:v>1684.5</c:v>
                </c:pt>
                <c:pt idx="1">
                  <c:v>1681.3</c:v>
                </c:pt>
                <c:pt idx="2">
                  <c:v>1394</c:v>
                </c:pt>
                <c:pt idx="3">
                  <c:v>1570</c:v>
                </c:pt>
                <c:pt idx="4">
                  <c:v>1566</c:v>
                </c:pt>
                <c:pt idx="5">
                  <c:v>1776</c:v>
                </c:pt>
                <c:pt idx="6">
                  <c:v>1849</c:v>
                </c:pt>
                <c:pt idx="7">
                  <c:v>1807</c:v>
                </c:pt>
                <c:pt idx="8">
                  <c:v>1857</c:v>
                </c:pt>
                <c:pt idx="9">
                  <c:v>1809</c:v>
                </c:pt>
                <c:pt idx="10">
                  <c:v>1969</c:v>
                </c:pt>
                <c:pt idx="11">
                  <c:v>2126</c:v>
                </c:pt>
                <c:pt idx="12">
                  <c:v>1981</c:v>
                </c:pt>
                <c:pt idx="13">
                  <c:v>2275</c:v>
                </c:pt>
                <c:pt idx="14">
                  <c:v>2238</c:v>
                </c:pt>
                <c:pt idx="15">
                  <c:v>2564</c:v>
                </c:pt>
                <c:pt idx="16">
                  <c:v>2052</c:v>
                </c:pt>
                <c:pt idx="17">
                  <c:v>2126</c:v>
                </c:pt>
                <c:pt idx="18">
                  <c:v>2051</c:v>
                </c:pt>
                <c:pt idx="19">
                  <c:v>2035</c:v>
                </c:pt>
                <c:pt idx="20">
                  <c:v>1881</c:v>
                </c:pt>
                <c:pt idx="21">
                  <c:v>2001</c:v>
                </c:pt>
                <c:pt idx="22">
                  <c:v>2144</c:v>
                </c:pt>
                <c:pt idx="23">
                  <c:v>2316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(ROK)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Analysis'!$Q$245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889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Analysis'!$Q$247:$Q$337</c:f>
              <c:numCache>
                <c:formatCode>0.00%</c:formatCode>
                <c:ptCount val="91"/>
                <c:pt idx="0">
                  <c:v>-4.5000000000000033E-2</c:v>
                </c:pt>
                <c:pt idx="1">
                  <c:v>-4.4000000000000032E-2</c:v>
                </c:pt>
                <c:pt idx="2">
                  <c:v>-4.3000000000000031E-2</c:v>
                </c:pt>
                <c:pt idx="3">
                  <c:v>-4.200000000000003E-2</c:v>
                </c:pt>
                <c:pt idx="4">
                  <c:v>-4.1000000000000029E-2</c:v>
                </c:pt>
                <c:pt idx="5">
                  <c:v>-4.0000000000000029E-2</c:v>
                </c:pt>
                <c:pt idx="6">
                  <c:v>-3.9000000000000028E-2</c:v>
                </c:pt>
                <c:pt idx="7">
                  <c:v>-3.8000000000000027E-2</c:v>
                </c:pt>
                <c:pt idx="8">
                  <c:v>-3.7000000000000026E-2</c:v>
                </c:pt>
                <c:pt idx="9">
                  <c:v>-3.6000000000000025E-2</c:v>
                </c:pt>
                <c:pt idx="10">
                  <c:v>-3.5000000000000024E-2</c:v>
                </c:pt>
                <c:pt idx="11">
                  <c:v>-3.4000000000000023E-2</c:v>
                </c:pt>
                <c:pt idx="12">
                  <c:v>-3.3000000000000022E-2</c:v>
                </c:pt>
                <c:pt idx="13">
                  <c:v>-3.2000000000000021E-2</c:v>
                </c:pt>
                <c:pt idx="14">
                  <c:v>-3.1000000000000021E-2</c:v>
                </c:pt>
                <c:pt idx="15">
                  <c:v>-3.000000000000002E-2</c:v>
                </c:pt>
                <c:pt idx="16">
                  <c:v>-2.9000000000000019E-2</c:v>
                </c:pt>
                <c:pt idx="17">
                  <c:v>-2.8000000000000018E-2</c:v>
                </c:pt>
                <c:pt idx="18">
                  <c:v>-2.7000000000000017E-2</c:v>
                </c:pt>
                <c:pt idx="19">
                  <c:v>-2.6000000000000016E-2</c:v>
                </c:pt>
                <c:pt idx="20">
                  <c:v>-2.5000000000000015E-2</c:v>
                </c:pt>
                <c:pt idx="21">
                  <c:v>-2.4000000000000014E-2</c:v>
                </c:pt>
                <c:pt idx="22">
                  <c:v>-2.3000000000000013E-2</c:v>
                </c:pt>
                <c:pt idx="23">
                  <c:v>-2.2000000000000013E-2</c:v>
                </c:pt>
                <c:pt idx="24">
                  <c:v>-2.1000000000000012E-2</c:v>
                </c:pt>
                <c:pt idx="25">
                  <c:v>-2.0000000000000011E-2</c:v>
                </c:pt>
                <c:pt idx="26">
                  <c:v>-1.900000000000001E-2</c:v>
                </c:pt>
                <c:pt idx="27">
                  <c:v>-1.8000000000000009E-2</c:v>
                </c:pt>
                <c:pt idx="28">
                  <c:v>-1.7000000000000008E-2</c:v>
                </c:pt>
                <c:pt idx="29">
                  <c:v>-1.6000000000000007E-2</c:v>
                </c:pt>
                <c:pt idx="30">
                  <c:v>-1.5000000000000006E-2</c:v>
                </c:pt>
                <c:pt idx="31">
                  <c:v>-1.4000000000000005E-2</c:v>
                </c:pt>
                <c:pt idx="32">
                  <c:v>-1.3000000000000005E-2</c:v>
                </c:pt>
                <c:pt idx="33">
                  <c:v>-1.2000000000000004E-2</c:v>
                </c:pt>
                <c:pt idx="34">
                  <c:v>-1.1000000000000003E-2</c:v>
                </c:pt>
                <c:pt idx="35">
                  <c:v>-1.0000000000000002E-2</c:v>
                </c:pt>
                <c:pt idx="36">
                  <c:v>-9.0000000000000011E-3</c:v>
                </c:pt>
                <c:pt idx="37">
                  <c:v>-8.0000000000000002E-3</c:v>
                </c:pt>
                <c:pt idx="38">
                  <c:v>-7.0000000000000001E-3</c:v>
                </c:pt>
                <c:pt idx="39">
                  <c:v>-6.0000000000000001E-3</c:v>
                </c:pt>
                <c:pt idx="40">
                  <c:v>-5.0000000000000001E-3</c:v>
                </c:pt>
                <c:pt idx="41">
                  <c:v>-4.0000000000000001E-3</c:v>
                </c:pt>
                <c:pt idx="42">
                  <c:v>-3.0000000000000001E-3</c:v>
                </c:pt>
                <c:pt idx="43">
                  <c:v>-2E-3</c:v>
                </c:pt>
                <c:pt idx="44">
                  <c:v>-1E-3</c:v>
                </c:pt>
                <c:pt idx="45">
                  <c:v>0</c:v>
                </c:pt>
                <c:pt idx="46">
                  <c:v>1E-3</c:v>
                </c:pt>
                <c:pt idx="47">
                  <c:v>2E-3</c:v>
                </c:pt>
                <c:pt idx="48">
                  <c:v>3.0000000000000001E-3</c:v>
                </c:pt>
                <c:pt idx="49">
                  <c:v>4.0000000000000001E-3</c:v>
                </c:pt>
                <c:pt idx="50">
                  <c:v>5.0000000000000001E-3</c:v>
                </c:pt>
                <c:pt idx="51">
                  <c:v>6.0000000000000001E-3</c:v>
                </c:pt>
                <c:pt idx="52">
                  <c:v>7.0000000000000001E-3</c:v>
                </c:pt>
                <c:pt idx="53">
                  <c:v>8.0000000000000002E-3</c:v>
                </c:pt>
                <c:pt idx="54">
                  <c:v>9.0000000000000011E-3</c:v>
                </c:pt>
                <c:pt idx="55">
                  <c:v>1.0000000000000002E-2</c:v>
                </c:pt>
                <c:pt idx="56">
                  <c:v>1.1000000000000003E-2</c:v>
                </c:pt>
                <c:pt idx="57">
                  <c:v>1.2000000000000004E-2</c:v>
                </c:pt>
                <c:pt idx="58">
                  <c:v>1.3000000000000005E-2</c:v>
                </c:pt>
                <c:pt idx="59">
                  <c:v>1.4000000000000005E-2</c:v>
                </c:pt>
                <c:pt idx="60">
                  <c:v>1.5000000000000006E-2</c:v>
                </c:pt>
                <c:pt idx="61">
                  <c:v>1.6000000000000007E-2</c:v>
                </c:pt>
                <c:pt idx="62">
                  <c:v>1.7000000000000008E-2</c:v>
                </c:pt>
                <c:pt idx="63">
                  <c:v>1.8000000000000009E-2</c:v>
                </c:pt>
                <c:pt idx="64">
                  <c:v>1.900000000000001E-2</c:v>
                </c:pt>
                <c:pt idx="65">
                  <c:v>2.0000000000000011E-2</c:v>
                </c:pt>
                <c:pt idx="66">
                  <c:v>2.1000000000000012E-2</c:v>
                </c:pt>
                <c:pt idx="67">
                  <c:v>2.2000000000000013E-2</c:v>
                </c:pt>
                <c:pt idx="68">
                  <c:v>2.3000000000000013E-2</c:v>
                </c:pt>
                <c:pt idx="69">
                  <c:v>2.4000000000000014E-2</c:v>
                </c:pt>
                <c:pt idx="70">
                  <c:v>2.5000000000000015E-2</c:v>
                </c:pt>
                <c:pt idx="71">
                  <c:v>2.6000000000000016E-2</c:v>
                </c:pt>
                <c:pt idx="72">
                  <c:v>2.7000000000000017E-2</c:v>
                </c:pt>
                <c:pt idx="73">
                  <c:v>2.8000000000000018E-2</c:v>
                </c:pt>
                <c:pt idx="74">
                  <c:v>2.9000000000000019E-2</c:v>
                </c:pt>
                <c:pt idx="75">
                  <c:v>3.000000000000002E-2</c:v>
                </c:pt>
                <c:pt idx="76">
                  <c:v>3.1000000000000021E-2</c:v>
                </c:pt>
                <c:pt idx="77">
                  <c:v>3.2000000000000021E-2</c:v>
                </c:pt>
                <c:pt idx="78">
                  <c:v>3.3000000000000022E-2</c:v>
                </c:pt>
                <c:pt idx="79">
                  <c:v>3.4000000000000023E-2</c:v>
                </c:pt>
                <c:pt idx="80">
                  <c:v>3.5000000000000024E-2</c:v>
                </c:pt>
                <c:pt idx="81">
                  <c:v>3.6000000000000025E-2</c:v>
                </c:pt>
                <c:pt idx="82">
                  <c:v>3.7000000000000026E-2</c:v>
                </c:pt>
                <c:pt idx="83">
                  <c:v>3.8000000000000027E-2</c:v>
                </c:pt>
                <c:pt idx="84">
                  <c:v>3.9000000000000028E-2</c:v>
                </c:pt>
                <c:pt idx="85">
                  <c:v>4.0000000000000029E-2</c:v>
                </c:pt>
                <c:pt idx="86">
                  <c:v>4.1000000000000029E-2</c:v>
                </c:pt>
                <c:pt idx="87">
                  <c:v>4.200000000000003E-2</c:v>
                </c:pt>
                <c:pt idx="88">
                  <c:v>4.3000000000000031E-2</c:v>
                </c:pt>
                <c:pt idx="89">
                  <c:v>4.4000000000000032E-2</c:v>
                </c:pt>
                <c:pt idx="90">
                  <c:v>4.5000000000000033E-2</c:v>
                </c:pt>
              </c:numCache>
            </c:numRef>
          </c:xVal>
          <c:yVal>
            <c:numRef>
              <c:f>'Notes | Quant Analysis'!$R$247:$R$337</c:f>
              <c:numCache>
                <c:formatCode>General</c:formatCode>
                <c:ptCount val="91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5</c:v>
                </c:pt>
                <c:pt idx="17">
                  <c:v>0</c:v>
                </c:pt>
                <c:pt idx="18">
                  <c:v>4</c:v>
                </c:pt>
                <c:pt idx="19">
                  <c:v>5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7</c:v>
                </c:pt>
                <c:pt idx="25">
                  <c:v>7</c:v>
                </c:pt>
                <c:pt idx="26">
                  <c:v>5</c:v>
                </c:pt>
                <c:pt idx="27">
                  <c:v>7</c:v>
                </c:pt>
                <c:pt idx="28">
                  <c:v>6</c:v>
                </c:pt>
                <c:pt idx="29">
                  <c:v>6</c:v>
                </c:pt>
                <c:pt idx="30">
                  <c:v>10</c:v>
                </c:pt>
                <c:pt idx="31">
                  <c:v>9</c:v>
                </c:pt>
                <c:pt idx="32">
                  <c:v>14</c:v>
                </c:pt>
                <c:pt idx="33">
                  <c:v>12</c:v>
                </c:pt>
                <c:pt idx="34">
                  <c:v>12</c:v>
                </c:pt>
                <c:pt idx="35">
                  <c:v>23</c:v>
                </c:pt>
                <c:pt idx="36">
                  <c:v>12</c:v>
                </c:pt>
                <c:pt idx="37">
                  <c:v>18</c:v>
                </c:pt>
                <c:pt idx="38">
                  <c:v>21</c:v>
                </c:pt>
                <c:pt idx="39">
                  <c:v>20</c:v>
                </c:pt>
                <c:pt idx="40">
                  <c:v>26</c:v>
                </c:pt>
                <c:pt idx="41">
                  <c:v>20</c:v>
                </c:pt>
                <c:pt idx="42">
                  <c:v>20</c:v>
                </c:pt>
                <c:pt idx="43">
                  <c:v>18</c:v>
                </c:pt>
                <c:pt idx="44">
                  <c:v>18</c:v>
                </c:pt>
                <c:pt idx="45">
                  <c:v>27</c:v>
                </c:pt>
                <c:pt idx="46">
                  <c:v>42</c:v>
                </c:pt>
                <c:pt idx="47">
                  <c:v>24</c:v>
                </c:pt>
                <c:pt idx="48">
                  <c:v>28</c:v>
                </c:pt>
                <c:pt idx="49">
                  <c:v>20</c:v>
                </c:pt>
                <c:pt idx="50">
                  <c:v>22</c:v>
                </c:pt>
                <c:pt idx="51">
                  <c:v>25</c:v>
                </c:pt>
                <c:pt idx="52">
                  <c:v>21</c:v>
                </c:pt>
                <c:pt idx="53">
                  <c:v>19</c:v>
                </c:pt>
                <c:pt idx="54">
                  <c:v>15</c:v>
                </c:pt>
                <c:pt idx="55">
                  <c:v>23</c:v>
                </c:pt>
                <c:pt idx="56">
                  <c:v>15</c:v>
                </c:pt>
                <c:pt idx="57">
                  <c:v>9</c:v>
                </c:pt>
                <c:pt idx="58">
                  <c:v>13</c:v>
                </c:pt>
                <c:pt idx="59">
                  <c:v>14</c:v>
                </c:pt>
                <c:pt idx="60">
                  <c:v>9</c:v>
                </c:pt>
                <c:pt idx="61">
                  <c:v>10</c:v>
                </c:pt>
                <c:pt idx="62">
                  <c:v>12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9</c:v>
                </c:pt>
                <c:pt idx="67">
                  <c:v>3</c:v>
                </c:pt>
                <c:pt idx="68">
                  <c:v>8</c:v>
                </c:pt>
                <c:pt idx="69">
                  <c:v>6</c:v>
                </c:pt>
                <c:pt idx="70">
                  <c:v>4</c:v>
                </c:pt>
                <c:pt idx="71">
                  <c:v>2</c:v>
                </c:pt>
                <c:pt idx="72">
                  <c:v>2</c:v>
                </c:pt>
                <c:pt idx="73">
                  <c:v>7</c:v>
                </c:pt>
                <c:pt idx="74">
                  <c:v>2</c:v>
                </c:pt>
                <c:pt idx="75">
                  <c:v>2</c:v>
                </c:pt>
                <c:pt idx="76">
                  <c:v>1</c:v>
                </c:pt>
                <c:pt idx="77">
                  <c:v>3</c:v>
                </c:pt>
                <c:pt idx="78">
                  <c:v>1</c:v>
                </c:pt>
                <c:pt idx="79">
                  <c:v>2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3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Analysis'!$T$245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Analysis'!$T$247:$T$347</c:f>
              <c:numCache>
                <c:formatCode>0.00%</c:formatCode>
                <c:ptCount val="101"/>
                <c:pt idx="0">
                  <c:v>-0.05</c:v>
                </c:pt>
                <c:pt idx="1">
                  <c:v>-4.9000000000000002E-2</c:v>
                </c:pt>
                <c:pt idx="2">
                  <c:v>-4.8000000000000001E-2</c:v>
                </c:pt>
                <c:pt idx="3">
                  <c:v>-4.7E-2</c:v>
                </c:pt>
                <c:pt idx="4">
                  <c:v>-4.5999999999999999E-2</c:v>
                </c:pt>
                <c:pt idx="5">
                  <c:v>-4.5000000000000033E-2</c:v>
                </c:pt>
                <c:pt idx="6">
                  <c:v>-4.4000000000000032E-2</c:v>
                </c:pt>
                <c:pt idx="7">
                  <c:v>-4.3000000000000031E-2</c:v>
                </c:pt>
                <c:pt idx="8">
                  <c:v>-4.200000000000003E-2</c:v>
                </c:pt>
                <c:pt idx="9">
                  <c:v>-4.1000000000000029E-2</c:v>
                </c:pt>
                <c:pt idx="10">
                  <c:v>-4.0000000000000029E-2</c:v>
                </c:pt>
                <c:pt idx="11">
                  <c:v>-3.9000000000000028E-2</c:v>
                </c:pt>
                <c:pt idx="12">
                  <c:v>-3.8000000000000027E-2</c:v>
                </c:pt>
                <c:pt idx="13">
                  <c:v>-3.7000000000000026E-2</c:v>
                </c:pt>
                <c:pt idx="14">
                  <c:v>-3.6000000000000025E-2</c:v>
                </c:pt>
                <c:pt idx="15">
                  <c:v>-3.5000000000000024E-2</c:v>
                </c:pt>
                <c:pt idx="16">
                  <c:v>-3.4000000000000023E-2</c:v>
                </c:pt>
                <c:pt idx="17">
                  <c:v>-3.3000000000000022E-2</c:v>
                </c:pt>
                <c:pt idx="18">
                  <c:v>-3.2000000000000021E-2</c:v>
                </c:pt>
                <c:pt idx="19">
                  <c:v>-3.1000000000000021E-2</c:v>
                </c:pt>
                <c:pt idx="20">
                  <c:v>-3.000000000000002E-2</c:v>
                </c:pt>
                <c:pt idx="21">
                  <c:v>-2.9000000000000019E-2</c:v>
                </c:pt>
                <c:pt idx="22">
                  <c:v>-2.8000000000000018E-2</c:v>
                </c:pt>
                <c:pt idx="23">
                  <c:v>-2.7000000000000017E-2</c:v>
                </c:pt>
                <c:pt idx="24">
                  <c:v>-2.6000000000000016E-2</c:v>
                </c:pt>
                <c:pt idx="25">
                  <c:v>-2.5000000000000015E-2</c:v>
                </c:pt>
                <c:pt idx="26">
                  <c:v>-2.4000000000000014E-2</c:v>
                </c:pt>
                <c:pt idx="27">
                  <c:v>-2.3000000000000013E-2</c:v>
                </c:pt>
                <c:pt idx="28">
                  <c:v>-2.2000000000000013E-2</c:v>
                </c:pt>
                <c:pt idx="29">
                  <c:v>-2.1000000000000012E-2</c:v>
                </c:pt>
                <c:pt idx="30">
                  <c:v>-2.0000000000000011E-2</c:v>
                </c:pt>
                <c:pt idx="31">
                  <c:v>-1.900000000000001E-2</c:v>
                </c:pt>
                <c:pt idx="32">
                  <c:v>-1.8000000000000009E-2</c:v>
                </c:pt>
                <c:pt idx="33">
                  <c:v>-1.7000000000000008E-2</c:v>
                </c:pt>
                <c:pt idx="34">
                  <c:v>-1.6000000000000007E-2</c:v>
                </c:pt>
                <c:pt idx="35">
                  <c:v>-1.5000000000000006E-2</c:v>
                </c:pt>
                <c:pt idx="36">
                  <c:v>-1.4000000000000005E-2</c:v>
                </c:pt>
                <c:pt idx="37">
                  <c:v>-1.3000000000000005E-2</c:v>
                </c:pt>
                <c:pt idx="38">
                  <c:v>-1.2000000000000004E-2</c:v>
                </c:pt>
                <c:pt idx="39">
                  <c:v>-1.1000000000000003E-2</c:v>
                </c:pt>
                <c:pt idx="40">
                  <c:v>-1.0000000000000002E-2</c:v>
                </c:pt>
                <c:pt idx="41">
                  <c:v>-9.0000000000000011E-3</c:v>
                </c:pt>
                <c:pt idx="42">
                  <c:v>-8.0000000000000002E-3</c:v>
                </c:pt>
                <c:pt idx="43">
                  <c:v>-7.0000000000000001E-3</c:v>
                </c:pt>
                <c:pt idx="44">
                  <c:v>-6.0000000000000001E-3</c:v>
                </c:pt>
                <c:pt idx="45">
                  <c:v>-5.0000000000000001E-3</c:v>
                </c:pt>
                <c:pt idx="46">
                  <c:v>-4.0000000000000001E-3</c:v>
                </c:pt>
                <c:pt idx="47">
                  <c:v>-3.0000000000000001E-3</c:v>
                </c:pt>
                <c:pt idx="48">
                  <c:v>-2E-3</c:v>
                </c:pt>
                <c:pt idx="49">
                  <c:v>-1E-3</c:v>
                </c:pt>
                <c:pt idx="50">
                  <c:v>0</c:v>
                </c:pt>
                <c:pt idx="51">
                  <c:v>1E-3</c:v>
                </c:pt>
                <c:pt idx="52">
                  <c:v>2E-3</c:v>
                </c:pt>
                <c:pt idx="53">
                  <c:v>3.0000000000000001E-3</c:v>
                </c:pt>
                <c:pt idx="54">
                  <c:v>4.0000000000000001E-3</c:v>
                </c:pt>
                <c:pt idx="55">
                  <c:v>5.0000000000000001E-3</c:v>
                </c:pt>
                <c:pt idx="56">
                  <c:v>6.0000000000000001E-3</c:v>
                </c:pt>
                <c:pt idx="57">
                  <c:v>7.0000000000000001E-3</c:v>
                </c:pt>
                <c:pt idx="58">
                  <c:v>8.0000000000000002E-3</c:v>
                </c:pt>
                <c:pt idx="59">
                  <c:v>9.0000000000000011E-3</c:v>
                </c:pt>
                <c:pt idx="60">
                  <c:v>1.0000000000000002E-2</c:v>
                </c:pt>
                <c:pt idx="61">
                  <c:v>1.1000000000000003E-2</c:v>
                </c:pt>
                <c:pt idx="62">
                  <c:v>1.2000000000000004E-2</c:v>
                </c:pt>
                <c:pt idx="63">
                  <c:v>1.3000000000000005E-2</c:v>
                </c:pt>
                <c:pt idx="64">
                  <c:v>1.4000000000000005E-2</c:v>
                </c:pt>
                <c:pt idx="65">
                  <c:v>1.5000000000000006E-2</c:v>
                </c:pt>
                <c:pt idx="66">
                  <c:v>1.6000000000000007E-2</c:v>
                </c:pt>
                <c:pt idx="67">
                  <c:v>1.7000000000000008E-2</c:v>
                </c:pt>
                <c:pt idx="68">
                  <c:v>1.8000000000000009E-2</c:v>
                </c:pt>
                <c:pt idx="69">
                  <c:v>1.900000000000001E-2</c:v>
                </c:pt>
                <c:pt idx="70">
                  <c:v>2.0000000000000011E-2</c:v>
                </c:pt>
                <c:pt idx="71">
                  <c:v>2.1000000000000012E-2</c:v>
                </c:pt>
                <c:pt idx="72">
                  <c:v>2.2000000000000013E-2</c:v>
                </c:pt>
                <c:pt idx="73">
                  <c:v>2.3000000000000013E-2</c:v>
                </c:pt>
                <c:pt idx="74">
                  <c:v>2.4000000000000014E-2</c:v>
                </c:pt>
                <c:pt idx="75">
                  <c:v>2.5000000000000015E-2</c:v>
                </c:pt>
                <c:pt idx="76">
                  <c:v>2.6000000000000016E-2</c:v>
                </c:pt>
                <c:pt idx="77">
                  <c:v>2.7000000000000017E-2</c:v>
                </c:pt>
                <c:pt idx="78">
                  <c:v>2.8000000000000018E-2</c:v>
                </c:pt>
                <c:pt idx="79">
                  <c:v>2.9000000000000019E-2</c:v>
                </c:pt>
                <c:pt idx="80">
                  <c:v>3.000000000000002E-2</c:v>
                </c:pt>
                <c:pt idx="81">
                  <c:v>3.1000000000000021E-2</c:v>
                </c:pt>
                <c:pt idx="82">
                  <c:v>3.2000000000000021E-2</c:v>
                </c:pt>
                <c:pt idx="83">
                  <c:v>3.3000000000000022E-2</c:v>
                </c:pt>
                <c:pt idx="84">
                  <c:v>3.4000000000000023E-2</c:v>
                </c:pt>
                <c:pt idx="85">
                  <c:v>3.5000000000000024E-2</c:v>
                </c:pt>
                <c:pt idx="86">
                  <c:v>3.6000000000000025E-2</c:v>
                </c:pt>
                <c:pt idx="87">
                  <c:v>3.7000000000000026E-2</c:v>
                </c:pt>
                <c:pt idx="88">
                  <c:v>3.8000000000000027E-2</c:v>
                </c:pt>
                <c:pt idx="89">
                  <c:v>3.9000000000000028E-2</c:v>
                </c:pt>
                <c:pt idx="90">
                  <c:v>4.0000000000000029E-2</c:v>
                </c:pt>
                <c:pt idx="91">
                  <c:v>4.1000000000000029E-2</c:v>
                </c:pt>
                <c:pt idx="92">
                  <c:v>4.200000000000003E-2</c:v>
                </c:pt>
                <c:pt idx="93">
                  <c:v>4.3000000000000031E-2</c:v>
                </c:pt>
                <c:pt idx="94">
                  <c:v>4.4000000000000032E-2</c:v>
                </c:pt>
                <c:pt idx="95">
                  <c:v>4.5000000000000033E-2</c:v>
                </c:pt>
                <c:pt idx="96">
                  <c:v>4.5999999999999999E-2</c:v>
                </c:pt>
                <c:pt idx="97">
                  <c:v>4.7E-2</c:v>
                </c:pt>
                <c:pt idx="98">
                  <c:v>4.8000000000000001E-2</c:v>
                </c:pt>
                <c:pt idx="99">
                  <c:v>4.9000000000000002E-2</c:v>
                </c:pt>
                <c:pt idx="100">
                  <c:v>0.05</c:v>
                </c:pt>
              </c:numCache>
            </c:numRef>
          </c:xVal>
          <c:yVal>
            <c:numRef>
              <c:f>'Notes | Quant Analysis'!$U$247:$U$347</c:f>
              <c:numCache>
                <c:formatCode>General</c:formatCode>
                <c:ptCount val="101"/>
                <c:pt idx="0">
                  <c:v>7.0138593642458169E-2</c:v>
                </c:pt>
                <c:pt idx="1">
                  <c:v>8.870976579182395E-2</c:v>
                </c:pt>
                <c:pt idx="2">
                  <c:v>0.11167027725366437</c:v>
                </c:pt>
                <c:pt idx="3">
                  <c:v>0.1399121849455715</c:v>
                </c:pt>
                <c:pt idx="4">
                  <c:v>0.17447180974911369</c:v>
                </c:pt>
                <c:pt idx="5">
                  <c:v>0.21654430956684967</c:v>
                </c:pt>
                <c:pt idx="6">
                  <c:v>0.26749770976472237</c:v>
                </c:pt>
                <c:pt idx="7">
                  <c:v>0.32888581544527434</c:v>
                </c:pt>
                <c:pt idx="8">
                  <c:v>0.40245933095038328</c:v>
                </c:pt>
                <c:pt idx="9">
                  <c:v>0.49017441735650857</c:v>
                </c:pt>
                <c:pt idx="10">
                  <c:v>0.59419783399102521</c:v>
                </c:pt>
                <c:pt idx="11">
                  <c:v>0.71690774142572378</c:v>
                </c:pt>
                <c:pt idx="12">
                  <c:v>0.86088919784496509</c:v>
                </c:pt>
                <c:pt idx="13">
                  <c:v>1.0289233653270704</c:v>
                </c:pt>
                <c:pt idx="14">
                  <c:v>1.2239694646025199</c:v>
                </c:pt>
                <c:pt idx="15">
                  <c:v>1.4491385830362513</c:v>
                </c:pt>
                <c:pt idx="16">
                  <c:v>1.7076585568204621</c:v>
                </c:pt>
                <c:pt idx="17">
                  <c:v>2.0028293191660675</c:v>
                </c:pt>
                <c:pt idx="18">
                  <c:v>2.3379683342361863</c:v>
                </c:pt>
                <c:pt idx="19">
                  <c:v>2.7163460218346156</c:v>
                </c:pt>
                <c:pt idx="20">
                  <c:v>3.141111417717477</c:v>
                </c:pt>
                <c:pt idx="21">
                  <c:v>3.6152087028495101</c:v>
                </c:pt>
                <c:pt idx="22">
                  <c:v>4.1412856624960375</c:v>
                </c:pt>
                <c:pt idx="23">
                  <c:v>4.7215955896878556</c:v>
                </c:pt>
                <c:pt idx="24">
                  <c:v>5.3578946108620737</c:v>
                </c:pt>
                <c:pt idx="25">
                  <c:v>6.0513368648638108</c:v>
                </c:pt>
                <c:pt idx="26">
                  <c:v>6.8023703880530446</c:v>
                </c:pt>
                <c:pt idx="27">
                  <c:v>7.6106369244736909</c:v>
                </c:pt>
                <c:pt idx="28">
                  <c:v>8.4748791668676535</c:v>
                </c:pt>
                <c:pt idx="29">
                  <c:v>9.3928591184447807</c:v>
                </c:pt>
                <c:pt idx="30">
                  <c:v>10.361291325543872</c:v>
                </c:pt>
                <c:pt idx="31">
                  <c:v>11.375794649957873</c:v>
                </c:pt>
                <c:pt idx="32">
                  <c:v>12.430866013982637</c:v>
                </c:pt>
                <c:pt idx="33">
                  <c:v>13.519879154593069</c:v>
                </c:pt>
                <c:pt idx="34">
                  <c:v>14.635110866180693</c:v>
                </c:pt>
                <c:pt idx="35">
                  <c:v>15.767796502571471</c:v>
                </c:pt>
                <c:pt idx="36">
                  <c:v>16.908215665424965</c:v>
                </c:pt>
                <c:pt idx="37">
                  <c:v>18.045808052592168</c:v>
                </c:pt>
                <c:pt idx="38">
                  <c:v>19.169318409118095</c:v>
                </c:pt>
                <c:pt idx="39">
                  <c:v>20.266968454294403</c:v>
                </c:pt>
                <c:pt idx="40">
                  <c:v>21.326652594342999</c:v>
                </c:pt>
                <c:pt idx="41">
                  <c:v>22.336153218683695</c:v>
                </c:pt>
                <c:pt idx="42">
                  <c:v>23.283370465657484</c:v>
                </c:pt>
                <c:pt idx="43">
                  <c:v>24.156560576528008</c:v>
                </c:pt>
                <c:pt idx="44">
                  <c:v>24.944576375672561</c:v>
                </c:pt>
                <c:pt idx="45">
                  <c:v>25.637103054414368</c:v>
                </c:pt>
                <c:pt idx="46">
                  <c:v>26.224882321319161</c:v>
                </c:pt>
                <c:pt idx="47">
                  <c:v>26.69991812769203</c:v>
                </c:pt>
                <c:pt idx="48">
                  <c:v>27.055657586312478</c:v>
                </c:pt>
                <c:pt idx="49">
                  <c:v>27.287141364557701</c:v>
                </c:pt>
                <c:pt idx="50">
                  <c:v>27.391118728106235</c:v>
                </c:pt>
                <c:pt idx="51">
                  <c:v>27.366123505035524</c:v>
                </c:pt>
                <c:pt idx="52">
                  <c:v>27.212508489002442</c:v>
                </c:pt>
                <c:pt idx="53">
                  <c:v>26.932437153115192</c:v>
                </c:pt>
                <c:pt idx="54">
                  <c:v>26.529832946534668</c:v>
                </c:pt>
                <c:pt idx="55">
                  <c:v>26.010287834807755</c:v>
                </c:pt>
                <c:pt idx="56">
                  <c:v>25.380933064049515</c:v>
                </c:pt>
                <c:pt idx="57">
                  <c:v>24.650276323554305</c:v>
                </c:pt>
                <c:pt idx="58">
                  <c:v>23.828010502789603</c:v>
                </c:pt>
                <c:pt idx="59">
                  <c:v>22.924800047329494</c:v>
                </c:pt>
                <c:pt idx="60">
                  <c:v>21.952051485064977</c:v>
                </c:pt>
                <c:pt idx="61">
                  <c:v>20.921675001808421</c:v>
                </c:pt>
                <c:pt idx="62">
                  <c:v>19.845843989444425</c:v>
                </c:pt>
                <c:pt idx="63">
                  <c:v>18.736759277613462</c:v>
                </c:pt>
                <c:pt idx="64">
                  <c:v>17.606424310561799</c:v>
                </c:pt>
                <c:pt idx="65">
                  <c:v>16.466436873322145</c:v>
                </c:pt>
                <c:pt idx="66">
                  <c:v>15.327802143018229</c:v>
                </c:pt>
                <c:pt idx="67">
                  <c:v>14.200770884911414</c:v>
                </c:pt>
                <c:pt idx="68">
                  <c:v>13.094705575333906</c:v>
                </c:pt>
                <c:pt idx="69">
                  <c:v>12.017976162282753</c:v>
                </c:pt>
                <c:pt idx="70">
                  <c:v>10.977886115056153</c:v>
                </c:pt>
                <c:pt idx="71">
                  <c:v>9.980628409074777</c:v>
                </c:pt>
                <c:pt idx="72">
                  <c:v>9.0312701775917503</c:v>
                </c:pt>
                <c:pt idx="73">
                  <c:v>8.1337639680790375</c:v>
                </c:pt>
                <c:pt idx="74">
                  <c:v>7.2909828895695892</c:v>
                </c:pt>
                <c:pt idx="75">
                  <c:v>6.5047764417620062</c:v>
                </c:pt>
                <c:pt idx="76">
                  <c:v>5.7760434826895022</c:v>
                </c:pt>
                <c:pt idx="77">
                  <c:v>5.1048186169452787</c:v>
                </c:pt>
                <c:pt idx="78">
                  <c:v>4.4903682617240106</c:v>
                </c:pt>
                <c:pt idx="79">
                  <c:v>3.9312927584556774</c:v>
                </c:pt>
                <c:pt idx="80">
                  <c:v>3.4256311243585271</c:v>
                </c:pt>
                <c:pt idx="81">
                  <c:v>2.9709653586332894</c:v>
                </c:pt>
                <c:pt idx="82">
                  <c:v>2.5645216085109186</c:v>
                </c:pt>
                <c:pt idx="83">
                  <c:v>2.2032659369708472</c:v>
                </c:pt>
                <c:pt idx="84">
                  <c:v>1.8839928936406229</c:v>
                </c:pt>
                <c:pt idx="85">
                  <c:v>1.6034055520870474</c:v>
                </c:pt>
                <c:pt idx="86">
                  <c:v>1.3581861220298541</c:v>
                </c:pt>
                <c:pt idx="87">
                  <c:v>1.1450566587872333</c:v>
                </c:pt>
                <c:pt idx="88">
                  <c:v>0.96082976283058952</c:v>
                </c:pt>
                <c:pt idx="89">
                  <c:v>0.80244948157287077</c:v>
                </c:pt>
                <c:pt idx="90">
                  <c:v>0.66702288875080773</c:v>
                </c:pt>
                <c:pt idx="91">
                  <c:v>0.55184302242611227</c:v>
                </c:pt>
                <c:pt idx="92">
                  <c:v>0.45440401188418594</c:v>
                </c:pt>
                <c:pt idx="93">
                  <c:v>0.37240931994627902</c:v>
                </c:pt>
                <c:pt idx="94">
                  <c:v>0.30377407553986757</c:v>
                </c:pt>
                <c:pt idx="95">
                  <c:v>0.24662247808773385</c:v>
                </c:pt>
                <c:pt idx="96">
                  <c:v>0.19928122736470116</c:v>
                </c:pt>
                <c:pt idx="97">
                  <c:v>0.16026987716171545</c:v>
                </c:pt>
                <c:pt idx="98">
                  <c:v>0.12828893548204315</c:v>
                </c:pt>
                <c:pt idx="99">
                  <c:v>0.10220644472292179</c:v>
                </c:pt>
                <c:pt idx="100">
                  <c:v>8.1043678347824194E-2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Analysis'!$W$247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5.5838752237114667E-2"/>
                  <c:y val="-2.71031697960831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622263556114642"/>
                      <c:h val="8.257662023016354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Analysis'!$X$247:$X$248</c:f>
              <c:numCache>
                <c:formatCode>0.00%</c:formatCode>
                <c:ptCount val="2"/>
                <c:pt idx="0">
                  <c:v>3.0642300277821034E-4</c:v>
                </c:pt>
                <c:pt idx="1">
                  <c:v>3.0642300277821034E-4</c:v>
                </c:pt>
              </c:numCache>
            </c:numRef>
          </c:xVal>
          <c:yVal>
            <c:numRef>
              <c:f>'Notes | Quant Analysis'!$Y$247:$Y$248</c:f>
              <c:numCache>
                <c:formatCode>General</c:formatCode>
                <c:ptCount val="2"/>
                <c:pt idx="0">
                  <c:v>0</c:v>
                </c:pt>
                <c:pt idx="1">
                  <c:v>27.5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Analysis'!$W$249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3.948002333041703E-2"/>
                  <c:y val="-2.93769286276978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Analysis'!$X$249:$X$250</c:f>
              <c:numCache>
                <c:formatCode>0.00%</c:formatCode>
                <c:ptCount val="2"/>
                <c:pt idx="0">
                  <c:v>-4.337787805025748E-2</c:v>
                </c:pt>
                <c:pt idx="1">
                  <c:v>-4.337787805025748E-2</c:v>
                </c:pt>
              </c:numCache>
            </c:numRef>
          </c:xVal>
          <c:yVal>
            <c:numRef>
              <c:f>'Notes | Quant Analysis'!$Y$249:$Y$250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Analysis'!$W$251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4.5694516453340085E-2"/>
                  <c:y val="-6.36470825762164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Analysis'!$X$251:$X$252</c:f>
              <c:numCache>
                <c:formatCode>0.00%</c:formatCode>
                <c:ptCount val="2"/>
                <c:pt idx="0">
                  <c:v>-2.8816444365912249E-2</c:v>
                </c:pt>
                <c:pt idx="1">
                  <c:v>-2.8816444365912249E-2</c:v>
                </c:pt>
              </c:numCache>
            </c:numRef>
          </c:xVal>
          <c:yVal>
            <c:numRef>
              <c:f>'Notes | Quant Analysis'!$Y$251:$Y$252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Analysis'!$W$253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7.5764886897100509E-2"/>
                  <c:y val="-4.518372703412073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Analysis'!$X$253:$X$254</c:f>
              <c:numCache>
                <c:formatCode>0.00%</c:formatCode>
                <c:ptCount val="2"/>
                <c:pt idx="0">
                  <c:v>-1.425501068156702E-2</c:v>
                </c:pt>
                <c:pt idx="1">
                  <c:v>-1.425501068156702E-2</c:v>
                </c:pt>
              </c:numCache>
            </c:numRef>
          </c:xVal>
          <c:yVal>
            <c:numRef>
              <c:f>'Notes | Quant Analysis'!$Y$253:$Y$254</c:f>
              <c:numCache>
                <c:formatCode>General</c:formatCode>
                <c:ptCount val="2"/>
                <c:pt idx="0">
                  <c:v>0</c:v>
                </c:pt>
                <c:pt idx="1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Analysis'!$W$255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2.4585451955410786E-2"/>
                  <c:y val="-4.7747829598223296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Analysis'!$X$255:$X$256</c:f>
              <c:numCache>
                <c:formatCode>0.00%</c:formatCode>
                <c:ptCount val="2"/>
                <c:pt idx="0">
                  <c:v>1.486785668712344E-2</c:v>
                </c:pt>
                <c:pt idx="1">
                  <c:v>1.486785668712344E-2</c:v>
                </c:pt>
              </c:numCache>
            </c:numRef>
          </c:xVal>
          <c:yVal>
            <c:numRef>
              <c:f>'Notes | Quant Analysis'!$Y$255:$Y$256</c:f>
              <c:numCache>
                <c:formatCode>General</c:formatCode>
                <c:ptCount val="2"/>
                <c:pt idx="0">
                  <c:v>0</c:v>
                </c:pt>
                <c:pt idx="1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Analysis'!$W$257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4.4861620617144243E-2"/>
                  <c:y val="-6.6358368665455372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Analysis'!$X$257:$X$258</c:f>
              <c:numCache>
                <c:formatCode>0.00%</c:formatCode>
                <c:ptCount val="2"/>
                <c:pt idx="0">
                  <c:v>2.9429290371468672E-2</c:v>
                </c:pt>
                <c:pt idx="1">
                  <c:v>2.9429290371468672E-2</c:v>
                </c:pt>
              </c:numCache>
            </c:numRef>
          </c:xVal>
          <c:yVal>
            <c:numRef>
              <c:f>'Notes | Quant Analysis'!$Y$257:$Y$258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Analysis'!$W$259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2.8868863129629385E-2"/>
                  <c:y val="-2.665773659886865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Analysis'!$X$259:$X$260</c:f>
              <c:numCache>
                <c:formatCode>0.00%</c:formatCode>
                <c:ptCount val="2"/>
                <c:pt idx="0">
                  <c:v>4.3990724055813897E-2</c:v>
                </c:pt>
                <c:pt idx="1">
                  <c:v>4.3990724055813897E-2</c:v>
                </c:pt>
              </c:numCache>
            </c:numRef>
          </c:xVal>
          <c:yVal>
            <c:numRef>
              <c:f>'Notes | Quant Analysis'!$Y$259:$Y$260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5.000000000000001E-2"/>
          <c:min val="-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1.0000000000000002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(ROK)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(ROK)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6"/>
          <c:order val="0"/>
          <c:tx>
            <c:strRef>
              <c:f>Model!$B$4</c:f>
              <c:strCache>
                <c:ptCount val="1"/>
                <c:pt idx="0">
                  <c:v>Intelligent Devices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Model!$AY$4:$BR$4</c:f>
              <c:numCache>
                <c:formatCode>General</c:formatCode>
                <c:ptCount val="20"/>
                <c:pt idx="0">
                  <c:v>722</c:v>
                </c:pt>
                <c:pt idx="1">
                  <c:v>850</c:v>
                </c:pt>
                <c:pt idx="2">
                  <c:v>883</c:v>
                </c:pt>
                <c:pt idx="3">
                  <c:v>857</c:v>
                </c:pt>
                <c:pt idx="4">
                  <c:v>900</c:v>
                </c:pt>
                <c:pt idx="5">
                  <c:v>809</c:v>
                </c:pt>
                <c:pt idx="6">
                  <c:v>878</c:v>
                </c:pt>
                <c:pt idx="7">
                  <c:v>958</c:v>
                </c:pt>
                <c:pt idx="8">
                  <c:v>936</c:v>
                </c:pt>
                <c:pt idx="9">
                  <c:v>1023</c:v>
                </c:pt>
                <c:pt idx="10">
                  <c:v>968</c:v>
                </c:pt>
                <c:pt idx="11">
                  <c:v>1171</c:v>
                </c:pt>
                <c:pt idx="12">
                  <c:v>927</c:v>
                </c:pt>
                <c:pt idx="13">
                  <c:v>974</c:v>
                </c:pt>
                <c:pt idx="14">
                  <c:v>957</c:v>
                </c:pt>
                <c:pt idx="15">
                  <c:v>946</c:v>
                </c:pt>
                <c:pt idx="16">
                  <c:v>806</c:v>
                </c:pt>
                <c:pt idx="17">
                  <c:v>896</c:v>
                </c:pt>
                <c:pt idx="18">
                  <c:v>968</c:v>
                </c:pt>
                <c:pt idx="19">
                  <c:v>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1-46B7-ADA2-BA6C023A211F}"/>
            </c:ext>
          </c:extLst>
        </c:ser>
        <c:ser>
          <c:idx val="7"/>
          <c:order val="1"/>
          <c:tx>
            <c:strRef>
              <c:f>Model!$B$5</c:f>
              <c:strCache>
                <c:ptCount val="1"/>
                <c:pt idx="0">
                  <c:v>Software &amp; Control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Model!$AY$5:$BR$5</c:f>
              <c:numCache>
                <c:formatCode>General</c:formatCode>
                <c:ptCount val="20"/>
                <c:pt idx="0">
                  <c:v>441</c:v>
                </c:pt>
                <c:pt idx="1">
                  <c:v>502</c:v>
                </c:pt>
                <c:pt idx="2">
                  <c:v>510</c:v>
                </c:pt>
                <c:pt idx="3">
                  <c:v>494</c:v>
                </c:pt>
                <c:pt idx="4">
                  <c:v>514</c:v>
                </c:pt>
                <c:pt idx="5">
                  <c:v>535</c:v>
                </c:pt>
                <c:pt idx="6">
                  <c:v>607</c:v>
                </c:pt>
                <c:pt idx="7">
                  <c:v>657</c:v>
                </c:pt>
                <c:pt idx="8">
                  <c:v>573</c:v>
                </c:pt>
                <c:pt idx="9">
                  <c:v>741</c:v>
                </c:pt>
                <c:pt idx="10">
                  <c:v>750</c:v>
                </c:pt>
                <c:pt idx="11">
                  <c:v>822</c:v>
                </c:pt>
                <c:pt idx="12">
                  <c:v>604</c:v>
                </c:pt>
                <c:pt idx="13">
                  <c:v>569</c:v>
                </c:pt>
                <c:pt idx="14">
                  <c:v>513</c:v>
                </c:pt>
                <c:pt idx="15">
                  <c:v>501</c:v>
                </c:pt>
                <c:pt idx="16">
                  <c:v>529</c:v>
                </c:pt>
                <c:pt idx="17">
                  <c:v>568</c:v>
                </c:pt>
                <c:pt idx="18">
                  <c:v>629</c:v>
                </c:pt>
                <c:pt idx="19">
                  <c:v>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1-46B7-ADA2-BA6C023A211F}"/>
            </c:ext>
          </c:extLst>
        </c:ser>
        <c:ser>
          <c:idx val="8"/>
          <c:order val="2"/>
          <c:tx>
            <c:strRef>
              <c:f>Model!$B$6</c:f>
              <c:strCache>
                <c:ptCount val="1"/>
                <c:pt idx="0">
                  <c:v>Lifecycle Services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Model!$AY$6:$BR$6</c:f>
              <c:numCache>
                <c:formatCode>General</c:formatCode>
                <c:ptCount val="20"/>
                <c:pt idx="0">
                  <c:v>403</c:v>
                </c:pt>
                <c:pt idx="1">
                  <c:v>424</c:v>
                </c:pt>
                <c:pt idx="2">
                  <c:v>456</c:v>
                </c:pt>
                <c:pt idx="3">
                  <c:v>456</c:v>
                </c:pt>
                <c:pt idx="4">
                  <c:v>443</c:v>
                </c:pt>
                <c:pt idx="5">
                  <c:v>465</c:v>
                </c:pt>
                <c:pt idx="6">
                  <c:v>484</c:v>
                </c:pt>
                <c:pt idx="7">
                  <c:v>511</c:v>
                </c:pt>
                <c:pt idx="8">
                  <c:v>472</c:v>
                </c:pt>
                <c:pt idx="9">
                  <c:v>511</c:v>
                </c:pt>
                <c:pt idx="10">
                  <c:v>520</c:v>
                </c:pt>
                <c:pt idx="11">
                  <c:v>571</c:v>
                </c:pt>
                <c:pt idx="12">
                  <c:v>521</c:v>
                </c:pt>
                <c:pt idx="13">
                  <c:v>583</c:v>
                </c:pt>
                <c:pt idx="14">
                  <c:v>581</c:v>
                </c:pt>
                <c:pt idx="15">
                  <c:v>588</c:v>
                </c:pt>
                <c:pt idx="16">
                  <c:v>546</c:v>
                </c:pt>
                <c:pt idx="17">
                  <c:v>537</c:v>
                </c:pt>
                <c:pt idx="18">
                  <c:v>547</c:v>
                </c:pt>
                <c:pt idx="19">
                  <c:v>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61-46B7-ADA2-BA6C023A2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12" Type="http://schemas.openxmlformats.org/officeDocument/2006/relationships/image" Target="../media/image8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image" Target="../media/image7.png"/><Relationship Id="rId5" Type="http://schemas.openxmlformats.org/officeDocument/2006/relationships/chart" Target="../charts/chart5.xml"/><Relationship Id="rId10" Type="http://schemas.openxmlformats.org/officeDocument/2006/relationships/image" Target="../media/image6.png"/><Relationship Id="rId4" Type="http://schemas.openxmlformats.org/officeDocument/2006/relationships/chart" Target="../charts/chart4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2</xdr:row>
      <xdr:rowOff>9525</xdr:rowOff>
    </xdr:from>
    <xdr:to>
      <xdr:col>8</xdr:col>
      <xdr:colOff>600075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7C73DF-B837-EC24-C583-2C3619551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8050" y="381000"/>
          <a:ext cx="1809750" cy="1076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605116</xdr:colOff>
      <xdr:row>0</xdr:row>
      <xdr:rowOff>0</xdr:rowOff>
    </xdr:from>
    <xdr:to>
      <xdr:col>69</xdr:col>
      <xdr:colOff>605116</xdr:colOff>
      <xdr:row>115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6213057" y="0"/>
          <a:ext cx="0" cy="213763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0</xdr:colOff>
      <xdr:row>0</xdr:row>
      <xdr:rowOff>0</xdr:rowOff>
    </xdr:from>
    <xdr:to>
      <xdr:col>95</xdr:col>
      <xdr:colOff>0</xdr:colOff>
      <xdr:row>114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1341000" y="0"/>
          <a:ext cx="0" cy="207734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104</xdr:row>
      <xdr:rowOff>190499</xdr:rowOff>
    </xdr:from>
    <xdr:to>
      <xdr:col>31</xdr:col>
      <xdr:colOff>0</xdr:colOff>
      <xdr:row>135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141</xdr:row>
      <xdr:rowOff>0</xdr:rowOff>
    </xdr:from>
    <xdr:to>
      <xdr:col>31</xdr:col>
      <xdr:colOff>0</xdr:colOff>
      <xdr:row>169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206</xdr:row>
      <xdr:rowOff>0</xdr:rowOff>
    </xdr:from>
    <xdr:to>
      <xdr:col>31</xdr:col>
      <xdr:colOff>0</xdr:colOff>
      <xdr:row>234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174</xdr:row>
      <xdr:rowOff>0</xdr:rowOff>
    </xdr:from>
    <xdr:to>
      <xdr:col>31</xdr:col>
      <xdr:colOff>0</xdr:colOff>
      <xdr:row>202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68</xdr:row>
      <xdr:rowOff>190499</xdr:rowOff>
    </xdr:from>
    <xdr:to>
      <xdr:col>31</xdr:col>
      <xdr:colOff>0</xdr:colOff>
      <xdr:row>99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F40F68-B512-4226-AB1D-041138899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11205</xdr:colOff>
      <xdr:row>2</xdr:row>
      <xdr:rowOff>11205</xdr:rowOff>
    </xdr:from>
    <xdr:to>
      <xdr:col>26</xdr:col>
      <xdr:colOff>22413</xdr:colOff>
      <xdr:row>23</xdr:row>
      <xdr:rowOff>168088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CFAF8FE-DF94-F4E7-0587-95B3CA5D0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08676" y="380999"/>
          <a:ext cx="6062383" cy="3922060"/>
        </a:xfrm>
        <a:prstGeom prst="rect">
          <a:avLst/>
        </a:prstGeom>
      </xdr:spPr>
    </xdr:pic>
    <xdr:clientData/>
  </xdr:twoCellAnchor>
  <xdr:twoCellAnchor editAs="oneCell">
    <xdr:from>
      <xdr:col>26</xdr:col>
      <xdr:colOff>11205</xdr:colOff>
      <xdr:row>2</xdr:row>
      <xdr:rowOff>11207</xdr:rowOff>
    </xdr:from>
    <xdr:to>
      <xdr:col>36</xdr:col>
      <xdr:colOff>385</xdr:colOff>
      <xdr:row>28</xdr:row>
      <xdr:rowOff>168088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830BF3E-708E-4547-9511-E9BB2A895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959852" y="381001"/>
          <a:ext cx="6040358" cy="4818528"/>
        </a:xfrm>
        <a:prstGeom prst="rect">
          <a:avLst/>
        </a:prstGeom>
      </xdr:spPr>
    </xdr:pic>
    <xdr:clientData/>
  </xdr:twoCellAnchor>
  <xdr:twoCellAnchor editAs="oneCell">
    <xdr:from>
      <xdr:col>15</xdr:col>
      <xdr:colOff>212910</xdr:colOff>
      <xdr:row>35</xdr:row>
      <xdr:rowOff>190499</xdr:rowOff>
    </xdr:from>
    <xdr:to>
      <xdr:col>25</xdr:col>
      <xdr:colOff>11205</xdr:colOff>
      <xdr:row>64</xdr:row>
      <xdr:rowOff>13389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4C67FBD-5E9C-95D2-85D1-BFF5615FE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897469" y="6488205"/>
          <a:ext cx="5457265" cy="5033625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36</xdr:row>
      <xdr:rowOff>0</xdr:rowOff>
    </xdr:from>
    <xdr:to>
      <xdr:col>47</xdr:col>
      <xdr:colOff>2708</xdr:colOff>
      <xdr:row>62</xdr:row>
      <xdr:rowOff>11206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76288A1-E478-DD29-7B4C-E2CEC4C74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179118" y="6488206"/>
          <a:ext cx="6053884" cy="4672853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69</xdr:row>
      <xdr:rowOff>0</xdr:rowOff>
    </xdr:from>
    <xdr:to>
      <xdr:col>47</xdr:col>
      <xdr:colOff>11152</xdr:colOff>
      <xdr:row>95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FD95329-4B3F-7ECF-5643-3043817A6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179118" y="12416118"/>
          <a:ext cx="6062328" cy="4661647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68</xdr:row>
      <xdr:rowOff>190499</xdr:rowOff>
    </xdr:from>
    <xdr:to>
      <xdr:col>56</xdr:col>
      <xdr:colOff>397770</xdr:colOff>
      <xdr:row>95</xdr:row>
      <xdr:rowOff>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53B5D47-008A-0464-32D9-704964D0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230294" y="12416117"/>
          <a:ext cx="5843829" cy="4661647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141</xdr:row>
      <xdr:rowOff>0</xdr:rowOff>
    </xdr:from>
    <xdr:to>
      <xdr:col>51</xdr:col>
      <xdr:colOff>14707</xdr:colOff>
      <xdr:row>177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5EC7B98-0B35-7FC1-98A1-2716A6054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179118" y="25347706"/>
          <a:ext cx="8486354" cy="646579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https://d.docs.live.net/Users/User/Desktop/Equity%20Research/Models/Health%20Care/MedTech/SYK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Y1" t="str">
            <v>Q1 2021</v>
          </cell>
          <cell r="BC1" t="str">
            <v>Q1 2022</v>
          </cell>
          <cell r="BG1" t="str">
            <v>Q1 2023</v>
          </cell>
          <cell r="BK1" t="str">
            <v>Q1 2024</v>
          </cell>
          <cell r="BO1" t="str">
            <v>Q1 2025</v>
          </cell>
        </row>
        <row r="4">
          <cell r="B4" t="str">
            <v>Instruments</v>
          </cell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/>
          <cell r="BQ4"/>
        </row>
        <row r="5">
          <cell r="B5" t="str">
            <v>Endoscopy</v>
          </cell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/>
          <cell r="BQ5"/>
        </row>
        <row r="6">
          <cell r="B6" t="str">
            <v>Medical</v>
          </cell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/>
          <cell r="BQ6"/>
        </row>
        <row r="7">
          <cell r="B7" t="str">
            <v>Vascular</v>
          </cell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/>
          <cell r="BQ7"/>
        </row>
        <row r="8">
          <cell r="B8" t="str">
            <v>Neuro Cranial</v>
          </cell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/>
          <cell r="BQ8"/>
        </row>
        <row r="10">
          <cell r="B10" t="str">
            <v>Knees</v>
          </cell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/>
          <cell r="BQ10"/>
        </row>
        <row r="11">
          <cell r="B11" t="str">
            <v>Hips</v>
          </cell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/>
          <cell r="BQ11"/>
        </row>
        <row r="12">
          <cell r="B12" t="str">
            <v>Trauma and Extremities</v>
          </cell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/>
          <cell r="BQ12"/>
        </row>
        <row r="13">
          <cell r="B13" t="str">
            <v>Spinal Implants</v>
          </cell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/>
          <cell r="BQ13"/>
        </row>
        <row r="14">
          <cell r="B14" t="str">
            <v>Other</v>
          </cell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/>
          <cell r="BQ14"/>
        </row>
      </sheetData>
      <sheetData sheetId="2">
        <row r="188">
          <cell r="I188" t="str">
            <v>Notes: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ockwellautomation.com/" TargetMode="External"/><Relationship Id="rId2" Type="http://schemas.openxmlformats.org/officeDocument/2006/relationships/hyperlink" Target="https://www.sec.gov/edgar/browse/?CIK=1024478&amp;owner=exclude" TargetMode="External"/><Relationship Id="rId1" Type="http://schemas.openxmlformats.org/officeDocument/2006/relationships/hyperlink" Target="https://app.godelterminal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54"/>
  <sheetViews>
    <sheetView tabSelected="1" workbookViewId="0">
      <selection activeCell="D3" sqref="D3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.5703125" style="1" customWidth="1"/>
    <col min="4" max="4" width="9.140625" style="1" customWidth="1"/>
    <col min="5" max="16384" width="9.140625" style="1"/>
  </cols>
  <sheetData>
    <row r="2" spans="2:18" ht="15">
      <c r="B2" s="2" t="s">
        <v>186</v>
      </c>
    </row>
    <row r="3" spans="2:18">
      <c r="B3" s="1" t="s">
        <v>0</v>
      </c>
      <c r="C3" s="44">
        <v>396.92</v>
      </c>
      <c r="D3" s="43" t="s">
        <v>1047</v>
      </c>
    </row>
    <row r="4" spans="2:18">
      <c r="B4" s="1" t="s">
        <v>1</v>
      </c>
      <c r="C4" s="45">
        <v>112.273</v>
      </c>
      <c r="D4" s="1" t="s">
        <v>188</v>
      </c>
    </row>
    <row r="5" spans="2:18">
      <c r="B5" s="1" t="s">
        <v>2</v>
      </c>
      <c r="C5" s="62">
        <f>C3*C4</f>
        <v>44563.399160000001</v>
      </c>
    </row>
    <row r="6" spans="2:18">
      <c r="B6" s="1" t="s">
        <v>3</v>
      </c>
      <c r="C6" s="63">
        <v>468</v>
      </c>
      <c r="D6" s="1" t="s">
        <v>188</v>
      </c>
    </row>
    <row r="7" spans="2:18">
      <c r="B7" s="1" t="s">
        <v>4</v>
      </c>
      <c r="C7" s="63">
        <f>608+2614</f>
        <v>3222</v>
      </c>
      <c r="D7" s="1" t="s">
        <v>188</v>
      </c>
    </row>
    <row r="8" spans="2:18">
      <c r="B8" s="1" t="s">
        <v>5</v>
      </c>
      <c r="C8" s="63">
        <f>C5-C6+C7</f>
        <v>47317.399160000001</v>
      </c>
    </row>
    <row r="10" spans="2:18" ht="15">
      <c r="B10" s="2" t="s">
        <v>187</v>
      </c>
    </row>
    <row r="12" spans="2:18" ht="15">
      <c r="B12" s="1" t="s">
        <v>196</v>
      </c>
      <c r="G12" s="1" t="s">
        <v>6</v>
      </c>
      <c r="N12" s="1" t="s">
        <v>162</v>
      </c>
      <c r="Q12" s="2"/>
    </row>
    <row r="13" spans="2:18">
      <c r="B13" s="1" t="s">
        <v>197</v>
      </c>
      <c r="G13" s="1" t="s">
        <v>205</v>
      </c>
      <c r="N13" s="1" t="s">
        <v>8</v>
      </c>
      <c r="Q13" s="46" t="s">
        <v>189</v>
      </c>
    </row>
    <row r="14" spans="2:18">
      <c r="B14" s="1" t="s">
        <v>198</v>
      </c>
      <c r="G14" s="1" t="s">
        <v>7</v>
      </c>
      <c r="N14" s="1" t="s">
        <v>166</v>
      </c>
      <c r="Q14" s="46" t="s">
        <v>190</v>
      </c>
    </row>
    <row r="15" spans="2:18">
      <c r="B15" s="1" t="s">
        <v>199</v>
      </c>
      <c r="G15" s="1" t="s">
        <v>159</v>
      </c>
      <c r="O15" s="1" t="s">
        <v>165</v>
      </c>
      <c r="R15" s="46" t="s">
        <v>191</v>
      </c>
    </row>
    <row r="16" spans="2:18">
      <c r="B16" s="1" t="s">
        <v>200</v>
      </c>
      <c r="G16" s="1" t="s">
        <v>153</v>
      </c>
      <c r="H16" s="1" t="s">
        <v>206</v>
      </c>
      <c r="J16" s="1" t="s">
        <v>154</v>
      </c>
      <c r="N16" s="1" t="s">
        <v>156</v>
      </c>
      <c r="Q16" s="46" t="s">
        <v>192</v>
      </c>
    </row>
    <row r="17" spans="1:17">
      <c r="B17" s="1" t="s">
        <v>201</v>
      </c>
      <c r="N17" s="1" t="s">
        <v>157</v>
      </c>
      <c r="Q17" s="46" t="s">
        <v>193</v>
      </c>
    </row>
    <row r="18" spans="1:17">
      <c r="B18" s="1" t="s">
        <v>202</v>
      </c>
      <c r="N18" s="1" t="s">
        <v>167</v>
      </c>
      <c r="Q18" s="46" t="s">
        <v>194</v>
      </c>
    </row>
    <row r="19" spans="1:17">
      <c r="B19" s="1" t="s">
        <v>203</v>
      </c>
      <c r="N19" s="1" t="s">
        <v>168</v>
      </c>
      <c r="Q19" s="46" t="s">
        <v>195</v>
      </c>
    </row>
    <row r="20" spans="1:17">
      <c r="B20" s="1" t="s">
        <v>204</v>
      </c>
      <c r="N20" s="1" t="s">
        <v>9</v>
      </c>
      <c r="Q20" s="46" t="s">
        <v>158</v>
      </c>
    </row>
    <row r="21" spans="1:17">
      <c r="Q21" s="46"/>
    </row>
    <row r="22" spans="1:17" ht="15">
      <c r="A22" s="2" t="s">
        <v>10</v>
      </c>
      <c r="N22" s="2"/>
    </row>
    <row r="23" spans="1:17">
      <c r="B23" s="1" t="s">
        <v>207</v>
      </c>
    </row>
    <row r="24" spans="1:17">
      <c r="B24" s="1" t="s">
        <v>266</v>
      </c>
    </row>
    <row r="25" spans="1:17">
      <c r="C25" s="1" t="s">
        <v>261</v>
      </c>
    </row>
    <row r="26" spans="1:17">
      <c r="D26" s="1" t="s">
        <v>265</v>
      </c>
    </row>
    <row r="27" spans="1:17">
      <c r="B27" s="1" t="s">
        <v>208</v>
      </c>
    </row>
    <row r="28" spans="1:17">
      <c r="C28" s="1" t="s">
        <v>209</v>
      </c>
    </row>
    <row r="29" spans="1:17">
      <c r="C29" s="1" t="s">
        <v>262</v>
      </c>
    </row>
    <row r="30" spans="1:17">
      <c r="D30" s="1" t="s">
        <v>263</v>
      </c>
    </row>
    <row r="31" spans="1:17">
      <c r="E31" s="1" t="s">
        <v>264</v>
      </c>
    </row>
    <row r="32" spans="1:17">
      <c r="D32" s="1" t="s">
        <v>210</v>
      </c>
    </row>
    <row r="33" spans="2:5">
      <c r="E33" s="1" t="s">
        <v>211</v>
      </c>
    </row>
    <row r="34" spans="2:5">
      <c r="B34" s="1" t="s">
        <v>212</v>
      </c>
    </row>
    <row r="35" spans="2:5">
      <c r="C35" s="1" t="s">
        <v>213</v>
      </c>
    </row>
    <row r="38" spans="2:5">
      <c r="C38" s="1" t="s">
        <v>214</v>
      </c>
    </row>
    <row r="41" spans="2:5">
      <c r="C41" s="1" t="s">
        <v>215</v>
      </c>
    </row>
    <row r="44" spans="2:5">
      <c r="B44" s="1" t="s">
        <v>216</v>
      </c>
    </row>
    <row r="45" spans="2:5">
      <c r="C45" s="1" t="s">
        <v>217</v>
      </c>
    </row>
    <row r="46" spans="2:5">
      <c r="C46" s="1" t="s">
        <v>218</v>
      </c>
    </row>
    <row r="47" spans="2:5">
      <c r="D47" s="1" t="s">
        <v>219</v>
      </c>
    </row>
    <row r="48" spans="2:5">
      <c r="B48" s="1" t="s">
        <v>220</v>
      </c>
    </row>
    <row r="49" spans="1:3">
      <c r="C49" s="1" t="s">
        <v>221</v>
      </c>
    </row>
    <row r="50" spans="1:3">
      <c r="C50" s="1" t="s">
        <v>222</v>
      </c>
    </row>
    <row r="51" spans="1:3">
      <c r="B51" s="1" t="s">
        <v>223</v>
      </c>
    </row>
    <row r="52" spans="1:3">
      <c r="C52" s="1" t="s">
        <v>224</v>
      </c>
    </row>
    <row r="54" spans="1:3" ht="15">
      <c r="A54" s="2" t="s">
        <v>160</v>
      </c>
    </row>
  </sheetData>
  <hyperlinks>
    <hyperlink ref="Q20" r:id="rId1" xr:uid="{14375537-5C3D-4253-9650-337AB6789785}"/>
    <hyperlink ref="Q13" r:id="rId2" xr:uid="{8D3EFF1F-5AAB-4D7A-A907-D96AF7254E70}"/>
    <hyperlink ref="Q14" r:id="rId3" xr:uid="{4787AA0A-B4FF-4AA6-8EBC-974CB1687A59}"/>
  </hyperlinks>
  <pageMargins left="0.7" right="0.7" top="0.75" bottom="0.75" header="0.3" footer="0.3"/>
  <ignoredErrors>
    <ignoredError sqref="D3" twoDigitTextYear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A95"/>
  <sheetViews>
    <sheetView zoomScale="85" zoomScaleNormal="85" workbookViewId="0">
      <pane xSplit="2" ySplit="3" topLeftCell="CG54" activePane="bottomRight" state="frozen"/>
      <selection pane="topRight" activeCell="C1" sqref="C1"/>
      <selection pane="bottomLeft" activeCell="A4" sqref="A4"/>
      <selection pane="bottomRight" activeCell="DD70" sqref="DD70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70" width="9.140625" style="1"/>
    <col min="71" max="74" width="9.140625" style="35"/>
    <col min="75" max="95" width="9.140625" style="1"/>
    <col min="96" max="156" width="9.140625" style="35"/>
    <col min="157" max="16384" width="9.140625" style="1"/>
  </cols>
  <sheetData>
    <row r="1" spans="2:157" ht="15">
      <c r="B1" s="1" t="s">
        <v>116</v>
      </c>
      <c r="AU1" s="33" t="s">
        <v>88</v>
      </c>
      <c r="AY1" s="33" t="s">
        <v>92</v>
      </c>
      <c r="BC1" s="33" t="s">
        <v>96</v>
      </c>
      <c r="BG1" s="33" t="s">
        <v>100</v>
      </c>
      <c r="BK1" s="33" t="s">
        <v>104</v>
      </c>
      <c r="BO1" s="33" t="s">
        <v>108</v>
      </c>
    </row>
    <row r="2" spans="2:157">
      <c r="B2" s="1" t="s">
        <v>117</v>
      </c>
      <c r="C2" s="1" t="s">
        <v>257</v>
      </c>
      <c r="D2" s="1" t="s">
        <v>256</v>
      </c>
      <c r="E2" s="1" t="s">
        <v>255</v>
      </c>
      <c r="F2" s="1" t="s">
        <v>254</v>
      </c>
      <c r="G2" s="1" t="s">
        <v>257</v>
      </c>
      <c r="H2" s="1" t="s">
        <v>256</v>
      </c>
      <c r="I2" s="1" t="s">
        <v>255</v>
      </c>
      <c r="J2" s="1" t="s">
        <v>254</v>
      </c>
      <c r="K2" s="1" t="s">
        <v>257</v>
      </c>
      <c r="L2" s="1" t="s">
        <v>256</v>
      </c>
      <c r="M2" s="1" t="s">
        <v>255</v>
      </c>
      <c r="N2" s="1" t="s">
        <v>254</v>
      </c>
      <c r="O2" s="1" t="s">
        <v>257</v>
      </c>
      <c r="P2" s="1" t="s">
        <v>256</v>
      </c>
      <c r="Q2" s="1" t="s">
        <v>255</v>
      </c>
      <c r="R2" s="1" t="s">
        <v>254</v>
      </c>
      <c r="S2" s="1" t="s">
        <v>257</v>
      </c>
      <c r="T2" s="1" t="s">
        <v>256</v>
      </c>
      <c r="U2" s="1" t="s">
        <v>255</v>
      </c>
      <c r="V2" s="1" t="s">
        <v>254</v>
      </c>
      <c r="W2" s="1" t="s">
        <v>257</v>
      </c>
      <c r="X2" s="1" t="s">
        <v>256</v>
      </c>
      <c r="Y2" s="1" t="s">
        <v>255</v>
      </c>
      <c r="Z2" s="1" t="s">
        <v>254</v>
      </c>
      <c r="AA2" s="1" t="s">
        <v>257</v>
      </c>
      <c r="AB2" s="1" t="s">
        <v>256</v>
      </c>
      <c r="AC2" s="1" t="s">
        <v>255</v>
      </c>
      <c r="AD2" s="1" t="s">
        <v>254</v>
      </c>
      <c r="AE2" s="1" t="s">
        <v>257</v>
      </c>
      <c r="AF2" s="1" t="s">
        <v>256</v>
      </c>
      <c r="AG2" s="1" t="s">
        <v>255</v>
      </c>
      <c r="AH2" s="1" t="s">
        <v>254</v>
      </c>
      <c r="AI2" s="1" t="s">
        <v>257</v>
      </c>
      <c r="AJ2" s="1" t="s">
        <v>256</v>
      </c>
      <c r="AK2" s="1" t="s">
        <v>255</v>
      </c>
      <c r="AL2" s="1" t="s">
        <v>254</v>
      </c>
      <c r="AM2" s="1" t="s">
        <v>257</v>
      </c>
      <c r="AN2" s="1" t="s">
        <v>256</v>
      </c>
      <c r="AO2" s="1" t="s">
        <v>255</v>
      </c>
      <c r="AP2" s="1" t="s">
        <v>254</v>
      </c>
      <c r="AQ2" s="1" t="s">
        <v>257</v>
      </c>
      <c r="AR2" s="1" t="s">
        <v>256</v>
      </c>
      <c r="AS2" s="1" t="s">
        <v>255</v>
      </c>
      <c r="AT2" s="1" t="s">
        <v>254</v>
      </c>
      <c r="AU2" s="1" t="s">
        <v>257</v>
      </c>
      <c r="AV2" s="1" t="s">
        <v>256</v>
      </c>
      <c r="AW2" s="1" t="s">
        <v>255</v>
      </c>
      <c r="AX2" s="1" t="s">
        <v>254</v>
      </c>
      <c r="AY2" s="1" t="s">
        <v>257</v>
      </c>
      <c r="AZ2" s="1" t="s">
        <v>256</v>
      </c>
      <c r="BA2" s="1" t="s">
        <v>255</v>
      </c>
      <c r="BB2" s="1" t="s">
        <v>254</v>
      </c>
      <c r="BC2" s="1" t="s">
        <v>257</v>
      </c>
      <c r="BD2" s="1" t="s">
        <v>256</v>
      </c>
      <c r="BE2" s="1" t="s">
        <v>255</v>
      </c>
      <c r="BF2" s="1" t="s">
        <v>254</v>
      </c>
      <c r="BG2" s="1" t="s">
        <v>257</v>
      </c>
      <c r="BH2" s="1" t="s">
        <v>256</v>
      </c>
      <c r="BI2" s="1" t="s">
        <v>255</v>
      </c>
      <c r="BJ2" s="1" t="s">
        <v>254</v>
      </c>
      <c r="BK2" s="1" t="s">
        <v>257</v>
      </c>
      <c r="BL2" s="1" t="s">
        <v>256</v>
      </c>
      <c r="BM2" s="1" t="s">
        <v>255</v>
      </c>
      <c r="BN2" s="1" t="s">
        <v>254</v>
      </c>
      <c r="BO2" s="1" t="s">
        <v>257</v>
      </c>
      <c r="BP2" s="1" t="s">
        <v>256</v>
      </c>
      <c r="BQ2" s="1" t="s">
        <v>255</v>
      </c>
      <c r="BR2" s="1" t="s">
        <v>254</v>
      </c>
      <c r="BS2" s="35" t="s">
        <v>257</v>
      </c>
      <c r="BT2" s="35" t="s">
        <v>256</v>
      </c>
      <c r="BU2" s="35" t="s">
        <v>255</v>
      </c>
      <c r="BV2" s="35" t="s">
        <v>254</v>
      </c>
    </row>
    <row r="3" spans="2:157" ht="15">
      <c r="B3" s="2" t="s">
        <v>118</v>
      </c>
      <c r="C3" s="33" t="s">
        <v>44</v>
      </c>
      <c r="D3" s="33" t="s">
        <v>45</v>
      </c>
      <c r="E3" s="33" t="s">
        <v>46</v>
      </c>
      <c r="F3" s="33" t="s">
        <v>47</v>
      </c>
      <c r="G3" s="33" t="s">
        <v>48</v>
      </c>
      <c r="H3" s="33" t="s">
        <v>49</v>
      </c>
      <c r="I3" s="33" t="s">
        <v>50</v>
      </c>
      <c r="J3" s="33" t="s">
        <v>51</v>
      </c>
      <c r="K3" s="33" t="s">
        <v>52</v>
      </c>
      <c r="L3" s="33" t="s">
        <v>53</v>
      </c>
      <c r="M3" s="33" t="s">
        <v>54</v>
      </c>
      <c r="N3" s="33" t="s">
        <v>55</v>
      </c>
      <c r="O3" s="33" t="s">
        <v>56</v>
      </c>
      <c r="P3" s="33" t="s">
        <v>57</v>
      </c>
      <c r="Q3" s="33" t="s">
        <v>58</v>
      </c>
      <c r="R3" s="33" t="s">
        <v>59</v>
      </c>
      <c r="S3" s="33" t="s">
        <v>60</v>
      </c>
      <c r="T3" s="33" t="s">
        <v>61</v>
      </c>
      <c r="U3" s="33" t="s">
        <v>62</v>
      </c>
      <c r="V3" s="33" t="s">
        <v>63</v>
      </c>
      <c r="W3" s="33" t="s">
        <v>64</v>
      </c>
      <c r="X3" s="33" t="s">
        <v>65</v>
      </c>
      <c r="Y3" s="33" t="s">
        <v>66</v>
      </c>
      <c r="Z3" s="33" t="s">
        <v>67</v>
      </c>
      <c r="AA3" s="33" t="s">
        <v>68</v>
      </c>
      <c r="AB3" s="33" t="s">
        <v>69</v>
      </c>
      <c r="AC3" s="33" t="s">
        <v>70</v>
      </c>
      <c r="AD3" s="33" t="s">
        <v>71</v>
      </c>
      <c r="AE3" s="33" t="s">
        <v>72</v>
      </c>
      <c r="AF3" s="33" t="s">
        <v>73</v>
      </c>
      <c r="AG3" s="33" t="s">
        <v>74</v>
      </c>
      <c r="AH3" s="33" t="s">
        <v>75</v>
      </c>
      <c r="AI3" s="33" t="s">
        <v>76</v>
      </c>
      <c r="AJ3" s="33" t="s">
        <v>77</v>
      </c>
      <c r="AK3" s="33" t="s">
        <v>78</v>
      </c>
      <c r="AL3" s="33" t="s">
        <v>79</v>
      </c>
      <c r="AM3" s="33" t="s">
        <v>80</v>
      </c>
      <c r="AN3" s="33" t="s">
        <v>81</v>
      </c>
      <c r="AO3" s="33" t="s">
        <v>82</v>
      </c>
      <c r="AP3" s="33" t="s">
        <v>83</v>
      </c>
      <c r="AQ3" s="33" t="s">
        <v>84</v>
      </c>
      <c r="AR3" s="33" t="s">
        <v>85</v>
      </c>
      <c r="AS3" s="33" t="s">
        <v>86</v>
      </c>
      <c r="AT3" s="33" t="s">
        <v>87</v>
      </c>
      <c r="AU3" s="33" t="s">
        <v>88</v>
      </c>
      <c r="AV3" s="33" t="s">
        <v>89</v>
      </c>
      <c r="AW3" s="33" t="s">
        <v>90</v>
      </c>
      <c r="AX3" s="33" t="s">
        <v>91</v>
      </c>
      <c r="AY3" s="33" t="s">
        <v>92</v>
      </c>
      <c r="AZ3" s="33" t="s">
        <v>93</v>
      </c>
      <c r="BA3" s="33" t="s">
        <v>94</v>
      </c>
      <c r="BB3" s="33" t="s">
        <v>95</v>
      </c>
      <c r="BC3" s="33" t="s">
        <v>96</v>
      </c>
      <c r="BD3" s="33" t="s">
        <v>97</v>
      </c>
      <c r="BE3" s="33" t="s">
        <v>98</v>
      </c>
      <c r="BF3" s="33" t="s">
        <v>99</v>
      </c>
      <c r="BG3" s="33" t="s">
        <v>100</v>
      </c>
      <c r="BH3" s="33" t="s">
        <v>101</v>
      </c>
      <c r="BI3" s="33" t="s">
        <v>102</v>
      </c>
      <c r="BJ3" s="33" t="s">
        <v>103</v>
      </c>
      <c r="BK3" s="33" t="s">
        <v>104</v>
      </c>
      <c r="BL3" s="33" t="s">
        <v>105</v>
      </c>
      <c r="BM3" s="33" t="s">
        <v>106</v>
      </c>
      <c r="BN3" s="33" t="s">
        <v>107</v>
      </c>
      <c r="BO3" s="33" t="s">
        <v>108</v>
      </c>
      <c r="BP3" s="2" t="s">
        <v>109</v>
      </c>
      <c r="BQ3" s="2" t="s">
        <v>110</v>
      </c>
      <c r="BR3" s="2" t="s">
        <v>111</v>
      </c>
      <c r="BS3" s="34" t="s">
        <v>112</v>
      </c>
      <c r="BT3" s="34" t="s">
        <v>113</v>
      </c>
      <c r="BU3" s="34" t="s">
        <v>114</v>
      </c>
      <c r="BV3" s="34" t="s">
        <v>115</v>
      </c>
      <c r="CA3" s="2">
        <v>2009</v>
      </c>
      <c r="CB3" s="2">
        <f t="shared" ref="CB3:EM3" si="0">CA3+1</f>
        <v>2010</v>
      </c>
      <c r="CC3" s="2">
        <f t="shared" si="0"/>
        <v>2011</v>
      </c>
      <c r="CD3" s="2">
        <f t="shared" si="0"/>
        <v>2012</v>
      </c>
      <c r="CE3" s="2">
        <f t="shared" si="0"/>
        <v>2013</v>
      </c>
      <c r="CF3" s="2">
        <f t="shared" si="0"/>
        <v>2014</v>
      </c>
      <c r="CG3" s="2">
        <f t="shared" si="0"/>
        <v>2015</v>
      </c>
      <c r="CH3" s="2">
        <f t="shared" si="0"/>
        <v>2016</v>
      </c>
      <c r="CI3" s="2">
        <f t="shared" si="0"/>
        <v>2017</v>
      </c>
      <c r="CJ3" s="2">
        <f t="shared" si="0"/>
        <v>2018</v>
      </c>
      <c r="CK3" s="2">
        <f t="shared" si="0"/>
        <v>2019</v>
      </c>
      <c r="CL3" s="2">
        <f t="shared" si="0"/>
        <v>2020</v>
      </c>
      <c r="CM3" s="2">
        <f t="shared" si="0"/>
        <v>2021</v>
      </c>
      <c r="CN3" s="2">
        <f t="shared" si="0"/>
        <v>2022</v>
      </c>
      <c r="CO3" s="2">
        <f t="shared" si="0"/>
        <v>2023</v>
      </c>
      <c r="CP3" s="2">
        <f t="shared" si="0"/>
        <v>2024</v>
      </c>
      <c r="CQ3" s="2">
        <f t="shared" si="0"/>
        <v>2025</v>
      </c>
      <c r="CR3" s="34">
        <f t="shared" si="0"/>
        <v>2026</v>
      </c>
      <c r="CS3" s="34">
        <f t="shared" si="0"/>
        <v>2027</v>
      </c>
      <c r="CT3" s="34">
        <f t="shared" si="0"/>
        <v>2028</v>
      </c>
      <c r="CU3" s="34">
        <f t="shared" si="0"/>
        <v>2029</v>
      </c>
      <c r="CV3" s="34">
        <f t="shared" si="0"/>
        <v>2030</v>
      </c>
      <c r="CW3" s="34">
        <f t="shared" si="0"/>
        <v>2031</v>
      </c>
      <c r="CX3" s="34">
        <f t="shared" si="0"/>
        <v>2032</v>
      </c>
      <c r="CY3" s="34">
        <f t="shared" si="0"/>
        <v>2033</v>
      </c>
      <c r="CZ3" s="34">
        <f t="shared" si="0"/>
        <v>2034</v>
      </c>
      <c r="DA3" s="34">
        <f t="shared" si="0"/>
        <v>2035</v>
      </c>
      <c r="DB3" s="34">
        <f t="shared" si="0"/>
        <v>2036</v>
      </c>
      <c r="DC3" s="34">
        <f t="shared" si="0"/>
        <v>2037</v>
      </c>
      <c r="DD3" s="34">
        <f t="shared" si="0"/>
        <v>2038</v>
      </c>
      <c r="DE3" s="34">
        <f t="shared" si="0"/>
        <v>2039</v>
      </c>
      <c r="DF3" s="34">
        <f t="shared" si="0"/>
        <v>2040</v>
      </c>
      <c r="DG3" s="34">
        <f t="shared" si="0"/>
        <v>2041</v>
      </c>
      <c r="DH3" s="34">
        <f t="shared" si="0"/>
        <v>2042</v>
      </c>
      <c r="DI3" s="34">
        <f t="shared" si="0"/>
        <v>2043</v>
      </c>
      <c r="DJ3" s="34">
        <f t="shared" si="0"/>
        <v>2044</v>
      </c>
      <c r="DK3" s="34">
        <f t="shared" si="0"/>
        <v>2045</v>
      </c>
      <c r="DL3" s="34">
        <f t="shared" si="0"/>
        <v>2046</v>
      </c>
      <c r="DM3" s="34">
        <f t="shared" si="0"/>
        <v>2047</v>
      </c>
      <c r="DN3" s="34">
        <f t="shared" si="0"/>
        <v>2048</v>
      </c>
      <c r="DO3" s="34">
        <f t="shared" si="0"/>
        <v>2049</v>
      </c>
      <c r="DP3" s="34">
        <f t="shared" si="0"/>
        <v>2050</v>
      </c>
      <c r="DQ3" s="34">
        <f t="shared" si="0"/>
        <v>2051</v>
      </c>
      <c r="DR3" s="34">
        <f t="shared" si="0"/>
        <v>2052</v>
      </c>
      <c r="DS3" s="34">
        <f t="shared" si="0"/>
        <v>2053</v>
      </c>
      <c r="DT3" s="34">
        <f t="shared" si="0"/>
        <v>2054</v>
      </c>
      <c r="DU3" s="34">
        <f t="shared" si="0"/>
        <v>2055</v>
      </c>
      <c r="DV3" s="34">
        <f t="shared" si="0"/>
        <v>2056</v>
      </c>
      <c r="DW3" s="34">
        <f t="shared" si="0"/>
        <v>2057</v>
      </c>
      <c r="DX3" s="34">
        <f t="shared" si="0"/>
        <v>2058</v>
      </c>
      <c r="DY3" s="34">
        <f t="shared" si="0"/>
        <v>2059</v>
      </c>
      <c r="DZ3" s="34">
        <f t="shared" si="0"/>
        <v>2060</v>
      </c>
      <c r="EA3" s="34">
        <f t="shared" si="0"/>
        <v>2061</v>
      </c>
      <c r="EB3" s="34">
        <f t="shared" si="0"/>
        <v>2062</v>
      </c>
      <c r="EC3" s="34">
        <f t="shared" si="0"/>
        <v>2063</v>
      </c>
      <c r="ED3" s="34">
        <f t="shared" si="0"/>
        <v>2064</v>
      </c>
      <c r="EE3" s="34">
        <f t="shared" si="0"/>
        <v>2065</v>
      </c>
      <c r="EF3" s="34">
        <f t="shared" si="0"/>
        <v>2066</v>
      </c>
      <c r="EG3" s="34">
        <f t="shared" si="0"/>
        <v>2067</v>
      </c>
      <c r="EH3" s="34">
        <f t="shared" si="0"/>
        <v>2068</v>
      </c>
      <c r="EI3" s="34">
        <f t="shared" si="0"/>
        <v>2069</v>
      </c>
      <c r="EJ3" s="34">
        <f t="shared" si="0"/>
        <v>2070</v>
      </c>
      <c r="EK3" s="34">
        <f t="shared" si="0"/>
        <v>2071</v>
      </c>
      <c r="EL3" s="34">
        <f t="shared" si="0"/>
        <v>2072</v>
      </c>
      <c r="EM3" s="34">
        <f t="shared" si="0"/>
        <v>2073</v>
      </c>
      <c r="EN3" s="34">
        <f t="shared" ref="EN3:EX3" si="1">EM3+1</f>
        <v>2074</v>
      </c>
      <c r="EO3" s="34">
        <f t="shared" si="1"/>
        <v>2075</v>
      </c>
      <c r="EP3" s="34">
        <f t="shared" si="1"/>
        <v>2076</v>
      </c>
      <c r="EQ3" s="34">
        <f t="shared" si="1"/>
        <v>2077</v>
      </c>
      <c r="ER3" s="34">
        <f t="shared" si="1"/>
        <v>2078</v>
      </c>
      <c r="ES3" s="34">
        <f t="shared" si="1"/>
        <v>2079</v>
      </c>
      <c r="ET3" s="34">
        <f t="shared" si="1"/>
        <v>2080</v>
      </c>
      <c r="EU3" s="34">
        <f t="shared" si="1"/>
        <v>2081</v>
      </c>
      <c r="EV3" s="34">
        <f t="shared" si="1"/>
        <v>2082</v>
      </c>
      <c r="EW3" s="34">
        <f t="shared" si="1"/>
        <v>2083</v>
      </c>
      <c r="EX3" s="34">
        <f t="shared" si="1"/>
        <v>2084</v>
      </c>
      <c r="EY3" s="34"/>
      <c r="EZ3" s="34"/>
      <c r="FA3" s="2"/>
    </row>
    <row r="4" spans="2:157">
      <c r="B4" s="36" t="s">
        <v>225</v>
      </c>
      <c r="AY4" s="1">
        <v>722</v>
      </c>
      <c r="AZ4" s="1">
        <v>850</v>
      </c>
      <c r="BA4" s="1">
        <v>883</v>
      </c>
      <c r="BB4" s="1">
        <f>3312-SUM(AY4:BA4)</f>
        <v>857</v>
      </c>
      <c r="BC4" s="1">
        <v>900</v>
      </c>
      <c r="BD4" s="1">
        <v>809</v>
      </c>
      <c r="BE4" s="1">
        <v>878</v>
      </c>
      <c r="BF4" s="1">
        <f>3545-SUM(BC4:BE4)</f>
        <v>958</v>
      </c>
      <c r="BG4" s="1">
        <v>936</v>
      </c>
      <c r="BH4" s="1">
        <v>1023</v>
      </c>
      <c r="BI4" s="1">
        <v>968</v>
      </c>
      <c r="BJ4" s="1">
        <f>4098-SUM(BG4:BI4)</f>
        <v>1171</v>
      </c>
      <c r="BK4" s="1">
        <v>927</v>
      </c>
      <c r="BL4" s="1">
        <v>974</v>
      </c>
      <c r="BM4" s="1">
        <v>957</v>
      </c>
      <c r="BN4" s="1">
        <f>3804-SUM(BK4:BM4)</f>
        <v>946</v>
      </c>
      <c r="BO4" s="1">
        <v>806</v>
      </c>
      <c r="BP4" s="1">
        <v>896</v>
      </c>
      <c r="BQ4" s="1">
        <v>968</v>
      </c>
      <c r="BR4" s="1">
        <f>3756-SUM(BO4:BQ4)</f>
        <v>1086</v>
      </c>
      <c r="CM4" s="1">
        <f>SUM(AY4:BB4)</f>
        <v>3312</v>
      </c>
      <c r="CN4" s="1">
        <f>SUM(BC4:BF4)</f>
        <v>3545</v>
      </c>
      <c r="CO4" s="1">
        <f>SUM(BG4:BJ4)</f>
        <v>4098</v>
      </c>
      <c r="CP4" s="1">
        <f>SUM(BK4:BN4)</f>
        <v>3804</v>
      </c>
      <c r="CQ4" s="1">
        <f>SUM(BO4:BR4)</f>
        <v>3756</v>
      </c>
      <c r="CR4" s="35">
        <f>CQ4*(1+CR9)</f>
        <v>7512</v>
      </c>
      <c r="CS4" s="35">
        <f>CR4*(1+CS9)</f>
        <v>15024</v>
      </c>
      <c r="CT4" s="35">
        <f>CS4*(1+CT9)</f>
        <v>30048</v>
      </c>
      <c r="CU4" s="35">
        <f>CT4*(1+CU9)</f>
        <v>60096</v>
      </c>
      <c r="CV4" s="35">
        <f>CU4*(1+CV9)</f>
        <v>120192</v>
      </c>
      <c r="CW4" s="35">
        <f>CV4*(1+CW9)</f>
        <v>240384</v>
      </c>
      <c r="CX4" s="35">
        <f>CW4*(1+CX9)</f>
        <v>480768</v>
      </c>
      <c r="CY4" s="35">
        <f>CX4*(1+CY9)</f>
        <v>961536</v>
      </c>
      <c r="CZ4" s="35">
        <f>CY4*(1+CZ9)</f>
        <v>1923072</v>
      </c>
    </row>
    <row r="5" spans="2:157">
      <c r="B5" s="36" t="s">
        <v>226</v>
      </c>
      <c r="AY5" s="1">
        <v>441</v>
      </c>
      <c r="AZ5" s="1">
        <v>502</v>
      </c>
      <c r="BA5" s="1">
        <v>510</v>
      </c>
      <c r="BB5" s="1">
        <f>1947-SUM(AY5:BA5)</f>
        <v>494</v>
      </c>
      <c r="BC5" s="1">
        <v>514</v>
      </c>
      <c r="BD5" s="1">
        <v>535</v>
      </c>
      <c r="BE5" s="1">
        <v>607</v>
      </c>
      <c r="BF5" s="1">
        <f>2313-SUM(BC5:BE5)</f>
        <v>657</v>
      </c>
      <c r="BG5" s="1">
        <v>573</v>
      </c>
      <c r="BH5" s="1">
        <v>741</v>
      </c>
      <c r="BI5" s="1">
        <v>750</v>
      </c>
      <c r="BJ5" s="1">
        <f>2886-SUM(BG5:BI5)</f>
        <v>822</v>
      </c>
      <c r="BK5" s="1">
        <v>604</v>
      </c>
      <c r="BL5" s="1">
        <v>569</v>
      </c>
      <c r="BM5" s="1">
        <v>513</v>
      </c>
      <c r="BN5" s="1">
        <f>2187-SUM(BK5:BM5)</f>
        <v>501</v>
      </c>
      <c r="BO5" s="1">
        <v>529</v>
      </c>
      <c r="BP5" s="1">
        <v>568</v>
      </c>
      <c r="BQ5" s="1">
        <v>629</v>
      </c>
      <c r="BR5" s="1">
        <f>2383-SUM(BO5:BQ5)</f>
        <v>657</v>
      </c>
      <c r="CM5" s="1">
        <f>SUM(AY5:BB5)</f>
        <v>1947</v>
      </c>
      <c r="CN5" s="1">
        <f>SUM(BC5:BF5)</f>
        <v>2313</v>
      </c>
      <c r="CO5" s="1">
        <f>SUM(BG5:BJ5)</f>
        <v>2886</v>
      </c>
      <c r="CP5" s="1">
        <f>SUM(BK5:BN5)</f>
        <v>2187</v>
      </c>
      <c r="CQ5" s="1">
        <f>SUM(BO5:BR5)</f>
        <v>2383</v>
      </c>
      <c r="CR5" s="35">
        <f>CQ5*(1+CR10)</f>
        <v>4766</v>
      </c>
      <c r="CS5" s="35">
        <f>CR5*(1+CS10)</f>
        <v>9532</v>
      </c>
      <c r="CT5" s="35">
        <f>CS5*(1+CT10)</f>
        <v>19064</v>
      </c>
      <c r="CU5" s="35">
        <f>CT5*(1+CU10)</f>
        <v>38128</v>
      </c>
      <c r="CV5" s="35">
        <f>CU5*(1+CV10)</f>
        <v>76256</v>
      </c>
      <c r="CW5" s="35">
        <f>CV5*(1+CW10)</f>
        <v>152512</v>
      </c>
      <c r="CX5" s="35">
        <f>CW5*(1+CX10)</f>
        <v>305024</v>
      </c>
      <c r="CY5" s="35">
        <f>CX5*(1+CY10)</f>
        <v>610048</v>
      </c>
      <c r="CZ5" s="35">
        <f>CY5*(1+CZ10)</f>
        <v>1220096</v>
      </c>
    </row>
    <row r="6" spans="2:157">
      <c r="B6" s="36" t="s">
        <v>227</v>
      </c>
      <c r="AY6" s="1">
        <v>403</v>
      </c>
      <c r="AZ6" s="1">
        <v>424</v>
      </c>
      <c r="BA6" s="1">
        <v>456</v>
      </c>
      <c r="BB6" s="1">
        <f>1739-SUM(AY6:BA6)</f>
        <v>456</v>
      </c>
      <c r="BC6" s="1">
        <v>443</v>
      </c>
      <c r="BD6" s="1">
        <v>465</v>
      </c>
      <c r="BE6" s="1">
        <v>484</v>
      </c>
      <c r="BF6" s="1">
        <f>1903-SUM(BC6:BE6)</f>
        <v>511</v>
      </c>
      <c r="BG6" s="1">
        <v>472</v>
      </c>
      <c r="BH6" s="1">
        <v>511</v>
      </c>
      <c r="BI6" s="1">
        <v>520</v>
      </c>
      <c r="BJ6" s="1">
        <f>2074-SUM(BG6:BI6)</f>
        <v>571</v>
      </c>
      <c r="BK6" s="1">
        <v>521</v>
      </c>
      <c r="BL6" s="1">
        <v>583</v>
      </c>
      <c r="BM6" s="1">
        <v>581</v>
      </c>
      <c r="BN6" s="1">
        <f>2273-SUM(BK6:BM6)</f>
        <v>588</v>
      </c>
      <c r="BO6" s="1">
        <v>546</v>
      </c>
      <c r="BP6" s="1">
        <v>537</v>
      </c>
      <c r="BQ6" s="1">
        <v>547</v>
      </c>
      <c r="BR6" s="1">
        <f>2203-SUM(BO6:BQ6)</f>
        <v>573</v>
      </c>
      <c r="CM6" s="1">
        <f>SUM(AY6:BB6)</f>
        <v>1739</v>
      </c>
      <c r="CN6" s="1">
        <f>SUM(BC6:BF6)</f>
        <v>1903</v>
      </c>
      <c r="CO6" s="1">
        <f>SUM(BG6:BJ6)</f>
        <v>2074</v>
      </c>
      <c r="CP6" s="1">
        <f>SUM(BK6:BN6)</f>
        <v>2273</v>
      </c>
      <c r="CQ6" s="1">
        <f>SUM(BO6:BR6)</f>
        <v>2203</v>
      </c>
      <c r="CR6" s="35">
        <f>CQ6*(1+CR11)</f>
        <v>4406</v>
      </c>
      <c r="CS6" s="35">
        <f>CR6*(1+CS11)</f>
        <v>8812</v>
      </c>
      <c r="CT6" s="35">
        <f>CS6*(1+CT11)</f>
        <v>17624</v>
      </c>
      <c r="CU6" s="35">
        <f>CT6*(1+CU11)</f>
        <v>35248</v>
      </c>
      <c r="CV6" s="35">
        <f>CU6*(1+CV11)</f>
        <v>70496</v>
      </c>
      <c r="CW6" s="35">
        <f>CV6*(1+CW11)</f>
        <v>140992</v>
      </c>
      <c r="CX6" s="35">
        <f>CW6*(1+CX11)</f>
        <v>281984</v>
      </c>
      <c r="CY6" s="35">
        <f>CX6*(1+CY11)</f>
        <v>563968</v>
      </c>
      <c r="CZ6" s="35">
        <f>CY6*(1+CZ11)</f>
        <v>1127936</v>
      </c>
    </row>
    <row r="7" spans="2:157" s="2" customFormat="1" ht="15">
      <c r="B7" s="33" t="s">
        <v>119</v>
      </c>
      <c r="AY7" s="2">
        <f t="shared" ref="AY7:BR7" si="2">SUM(AY4:AY6)</f>
        <v>1566</v>
      </c>
      <c r="AZ7" s="2">
        <f t="shared" si="2"/>
        <v>1776</v>
      </c>
      <c r="BA7" s="2">
        <f t="shared" si="2"/>
        <v>1849</v>
      </c>
      <c r="BB7" s="2">
        <f t="shared" si="2"/>
        <v>1807</v>
      </c>
      <c r="BC7" s="2">
        <f t="shared" si="2"/>
        <v>1857</v>
      </c>
      <c r="BD7" s="2">
        <f t="shared" si="2"/>
        <v>1809</v>
      </c>
      <c r="BE7" s="2">
        <f t="shared" si="2"/>
        <v>1969</v>
      </c>
      <c r="BF7" s="2">
        <f t="shared" si="2"/>
        <v>2126</v>
      </c>
      <c r="BG7" s="2">
        <f t="shared" si="2"/>
        <v>1981</v>
      </c>
      <c r="BH7" s="2">
        <f t="shared" si="2"/>
        <v>2275</v>
      </c>
      <c r="BI7" s="2">
        <f t="shared" si="2"/>
        <v>2238</v>
      </c>
      <c r="BJ7" s="2">
        <f t="shared" si="2"/>
        <v>2564</v>
      </c>
      <c r="BK7" s="2">
        <f t="shared" si="2"/>
        <v>2052</v>
      </c>
      <c r="BL7" s="2">
        <f t="shared" si="2"/>
        <v>2126</v>
      </c>
      <c r="BM7" s="2">
        <f t="shared" si="2"/>
        <v>2051</v>
      </c>
      <c r="BN7" s="2">
        <f t="shared" si="2"/>
        <v>2035</v>
      </c>
      <c r="BO7" s="2">
        <f t="shared" si="2"/>
        <v>1881</v>
      </c>
      <c r="BP7" s="2">
        <f t="shared" si="2"/>
        <v>2001</v>
      </c>
      <c r="BQ7" s="2">
        <f t="shared" si="2"/>
        <v>2144</v>
      </c>
      <c r="BR7" s="2">
        <f t="shared" si="2"/>
        <v>2316</v>
      </c>
      <c r="BS7" s="34"/>
      <c r="BT7" s="34"/>
      <c r="BU7" s="34"/>
      <c r="BV7" s="34"/>
      <c r="CM7" s="2">
        <f>SUM(AY7:BB7)</f>
        <v>6998</v>
      </c>
      <c r="CN7" s="2">
        <f>SUM(BC7:BF7)</f>
        <v>7761</v>
      </c>
      <c r="CO7" s="2">
        <f>SUM(BG7:BJ7)</f>
        <v>9058</v>
      </c>
      <c r="CP7" s="2">
        <f>SUM(BK7:BN7)</f>
        <v>8264</v>
      </c>
      <c r="CQ7" s="2">
        <f>SUM(CQ4:CQ6)</f>
        <v>8342</v>
      </c>
      <c r="CR7" s="34">
        <f>SUM(CR4:CR6)</f>
        <v>16684</v>
      </c>
      <c r="CS7" s="34">
        <f>SUM(CS4:CS6)</f>
        <v>33368</v>
      </c>
      <c r="CT7" s="34">
        <f>SUM(CT4:CT6)</f>
        <v>66736</v>
      </c>
      <c r="CU7" s="34">
        <f>SUM(CU4:CU6)</f>
        <v>133472</v>
      </c>
      <c r="CV7" s="34">
        <f>SUM(CV4:CV6)</f>
        <v>266944</v>
      </c>
      <c r="CW7" s="34">
        <f>SUM(CW4:CW6)</f>
        <v>533888</v>
      </c>
      <c r="CX7" s="34">
        <f>SUM(CX4:CX6)</f>
        <v>1067776</v>
      </c>
      <c r="CY7" s="34">
        <f>SUM(CY4:CY6)</f>
        <v>2135552</v>
      </c>
      <c r="CZ7" s="34">
        <f>SUM(CZ4:CZ6)</f>
        <v>4271104</v>
      </c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</row>
    <row r="8" spans="2:157">
      <c r="B8" s="36"/>
    </row>
    <row r="9" spans="2:157">
      <c r="B9" s="36" t="s">
        <v>228</v>
      </c>
      <c r="AY9" s="66"/>
      <c r="AZ9" s="66"/>
      <c r="BA9" s="66"/>
      <c r="BB9" s="66"/>
      <c r="BC9" s="66">
        <f t="shared" ref="BC9:BR9" si="3">BC4/AY4-1</f>
        <v>0.24653739612188375</v>
      </c>
      <c r="BD9" s="66">
        <f t="shared" si="3"/>
        <v>-4.8235294117647043E-2</v>
      </c>
      <c r="BE9" s="66">
        <f t="shared" si="3"/>
        <v>-5.6625141562853809E-3</v>
      </c>
      <c r="BF9" s="66">
        <f t="shared" si="3"/>
        <v>0.11785297549591589</v>
      </c>
      <c r="BG9" s="66">
        <f t="shared" si="3"/>
        <v>4.0000000000000036E-2</v>
      </c>
      <c r="BH9" s="66">
        <f t="shared" si="3"/>
        <v>0.26452410383189129</v>
      </c>
      <c r="BI9" s="66">
        <f t="shared" si="3"/>
        <v>0.10250569476082005</v>
      </c>
      <c r="BJ9" s="66">
        <f t="shared" si="3"/>
        <v>0.22233820459290188</v>
      </c>
      <c r="BK9" s="66">
        <f t="shared" si="3"/>
        <v>-9.6153846153845812E-3</v>
      </c>
      <c r="BL9" s="66">
        <f t="shared" si="3"/>
        <v>-4.7898338220918824E-2</v>
      </c>
      <c r="BM9" s="66">
        <f t="shared" si="3"/>
        <v>-1.1363636363636354E-2</v>
      </c>
      <c r="BN9" s="66">
        <f t="shared" si="3"/>
        <v>-0.19214346712211783</v>
      </c>
      <c r="BO9" s="66">
        <f t="shared" si="3"/>
        <v>-0.13052858683926649</v>
      </c>
      <c r="BP9" s="66">
        <f t="shared" si="3"/>
        <v>-8.0082135523613984E-2</v>
      </c>
      <c r="BQ9" s="66">
        <f t="shared" si="3"/>
        <v>1.1494252873563315E-2</v>
      </c>
      <c r="BR9" s="66">
        <f t="shared" si="3"/>
        <v>0.14799154334038045</v>
      </c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>
        <f t="shared" ref="CN9:CO9" si="4">CN4/CM4-1</f>
        <v>7.0350241545893644E-2</v>
      </c>
      <c r="CO9" s="66">
        <f t="shared" si="4"/>
        <v>0.1559943582510579</v>
      </c>
      <c r="CP9" s="66">
        <f>CP4/CO4-1</f>
        <v>-7.1742313323572504E-2</v>
      </c>
      <c r="CQ9" s="66">
        <f>CQ4/CP4-1</f>
        <v>-1.2618296529968487E-2</v>
      </c>
      <c r="CR9" s="47">
        <v>1</v>
      </c>
      <c r="CS9" s="47">
        <v>1</v>
      </c>
      <c r="CT9" s="47">
        <v>1</v>
      </c>
      <c r="CU9" s="47">
        <v>1</v>
      </c>
      <c r="CV9" s="47">
        <v>1</v>
      </c>
      <c r="CW9" s="47">
        <v>1</v>
      </c>
      <c r="CX9" s="47">
        <v>1</v>
      </c>
      <c r="CY9" s="47">
        <v>1</v>
      </c>
      <c r="CZ9" s="47">
        <v>1</v>
      </c>
    </row>
    <row r="10" spans="2:157">
      <c r="B10" s="36" t="s">
        <v>229</v>
      </c>
      <c r="AY10" s="66"/>
      <c r="AZ10" s="66"/>
      <c r="BA10" s="66"/>
      <c r="BB10" s="66"/>
      <c r="BC10" s="66">
        <f t="shared" ref="BC10:BR10" si="5">BC5/AY5-1</f>
        <v>0.16553287981859421</v>
      </c>
      <c r="BD10" s="66">
        <f t="shared" si="5"/>
        <v>6.5737051792828627E-2</v>
      </c>
      <c r="BE10" s="66">
        <f t="shared" si="5"/>
        <v>0.19019607843137254</v>
      </c>
      <c r="BF10" s="66">
        <f t="shared" si="5"/>
        <v>0.32995951417004044</v>
      </c>
      <c r="BG10" s="66">
        <f t="shared" si="5"/>
        <v>0.11478599221789887</v>
      </c>
      <c r="BH10" s="66">
        <f t="shared" si="5"/>
        <v>0.38504672897196257</v>
      </c>
      <c r="BI10" s="66">
        <f t="shared" si="5"/>
        <v>0.23558484349258646</v>
      </c>
      <c r="BJ10" s="66">
        <f t="shared" si="5"/>
        <v>0.25114155251141557</v>
      </c>
      <c r="BK10" s="66">
        <f t="shared" si="5"/>
        <v>5.4101221640488584E-2</v>
      </c>
      <c r="BL10" s="66">
        <f t="shared" si="5"/>
        <v>-0.23211875843454788</v>
      </c>
      <c r="BM10" s="66">
        <f t="shared" si="5"/>
        <v>-0.31599999999999995</v>
      </c>
      <c r="BN10" s="66">
        <f t="shared" si="5"/>
        <v>-0.39051094890510951</v>
      </c>
      <c r="BO10" s="66">
        <f t="shared" si="5"/>
        <v>-0.1241721854304636</v>
      </c>
      <c r="BP10" s="66">
        <f t="shared" si="5"/>
        <v>-1.7574692442882123E-3</v>
      </c>
      <c r="BQ10" s="66">
        <f t="shared" si="5"/>
        <v>0.22612085769980506</v>
      </c>
      <c r="BR10" s="66">
        <f t="shared" si="5"/>
        <v>0.31137724550898205</v>
      </c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>
        <f t="shared" ref="CN10:CO10" si="6">CN5/CM5-1</f>
        <v>0.1879815100154083</v>
      </c>
      <c r="CO10" s="66">
        <f t="shared" si="6"/>
        <v>0.24773022049286642</v>
      </c>
      <c r="CP10" s="66">
        <f>CP5/CO5-1</f>
        <v>-0.24220374220374219</v>
      </c>
      <c r="CQ10" s="66">
        <f>CQ5/CP5-1</f>
        <v>8.9620484682213064E-2</v>
      </c>
      <c r="CR10" s="47">
        <v>1</v>
      </c>
      <c r="CS10" s="47">
        <v>1</v>
      </c>
      <c r="CT10" s="47">
        <v>1</v>
      </c>
      <c r="CU10" s="47">
        <v>1</v>
      </c>
      <c r="CV10" s="47">
        <v>1</v>
      </c>
      <c r="CW10" s="47">
        <v>1</v>
      </c>
      <c r="CX10" s="47">
        <v>1</v>
      </c>
      <c r="CY10" s="47">
        <v>1</v>
      </c>
      <c r="CZ10" s="47">
        <v>1</v>
      </c>
    </row>
    <row r="11" spans="2:157">
      <c r="B11" s="36" t="s">
        <v>230</v>
      </c>
      <c r="AY11" s="66"/>
      <c r="AZ11" s="66"/>
      <c r="BA11" s="66"/>
      <c r="BB11" s="66"/>
      <c r="BC11" s="66">
        <f t="shared" ref="BC11:BR11" si="7">BC6/AY6-1</f>
        <v>9.9255583126550917E-2</v>
      </c>
      <c r="BD11" s="66">
        <f t="shared" si="7"/>
        <v>9.6698113207547065E-2</v>
      </c>
      <c r="BE11" s="66">
        <f t="shared" si="7"/>
        <v>6.1403508771929793E-2</v>
      </c>
      <c r="BF11" s="66">
        <f t="shared" si="7"/>
        <v>0.1206140350877194</v>
      </c>
      <c r="BG11" s="66">
        <f t="shared" si="7"/>
        <v>6.5462753950338515E-2</v>
      </c>
      <c r="BH11" s="66">
        <f t="shared" si="7"/>
        <v>9.8924731182795655E-2</v>
      </c>
      <c r="BI11" s="66">
        <f t="shared" si="7"/>
        <v>7.4380165289256173E-2</v>
      </c>
      <c r="BJ11" s="66">
        <f t="shared" si="7"/>
        <v>0.11741682974559686</v>
      </c>
      <c r="BK11" s="66">
        <f t="shared" si="7"/>
        <v>0.10381355932203395</v>
      </c>
      <c r="BL11" s="66">
        <f t="shared" si="7"/>
        <v>0.14090019569471623</v>
      </c>
      <c r="BM11" s="66">
        <f t="shared" si="7"/>
        <v>0.11730769230769234</v>
      </c>
      <c r="BN11" s="66">
        <f t="shared" si="7"/>
        <v>2.9772329246935181E-2</v>
      </c>
      <c r="BO11" s="66">
        <f t="shared" si="7"/>
        <v>4.7984644913627639E-2</v>
      </c>
      <c r="BP11" s="66">
        <f t="shared" si="7"/>
        <v>-7.8902229845626115E-2</v>
      </c>
      <c r="BQ11" s="66">
        <f t="shared" si="7"/>
        <v>-5.8519793459552494E-2</v>
      </c>
      <c r="BR11" s="66">
        <f t="shared" si="7"/>
        <v>-2.5510204081632626E-2</v>
      </c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>
        <f t="shared" ref="CN11:CO11" si="8">CN6/CM6-1</f>
        <v>9.4307073030477362E-2</v>
      </c>
      <c r="CO11" s="66">
        <f t="shared" si="8"/>
        <v>8.9858118759852834E-2</v>
      </c>
      <c r="CP11" s="66">
        <f>CP6/CO6-1</f>
        <v>9.5949855351976865E-2</v>
      </c>
      <c r="CQ11" s="66">
        <f>CQ6/CP6-1</f>
        <v>-3.0796304443466815E-2</v>
      </c>
      <c r="CR11" s="47">
        <v>1</v>
      </c>
      <c r="CS11" s="47">
        <v>1</v>
      </c>
      <c r="CT11" s="47">
        <v>1</v>
      </c>
      <c r="CU11" s="47">
        <v>1</v>
      </c>
      <c r="CV11" s="47">
        <v>1</v>
      </c>
      <c r="CW11" s="47">
        <v>1</v>
      </c>
      <c r="CX11" s="47">
        <v>1</v>
      </c>
      <c r="CY11" s="47">
        <v>1</v>
      </c>
      <c r="CZ11" s="47">
        <v>1</v>
      </c>
    </row>
    <row r="12" spans="2:157" s="2" customFormat="1" ht="15">
      <c r="B12" s="33" t="s">
        <v>169</v>
      </c>
      <c r="AY12" s="67"/>
      <c r="AZ12" s="67"/>
      <c r="BA12" s="67"/>
      <c r="BB12" s="67"/>
      <c r="BC12" s="67">
        <f t="shared" ref="BC12:BR12" si="9">BC7/AY7-1</f>
        <v>0.18582375478927204</v>
      </c>
      <c r="BD12" s="67">
        <f t="shared" si="9"/>
        <v>1.8581081081081141E-2</v>
      </c>
      <c r="BE12" s="67">
        <f t="shared" si="9"/>
        <v>6.4899945916711665E-2</v>
      </c>
      <c r="BF12" s="67">
        <f t="shared" si="9"/>
        <v>0.17653569452130613</v>
      </c>
      <c r="BG12" s="67">
        <f t="shared" si="9"/>
        <v>6.6774367259019973E-2</v>
      </c>
      <c r="BH12" s="67">
        <f t="shared" si="9"/>
        <v>0.25760088446655605</v>
      </c>
      <c r="BI12" s="67">
        <f t="shared" si="9"/>
        <v>0.13661757237176242</v>
      </c>
      <c r="BJ12" s="67">
        <f t="shared" si="9"/>
        <v>0.20602069614299157</v>
      </c>
      <c r="BK12" s="67">
        <f t="shared" si="9"/>
        <v>3.5840484603735456E-2</v>
      </c>
      <c r="BL12" s="67">
        <f t="shared" si="9"/>
        <v>-6.5494505494505528E-2</v>
      </c>
      <c r="BM12" s="67">
        <f t="shared" si="9"/>
        <v>-8.3556747095621109E-2</v>
      </c>
      <c r="BN12" s="67">
        <f t="shared" si="9"/>
        <v>-0.20631825273010918</v>
      </c>
      <c r="BO12" s="67">
        <f t="shared" si="9"/>
        <v>-8.333333333333337E-2</v>
      </c>
      <c r="BP12" s="67">
        <f t="shared" si="9"/>
        <v>-5.8795860771401642E-2</v>
      </c>
      <c r="BQ12" s="67">
        <f t="shared" si="9"/>
        <v>4.534373476352993E-2</v>
      </c>
      <c r="BR12" s="67">
        <f t="shared" si="9"/>
        <v>0.13808353808353813</v>
      </c>
      <c r="BS12" s="34"/>
      <c r="BT12" s="34"/>
      <c r="BU12" s="34"/>
      <c r="BV12" s="34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>
        <f t="shared" ref="CN12:CO12" si="10">CN7/CM7-1</f>
        <v>0.109031151757645</v>
      </c>
      <c r="CO12" s="67">
        <f t="shared" si="10"/>
        <v>0.16711763947944847</v>
      </c>
      <c r="CP12" s="67">
        <f>CP7/CO7-1</f>
        <v>-8.7657319496577624E-2</v>
      </c>
      <c r="CQ12" s="67">
        <f>CQ7/CP7-1</f>
        <v>9.4385285575993016E-3</v>
      </c>
      <c r="CR12" s="48">
        <f>CR7/CQ7-1</f>
        <v>1</v>
      </c>
      <c r="CS12" s="48">
        <f>CS7/CR7-1</f>
        <v>1</v>
      </c>
      <c r="CT12" s="48">
        <f>CT7/CS7-1</f>
        <v>1</v>
      </c>
      <c r="CU12" s="48">
        <f>CU7/CT7-1</f>
        <v>1</v>
      </c>
      <c r="CV12" s="48">
        <f>CV7/CU7-1</f>
        <v>1</v>
      </c>
      <c r="CW12" s="48">
        <f>CW7/CV7-1</f>
        <v>1</v>
      </c>
      <c r="CX12" s="48">
        <f>CX7/CW7-1</f>
        <v>1</v>
      </c>
      <c r="CY12" s="48">
        <f>CY7/CX7-1</f>
        <v>1</v>
      </c>
      <c r="CZ12" s="48">
        <f>CZ7/CY7-1</f>
        <v>1</v>
      </c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</row>
    <row r="14" spans="2:157">
      <c r="B14" s="38" t="s">
        <v>231</v>
      </c>
      <c r="AU14" s="66"/>
      <c r="AV14" s="66"/>
      <c r="AW14" s="66"/>
      <c r="AX14" s="66"/>
      <c r="AY14" s="66">
        <f t="shared" ref="AY14:BR14" si="11">AY4/AY7</f>
        <v>0.46104725415070241</v>
      </c>
      <c r="AZ14" s="66">
        <f t="shared" si="11"/>
        <v>0.4786036036036036</v>
      </c>
      <c r="BA14" s="66">
        <f t="shared" si="11"/>
        <v>0.47755543537047052</v>
      </c>
      <c r="BB14" s="66">
        <f t="shared" si="11"/>
        <v>0.4742667404537908</v>
      </c>
      <c r="BC14" s="66">
        <f t="shared" si="11"/>
        <v>0.48465266558966075</v>
      </c>
      <c r="BD14" s="66">
        <f t="shared" si="11"/>
        <v>0.44720840243228305</v>
      </c>
      <c r="BE14" s="66">
        <f t="shared" si="11"/>
        <v>0.44591163026917219</v>
      </c>
      <c r="BF14" s="66">
        <f t="shared" si="11"/>
        <v>0.45061147695202258</v>
      </c>
      <c r="BG14" s="66">
        <f t="shared" si="11"/>
        <v>0.47248864209994951</v>
      </c>
      <c r="BH14" s="66">
        <f t="shared" si="11"/>
        <v>0.44967032967032966</v>
      </c>
      <c r="BI14" s="66">
        <f t="shared" si="11"/>
        <v>0.4325290437890974</v>
      </c>
      <c r="BJ14" s="66">
        <f t="shared" si="11"/>
        <v>0.45670826833073325</v>
      </c>
      <c r="BK14" s="66">
        <f t="shared" si="11"/>
        <v>0.4517543859649123</v>
      </c>
      <c r="BL14" s="66">
        <f t="shared" si="11"/>
        <v>0.45813734713076198</v>
      </c>
      <c r="BM14" s="66">
        <f t="shared" si="11"/>
        <v>0.4666016577279376</v>
      </c>
      <c r="BN14" s="66">
        <f t="shared" si="11"/>
        <v>0.46486486486486489</v>
      </c>
      <c r="BO14" s="66">
        <f t="shared" si="11"/>
        <v>0.4284954811270601</v>
      </c>
      <c r="BP14" s="66">
        <f t="shared" si="11"/>
        <v>0.447776111944028</v>
      </c>
      <c r="BQ14" s="66">
        <f t="shared" si="11"/>
        <v>0.45149253731343286</v>
      </c>
      <c r="BR14" s="66">
        <f t="shared" si="11"/>
        <v>0.4689119170984456</v>
      </c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>
        <f t="shared" ref="CM14:CO14" si="12">CM4/CM7</f>
        <v>0.47327807945127182</v>
      </c>
      <c r="CN14" s="66">
        <f t="shared" si="12"/>
        <v>0.45677103466048191</v>
      </c>
      <c r="CO14" s="66">
        <f t="shared" si="12"/>
        <v>0.45241775226319275</v>
      </c>
      <c r="CP14" s="66">
        <f>CP4/CP7</f>
        <v>0.46030977734753148</v>
      </c>
      <c r="CQ14" s="66">
        <f>CQ4/CQ7</f>
        <v>0.45025173819228004</v>
      </c>
    </row>
    <row r="15" spans="2:157">
      <c r="B15" s="38" t="s">
        <v>232</v>
      </c>
      <c r="AU15" s="66"/>
      <c r="AV15" s="66"/>
      <c r="AW15" s="66"/>
      <c r="AX15" s="66"/>
      <c r="AY15" s="66">
        <f t="shared" ref="AY15:BR15" si="13">AY5/AY7</f>
        <v>0.28160919540229884</v>
      </c>
      <c r="AZ15" s="66">
        <f t="shared" si="13"/>
        <v>0.28265765765765766</v>
      </c>
      <c r="BA15" s="66">
        <f t="shared" si="13"/>
        <v>0.27582477014602486</v>
      </c>
      <c r="BB15" s="66">
        <f t="shared" si="13"/>
        <v>0.2733812949640288</v>
      </c>
      <c r="BC15" s="66">
        <f t="shared" si="13"/>
        <v>0.27679052234787294</v>
      </c>
      <c r="BD15" s="66">
        <f t="shared" si="13"/>
        <v>0.29574350469872857</v>
      </c>
      <c r="BE15" s="66">
        <f t="shared" si="13"/>
        <v>0.30827831386490606</v>
      </c>
      <c r="BF15" s="66">
        <f t="shared" si="13"/>
        <v>0.30903104421448729</v>
      </c>
      <c r="BG15" s="66">
        <f t="shared" si="13"/>
        <v>0.28924785461887936</v>
      </c>
      <c r="BH15" s="66">
        <f t="shared" si="13"/>
        <v>0.32571428571428573</v>
      </c>
      <c r="BI15" s="66">
        <f t="shared" si="13"/>
        <v>0.33512064343163539</v>
      </c>
      <c r="BJ15" s="66">
        <f t="shared" si="13"/>
        <v>0.3205928237129485</v>
      </c>
      <c r="BK15" s="66">
        <f t="shared" si="13"/>
        <v>0.29434697855750486</v>
      </c>
      <c r="BL15" s="66">
        <f t="shared" si="13"/>
        <v>0.26763875823142053</v>
      </c>
      <c r="BM15" s="66">
        <f t="shared" si="13"/>
        <v>0.25012189176011701</v>
      </c>
      <c r="BN15" s="66">
        <f t="shared" si="13"/>
        <v>0.24619164619164619</v>
      </c>
      <c r="BO15" s="66">
        <f t="shared" si="13"/>
        <v>0.28123338649654439</v>
      </c>
      <c r="BP15" s="66">
        <f t="shared" si="13"/>
        <v>0.28385807096451776</v>
      </c>
      <c r="BQ15" s="66">
        <f t="shared" si="13"/>
        <v>0.29337686567164178</v>
      </c>
      <c r="BR15" s="66">
        <f t="shared" si="13"/>
        <v>0.28367875647668395</v>
      </c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>
        <f t="shared" ref="CM15:CO15" si="14">CM5/CM7</f>
        <v>0.27822234924264078</v>
      </c>
      <c r="CN15" s="66">
        <f t="shared" si="14"/>
        <v>0.2980286045612679</v>
      </c>
      <c r="CO15" s="66">
        <f t="shared" si="14"/>
        <v>0.31861338043718263</v>
      </c>
      <c r="CP15" s="66">
        <f>CP5/CP7</f>
        <v>0.26464181994191677</v>
      </c>
      <c r="CQ15" s="66">
        <f>CQ5/CQ7</f>
        <v>0.28566291057300408</v>
      </c>
    </row>
    <row r="16" spans="2:157">
      <c r="B16" s="38" t="s">
        <v>233</v>
      </c>
      <c r="AU16" s="66"/>
      <c r="AV16" s="66"/>
      <c r="AW16" s="66"/>
      <c r="AX16" s="66"/>
      <c r="AY16" s="66">
        <f t="shared" ref="AY16:BR16" si="15">AY6/AY7</f>
        <v>0.25734355044699875</v>
      </c>
      <c r="AZ16" s="66">
        <f t="shared" si="15"/>
        <v>0.23873873873873874</v>
      </c>
      <c r="BA16" s="66">
        <f t="shared" si="15"/>
        <v>0.2466197944835046</v>
      </c>
      <c r="BB16" s="66">
        <f t="shared" si="15"/>
        <v>0.2523519645821804</v>
      </c>
      <c r="BC16" s="66">
        <f t="shared" si="15"/>
        <v>0.23855681206246634</v>
      </c>
      <c r="BD16" s="66">
        <f t="shared" si="15"/>
        <v>0.25704809286898839</v>
      </c>
      <c r="BE16" s="66">
        <f t="shared" si="15"/>
        <v>0.24581005586592178</v>
      </c>
      <c r="BF16" s="66">
        <f t="shared" si="15"/>
        <v>0.24035747883349012</v>
      </c>
      <c r="BG16" s="66">
        <f t="shared" si="15"/>
        <v>0.23826350328117113</v>
      </c>
      <c r="BH16" s="66">
        <f t="shared" si="15"/>
        <v>0.22461538461538461</v>
      </c>
      <c r="BI16" s="66">
        <f t="shared" si="15"/>
        <v>0.23235031277926721</v>
      </c>
      <c r="BJ16" s="66">
        <f t="shared" si="15"/>
        <v>0.22269890795631825</v>
      </c>
      <c r="BK16" s="66">
        <f t="shared" si="15"/>
        <v>0.25389863547758285</v>
      </c>
      <c r="BL16" s="66">
        <f t="shared" si="15"/>
        <v>0.27422389463781749</v>
      </c>
      <c r="BM16" s="66">
        <f t="shared" si="15"/>
        <v>0.28327645051194539</v>
      </c>
      <c r="BN16" s="66">
        <f t="shared" si="15"/>
        <v>0.28894348894348892</v>
      </c>
      <c r="BO16" s="66">
        <f t="shared" si="15"/>
        <v>0.29027113237639551</v>
      </c>
      <c r="BP16" s="66">
        <f t="shared" si="15"/>
        <v>0.2683658170914543</v>
      </c>
      <c r="BQ16" s="66">
        <f t="shared" si="15"/>
        <v>0.25513059701492535</v>
      </c>
      <c r="BR16" s="66">
        <f t="shared" si="15"/>
        <v>0.24740932642487046</v>
      </c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>
        <f t="shared" ref="CM16:CO16" si="16">CM6/CM7</f>
        <v>0.24849957130608746</v>
      </c>
      <c r="CN16" s="66">
        <f t="shared" si="16"/>
        <v>0.24520036077825022</v>
      </c>
      <c r="CO16" s="66">
        <f t="shared" si="16"/>
        <v>0.22896886729962465</v>
      </c>
      <c r="CP16" s="66">
        <f>CP6/CP7</f>
        <v>0.27504840271055181</v>
      </c>
      <c r="CQ16" s="66">
        <f>CQ6/CQ7</f>
        <v>0.26408535123471588</v>
      </c>
    </row>
    <row r="18" spans="2:95">
      <c r="B18" s="36" t="s">
        <v>234</v>
      </c>
      <c r="AY18" s="1">
        <v>912</v>
      </c>
      <c r="AZ18" s="1">
        <v>1066</v>
      </c>
      <c r="BA18" s="1">
        <v>1087</v>
      </c>
      <c r="BB18" s="1">
        <f>4133-SUM(AY18:BA18)</f>
        <v>1068</v>
      </c>
      <c r="BC18" s="1">
        <v>1101</v>
      </c>
      <c r="BD18" s="1">
        <v>1072</v>
      </c>
      <c r="BE18" s="1">
        <v>1240</v>
      </c>
      <c r="BF18" s="1">
        <f>4722-SUM(BC18:BE18)</f>
        <v>1309</v>
      </c>
      <c r="BG18" s="1">
        <v>1179</v>
      </c>
      <c r="BH18" s="1">
        <v>1310</v>
      </c>
      <c r="BI18" s="1">
        <v>1261</v>
      </c>
      <c r="BJ18" s="1">
        <f>5224-SUM(BG18:BI18)</f>
        <v>1474</v>
      </c>
      <c r="BK18" s="1">
        <v>1247</v>
      </c>
      <c r="BL18" s="1">
        <v>1294</v>
      </c>
      <c r="BM18" s="1">
        <v>1268</v>
      </c>
      <c r="BN18" s="1">
        <f>5053-SUM(BK18:BM18)</f>
        <v>1244</v>
      </c>
      <c r="BO18" s="1">
        <v>1150</v>
      </c>
      <c r="BP18" s="1">
        <v>1288</v>
      </c>
      <c r="BQ18" s="1">
        <v>1354</v>
      </c>
      <c r="BR18" s="1">
        <f>5270-SUM(BO18:BQ18)</f>
        <v>1478</v>
      </c>
      <c r="CM18" s="1">
        <f>SUM(AY18:BB18)</f>
        <v>4133</v>
      </c>
      <c r="CN18" s="1">
        <f>SUM(BC18:BF18)</f>
        <v>4722</v>
      </c>
      <c r="CO18" s="1">
        <f>SUM(BG18:BJ18)</f>
        <v>5224</v>
      </c>
      <c r="CP18" s="1">
        <f>SUM(BK18:BN18)</f>
        <v>5053</v>
      </c>
      <c r="CQ18" s="1">
        <f t="shared" ref="CQ18:CQ22" si="17">SUM(BO18:BR18)</f>
        <v>5270</v>
      </c>
    </row>
    <row r="19" spans="2:95">
      <c r="B19" s="36" t="s">
        <v>235</v>
      </c>
      <c r="AY19" s="1">
        <v>321</v>
      </c>
      <c r="AZ19" s="1">
        <v>354</v>
      </c>
      <c r="BA19" s="1">
        <v>377</v>
      </c>
      <c r="BB19" s="1">
        <f>1406-SUM(AY19:BA19)</f>
        <v>354</v>
      </c>
      <c r="BC19" s="1">
        <v>355</v>
      </c>
      <c r="BD19" s="1">
        <v>349</v>
      </c>
      <c r="BE19" s="1">
        <v>353</v>
      </c>
      <c r="BF19" s="1">
        <f>1438-SUM(BC19:BE19)</f>
        <v>381</v>
      </c>
      <c r="BG19" s="1">
        <v>373</v>
      </c>
      <c r="BH19" s="1">
        <v>487</v>
      </c>
      <c r="BI19" s="1">
        <v>494</v>
      </c>
      <c r="BJ19" s="1">
        <f>1871-SUM(BG19:BI19)</f>
        <v>517</v>
      </c>
      <c r="BK19" s="1">
        <v>388</v>
      </c>
      <c r="BL19" s="1">
        <v>399</v>
      </c>
      <c r="BM19" s="1">
        <v>356</v>
      </c>
      <c r="BN19" s="1">
        <f>1504-SUM(BK19:BM19)</f>
        <v>361</v>
      </c>
      <c r="BO19" s="1">
        <v>332</v>
      </c>
      <c r="BP19" s="1">
        <v>358</v>
      </c>
      <c r="BQ19" s="1">
        <v>392</v>
      </c>
      <c r="BR19" s="1">
        <f>1488-SUM(BO19:BQ19)</f>
        <v>406</v>
      </c>
      <c r="CM19" s="1">
        <f>SUM(AY19:BB19)</f>
        <v>1406</v>
      </c>
      <c r="CN19" s="1">
        <f>SUM(BC19:BF19)</f>
        <v>1438</v>
      </c>
      <c r="CO19" s="1">
        <f>SUM(BG19:BJ19)</f>
        <v>1871</v>
      </c>
      <c r="CP19" s="1">
        <f>SUM(BK19:BN19)</f>
        <v>1504</v>
      </c>
      <c r="CQ19" s="1">
        <f t="shared" si="17"/>
        <v>1488</v>
      </c>
    </row>
    <row r="20" spans="2:95">
      <c r="B20" s="36" t="s">
        <v>236</v>
      </c>
      <c r="AY20" s="1">
        <v>222</v>
      </c>
      <c r="AZ20" s="1">
        <v>247</v>
      </c>
      <c r="BA20" s="1">
        <v>275</v>
      </c>
      <c r="BB20" s="1">
        <f>1012-SUM(AY20:BA20)</f>
        <v>268</v>
      </c>
      <c r="BC20" s="1">
        <v>278</v>
      </c>
      <c r="BD20" s="1">
        <v>266</v>
      </c>
      <c r="BE20" s="1">
        <v>247</v>
      </c>
      <c r="BF20" s="1">
        <f>1088-SUM(BC20:BE20)</f>
        <v>297</v>
      </c>
      <c r="BG20" s="1">
        <v>297</v>
      </c>
      <c r="BH20" s="1">
        <v>334</v>
      </c>
      <c r="BI20" s="1">
        <v>343</v>
      </c>
      <c r="BJ20" s="1">
        <f>1358-SUM(BG20:BI20)</f>
        <v>384</v>
      </c>
      <c r="BK20" s="1">
        <v>276</v>
      </c>
      <c r="BL20" s="1">
        <v>270</v>
      </c>
      <c r="BM20" s="1">
        <v>260</v>
      </c>
      <c r="BN20" s="1">
        <f>1073-SUM(BK20:BM20)</f>
        <v>267</v>
      </c>
      <c r="BO20" s="1">
        <v>251</v>
      </c>
      <c r="BP20" s="1">
        <v>227</v>
      </c>
      <c r="BQ20" s="1">
        <v>266</v>
      </c>
      <c r="BR20" s="1">
        <f>1024-SUM(BO20:BQ20)</f>
        <v>280</v>
      </c>
      <c r="CM20" s="1">
        <f>SUM(AY20:BB20)</f>
        <v>1012</v>
      </c>
      <c r="CN20" s="1">
        <f>SUM(BC20:BF20)</f>
        <v>1088</v>
      </c>
      <c r="CO20" s="1">
        <f>SUM(BG20:BJ20)</f>
        <v>1358</v>
      </c>
      <c r="CP20" s="1">
        <f>SUM(BK20:BN20)</f>
        <v>1073</v>
      </c>
      <c r="CQ20" s="1">
        <f t="shared" si="17"/>
        <v>1024</v>
      </c>
    </row>
    <row r="21" spans="2:95">
      <c r="B21" s="36" t="s">
        <v>237</v>
      </c>
      <c r="AY21" s="1">
        <v>111</v>
      </c>
      <c r="AZ21" s="1">
        <v>109</v>
      </c>
      <c r="BA21" s="1">
        <v>110</v>
      </c>
      <c r="BB21" s="1">
        <f>447-SUM(AY21:BA21)</f>
        <v>117</v>
      </c>
      <c r="BC21" s="1">
        <v>123</v>
      </c>
      <c r="BD21" s="1">
        <v>122</v>
      </c>
      <c r="BE21" s="1">
        <v>129</v>
      </c>
      <c r="BF21" s="1">
        <f>513-SUM(BC21:BE21)</f>
        <v>139</v>
      </c>
      <c r="BG21" s="1">
        <v>132</v>
      </c>
      <c r="BH21" s="1">
        <v>144</v>
      </c>
      <c r="BI21" s="1">
        <v>140</v>
      </c>
      <c r="BJ21" s="1">
        <f>629-SUM(BG21:BI21)</f>
        <v>213</v>
      </c>
      <c r="BK21" s="1">
        <v>141</v>
      </c>
      <c r="BL21" s="1">
        <v>163</v>
      </c>
      <c r="BM21" s="1">
        <v>167</v>
      </c>
      <c r="BN21" s="1">
        <f>634-SUM(BK21:BM21)</f>
        <v>163</v>
      </c>
      <c r="BO21" s="1">
        <v>148</v>
      </c>
      <c r="BP21" s="1">
        <v>128</v>
      </c>
      <c r="BQ21" s="1">
        <v>132</v>
      </c>
      <c r="BR21" s="1">
        <f>560-SUM(BO21:BQ21)</f>
        <v>152</v>
      </c>
      <c r="CM21" s="1">
        <f>SUM(AY21:BB21)</f>
        <v>447</v>
      </c>
      <c r="CN21" s="1">
        <f>SUM(BC21:BF21)</f>
        <v>513</v>
      </c>
      <c r="CO21" s="1">
        <f>SUM(BG21:BJ21)</f>
        <v>629</v>
      </c>
      <c r="CP21" s="1">
        <f>SUM(BK21:BN21)</f>
        <v>634</v>
      </c>
      <c r="CQ21" s="1">
        <f t="shared" si="17"/>
        <v>560</v>
      </c>
    </row>
    <row r="22" spans="2:95" ht="15">
      <c r="B22" s="33" t="s">
        <v>119</v>
      </c>
      <c r="AU22" s="2"/>
      <c r="AV22" s="2"/>
      <c r="AW22" s="2"/>
      <c r="AX22" s="2"/>
      <c r="AY22" s="2">
        <f t="shared" ref="AY22:BR22" si="18">SUM(AY18:AY21)</f>
        <v>1566</v>
      </c>
      <c r="AZ22" s="2">
        <f t="shared" si="18"/>
        <v>1776</v>
      </c>
      <c r="BA22" s="2">
        <f t="shared" si="18"/>
        <v>1849</v>
      </c>
      <c r="BB22" s="2">
        <f t="shared" si="18"/>
        <v>1807</v>
      </c>
      <c r="BC22" s="2">
        <f t="shared" si="18"/>
        <v>1857</v>
      </c>
      <c r="BD22" s="2">
        <f t="shared" si="18"/>
        <v>1809</v>
      </c>
      <c r="BE22" s="2">
        <f t="shared" si="18"/>
        <v>1969</v>
      </c>
      <c r="BF22" s="2">
        <f t="shared" si="18"/>
        <v>2126</v>
      </c>
      <c r="BG22" s="2">
        <f t="shared" si="18"/>
        <v>1981</v>
      </c>
      <c r="BH22" s="2">
        <f t="shared" si="18"/>
        <v>2275</v>
      </c>
      <c r="BI22" s="2">
        <f t="shared" si="18"/>
        <v>2238</v>
      </c>
      <c r="BJ22" s="2">
        <f t="shared" si="18"/>
        <v>2588</v>
      </c>
      <c r="BK22" s="2">
        <f t="shared" si="18"/>
        <v>2052</v>
      </c>
      <c r="BL22" s="2">
        <f t="shared" si="18"/>
        <v>2126</v>
      </c>
      <c r="BM22" s="2">
        <f t="shared" si="18"/>
        <v>2051</v>
      </c>
      <c r="BN22" s="2">
        <f t="shared" si="18"/>
        <v>2035</v>
      </c>
      <c r="BO22" s="2">
        <f t="shared" si="18"/>
        <v>1881</v>
      </c>
      <c r="BP22" s="2">
        <f t="shared" si="18"/>
        <v>2001</v>
      </c>
      <c r="BQ22" s="2">
        <f t="shared" si="18"/>
        <v>2144</v>
      </c>
      <c r="BR22" s="2">
        <f t="shared" si="18"/>
        <v>2316</v>
      </c>
      <c r="CM22" s="2">
        <f>SUM(AY22:BB22)</f>
        <v>6998</v>
      </c>
      <c r="CN22" s="2">
        <f>SUM(BC22:BF22)</f>
        <v>7761</v>
      </c>
      <c r="CO22" s="2">
        <f>SUM(BG22:BJ22)</f>
        <v>9082</v>
      </c>
      <c r="CP22" s="2">
        <f>SUM(BK22:BN22)</f>
        <v>8264</v>
      </c>
      <c r="CQ22" s="2">
        <f t="shared" si="17"/>
        <v>8342</v>
      </c>
    </row>
    <row r="24" spans="2:95">
      <c r="B24" s="36" t="s">
        <v>239</v>
      </c>
      <c r="AY24" s="66"/>
      <c r="AZ24" s="66"/>
      <c r="BA24" s="66"/>
      <c r="BB24" s="66"/>
      <c r="BC24" s="66">
        <f t="shared" ref="BC24:BR28" si="19">BC18/AY18-1</f>
        <v>0.20723684210526305</v>
      </c>
      <c r="BD24" s="66">
        <f t="shared" si="19"/>
        <v>5.6285178236397115E-3</v>
      </c>
      <c r="BE24" s="66">
        <f t="shared" si="19"/>
        <v>0.14075436982520695</v>
      </c>
      <c r="BF24" s="66">
        <f t="shared" si="19"/>
        <v>0.22565543071161054</v>
      </c>
      <c r="BG24" s="66">
        <f t="shared" si="19"/>
        <v>7.0844686648501298E-2</v>
      </c>
      <c r="BH24" s="66">
        <f t="shared" si="19"/>
        <v>0.22201492537313428</v>
      </c>
      <c r="BI24" s="66">
        <f t="shared" si="19"/>
        <v>1.693548387096766E-2</v>
      </c>
      <c r="BJ24" s="66">
        <f t="shared" si="19"/>
        <v>0.12605042016806722</v>
      </c>
      <c r="BK24" s="66">
        <f t="shared" si="19"/>
        <v>5.7675996607294389E-2</v>
      </c>
      <c r="BL24" s="66">
        <f t="shared" si="19"/>
        <v>-1.2213740458015265E-2</v>
      </c>
      <c r="BM24" s="66">
        <f t="shared" si="19"/>
        <v>5.5511498810467685E-3</v>
      </c>
      <c r="BN24" s="66">
        <f t="shared" si="19"/>
        <v>-0.15603799185888734</v>
      </c>
      <c r="BO24" s="66">
        <f t="shared" si="19"/>
        <v>-7.7786688051323161E-2</v>
      </c>
      <c r="BP24" s="66">
        <f t="shared" si="19"/>
        <v>-4.6367851622874934E-3</v>
      </c>
      <c r="BQ24" s="66">
        <f t="shared" si="19"/>
        <v>6.7823343848580464E-2</v>
      </c>
      <c r="BR24" s="66">
        <f t="shared" si="19"/>
        <v>0.18810289389067525</v>
      </c>
      <c r="CM24" s="66"/>
      <c r="CN24" s="66">
        <f t="shared" ref="CM24:CP28" si="20">CN18/CM18-1</f>
        <v>0.14251149286232767</v>
      </c>
      <c r="CO24" s="66">
        <f t="shared" si="20"/>
        <v>0.10631088521812782</v>
      </c>
      <c r="CP24" s="66">
        <f t="shared" si="20"/>
        <v>-3.273353751914243E-2</v>
      </c>
      <c r="CQ24" s="66">
        <f>CQ18/CP18-1</f>
        <v>4.2944785276073594E-2</v>
      </c>
    </row>
    <row r="25" spans="2:95">
      <c r="B25" s="36" t="s">
        <v>238</v>
      </c>
      <c r="AY25" s="66"/>
      <c r="AZ25" s="66"/>
      <c r="BA25" s="66"/>
      <c r="BB25" s="66"/>
      <c r="BC25" s="66">
        <f t="shared" si="19"/>
        <v>0.10591900311526481</v>
      </c>
      <c r="BD25" s="66">
        <f t="shared" si="19"/>
        <v>-1.4124293785310771E-2</v>
      </c>
      <c r="BE25" s="66">
        <f t="shared" si="19"/>
        <v>-6.3660477453580944E-2</v>
      </c>
      <c r="BF25" s="66">
        <f t="shared" si="19"/>
        <v>7.6271186440677985E-2</v>
      </c>
      <c r="BG25" s="66">
        <f t="shared" si="19"/>
        <v>5.0704225352112609E-2</v>
      </c>
      <c r="BH25" s="66">
        <f t="shared" si="19"/>
        <v>0.39541547277936973</v>
      </c>
      <c r="BI25" s="66">
        <f t="shared" si="19"/>
        <v>0.39943342776203972</v>
      </c>
      <c r="BJ25" s="66">
        <f t="shared" si="19"/>
        <v>0.35695538057742793</v>
      </c>
      <c r="BK25" s="66">
        <f t="shared" si="19"/>
        <v>4.0214477211796273E-2</v>
      </c>
      <c r="BL25" s="66">
        <f t="shared" si="19"/>
        <v>-0.1806981519507187</v>
      </c>
      <c r="BM25" s="66">
        <f t="shared" si="19"/>
        <v>-0.27935222672064774</v>
      </c>
      <c r="BN25" s="66">
        <f t="shared" si="19"/>
        <v>-0.30174081237911021</v>
      </c>
      <c r="BO25" s="66">
        <f t="shared" si="19"/>
        <v>-0.14432989690721654</v>
      </c>
      <c r="BP25" s="66">
        <f t="shared" si="19"/>
        <v>-0.10275689223057649</v>
      </c>
      <c r="BQ25" s="66">
        <f t="shared" si="19"/>
        <v>0.101123595505618</v>
      </c>
      <c r="BR25" s="66">
        <f t="shared" si="19"/>
        <v>0.12465373961218829</v>
      </c>
      <c r="CM25" s="66"/>
      <c r="CN25" s="66">
        <f t="shared" si="20"/>
        <v>2.2759601706970223E-2</v>
      </c>
      <c r="CO25" s="66">
        <f t="shared" si="20"/>
        <v>0.30111265646731566</v>
      </c>
      <c r="CP25" s="66">
        <f t="shared" si="20"/>
        <v>-0.19615179048637088</v>
      </c>
      <c r="CQ25" s="66">
        <f t="shared" ref="CQ25:CQ28" si="21">CQ19/CP19-1</f>
        <v>-1.0638297872340385E-2</v>
      </c>
    </row>
    <row r="26" spans="2:95">
      <c r="B26" s="36" t="s">
        <v>240</v>
      </c>
      <c r="AY26" s="66"/>
      <c r="AZ26" s="66"/>
      <c r="BA26" s="66"/>
      <c r="BB26" s="66"/>
      <c r="BC26" s="66">
        <f t="shared" si="19"/>
        <v>0.25225225225225234</v>
      </c>
      <c r="BD26" s="66">
        <f t="shared" si="19"/>
        <v>7.6923076923076872E-2</v>
      </c>
      <c r="BE26" s="66">
        <f t="shared" si="19"/>
        <v>-0.10181818181818181</v>
      </c>
      <c r="BF26" s="66">
        <f t="shared" si="19"/>
        <v>0.10820895522388052</v>
      </c>
      <c r="BG26" s="66">
        <f t="shared" si="19"/>
        <v>6.8345323741007213E-2</v>
      </c>
      <c r="BH26" s="66">
        <f t="shared" si="19"/>
        <v>0.255639097744361</v>
      </c>
      <c r="BI26" s="66">
        <f t="shared" si="19"/>
        <v>0.38866396761133593</v>
      </c>
      <c r="BJ26" s="66">
        <f t="shared" si="19"/>
        <v>0.29292929292929304</v>
      </c>
      <c r="BK26" s="66">
        <f t="shared" si="19"/>
        <v>-7.0707070707070718E-2</v>
      </c>
      <c r="BL26" s="66">
        <f t="shared" si="19"/>
        <v>-0.19161676646706582</v>
      </c>
      <c r="BM26" s="66">
        <f t="shared" si="19"/>
        <v>-0.24198250728862969</v>
      </c>
      <c r="BN26" s="66">
        <f t="shared" si="19"/>
        <v>-0.3046875</v>
      </c>
      <c r="BO26" s="66">
        <f t="shared" si="19"/>
        <v>-9.0579710144927494E-2</v>
      </c>
      <c r="BP26" s="66">
        <f t="shared" si="19"/>
        <v>-0.15925925925925921</v>
      </c>
      <c r="BQ26" s="66">
        <f t="shared" si="19"/>
        <v>2.3076923076922995E-2</v>
      </c>
      <c r="BR26" s="66">
        <f t="shared" si="19"/>
        <v>4.8689138576778923E-2</v>
      </c>
      <c r="CM26" s="66"/>
      <c r="CN26" s="66">
        <f t="shared" si="20"/>
        <v>7.5098814229249022E-2</v>
      </c>
      <c r="CO26" s="66">
        <f t="shared" si="20"/>
        <v>0.24816176470588225</v>
      </c>
      <c r="CP26" s="66">
        <f t="shared" si="20"/>
        <v>-0.2098674521354934</v>
      </c>
      <c r="CQ26" s="66">
        <f t="shared" si="21"/>
        <v>-4.5666356011183629E-2</v>
      </c>
    </row>
    <row r="27" spans="2:95">
      <c r="B27" s="36" t="s">
        <v>241</v>
      </c>
      <c r="AY27" s="66"/>
      <c r="AZ27" s="66"/>
      <c r="BA27" s="66"/>
      <c r="BB27" s="66"/>
      <c r="BC27" s="66">
        <f t="shared" si="19"/>
        <v>0.10810810810810811</v>
      </c>
      <c r="BD27" s="66">
        <f t="shared" si="19"/>
        <v>0.11926605504587151</v>
      </c>
      <c r="BE27" s="66">
        <f t="shared" si="19"/>
        <v>0.17272727272727262</v>
      </c>
      <c r="BF27" s="66">
        <f t="shared" si="19"/>
        <v>0.18803418803418803</v>
      </c>
      <c r="BG27" s="66">
        <f t="shared" si="19"/>
        <v>7.3170731707317138E-2</v>
      </c>
      <c r="BH27" s="66">
        <f t="shared" si="19"/>
        <v>0.18032786885245899</v>
      </c>
      <c r="BI27" s="66">
        <f t="shared" si="19"/>
        <v>8.5271317829457294E-2</v>
      </c>
      <c r="BJ27" s="66">
        <f t="shared" si="19"/>
        <v>0.53237410071942448</v>
      </c>
      <c r="BK27" s="66">
        <f t="shared" si="19"/>
        <v>6.8181818181818121E-2</v>
      </c>
      <c r="BL27" s="66">
        <f t="shared" si="19"/>
        <v>0.13194444444444442</v>
      </c>
      <c r="BM27" s="66">
        <f t="shared" si="19"/>
        <v>0.19285714285714284</v>
      </c>
      <c r="BN27" s="66">
        <f t="shared" si="19"/>
        <v>-0.23474178403755863</v>
      </c>
      <c r="BO27" s="66">
        <f t="shared" si="19"/>
        <v>4.9645390070921946E-2</v>
      </c>
      <c r="BP27" s="66">
        <f t="shared" si="19"/>
        <v>-0.21472392638036808</v>
      </c>
      <c r="BQ27" s="66">
        <f t="shared" si="19"/>
        <v>-0.20958083832335328</v>
      </c>
      <c r="BR27" s="66">
        <f t="shared" si="19"/>
        <v>-6.7484662576687171E-2</v>
      </c>
      <c r="CM27" s="66"/>
      <c r="CN27" s="66">
        <f t="shared" si="20"/>
        <v>0.1476510067114094</v>
      </c>
      <c r="CO27" s="66">
        <f t="shared" si="20"/>
        <v>0.22612085769980506</v>
      </c>
      <c r="CP27" s="66">
        <f t="shared" si="20"/>
        <v>7.9491255961843255E-3</v>
      </c>
      <c r="CQ27" s="66">
        <f t="shared" si="21"/>
        <v>-0.11671924290220825</v>
      </c>
    </row>
    <row r="28" spans="2:95" ht="15">
      <c r="B28" s="33" t="s">
        <v>169</v>
      </c>
      <c r="AY28" s="67"/>
      <c r="AZ28" s="67"/>
      <c r="BA28" s="67"/>
      <c r="BB28" s="67"/>
      <c r="BC28" s="67">
        <f t="shared" si="19"/>
        <v>0.18582375478927204</v>
      </c>
      <c r="BD28" s="67">
        <f t="shared" si="19"/>
        <v>1.8581081081081141E-2</v>
      </c>
      <c r="BE28" s="67">
        <f t="shared" si="19"/>
        <v>6.4899945916711665E-2</v>
      </c>
      <c r="BF28" s="67">
        <f t="shared" si="19"/>
        <v>0.17653569452130613</v>
      </c>
      <c r="BG28" s="67">
        <f t="shared" si="19"/>
        <v>6.6774367259019973E-2</v>
      </c>
      <c r="BH28" s="67">
        <f t="shared" si="19"/>
        <v>0.25760088446655605</v>
      </c>
      <c r="BI28" s="67">
        <f t="shared" si="19"/>
        <v>0.13661757237176242</v>
      </c>
      <c r="BJ28" s="67">
        <f t="shared" si="19"/>
        <v>0.21730950141110061</v>
      </c>
      <c r="BK28" s="67">
        <f t="shared" si="19"/>
        <v>3.5840484603735456E-2</v>
      </c>
      <c r="BL28" s="67">
        <f t="shared" si="19"/>
        <v>-6.5494505494505528E-2</v>
      </c>
      <c r="BM28" s="67">
        <f t="shared" si="19"/>
        <v>-8.3556747095621109E-2</v>
      </c>
      <c r="BN28" s="67">
        <f t="shared" si="19"/>
        <v>-0.21367851622874812</v>
      </c>
      <c r="BO28" s="67">
        <f t="shared" si="19"/>
        <v>-8.333333333333337E-2</v>
      </c>
      <c r="BP28" s="67">
        <f t="shared" si="19"/>
        <v>-5.8795860771401642E-2</v>
      </c>
      <c r="BQ28" s="67">
        <f t="shared" si="19"/>
        <v>4.534373476352993E-2</v>
      </c>
      <c r="BR28" s="67">
        <f t="shared" si="19"/>
        <v>0.13808353808353813</v>
      </c>
      <c r="CM28" s="67"/>
      <c r="CN28" s="67">
        <f t="shared" si="20"/>
        <v>0.109031151757645</v>
      </c>
      <c r="CO28" s="67">
        <f t="shared" si="20"/>
        <v>0.17021002448138134</v>
      </c>
      <c r="CP28" s="67">
        <f t="shared" si="20"/>
        <v>-9.0068266901563554E-2</v>
      </c>
      <c r="CQ28" s="67">
        <f t="shared" si="21"/>
        <v>9.4385285575993016E-3</v>
      </c>
    </row>
    <row r="30" spans="2:95">
      <c r="B30" s="38" t="s">
        <v>242</v>
      </c>
      <c r="AU30" s="66"/>
      <c r="AV30" s="66"/>
      <c r="AW30" s="66"/>
      <c r="AX30" s="66"/>
      <c r="AY30" s="66">
        <f t="shared" ref="AY30:BQ30" si="22">AY18/AY22</f>
        <v>0.58237547892720309</v>
      </c>
      <c r="AZ30" s="66">
        <f t="shared" si="22"/>
        <v>0.60022522522522526</v>
      </c>
      <c r="BA30" s="66">
        <f t="shared" si="22"/>
        <v>0.58788534342888044</v>
      </c>
      <c r="BB30" s="66">
        <f t="shared" si="22"/>
        <v>0.59103486441615938</v>
      </c>
      <c r="BC30" s="66">
        <f t="shared" si="22"/>
        <v>0.59289176090468498</v>
      </c>
      <c r="BD30" s="66">
        <f t="shared" si="22"/>
        <v>0.59259259259259256</v>
      </c>
      <c r="BE30" s="66">
        <f t="shared" si="22"/>
        <v>0.62976130015236165</v>
      </c>
      <c r="BF30" s="66">
        <f t="shared" si="22"/>
        <v>0.61571025399811852</v>
      </c>
      <c r="BG30" s="66">
        <f t="shared" si="22"/>
        <v>0.59515396264512876</v>
      </c>
      <c r="BH30" s="66">
        <f t="shared" si="22"/>
        <v>0.57582417582417578</v>
      </c>
      <c r="BI30" s="66">
        <f t="shared" si="22"/>
        <v>0.56344950848972297</v>
      </c>
      <c r="BJ30" s="66">
        <f t="shared" si="22"/>
        <v>0.56955177743431218</v>
      </c>
      <c r="BK30" s="66">
        <f t="shared" si="22"/>
        <v>0.60769980506822607</v>
      </c>
      <c r="BL30" s="66">
        <f t="shared" si="22"/>
        <v>0.60865475070555031</v>
      </c>
      <c r="BM30" s="66">
        <f t="shared" si="22"/>
        <v>0.61823500731350556</v>
      </c>
      <c r="BN30" s="66">
        <f t="shared" si="22"/>
        <v>0.6113022113022113</v>
      </c>
      <c r="BO30" s="66">
        <f t="shared" si="22"/>
        <v>0.6113769271664008</v>
      </c>
      <c r="BP30" s="66">
        <f t="shared" si="22"/>
        <v>0.64367816091954022</v>
      </c>
      <c r="BQ30" s="66">
        <f t="shared" si="22"/>
        <v>0.63152985074626866</v>
      </c>
      <c r="BR30" s="66">
        <f>BR18/BR22</f>
        <v>0.63816925734024177</v>
      </c>
      <c r="CM30" s="66">
        <f t="shared" ref="CM30:CP30" si="23">CM18/CM22</f>
        <v>0.59059731351814804</v>
      </c>
      <c r="CN30" s="66">
        <f t="shared" si="23"/>
        <v>0.60842674913026673</v>
      </c>
      <c r="CO30" s="66">
        <f t="shared" si="23"/>
        <v>0.57520369962563311</v>
      </c>
      <c r="CP30" s="66">
        <f t="shared" si="23"/>
        <v>0.61144724104549852</v>
      </c>
      <c r="CQ30" s="66">
        <f>CQ18/CQ22</f>
        <v>0.6317429872932151</v>
      </c>
    </row>
    <row r="31" spans="2:95">
      <c r="B31" s="38" t="s">
        <v>243</v>
      </c>
      <c r="AU31" s="66"/>
      <c r="AV31" s="66"/>
      <c r="AW31" s="66"/>
      <c r="AX31" s="66"/>
      <c r="AY31" s="66">
        <f t="shared" ref="AY31:BQ31" si="24">AY19/AY22</f>
        <v>0.2049808429118774</v>
      </c>
      <c r="AZ31" s="66">
        <f t="shared" si="24"/>
        <v>0.19932432432432431</v>
      </c>
      <c r="BA31" s="66">
        <f t="shared" si="24"/>
        <v>0.20389399675500269</v>
      </c>
      <c r="BB31" s="66">
        <f t="shared" si="24"/>
        <v>0.19590481460985057</v>
      </c>
      <c r="BC31" s="66">
        <f t="shared" si="24"/>
        <v>0.19116855142703285</v>
      </c>
      <c r="BD31" s="66">
        <f t="shared" si="24"/>
        <v>0.19292426755113323</v>
      </c>
      <c r="BE31" s="66">
        <f t="shared" si="24"/>
        <v>0.17927882173692231</v>
      </c>
      <c r="BF31" s="66">
        <f t="shared" si="24"/>
        <v>0.17920978363123236</v>
      </c>
      <c r="BG31" s="66">
        <f t="shared" si="24"/>
        <v>0.18828874305906107</v>
      </c>
      <c r="BH31" s="66">
        <f t="shared" si="24"/>
        <v>0.21406593406593408</v>
      </c>
      <c r="BI31" s="66">
        <f t="shared" si="24"/>
        <v>0.22073279714030383</v>
      </c>
      <c r="BJ31" s="66">
        <f t="shared" si="24"/>
        <v>0.19976816074188564</v>
      </c>
      <c r="BK31" s="66">
        <f t="shared" si="24"/>
        <v>0.18908382066276802</v>
      </c>
      <c r="BL31" s="66">
        <f t="shared" si="24"/>
        <v>0.1876763875823142</v>
      </c>
      <c r="BM31" s="66">
        <f t="shared" si="24"/>
        <v>0.17357386640663092</v>
      </c>
      <c r="BN31" s="66">
        <f t="shared" si="24"/>
        <v>0.1773955773955774</v>
      </c>
      <c r="BO31" s="66">
        <f t="shared" si="24"/>
        <v>0.17650186071238702</v>
      </c>
      <c r="BP31" s="66">
        <f t="shared" si="24"/>
        <v>0.17891054472763618</v>
      </c>
      <c r="BQ31" s="66">
        <f t="shared" si="24"/>
        <v>0.18283582089552239</v>
      </c>
      <c r="BR31" s="66">
        <f>BR19/BR22</f>
        <v>0.17530224525043178</v>
      </c>
      <c r="CM31" s="66">
        <f t="shared" ref="CM31:CP31" si="25">CM19/CM22</f>
        <v>0.20091454701343242</v>
      </c>
      <c r="CN31" s="66">
        <f t="shared" si="25"/>
        <v>0.18528540136580338</v>
      </c>
      <c r="CO31" s="66">
        <f t="shared" si="25"/>
        <v>0.20601189165382075</v>
      </c>
      <c r="CP31" s="66">
        <f t="shared" si="25"/>
        <v>0.1819941916747338</v>
      </c>
      <c r="CQ31" s="66">
        <f>CQ19/CQ22</f>
        <v>0.17837449052984897</v>
      </c>
    </row>
    <row r="32" spans="2:95">
      <c r="B32" s="38" t="s">
        <v>244</v>
      </c>
      <c r="AU32" s="66"/>
      <c r="AV32" s="66"/>
      <c r="AW32" s="66"/>
      <c r="AX32" s="66"/>
      <c r="AY32" s="66">
        <f t="shared" ref="AY32:BQ32" si="26">AY20/AY22</f>
        <v>0.1417624521072797</v>
      </c>
      <c r="AZ32" s="66">
        <f t="shared" si="26"/>
        <v>0.13907657657657657</v>
      </c>
      <c r="BA32" s="66">
        <f t="shared" si="26"/>
        <v>0.14872904272579773</v>
      </c>
      <c r="BB32" s="66">
        <f t="shared" si="26"/>
        <v>0.14831211953514112</v>
      </c>
      <c r="BC32" s="66">
        <f t="shared" si="26"/>
        <v>0.14970382337102853</v>
      </c>
      <c r="BD32" s="66">
        <f t="shared" si="26"/>
        <v>0.14704256495301271</v>
      </c>
      <c r="BE32" s="66">
        <f t="shared" si="26"/>
        <v>0.12544438801422042</v>
      </c>
      <c r="BF32" s="66">
        <f t="shared" si="26"/>
        <v>0.13969896519285041</v>
      </c>
      <c r="BG32" s="66">
        <f t="shared" si="26"/>
        <v>0.14992428066633012</v>
      </c>
      <c r="BH32" s="66">
        <f t="shared" si="26"/>
        <v>0.14681318681318681</v>
      </c>
      <c r="BI32" s="66">
        <f t="shared" si="26"/>
        <v>0.15326184092940126</v>
      </c>
      <c r="BJ32" s="66">
        <f t="shared" si="26"/>
        <v>0.14837712519319937</v>
      </c>
      <c r="BK32" s="66">
        <f t="shared" si="26"/>
        <v>0.13450292397660818</v>
      </c>
      <c r="BL32" s="66">
        <f t="shared" si="26"/>
        <v>0.12699905926622765</v>
      </c>
      <c r="BM32" s="66">
        <f t="shared" si="26"/>
        <v>0.12676743052169673</v>
      </c>
      <c r="BN32" s="66">
        <f t="shared" si="26"/>
        <v>0.1312039312039312</v>
      </c>
      <c r="BO32" s="66">
        <f t="shared" si="26"/>
        <v>0.13343965975544922</v>
      </c>
      <c r="BP32" s="66">
        <f t="shared" si="26"/>
        <v>0.11344327836081959</v>
      </c>
      <c r="BQ32" s="66">
        <f t="shared" si="26"/>
        <v>0.12406716417910447</v>
      </c>
      <c r="BR32" s="66">
        <f>BR20/BR22</f>
        <v>0.12089810017271158</v>
      </c>
      <c r="CM32" s="66">
        <f t="shared" ref="CM32:CP32" si="27">CM20/CM22</f>
        <v>0.14461274649899972</v>
      </c>
      <c r="CN32" s="66">
        <f t="shared" si="27"/>
        <v>0.14018812008761758</v>
      </c>
      <c r="CO32" s="66">
        <f t="shared" si="27"/>
        <v>0.14952653600528518</v>
      </c>
      <c r="CP32" s="66">
        <f t="shared" si="27"/>
        <v>0.12984027105517909</v>
      </c>
      <c r="CQ32" s="66">
        <f>CQ20/CQ22</f>
        <v>0.12275233756892831</v>
      </c>
    </row>
    <row r="33" spans="2:156">
      <c r="B33" s="38" t="s">
        <v>245</v>
      </c>
      <c r="AU33" s="66"/>
      <c r="AV33" s="66"/>
      <c r="AW33" s="66"/>
      <c r="AX33" s="66"/>
      <c r="AY33" s="66">
        <f t="shared" ref="AY33:BQ33" si="28">AY21/AY22</f>
        <v>7.0881226053639848E-2</v>
      </c>
      <c r="AZ33" s="66">
        <f t="shared" si="28"/>
        <v>6.1373873873873871E-2</v>
      </c>
      <c r="BA33" s="66">
        <f t="shared" si="28"/>
        <v>5.9491617090319089E-2</v>
      </c>
      <c r="BB33" s="66">
        <f t="shared" si="28"/>
        <v>6.4748201438848921E-2</v>
      </c>
      <c r="BC33" s="66">
        <f t="shared" si="28"/>
        <v>6.623586429725363E-2</v>
      </c>
      <c r="BD33" s="66">
        <f t="shared" si="28"/>
        <v>6.7440574903261469E-2</v>
      </c>
      <c r="BE33" s="66">
        <f t="shared" si="28"/>
        <v>6.5515490096495682E-2</v>
      </c>
      <c r="BF33" s="66">
        <f t="shared" si="28"/>
        <v>6.5380997177798689E-2</v>
      </c>
      <c r="BG33" s="66">
        <f t="shared" si="28"/>
        <v>6.6633013629480056E-2</v>
      </c>
      <c r="BH33" s="66">
        <f t="shared" si="28"/>
        <v>6.3296703296703297E-2</v>
      </c>
      <c r="BI33" s="66">
        <f t="shared" si="28"/>
        <v>6.2555853440571935E-2</v>
      </c>
      <c r="BJ33" s="66">
        <f t="shared" si="28"/>
        <v>8.2302936630602785E-2</v>
      </c>
      <c r="BK33" s="66">
        <f t="shared" si="28"/>
        <v>6.8713450292397657E-2</v>
      </c>
      <c r="BL33" s="66">
        <f t="shared" si="28"/>
        <v>7.6669802445907806E-2</v>
      </c>
      <c r="BM33" s="66">
        <f t="shared" si="28"/>
        <v>8.1423695758166742E-2</v>
      </c>
      <c r="BN33" s="66">
        <f t="shared" si="28"/>
        <v>8.00982800982801E-2</v>
      </c>
      <c r="BO33" s="66">
        <f t="shared" si="28"/>
        <v>7.8681552365762894E-2</v>
      </c>
      <c r="BP33" s="66">
        <f t="shared" si="28"/>
        <v>6.3968015992003996E-2</v>
      </c>
      <c r="BQ33" s="66">
        <f t="shared" si="28"/>
        <v>6.1567164179104475E-2</v>
      </c>
      <c r="BR33" s="66">
        <f>BR21/BR22</f>
        <v>6.563039723661486E-2</v>
      </c>
      <c r="CM33" s="66">
        <f t="shared" ref="CM33:CP33" si="29">CM21/CM22</f>
        <v>6.3875392969419839E-2</v>
      </c>
      <c r="CN33" s="66">
        <f t="shared" si="29"/>
        <v>6.6099729416312328E-2</v>
      </c>
      <c r="CO33" s="66">
        <f t="shared" si="29"/>
        <v>6.925787271526096E-2</v>
      </c>
      <c r="CP33" s="66">
        <f t="shared" si="29"/>
        <v>7.6718296224588575E-2</v>
      </c>
      <c r="CQ33" s="66">
        <f>CQ21/CQ22</f>
        <v>6.7130184608007668E-2</v>
      </c>
    </row>
    <row r="34" spans="2:156"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69"/>
    </row>
    <row r="35" spans="2:156" s="2" customFormat="1" ht="15">
      <c r="B35" s="2" t="s">
        <v>118</v>
      </c>
      <c r="C35" s="68">
        <v>1067.5</v>
      </c>
      <c r="D35" s="68">
        <v>1058.0999999999999</v>
      </c>
      <c r="E35" s="68">
        <v>1010.8</v>
      </c>
      <c r="F35" s="68">
        <v>1076.9000000000001</v>
      </c>
      <c r="G35" s="68">
        <v>1067.5</v>
      </c>
      <c r="H35" s="68">
        <v>1164.5</v>
      </c>
      <c r="I35" s="68">
        <v>1268.0999999999999</v>
      </c>
      <c r="J35" s="68">
        <v>1356.9</v>
      </c>
      <c r="K35" s="68">
        <v>1365.8</v>
      </c>
      <c r="L35" s="68">
        <v>1464.1</v>
      </c>
      <c r="M35" s="68">
        <v>1516.2</v>
      </c>
      <c r="N35" s="68">
        <v>1654.3</v>
      </c>
      <c r="O35" s="68">
        <v>1473.9</v>
      </c>
      <c r="P35" s="68">
        <v>1561.1</v>
      </c>
      <c r="Q35" s="68">
        <v>1560.4</v>
      </c>
      <c r="R35" s="68">
        <v>1664</v>
      </c>
      <c r="S35" s="68">
        <v>1489.2</v>
      </c>
      <c r="T35" s="68">
        <v>1522.8</v>
      </c>
      <c r="U35" s="68">
        <v>1624.2</v>
      </c>
      <c r="V35" s="68">
        <v>1715.7</v>
      </c>
      <c r="W35" s="68">
        <v>1591.7</v>
      </c>
      <c r="X35" s="68">
        <v>1600.5</v>
      </c>
      <c r="Y35" s="68">
        <v>1649.5</v>
      </c>
      <c r="Z35" s="68">
        <v>1781.8</v>
      </c>
      <c r="AA35" s="68">
        <v>1574.4</v>
      </c>
      <c r="AB35" s="68">
        <v>1550.8</v>
      </c>
      <c r="AC35" s="68">
        <v>1575.2</v>
      </c>
      <c r="AD35" s="68">
        <v>1607.5</v>
      </c>
      <c r="AE35" s="68">
        <v>1426.6</v>
      </c>
      <c r="AF35" s="68">
        <v>1440.3</v>
      </c>
      <c r="AG35" s="68">
        <v>1474</v>
      </c>
      <c r="AH35" s="68">
        <v>1538.6</v>
      </c>
      <c r="AI35" s="68">
        <v>1490.3</v>
      </c>
      <c r="AJ35" s="68">
        <v>1554.3</v>
      </c>
      <c r="AK35" s="68">
        <v>1599.2</v>
      </c>
      <c r="AL35" s="68">
        <v>1667.5</v>
      </c>
      <c r="AM35" s="68">
        <v>1586.6</v>
      </c>
      <c r="AN35" s="68">
        <v>1651.2</v>
      </c>
      <c r="AO35" s="68">
        <v>1698.7</v>
      </c>
      <c r="AP35" s="68">
        <v>1729.5</v>
      </c>
      <c r="AQ35" s="68">
        <v>1642</v>
      </c>
      <c r="AR35" s="68">
        <v>1657</v>
      </c>
      <c r="AS35" s="68">
        <v>1665.1</v>
      </c>
      <c r="AT35" s="68">
        <f>6695-SUM(AQ35:AS35)</f>
        <v>1730.8999999999996</v>
      </c>
      <c r="AU35" s="68">
        <v>1684.5</v>
      </c>
      <c r="AV35" s="68">
        <v>1681.3</v>
      </c>
      <c r="AW35" s="68">
        <v>1394</v>
      </c>
      <c r="AX35" s="68">
        <v>1570</v>
      </c>
      <c r="AY35" s="68">
        <f>AY7</f>
        <v>1566</v>
      </c>
      <c r="AZ35" s="68">
        <f>AZ7</f>
        <v>1776</v>
      </c>
      <c r="BA35" s="68">
        <f>BA7</f>
        <v>1849</v>
      </c>
      <c r="BB35" s="68">
        <f>BB7</f>
        <v>1807</v>
      </c>
      <c r="BC35" s="68">
        <f>BC7</f>
        <v>1857</v>
      </c>
      <c r="BD35" s="68">
        <f>BD7</f>
        <v>1809</v>
      </c>
      <c r="BE35" s="68">
        <f>BE7</f>
        <v>1969</v>
      </c>
      <c r="BF35" s="68">
        <f>BF7</f>
        <v>2126</v>
      </c>
      <c r="BG35" s="68">
        <f>BG7</f>
        <v>1981</v>
      </c>
      <c r="BH35" s="68">
        <f>BH7</f>
        <v>2275</v>
      </c>
      <c r="BI35" s="68">
        <f>BI7</f>
        <v>2238</v>
      </c>
      <c r="BJ35" s="68">
        <f>BJ7</f>
        <v>2564</v>
      </c>
      <c r="BK35" s="68">
        <f>BK7</f>
        <v>2052</v>
      </c>
      <c r="BL35" s="68">
        <f>BL7</f>
        <v>2126</v>
      </c>
      <c r="BM35" s="68">
        <f>BM7</f>
        <v>2051</v>
      </c>
      <c r="BN35" s="68">
        <f>BN7</f>
        <v>2035</v>
      </c>
      <c r="BO35" s="68">
        <f>BO7</f>
        <v>1881</v>
      </c>
      <c r="BP35" s="68">
        <f t="shared" ref="BP35:BQ35" si="30">BP7</f>
        <v>2001</v>
      </c>
      <c r="BQ35" s="68">
        <f t="shared" si="30"/>
        <v>2144</v>
      </c>
      <c r="BR35" s="68">
        <f t="shared" ref="BR35" si="31">BR7</f>
        <v>2316</v>
      </c>
      <c r="BS35" s="34"/>
      <c r="BT35" s="34"/>
      <c r="BU35" s="34"/>
      <c r="BV35" s="34"/>
      <c r="CA35" s="68">
        <f>SUM(C35:F35)</f>
        <v>4213.2999999999993</v>
      </c>
      <c r="CB35" s="68">
        <f>SUM(G35:J35)</f>
        <v>4857</v>
      </c>
      <c r="CC35" s="68">
        <f>SUM(K35:N35)</f>
        <v>6000.4</v>
      </c>
      <c r="CD35" s="68">
        <f>SUM(O35:R35)</f>
        <v>6259.4</v>
      </c>
      <c r="CE35" s="68">
        <f>SUM(S35:V35)</f>
        <v>6351.9</v>
      </c>
      <c r="CF35" s="68">
        <f>SUM(W35:Z35)</f>
        <v>6623.5</v>
      </c>
      <c r="CG35" s="68">
        <f>SUM(AA35:AD35)</f>
        <v>6307.9</v>
      </c>
      <c r="CH35" s="68">
        <f>SUM(AE35:AH35)</f>
        <v>5879.5</v>
      </c>
      <c r="CI35" s="68">
        <f>SUM(AI35:AL35)</f>
        <v>6311.3</v>
      </c>
      <c r="CJ35" s="68">
        <f>SUM(AM35:AP35)</f>
        <v>6666</v>
      </c>
      <c r="CK35" s="68">
        <f>SUM(AQ35:AT35)</f>
        <v>6695</v>
      </c>
      <c r="CL35" s="68">
        <f>SUM(AU35:AX35)</f>
        <v>6329.8</v>
      </c>
      <c r="CM35" s="68">
        <f>SUM(AY35:BB35)</f>
        <v>6998</v>
      </c>
      <c r="CN35" s="68">
        <f>SUM(BC35:BF35)</f>
        <v>7761</v>
      </c>
      <c r="CO35" s="68">
        <f>SUM(BG35:BJ35)</f>
        <v>9058</v>
      </c>
      <c r="CP35" s="68">
        <f>SUM(BK35:BN35)</f>
        <v>8264</v>
      </c>
      <c r="CQ35" s="2">
        <f t="shared" ref="CQ35:CQ47" si="32">SUM(BO35:BR35)</f>
        <v>8342</v>
      </c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  <c r="EJ35" s="34"/>
      <c r="EK35" s="34"/>
      <c r="EL35" s="34"/>
      <c r="EM35" s="34"/>
      <c r="EN35" s="34"/>
      <c r="EO35" s="34"/>
      <c r="EP35" s="34"/>
      <c r="EQ35" s="34"/>
      <c r="ER35" s="34"/>
      <c r="ES35" s="34"/>
      <c r="ET35" s="34"/>
      <c r="EU35" s="34"/>
      <c r="EV35" s="34"/>
      <c r="EW35" s="34"/>
      <c r="EX35" s="34"/>
      <c r="EY35" s="34"/>
      <c r="EZ35" s="34"/>
    </row>
    <row r="36" spans="2:156">
      <c r="B36" s="1" t="s">
        <v>120</v>
      </c>
      <c r="C36" s="70">
        <v>640.70000000000005</v>
      </c>
      <c r="D36" s="70">
        <v>694.5</v>
      </c>
      <c r="E36" s="70">
        <v>640.6</v>
      </c>
      <c r="F36" s="70">
        <v>709.1</v>
      </c>
      <c r="G36" s="70">
        <v>640.70000000000005</v>
      </c>
      <c r="H36" s="70">
        <v>691.4</v>
      </c>
      <c r="I36" s="70">
        <v>760.8</v>
      </c>
      <c r="J36" s="70">
        <v>827.7</v>
      </c>
      <c r="K36" s="70">
        <v>821.9</v>
      </c>
      <c r="L36" s="70">
        <v>887.6</v>
      </c>
      <c r="M36" s="70">
        <v>909.4</v>
      </c>
      <c r="N36" s="70">
        <v>991.1</v>
      </c>
      <c r="O36" s="70">
        <v>855.2</v>
      </c>
      <c r="P36" s="70">
        <v>942.8</v>
      </c>
      <c r="Q36" s="70">
        <v>928.9</v>
      </c>
      <c r="R36" s="70">
        <v>1009.8</v>
      </c>
      <c r="S36" s="70">
        <v>881.9</v>
      </c>
      <c r="T36" s="70">
        <v>906.4</v>
      </c>
      <c r="U36" s="70">
        <v>971.3</v>
      </c>
      <c r="V36" s="70">
        <v>1018.5</v>
      </c>
      <c r="W36" s="70">
        <v>928</v>
      </c>
      <c r="X36" s="70">
        <v>944.7</v>
      </c>
      <c r="Y36" s="70">
        <v>968</v>
      </c>
      <c r="Z36" s="70">
        <v>1028.9000000000001</v>
      </c>
      <c r="AA36" s="70">
        <v>886.9</v>
      </c>
      <c r="AB36" s="70">
        <v>877.6</v>
      </c>
      <c r="AC36" s="70">
        <v>897</v>
      </c>
      <c r="AD36" s="70">
        <v>943.3</v>
      </c>
      <c r="AE36" s="70">
        <v>813.9</v>
      </c>
      <c r="AF36" s="70">
        <v>846.2</v>
      </c>
      <c r="AG36" s="70">
        <v>857.2</v>
      </c>
      <c r="AH36" s="70">
        <v>886.7</v>
      </c>
      <c r="AI36" s="70">
        <v>848</v>
      </c>
      <c r="AJ36" s="70">
        <v>897.8</v>
      </c>
      <c r="AK36" s="70">
        <v>921.5</v>
      </c>
      <c r="AL36" s="70">
        <v>976.1</v>
      </c>
      <c r="AM36" s="70">
        <v>886.4</v>
      </c>
      <c r="AN36" s="70">
        <v>947.3</v>
      </c>
      <c r="AO36" s="70">
        <v>954</v>
      </c>
      <c r="AP36" s="70">
        <v>993.4</v>
      </c>
      <c r="AQ36" s="70">
        <v>904</v>
      </c>
      <c r="AR36" s="70">
        <v>949</v>
      </c>
      <c r="AS36" s="70">
        <v>934.8</v>
      </c>
      <c r="AT36" s="70">
        <f>3795-SUM(AQ36:AS36)</f>
        <v>1007.1999999999998</v>
      </c>
      <c r="AU36" s="70">
        <v>981.6</v>
      </c>
      <c r="AV36" s="70">
        <v>982.5</v>
      </c>
      <c r="AW36" s="70">
        <v>839.8</v>
      </c>
      <c r="AX36" s="70">
        <v>930.7</v>
      </c>
      <c r="AY36" s="70">
        <v>918.8</v>
      </c>
      <c r="AZ36" s="70">
        <v>1008.7</v>
      </c>
      <c r="BA36" s="70">
        <v>1083.8</v>
      </c>
      <c r="BB36" s="70">
        <v>1088.4000000000001</v>
      </c>
      <c r="BC36" s="70">
        <v>1108.2</v>
      </c>
      <c r="BD36" s="70">
        <v>1144</v>
      </c>
      <c r="BE36" s="70">
        <v>1166.3</v>
      </c>
      <c r="BF36" s="70">
        <v>1239.9000000000001</v>
      </c>
      <c r="BG36" s="70">
        <v>1167.4000000000001</v>
      </c>
      <c r="BH36" s="70">
        <v>1342.9</v>
      </c>
      <c r="BI36" s="70">
        <v>1323.3</v>
      </c>
      <c r="BJ36" s="70">
        <v>1507.4</v>
      </c>
      <c r="BK36" s="70">
        <v>1257</v>
      </c>
      <c r="BL36" s="70">
        <v>1293</v>
      </c>
      <c r="BM36" s="70">
        <v>1256</v>
      </c>
      <c r="BN36" s="70">
        <v>607</v>
      </c>
      <c r="BO36" s="70">
        <v>1159</v>
      </c>
      <c r="BP36" s="70">
        <v>1191</v>
      </c>
      <c r="BQ36" s="70">
        <v>1268</v>
      </c>
      <c r="BR36" s="70">
        <v>708</v>
      </c>
      <c r="CA36" s="70">
        <f>SUM(C36:F36)</f>
        <v>2684.9</v>
      </c>
      <c r="CB36" s="70">
        <f>SUM(G36:J36)</f>
        <v>2920.5999999999995</v>
      </c>
      <c r="CC36" s="70">
        <f>SUM(K36:N36)</f>
        <v>3610</v>
      </c>
      <c r="CD36" s="70">
        <f>SUM(O36:R36)</f>
        <v>3736.7</v>
      </c>
      <c r="CE36" s="70">
        <f>SUM(S36:V36)</f>
        <v>3778.1</v>
      </c>
      <c r="CF36" s="70">
        <f>SUM(W36:Z36)</f>
        <v>3869.6</v>
      </c>
      <c r="CG36" s="70">
        <f>SUM(AA36:AD36)</f>
        <v>3604.8</v>
      </c>
      <c r="CH36" s="70">
        <f>SUM(AE36:AH36)</f>
        <v>3404</v>
      </c>
      <c r="CI36" s="70">
        <f>SUM(AI36:AL36)</f>
        <v>3643.4</v>
      </c>
      <c r="CJ36" s="70">
        <f>SUM(AM36:AP36)</f>
        <v>3781.1</v>
      </c>
      <c r="CK36" s="70">
        <f>SUM(AQ36:AT36)</f>
        <v>3795</v>
      </c>
      <c r="CL36" s="70">
        <f>SUM(AU36:AX36)</f>
        <v>3734.5999999999995</v>
      </c>
      <c r="CM36" s="70">
        <f>SUM(AY36:BB36)</f>
        <v>4099.7000000000007</v>
      </c>
      <c r="CN36" s="70">
        <f>SUM(BC36:BF36)</f>
        <v>4658.3999999999996</v>
      </c>
      <c r="CO36" s="70">
        <f>SUM(BG36:BJ36)</f>
        <v>5341</v>
      </c>
      <c r="CP36" s="70">
        <f>SUM(BK36:BN36)</f>
        <v>4413</v>
      </c>
      <c r="CQ36" s="1">
        <f t="shared" si="32"/>
        <v>4326</v>
      </c>
    </row>
    <row r="37" spans="2:156">
      <c r="B37" s="1" t="s">
        <v>121</v>
      </c>
      <c r="C37" s="70">
        <f t="shared" ref="C37:AT37" si="33">C35-C36</f>
        <v>426.79999999999995</v>
      </c>
      <c r="D37" s="70">
        <f t="shared" si="33"/>
        <v>363.59999999999991</v>
      </c>
      <c r="E37" s="70">
        <f t="shared" si="33"/>
        <v>370.19999999999993</v>
      </c>
      <c r="F37" s="70">
        <f t="shared" si="33"/>
        <v>367.80000000000007</v>
      </c>
      <c r="G37" s="70">
        <f t="shared" si="33"/>
        <v>426.79999999999995</v>
      </c>
      <c r="H37" s="70">
        <f t="shared" si="33"/>
        <v>473.1</v>
      </c>
      <c r="I37" s="70">
        <f t="shared" si="33"/>
        <v>507.29999999999995</v>
      </c>
      <c r="J37" s="70">
        <f t="shared" si="33"/>
        <v>529.20000000000005</v>
      </c>
      <c r="K37" s="70">
        <f t="shared" si="33"/>
        <v>543.9</v>
      </c>
      <c r="L37" s="70">
        <f t="shared" si="33"/>
        <v>576.49999999999989</v>
      </c>
      <c r="M37" s="70">
        <f t="shared" si="33"/>
        <v>606.80000000000007</v>
      </c>
      <c r="N37" s="70">
        <f t="shared" si="33"/>
        <v>663.19999999999993</v>
      </c>
      <c r="O37" s="70">
        <f t="shared" si="33"/>
        <v>618.70000000000005</v>
      </c>
      <c r="P37" s="70">
        <f t="shared" si="33"/>
        <v>618.29999999999995</v>
      </c>
      <c r="Q37" s="70">
        <f t="shared" si="33"/>
        <v>631.50000000000011</v>
      </c>
      <c r="R37" s="70">
        <f t="shared" si="33"/>
        <v>654.20000000000005</v>
      </c>
      <c r="S37" s="70">
        <f t="shared" si="33"/>
        <v>607.30000000000007</v>
      </c>
      <c r="T37" s="70">
        <f t="shared" si="33"/>
        <v>616.4</v>
      </c>
      <c r="U37" s="70">
        <f t="shared" si="33"/>
        <v>652.90000000000009</v>
      </c>
      <c r="V37" s="70">
        <f t="shared" si="33"/>
        <v>697.2</v>
      </c>
      <c r="W37" s="70">
        <f t="shared" si="33"/>
        <v>663.7</v>
      </c>
      <c r="X37" s="70">
        <f t="shared" si="33"/>
        <v>655.8</v>
      </c>
      <c r="Y37" s="70">
        <f t="shared" si="33"/>
        <v>681.5</v>
      </c>
      <c r="Z37" s="70">
        <f t="shared" si="33"/>
        <v>752.89999999999986</v>
      </c>
      <c r="AA37" s="70">
        <f t="shared" si="33"/>
        <v>687.50000000000011</v>
      </c>
      <c r="AB37" s="70">
        <f t="shared" si="33"/>
        <v>673.19999999999993</v>
      </c>
      <c r="AC37" s="70">
        <f t="shared" si="33"/>
        <v>678.2</v>
      </c>
      <c r="AD37" s="70">
        <f t="shared" si="33"/>
        <v>664.2</v>
      </c>
      <c r="AE37" s="70">
        <f t="shared" si="33"/>
        <v>612.69999999999993</v>
      </c>
      <c r="AF37" s="70">
        <f t="shared" si="33"/>
        <v>594.09999999999991</v>
      </c>
      <c r="AG37" s="70">
        <f t="shared" si="33"/>
        <v>616.79999999999995</v>
      </c>
      <c r="AH37" s="70">
        <f t="shared" si="33"/>
        <v>651.89999999999986</v>
      </c>
      <c r="AI37" s="70">
        <f t="shared" si="33"/>
        <v>642.29999999999995</v>
      </c>
      <c r="AJ37" s="70">
        <f t="shared" si="33"/>
        <v>656.5</v>
      </c>
      <c r="AK37" s="70">
        <f t="shared" si="33"/>
        <v>677.7</v>
      </c>
      <c r="AL37" s="70">
        <f t="shared" si="33"/>
        <v>691.4</v>
      </c>
      <c r="AM37" s="70">
        <f t="shared" si="33"/>
        <v>700.19999999999993</v>
      </c>
      <c r="AN37" s="70">
        <f t="shared" si="33"/>
        <v>703.90000000000009</v>
      </c>
      <c r="AO37" s="70">
        <f t="shared" si="33"/>
        <v>744.7</v>
      </c>
      <c r="AP37" s="70">
        <f t="shared" si="33"/>
        <v>736.1</v>
      </c>
      <c r="AQ37" s="70">
        <f t="shared" si="33"/>
        <v>738</v>
      </c>
      <c r="AR37" s="70">
        <f t="shared" si="33"/>
        <v>708</v>
      </c>
      <c r="AS37" s="70">
        <f t="shared" si="33"/>
        <v>730.3</v>
      </c>
      <c r="AT37" s="70">
        <f t="shared" si="33"/>
        <v>723.69999999999982</v>
      </c>
      <c r="AU37" s="70">
        <f t="shared" ref="AU37:BN37" si="34">AU35-AU36</f>
        <v>702.9</v>
      </c>
      <c r="AV37" s="70">
        <f t="shared" si="34"/>
        <v>698.8</v>
      </c>
      <c r="AW37" s="70">
        <f t="shared" si="34"/>
        <v>554.20000000000005</v>
      </c>
      <c r="AX37" s="70">
        <f t="shared" si="34"/>
        <v>639.29999999999995</v>
      </c>
      <c r="AY37" s="70">
        <f t="shared" si="34"/>
        <v>647.20000000000005</v>
      </c>
      <c r="AZ37" s="70">
        <f t="shared" si="34"/>
        <v>767.3</v>
      </c>
      <c r="BA37" s="70">
        <f t="shared" si="34"/>
        <v>765.2</v>
      </c>
      <c r="BB37" s="70">
        <f t="shared" si="34"/>
        <v>718.59999999999991</v>
      </c>
      <c r="BC37" s="70">
        <f t="shared" si="34"/>
        <v>748.8</v>
      </c>
      <c r="BD37" s="70">
        <f t="shared" si="34"/>
        <v>665</v>
      </c>
      <c r="BE37" s="70">
        <f t="shared" si="34"/>
        <v>802.7</v>
      </c>
      <c r="BF37" s="70">
        <f t="shared" si="34"/>
        <v>886.09999999999991</v>
      </c>
      <c r="BG37" s="70">
        <f t="shared" si="34"/>
        <v>813.59999999999991</v>
      </c>
      <c r="BH37" s="70">
        <f t="shared" si="34"/>
        <v>932.09999999999991</v>
      </c>
      <c r="BI37" s="70">
        <f t="shared" si="34"/>
        <v>914.7</v>
      </c>
      <c r="BJ37" s="70">
        <f t="shared" si="34"/>
        <v>1056.5999999999999</v>
      </c>
      <c r="BK37" s="70">
        <f t="shared" si="34"/>
        <v>795</v>
      </c>
      <c r="BL37" s="70">
        <f t="shared" si="34"/>
        <v>833</v>
      </c>
      <c r="BM37" s="70">
        <f t="shared" si="34"/>
        <v>795</v>
      </c>
      <c r="BN37" s="70">
        <f t="shared" si="34"/>
        <v>1428</v>
      </c>
      <c r="BO37" s="70">
        <f>BO35-BO36</f>
        <v>722</v>
      </c>
      <c r="BP37" s="70">
        <f t="shared" ref="BP37:BR37" si="35">BP35-BP36</f>
        <v>810</v>
      </c>
      <c r="BQ37" s="70">
        <f t="shared" si="35"/>
        <v>876</v>
      </c>
      <c r="BR37" s="70">
        <f t="shared" si="35"/>
        <v>1608</v>
      </c>
      <c r="CA37" s="70">
        <f>SUM(C37:F37)</f>
        <v>1528.4</v>
      </c>
      <c r="CB37" s="70">
        <f>SUM(G37:J37)</f>
        <v>1936.3999999999999</v>
      </c>
      <c r="CC37" s="70">
        <f>SUM(K37:N37)</f>
        <v>2390.3999999999996</v>
      </c>
      <c r="CD37" s="70">
        <f>SUM(O37:R37)</f>
        <v>2522.6999999999998</v>
      </c>
      <c r="CE37" s="70">
        <f>SUM(S37:V37)</f>
        <v>2573.8000000000002</v>
      </c>
      <c r="CF37" s="70">
        <f>SUM(W37:Z37)</f>
        <v>2753.8999999999996</v>
      </c>
      <c r="CG37" s="70">
        <f>SUM(AA37:AD37)</f>
        <v>2703.1000000000004</v>
      </c>
      <c r="CH37" s="70">
        <f>SUM(AE37:AH37)</f>
        <v>2475.4999999999995</v>
      </c>
      <c r="CI37" s="70">
        <f>SUM(AI37:AL37)</f>
        <v>2667.9</v>
      </c>
      <c r="CJ37" s="70">
        <f>SUM(AM37:AP37)</f>
        <v>2884.9</v>
      </c>
      <c r="CK37" s="70">
        <f>SUM(AQ37:AT37)</f>
        <v>2900</v>
      </c>
      <c r="CL37" s="70">
        <f>SUM(AU37:AX37)</f>
        <v>2595.1999999999998</v>
      </c>
      <c r="CM37" s="70">
        <f>SUM(AY37:BB37)</f>
        <v>2898.2999999999997</v>
      </c>
      <c r="CN37" s="70">
        <f>SUM(BC37:BF37)</f>
        <v>3102.6</v>
      </c>
      <c r="CO37" s="70">
        <f>SUM(BG37:BJ37)</f>
        <v>3716.9999999999995</v>
      </c>
      <c r="CP37" s="70">
        <f>SUM(BK37:BN37)</f>
        <v>3851</v>
      </c>
      <c r="CQ37" s="1">
        <f t="shared" si="32"/>
        <v>4016</v>
      </c>
    </row>
    <row r="38" spans="2:156">
      <c r="B38" s="1" t="s">
        <v>246</v>
      </c>
      <c r="C38" s="70">
        <v>312.5</v>
      </c>
      <c r="D38" s="70">
        <v>292.8</v>
      </c>
      <c r="E38" s="70">
        <v>305</v>
      </c>
      <c r="F38" s="70">
        <v>316.8</v>
      </c>
      <c r="G38" s="70">
        <v>312.5</v>
      </c>
      <c r="H38" s="70">
        <v>323.2</v>
      </c>
      <c r="I38" s="70">
        <v>333.3</v>
      </c>
      <c r="J38" s="70">
        <v>354.3</v>
      </c>
      <c r="K38" s="70">
        <v>347</v>
      </c>
      <c r="L38" s="70">
        <v>356.1</v>
      </c>
      <c r="M38" s="70">
        <v>370</v>
      </c>
      <c r="N38" s="70">
        <v>388.1</v>
      </c>
      <c r="O38" s="70">
        <v>362.4</v>
      </c>
      <c r="P38" s="70">
        <v>373.1</v>
      </c>
      <c r="Q38" s="70">
        <v>369.8</v>
      </c>
      <c r="R38" s="70">
        <v>386.4</v>
      </c>
      <c r="S38" s="70">
        <v>373.5</v>
      </c>
      <c r="T38" s="70">
        <v>376.8</v>
      </c>
      <c r="U38" s="70">
        <v>383.7</v>
      </c>
      <c r="V38" s="70">
        <v>403.7</v>
      </c>
      <c r="W38" s="70">
        <v>385.4</v>
      </c>
      <c r="X38" s="70">
        <v>392.5</v>
      </c>
      <c r="Y38" s="70">
        <v>394.4</v>
      </c>
      <c r="Z38" s="70">
        <v>397.8</v>
      </c>
      <c r="AA38" s="70">
        <v>386.9</v>
      </c>
      <c r="AB38" s="70">
        <v>382.4</v>
      </c>
      <c r="AC38" s="70">
        <v>376.4</v>
      </c>
      <c r="AD38" s="70">
        <v>360.7</v>
      </c>
      <c r="AE38" s="70">
        <v>359.9</v>
      </c>
      <c r="AF38" s="70">
        <v>358.7</v>
      </c>
      <c r="AG38" s="70">
        <v>346.7</v>
      </c>
      <c r="AH38" s="70">
        <v>402.1</v>
      </c>
      <c r="AI38" s="70">
        <v>370</v>
      </c>
      <c r="AJ38" s="70">
        <v>409.2</v>
      </c>
      <c r="AK38" s="70">
        <v>386.8</v>
      </c>
      <c r="AL38" s="70">
        <v>391.6</v>
      </c>
      <c r="AM38" s="70">
        <v>386.6</v>
      </c>
      <c r="AN38" s="70">
        <v>386.6</v>
      </c>
      <c r="AO38" s="70">
        <v>399.6</v>
      </c>
      <c r="AP38" s="70">
        <v>415.1</v>
      </c>
      <c r="AQ38" s="70">
        <v>386.7</v>
      </c>
      <c r="AR38" s="70">
        <v>385</v>
      </c>
      <c r="AS38" s="70">
        <v>361.7</v>
      </c>
      <c r="AT38" s="70">
        <f>1539-SUM(AQ38:AS38)</f>
        <v>405.59999999999991</v>
      </c>
      <c r="AU38" s="70">
        <v>403.2</v>
      </c>
      <c r="AV38" s="70">
        <v>352</v>
      </c>
      <c r="AW38" s="70">
        <v>370.2</v>
      </c>
      <c r="AX38" s="70">
        <v>354.4</v>
      </c>
      <c r="AY38" s="70">
        <v>374.6</v>
      </c>
      <c r="AZ38" s="70">
        <v>421.3</v>
      </c>
      <c r="BA38" s="70">
        <v>436.9</v>
      </c>
      <c r="BB38" s="70">
        <v>447.2</v>
      </c>
      <c r="BC38" s="70">
        <v>447.5</v>
      </c>
      <c r="BD38" s="70">
        <v>428.5</v>
      </c>
      <c r="BE38" s="70">
        <v>442</v>
      </c>
      <c r="BF38" s="70">
        <v>448.7</v>
      </c>
      <c r="BG38" s="70">
        <v>469.5</v>
      </c>
      <c r="BH38" s="70">
        <v>501.2</v>
      </c>
      <c r="BI38" s="70">
        <v>501.4</v>
      </c>
      <c r="BJ38" s="70">
        <v>551.6</v>
      </c>
      <c r="BK38" s="70">
        <v>514</v>
      </c>
      <c r="BL38" s="70">
        <v>501</v>
      </c>
      <c r="BM38" s="70">
        <v>501</v>
      </c>
      <c r="BN38" s="70">
        <v>485</v>
      </c>
      <c r="BO38" s="70">
        <v>476</v>
      </c>
      <c r="BP38" s="70">
        <v>469</v>
      </c>
      <c r="BQ38" s="70">
        <v>498</v>
      </c>
      <c r="BR38" s="70">
        <v>471</v>
      </c>
      <c r="CA38" s="70">
        <f>SUM(C38:F38)</f>
        <v>1227.0999999999999</v>
      </c>
      <c r="CB38" s="70">
        <f>SUM(G38:J38)</f>
        <v>1323.3</v>
      </c>
      <c r="CC38" s="70">
        <f>SUM(K38:N38)</f>
        <v>1461.1999999999998</v>
      </c>
      <c r="CD38" s="70">
        <f>SUM(O38:R38)</f>
        <v>1491.6999999999998</v>
      </c>
      <c r="CE38" s="70">
        <f>SUM(S38:V38)</f>
        <v>1537.7</v>
      </c>
      <c r="CF38" s="70">
        <f>SUM(W38:Z38)</f>
        <v>1570.1</v>
      </c>
      <c r="CG38" s="70">
        <f>SUM(AA38:AD38)</f>
        <v>1506.3999999999999</v>
      </c>
      <c r="CH38" s="70">
        <f>SUM(AE38:AH38)</f>
        <v>1467.4</v>
      </c>
      <c r="CI38" s="70">
        <f>SUM(AI38:AL38)</f>
        <v>1557.6</v>
      </c>
      <c r="CJ38" s="70">
        <f>SUM(AM38:AP38)</f>
        <v>1587.9</v>
      </c>
      <c r="CK38" s="70">
        <f>SUM(AQ38:AT38)</f>
        <v>1539</v>
      </c>
      <c r="CL38" s="70">
        <f>SUM(AU38:AX38)</f>
        <v>1479.8000000000002</v>
      </c>
      <c r="CM38" s="70">
        <f>SUM(AY38:BB38)</f>
        <v>1680.0000000000002</v>
      </c>
      <c r="CN38" s="70">
        <f>SUM(BC38:BF38)</f>
        <v>1766.7</v>
      </c>
      <c r="CO38" s="70">
        <f>SUM(BG38:BJ38)</f>
        <v>2023.6999999999998</v>
      </c>
      <c r="CP38" s="70">
        <f>SUM(BK38:BN38)</f>
        <v>2001</v>
      </c>
      <c r="CQ38" s="1">
        <f t="shared" si="32"/>
        <v>1914</v>
      </c>
    </row>
    <row r="39" spans="2:156">
      <c r="B39" s="1" t="s">
        <v>247</v>
      </c>
      <c r="C39" s="70">
        <v>0</v>
      </c>
      <c r="D39" s="70">
        <v>0</v>
      </c>
      <c r="E39" s="70">
        <v>-0.39999999999997726</v>
      </c>
      <c r="F39" s="70">
        <v>7</v>
      </c>
      <c r="G39" s="70">
        <v>1.6000000000000227</v>
      </c>
      <c r="H39" s="70">
        <v>1.1999999999999886</v>
      </c>
      <c r="I39" s="70">
        <v>0</v>
      </c>
      <c r="J39" s="70">
        <v>-6.5</v>
      </c>
      <c r="K39" s="70">
        <v>-4.6000000000000227</v>
      </c>
      <c r="L39" s="70">
        <v>1.3999999999999773</v>
      </c>
      <c r="M39" s="70">
        <v>0.89999999999997726</v>
      </c>
      <c r="N39" s="70">
        <v>4.3999999999999773</v>
      </c>
      <c r="O39" s="70">
        <v>-1.5999999999999659</v>
      </c>
      <c r="P39" s="70">
        <v>0</v>
      </c>
      <c r="Q39" s="70">
        <v>1.6999999999999886</v>
      </c>
      <c r="R39" s="70">
        <v>-2</v>
      </c>
      <c r="S39" s="70">
        <v>0</v>
      </c>
      <c r="T39" s="70">
        <v>-2.8000000000000114</v>
      </c>
      <c r="U39" s="70">
        <v>-3.5</v>
      </c>
      <c r="V39" s="70">
        <v>0.60000000000002274</v>
      </c>
      <c r="W39" s="70">
        <v>-9.3999999999999773</v>
      </c>
      <c r="X39" s="70">
        <v>0</v>
      </c>
      <c r="Y39" s="70">
        <v>-1.2999999999999545</v>
      </c>
      <c r="Z39" s="70">
        <v>10.699999999999989</v>
      </c>
      <c r="AA39" s="70">
        <v>0</v>
      </c>
      <c r="AB39" s="70">
        <v>0</v>
      </c>
      <c r="AC39" s="70">
        <v>0</v>
      </c>
      <c r="AD39" s="70">
        <v>0</v>
      </c>
      <c r="AE39" s="70">
        <v>-1.5</v>
      </c>
      <c r="AF39" s="70">
        <v>0</v>
      </c>
      <c r="AG39" s="70">
        <v>0</v>
      </c>
      <c r="AH39" s="70">
        <v>-4.8000000000000114</v>
      </c>
      <c r="AI39" s="70">
        <v>-4</v>
      </c>
      <c r="AJ39" s="70">
        <v>0</v>
      </c>
      <c r="AK39" s="70">
        <v>0</v>
      </c>
      <c r="AL39" s="70">
        <v>0.69999999999998863</v>
      </c>
      <c r="AM39" s="70">
        <v>0</v>
      </c>
      <c r="AN39" s="70">
        <v>0.39999999999997726</v>
      </c>
      <c r="AO39" s="70">
        <v>76.899999999999977</v>
      </c>
      <c r="AP39" s="70">
        <v>-94.100000000000023</v>
      </c>
      <c r="AQ39" s="70">
        <v>0</v>
      </c>
      <c r="AR39" s="70">
        <v>0</v>
      </c>
      <c r="AS39" s="70">
        <v>-5.1999999999999886</v>
      </c>
      <c r="AT39" s="70">
        <v>0</v>
      </c>
      <c r="AU39" s="70">
        <v>9.6999999999999886</v>
      </c>
      <c r="AV39" s="70">
        <v>9.1000000000000227</v>
      </c>
      <c r="AW39" s="70">
        <v>-0.39999999999997726</v>
      </c>
      <c r="AX39" s="70">
        <v>-142.59999999999997</v>
      </c>
      <c r="AY39" s="70">
        <v>-451.40000000000003</v>
      </c>
      <c r="AZ39" s="70">
        <v>6</v>
      </c>
      <c r="BA39" s="70">
        <v>-8.3999999999999773</v>
      </c>
      <c r="BB39" s="70">
        <v>448.09999999999997</v>
      </c>
      <c r="BC39" s="70">
        <v>-10.5</v>
      </c>
      <c r="BD39" s="70">
        <v>23.699999999999989</v>
      </c>
      <c r="BE39" s="70">
        <v>-19.800000000000011</v>
      </c>
      <c r="BF39" s="70">
        <v>6.6000000000000227</v>
      </c>
      <c r="BG39" s="70">
        <v>0</v>
      </c>
      <c r="BH39" s="70">
        <v>107.09999999999997</v>
      </c>
      <c r="BI39" s="70">
        <v>0</v>
      </c>
      <c r="BJ39" s="70">
        <v>121.69999999999993</v>
      </c>
      <c r="BK39" s="70">
        <v>-9</v>
      </c>
      <c r="BL39" s="70">
        <v>0</v>
      </c>
      <c r="BM39" s="70">
        <v>0</v>
      </c>
      <c r="BN39" s="70">
        <v>605</v>
      </c>
      <c r="BO39" s="70">
        <v>-6</v>
      </c>
      <c r="BP39" s="70">
        <v>0</v>
      </c>
      <c r="BQ39" s="70">
        <v>-5</v>
      </c>
      <c r="BR39" s="70">
        <v>914</v>
      </c>
      <c r="CA39" s="70">
        <f>SUM(C39:F39)</f>
        <v>6.6000000000000227</v>
      </c>
      <c r="CB39" s="70">
        <f>SUM(G39:J39)</f>
        <v>-3.6999999999999886</v>
      </c>
      <c r="CC39" s="70">
        <f>SUM(K39:N39)</f>
        <v>2.0999999999999091</v>
      </c>
      <c r="CD39" s="70">
        <f>SUM(O39:R39)</f>
        <v>-1.8999999999999773</v>
      </c>
      <c r="CE39" s="70">
        <f>SUM(S39:V39)</f>
        <v>-5.6999999999999886</v>
      </c>
      <c r="CF39" s="70">
        <f>SUM(W39:Z39)</f>
        <v>5.6843418860808015E-14</v>
      </c>
      <c r="CG39" s="70">
        <f>SUM(AA39:AD39)</f>
        <v>0</v>
      </c>
      <c r="CH39" s="70">
        <f>SUM(AE39:AH39)</f>
        <v>-6.3000000000000114</v>
      </c>
      <c r="CI39" s="70">
        <f>SUM(AI39:AL39)</f>
        <v>-3.3000000000000114</v>
      </c>
      <c r="CJ39" s="70">
        <f>SUM(AM39:AP39)</f>
        <v>-16.800000000000068</v>
      </c>
      <c r="CK39" s="70">
        <f>SUM(AQ39:AT39)</f>
        <v>-5.1999999999999886</v>
      </c>
      <c r="CL39" s="70">
        <f>SUM(AU39:AX39)</f>
        <v>-124.19999999999993</v>
      </c>
      <c r="CM39" s="70">
        <f>SUM(AY39:BB39)</f>
        <v>-5.7000000000000455</v>
      </c>
      <c r="CN39" s="70">
        <f>SUM(BC39:BF39)</f>
        <v>0</v>
      </c>
      <c r="CO39" s="70">
        <f>SUM(BG39:BJ39)</f>
        <v>228.7999999999999</v>
      </c>
      <c r="CP39" s="70">
        <f>SUM(BK39:BN39)</f>
        <v>596</v>
      </c>
      <c r="CQ39" s="1">
        <f t="shared" si="32"/>
        <v>903</v>
      </c>
    </row>
    <row r="40" spans="2:156">
      <c r="B40" s="1" t="s">
        <v>248</v>
      </c>
      <c r="C40" s="70">
        <f t="shared" ref="C40:BN40" si="36">C37-C38-C39</f>
        <v>114.29999999999995</v>
      </c>
      <c r="D40" s="70">
        <f t="shared" si="36"/>
        <v>70.799999999999898</v>
      </c>
      <c r="E40" s="70">
        <f t="shared" si="36"/>
        <v>65.599999999999909</v>
      </c>
      <c r="F40" s="70">
        <f t="shared" si="36"/>
        <v>44.000000000000057</v>
      </c>
      <c r="G40" s="70">
        <f t="shared" si="36"/>
        <v>112.69999999999993</v>
      </c>
      <c r="H40" s="70">
        <f t="shared" si="36"/>
        <v>148.70000000000005</v>
      </c>
      <c r="I40" s="70">
        <f t="shared" si="36"/>
        <v>173.99999999999994</v>
      </c>
      <c r="J40" s="70">
        <f t="shared" si="36"/>
        <v>181.40000000000003</v>
      </c>
      <c r="K40" s="70">
        <f t="shared" si="36"/>
        <v>201.5</v>
      </c>
      <c r="L40" s="70">
        <f t="shared" si="36"/>
        <v>218.99999999999989</v>
      </c>
      <c r="M40" s="70">
        <f t="shared" si="36"/>
        <v>235.90000000000009</v>
      </c>
      <c r="N40" s="70">
        <f t="shared" si="36"/>
        <v>270.69999999999993</v>
      </c>
      <c r="O40" s="70">
        <f t="shared" si="36"/>
        <v>257.90000000000003</v>
      </c>
      <c r="P40" s="70">
        <f t="shared" si="36"/>
        <v>245.19999999999993</v>
      </c>
      <c r="Q40" s="70">
        <f t="shared" si="36"/>
        <v>260.00000000000011</v>
      </c>
      <c r="R40" s="70">
        <f t="shared" si="36"/>
        <v>269.80000000000007</v>
      </c>
      <c r="S40" s="70">
        <f t="shared" si="36"/>
        <v>233.80000000000007</v>
      </c>
      <c r="T40" s="70">
        <f t="shared" si="36"/>
        <v>242.39999999999998</v>
      </c>
      <c r="U40" s="70">
        <f t="shared" si="36"/>
        <v>272.7000000000001</v>
      </c>
      <c r="V40" s="70">
        <f t="shared" si="36"/>
        <v>292.90000000000003</v>
      </c>
      <c r="W40" s="70">
        <f t="shared" si="36"/>
        <v>287.70000000000005</v>
      </c>
      <c r="X40" s="70">
        <f t="shared" si="36"/>
        <v>263.29999999999995</v>
      </c>
      <c r="Y40" s="70">
        <f t="shared" si="36"/>
        <v>288.39999999999998</v>
      </c>
      <c r="Z40" s="70">
        <f t="shared" si="36"/>
        <v>344.39999999999986</v>
      </c>
      <c r="AA40" s="70">
        <f t="shared" si="36"/>
        <v>300.60000000000014</v>
      </c>
      <c r="AB40" s="70">
        <f t="shared" si="36"/>
        <v>290.79999999999995</v>
      </c>
      <c r="AC40" s="70">
        <f t="shared" si="36"/>
        <v>301.80000000000007</v>
      </c>
      <c r="AD40" s="70">
        <f t="shared" si="36"/>
        <v>303.50000000000006</v>
      </c>
      <c r="AE40" s="70">
        <f t="shared" si="36"/>
        <v>254.29999999999995</v>
      </c>
      <c r="AF40" s="70">
        <f t="shared" si="36"/>
        <v>235.39999999999992</v>
      </c>
      <c r="AG40" s="70">
        <f t="shared" si="36"/>
        <v>270.09999999999997</v>
      </c>
      <c r="AH40" s="70">
        <f t="shared" si="36"/>
        <v>254.59999999999985</v>
      </c>
      <c r="AI40" s="70">
        <f t="shared" si="36"/>
        <v>276.29999999999995</v>
      </c>
      <c r="AJ40" s="70">
        <f t="shared" si="36"/>
        <v>247.3</v>
      </c>
      <c r="AK40" s="70">
        <f t="shared" si="36"/>
        <v>290.90000000000003</v>
      </c>
      <c r="AL40" s="70">
        <f t="shared" si="36"/>
        <v>299.09999999999997</v>
      </c>
      <c r="AM40" s="70">
        <f t="shared" si="36"/>
        <v>313.59999999999991</v>
      </c>
      <c r="AN40" s="70">
        <f t="shared" si="36"/>
        <v>316.90000000000009</v>
      </c>
      <c r="AO40" s="70">
        <f t="shared" si="36"/>
        <v>268.20000000000005</v>
      </c>
      <c r="AP40" s="70">
        <f t="shared" si="36"/>
        <v>415.1</v>
      </c>
      <c r="AQ40" s="70">
        <f t="shared" si="36"/>
        <v>351.3</v>
      </c>
      <c r="AR40" s="70">
        <f t="shared" si="36"/>
        <v>323</v>
      </c>
      <c r="AS40" s="70">
        <f t="shared" si="36"/>
        <v>373.79999999999995</v>
      </c>
      <c r="AT40" s="70">
        <f t="shared" si="36"/>
        <v>318.09999999999991</v>
      </c>
      <c r="AU40" s="70">
        <f t="shared" si="36"/>
        <v>290</v>
      </c>
      <c r="AV40" s="70">
        <f t="shared" si="36"/>
        <v>337.69999999999993</v>
      </c>
      <c r="AW40" s="70">
        <f t="shared" si="36"/>
        <v>184.40000000000003</v>
      </c>
      <c r="AX40" s="70">
        <f t="shared" si="36"/>
        <v>427.49999999999994</v>
      </c>
      <c r="AY40" s="70">
        <f t="shared" si="36"/>
        <v>724</v>
      </c>
      <c r="AZ40" s="70">
        <f t="shared" si="36"/>
        <v>339.99999999999994</v>
      </c>
      <c r="BA40" s="70">
        <f t="shared" si="36"/>
        <v>336.70000000000005</v>
      </c>
      <c r="BB40" s="70">
        <f t="shared" si="36"/>
        <v>-176.70000000000005</v>
      </c>
      <c r="BC40" s="70">
        <f t="shared" si="36"/>
        <v>311.79999999999995</v>
      </c>
      <c r="BD40" s="70">
        <f t="shared" si="36"/>
        <v>212.8</v>
      </c>
      <c r="BE40" s="70">
        <f t="shared" si="36"/>
        <v>380.50000000000006</v>
      </c>
      <c r="BF40" s="70">
        <f t="shared" si="36"/>
        <v>430.7999999999999</v>
      </c>
      <c r="BG40" s="70">
        <f t="shared" si="36"/>
        <v>344.09999999999991</v>
      </c>
      <c r="BH40" s="70">
        <f t="shared" si="36"/>
        <v>323.79999999999995</v>
      </c>
      <c r="BI40" s="70">
        <f t="shared" si="36"/>
        <v>413.30000000000007</v>
      </c>
      <c r="BJ40" s="70">
        <f t="shared" si="36"/>
        <v>383.29999999999995</v>
      </c>
      <c r="BK40" s="70">
        <f t="shared" si="36"/>
        <v>290</v>
      </c>
      <c r="BL40" s="70">
        <f t="shared" si="36"/>
        <v>332</v>
      </c>
      <c r="BM40" s="70">
        <f t="shared" si="36"/>
        <v>294</v>
      </c>
      <c r="BN40" s="70">
        <f t="shared" si="36"/>
        <v>338</v>
      </c>
      <c r="BO40" s="70">
        <f t="shared" ref="BO40:BQ40" si="37">BO37-BO38-BO39</f>
        <v>252</v>
      </c>
      <c r="BP40" s="70">
        <f t="shared" si="37"/>
        <v>341</v>
      </c>
      <c r="BQ40" s="70">
        <f t="shared" si="37"/>
        <v>383</v>
      </c>
      <c r="BR40" s="70">
        <f>BR37-BR38-BR39</f>
        <v>223</v>
      </c>
      <c r="CA40" s="70">
        <f>SUM(C40:F40)</f>
        <v>294.69999999999982</v>
      </c>
      <c r="CB40" s="70">
        <f>SUM(G40:J40)</f>
        <v>616.79999999999995</v>
      </c>
      <c r="CC40" s="70">
        <f>SUM(K40:N40)</f>
        <v>927.09999999999991</v>
      </c>
      <c r="CD40" s="70">
        <f>SUM(O40:R40)</f>
        <v>1032.9000000000001</v>
      </c>
      <c r="CE40" s="70">
        <f>SUM(S40:V40)</f>
        <v>1041.8000000000002</v>
      </c>
      <c r="CF40" s="70">
        <f>SUM(W40:Z40)</f>
        <v>1183.7999999999997</v>
      </c>
      <c r="CG40" s="70">
        <f>SUM(AA40:AD40)</f>
        <v>1196.7000000000003</v>
      </c>
      <c r="CH40" s="70">
        <f>SUM(AE40:AH40)</f>
        <v>1014.3999999999996</v>
      </c>
      <c r="CI40" s="70">
        <f>SUM(AI40:AL40)</f>
        <v>1113.5999999999999</v>
      </c>
      <c r="CJ40" s="70">
        <f>SUM(AM40:AP40)</f>
        <v>1313.8000000000002</v>
      </c>
      <c r="CK40" s="70">
        <f>SUM(AQ40:AT40)</f>
        <v>1366.1999999999998</v>
      </c>
      <c r="CL40" s="70">
        <f>SUM(AU40:AX40)</f>
        <v>1239.5999999999999</v>
      </c>
      <c r="CM40" s="70">
        <f>SUM(AY40:BB40)</f>
        <v>1224</v>
      </c>
      <c r="CN40" s="70">
        <f>SUM(BC40:BF40)</f>
        <v>1335.8999999999999</v>
      </c>
      <c r="CO40" s="70">
        <f>SUM(BG40:BJ40)</f>
        <v>1464.4999999999998</v>
      </c>
      <c r="CP40" s="70">
        <f>SUM(BK40:BN40)</f>
        <v>1254</v>
      </c>
      <c r="CQ40" s="1">
        <f t="shared" si="32"/>
        <v>1199</v>
      </c>
    </row>
    <row r="41" spans="2:156">
      <c r="B41" s="1" t="s">
        <v>249</v>
      </c>
      <c r="C41" s="70">
        <v>-17</v>
      </c>
      <c r="D41" s="70">
        <v>-15.4</v>
      </c>
      <c r="E41" s="70">
        <v>-15.4</v>
      </c>
      <c r="F41" s="70">
        <v>-15.2</v>
      </c>
      <c r="G41" s="70">
        <v>-15.4</v>
      </c>
      <c r="H41" s="70">
        <v>-15.1</v>
      </c>
      <c r="I41" s="70">
        <v>-18.5</v>
      </c>
      <c r="J41" s="70">
        <v>-23.6</v>
      </c>
      <c r="K41" s="70">
        <v>-14.8</v>
      </c>
      <c r="L41" s="70">
        <v>-15.4</v>
      </c>
      <c r="M41" s="70">
        <v>-14.7</v>
      </c>
      <c r="N41" s="70">
        <v>-14.6</v>
      </c>
      <c r="O41" s="70">
        <v>-15</v>
      </c>
      <c r="P41" s="70">
        <v>-21.9</v>
      </c>
      <c r="Q41" s="70">
        <v>-15.2</v>
      </c>
      <c r="R41" s="70">
        <v>-14.9</v>
      </c>
      <c r="S41" s="70">
        <v>-16.600000000000001</v>
      </c>
      <c r="T41" s="70">
        <v>-15.3</v>
      </c>
      <c r="U41" s="70">
        <v>-15.3</v>
      </c>
      <c r="V41" s="70">
        <v>-13.7</v>
      </c>
      <c r="W41" s="70">
        <v>-14.9</v>
      </c>
      <c r="X41" s="70">
        <v>-14.9</v>
      </c>
      <c r="Y41" s="70">
        <v>-14.4</v>
      </c>
      <c r="Z41" s="70">
        <v>-5.4</v>
      </c>
      <c r="AA41" s="70">
        <v>-13.1</v>
      </c>
      <c r="AB41" s="70">
        <v>-14.3</v>
      </c>
      <c r="AC41" s="70">
        <v>-17.2</v>
      </c>
      <c r="AD41" s="70">
        <v>-24.6</v>
      </c>
      <c r="AE41" s="70">
        <v>-17.399999999999999</v>
      </c>
      <c r="AF41" s="70">
        <v>-18.399999999999999</v>
      </c>
      <c r="AG41" s="70">
        <v>-17.8</v>
      </c>
      <c r="AH41" s="70">
        <v>-17.7</v>
      </c>
      <c r="AI41" s="70">
        <v>-18.7</v>
      </c>
      <c r="AJ41" s="70">
        <v>-17</v>
      </c>
      <c r="AK41" s="70">
        <v>-14.9</v>
      </c>
      <c r="AL41" s="70">
        <v>-25.6</v>
      </c>
      <c r="AM41" s="70">
        <v>-15.8</v>
      </c>
      <c r="AN41" s="70">
        <v>-17.3</v>
      </c>
      <c r="AO41" s="70">
        <v>-16.5</v>
      </c>
      <c r="AP41" s="70">
        <v>66.599999999999994</v>
      </c>
      <c r="AQ41" s="70">
        <f>-210-20</f>
        <v>-230</v>
      </c>
      <c r="AR41" s="70">
        <f>103-24</f>
        <v>79</v>
      </c>
      <c r="AS41" s="70">
        <v>-52.4</v>
      </c>
      <c r="AT41" s="70">
        <f>-362-98-SUM(AQ41:AS41)</f>
        <v>-256.60000000000002</v>
      </c>
      <c r="AU41" s="70">
        <v>44.6</v>
      </c>
      <c r="AV41" s="70">
        <v>-170.3</v>
      </c>
      <c r="AW41" s="70">
        <v>150.1</v>
      </c>
      <c r="AX41" s="70">
        <v>-127.9</v>
      </c>
      <c r="AY41" s="70">
        <v>-22.6</v>
      </c>
      <c r="AZ41" s="70">
        <v>167.6</v>
      </c>
      <c r="BA41" s="70">
        <v>-22.4</v>
      </c>
      <c r="BB41" s="70">
        <v>180.2</v>
      </c>
      <c r="BC41" s="70">
        <v>-29.6</v>
      </c>
      <c r="BD41" s="70">
        <v>-170.8</v>
      </c>
      <c r="BE41" s="70">
        <v>-36</v>
      </c>
      <c r="BF41" s="70">
        <v>-25.3</v>
      </c>
      <c r="BG41" s="70">
        <v>123.8</v>
      </c>
      <c r="BH41" s="70">
        <v>27.2</v>
      </c>
      <c r="BI41" s="70">
        <v>57.8</v>
      </c>
      <c r="BJ41" s="70">
        <v>-64.8</v>
      </c>
      <c r="BK41" s="70">
        <v>-30</v>
      </c>
      <c r="BL41" s="70">
        <v>-22</v>
      </c>
      <c r="BM41" s="70">
        <v>-39</v>
      </c>
      <c r="BN41" s="70">
        <v>-63</v>
      </c>
      <c r="BO41" s="70">
        <v>-39</v>
      </c>
      <c r="BP41" s="70">
        <v>-42</v>
      </c>
      <c r="BQ41" s="70">
        <v>-41</v>
      </c>
      <c r="BR41" s="70">
        <v>-160</v>
      </c>
      <c r="CA41" s="70">
        <f>SUM(C41:F41)</f>
        <v>-63</v>
      </c>
      <c r="CB41" s="70">
        <f>SUM(G41:J41)</f>
        <v>-72.599999999999994</v>
      </c>
      <c r="CC41" s="70">
        <f>SUM(K41:N41)</f>
        <v>-59.500000000000007</v>
      </c>
      <c r="CD41" s="70">
        <f>SUM(O41:R41)</f>
        <v>-67</v>
      </c>
      <c r="CE41" s="70">
        <f>SUM(S41:V41)</f>
        <v>-60.900000000000006</v>
      </c>
      <c r="CF41" s="70">
        <f>SUM(W41:Z41)</f>
        <v>-49.6</v>
      </c>
      <c r="CG41" s="70">
        <f>SUM(AA41:AD41)</f>
        <v>-69.199999999999989</v>
      </c>
      <c r="CH41" s="70">
        <f>SUM(AE41:AH41)</f>
        <v>-71.3</v>
      </c>
      <c r="CI41" s="70">
        <f>SUM(AI41:AL41)</f>
        <v>-76.2</v>
      </c>
      <c r="CJ41" s="70">
        <f>SUM(AM41:AP41)</f>
        <v>16.999999999999993</v>
      </c>
      <c r="CK41" s="70">
        <f>SUM(AQ41:AT41)</f>
        <v>-460</v>
      </c>
      <c r="CL41" s="70">
        <f>SUM(AU41:AX41)</f>
        <v>-103.50000000000003</v>
      </c>
      <c r="CM41" s="70">
        <f>SUM(AY41:BB41)</f>
        <v>302.79999999999995</v>
      </c>
      <c r="CN41" s="70">
        <f>SUM(BC41:BF41)</f>
        <v>-261.7</v>
      </c>
      <c r="CO41" s="70">
        <f>SUM(BG41:BJ41)</f>
        <v>144</v>
      </c>
      <c r="CP41" s="70">
        <f>SUM(BK41:BN41)</f>
        <v>-154</v>
      </c>
      <c r="CQ41" s="1">
        <f t="shared" si="32"/>
        <v>-282</v>
      </c>
    </row>
    <row r="42" spans="2:156">
      <c r="B42" s="1" t="s">
        <v>250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CA42" s="70">
        <f>SUM(C42:F42)</f>
        <v>0</v>
      </c>
      <c r="CB42" s="70">
        <f>SUM(G42:J42)</f>
        <v>0</v>
      </c>
      <c r="CC42" s="70">
        <f>SUM(K42:N42)</f>
        <v>0</v>
      </c>
      <c r="CD42" s="70">
        <f>SUM(O42:R42)</f>
        <v>0</v>
      </c>
      <c r="CE42" s="70">
        <f>SUM(S42:V42)</f>
        <v>0</v>
      </c>
      <c r="CF42" s="70">
        <f>SUM(W42:Z42)</f>
        <v>0</v>
      </c>
      <c r="CG42" s="70">
        <f>SUM(AA42:AD42)</f>
        <v>0</v>
      </c>
      <c r="CH42" s="70">
        <f>SUM(AE42:AH42)</f>
        <v>0</v>
      </c>
      <c r="CI42" s="70">
        <f>SUM(AI42:AL42)</f>
        <v>0</v>
      </c>
      <c r="CJ42" s="70">
        <f>SUM(AM42:AP42)</f>
        <v>0</v>
      </c>
      <c r="CK42" s="70">
        <f>SUM(AQ42:AT42)</f>
        <v>0</v>
      </c>
      <c r="CL42" s="70">
        <f>SUM(AU42:AX42)</f>
        <v>0</v>
      </c>
      <c r="CM42" s="70">
        <f>SUM(AY42:BB42)</f>
        <v>0</v>
      </c>
      <c r="CN42" s="70">
        <f>SUM(BC42:BF42)</f>
        <v>0</v>
      </c>
      <c r="CO42" s="70">
        <f>SUM(BG42:BJ42)</f>
        <v>0</v>
      </c>
      <c r="CP42" s="70">
        <f>SUM(BK42:BN42)</f>
        <v>0</v>
      </c>
      <c r="CQ42" s="1">
        <f t="shared" si="32"/>
        <v>0</v>
      </c>
    </row>
    <row r="43" spans="2:156">
      <c r="B43" s="1" t="s">
        <v>251</v>
      </c>
      <c r="C43" s="70">
        <f t="shared" ref="C43:BN43" si="38">C40+C41+C42</f>
        <v>97.299999999999955</v>
      </c>
      <c r="D43" s="70">
        <f t="shared" si="38"/>
        <v>55.399999999999899</v>
      </c>
      <c r="E43" s="70">
        <f t="shared" si="38"/>
        <v>50.19999999999991</v>
      </c>
      <c r="F43" s="70">
        <f t="shared" si="38"/>
        <v>28.800000000000058</v>
      </c>
      <c r="G43" s="70">
        <f t="shared" si="38"/>
        <v>97.299999999999926</v>
      </c>
      <c r="H43" s="70">
        <f t="shared" si="38"/>
        <v>133.60000000000005</v>
      </c>
      <c r="I43" s="70">
        <f t="shared" si="38"/>
        <v>155.49999999999994</v>
      </c>
      <c r="J43" s="70">
        <f t="shared" si="38"/>
        <v>157.80000000000004</v>
      </c>
      <c r="K43" s="70">
        <f t="shared" si="38"/>
        <v>186.7</v>
      </c>
      <c r="L43" s="70">
        <f t="shared" si="38"/>
        <v>203.59999999999988</v>
      </c>
      <c r="M43" s="70">
        <f t="shared" si="38"/>
        <v>221.2000000000001</v>
      </c>
      <c r="N43" s="70">
        <f t="shared" si="38"/>
        <v>256.09999999999991</v>
      </c>
      <c r="O43" s="70">
        <f t="shared" si="38"/>
        <v>242.90000000000003</v>
      </c>
      <c r="P43" s="70">
        <f t="shared" si="38"/>
        <v>223.29999999999993</v>
      </c>
      <c r="Q43" s="70">
        <f t="shared" si="38"/>
        <v>244.80000000000013</v>
      </c>
      <c r="R43" s="70">
        <f t="shared" si="38"/>
        <v>254.90000000000006</v>
      </c>
      <c r="S43" s="70">
        <f t="shared" si="38"/>
        <v>217.20000000000007</v>
      </c>
      <c r="T43" s="70">
        <f t="shared" si="38"/>
        <v>227.09999999999997</v>
      </c>
      <c r="U43" s="70">
        <f t="shared" si="38"/>
        <v>257.40000000000009</v>
      </c>
      <c r="V43" s="70">
        <f t="shared" si="38"/>
        <v>279.20000000000005</v>
      </c>
      <c r="W43" s="70">
        <f t="shared" si="38"/>
        <v>272.80000000000007</v>
      </c>
      <c r="X43" s="70">
        <f t="shared" si="38"/>
        <v>248.39999999999995</v>
      </c>
      <c r="Y43" s="70">
        <f t="shared" si="38"/>
        <v>274</v>
      </c>
      <c r="Z43" s="70">
        <f t="shared" si="38"/>
        <v>338.99999999999989</v>
      </c>
      <c r="AA43" s="70">
        <f t="shared" si="38"/>
        <v>287.50000000000011</v>
      </c>
      <c r="AB43" s="70">
        <f t="shared" si="38"/>
        <v>276.49999999999994</v>
      </c>
      <c r="AC43" s="70">
        <f t="shared" si="38"/>
        <v>284.60000000000008</v>
      </c>
      <c r="AD43" s="70">
        <f t="shared" si="38"/>
        <v>278.90000000000003</v>
      </c>
      <c r="AE43" s="70">
        <f t="shared" si="38"/>
        <v>236.89999999999995</v>
      </c>
      <c r="AF43" s="70">
        <f t="shared" si="38"/>
        <v>216.99999999999991</v>
      </c>
      <c r="AG43" s="70">
        <f t="shared" si="38"/>
        <v>252.29999999999995</v>
      </c>
      <c r="AH43" s="70">
        <f t="shared" si="38"/>
        <v>236.89999999999986</v>
      </c>
      <c r="AI43" s="70">
        <f t="shared" si="38"/>
        <v>257.59999999999997</v>
      </c>
      <c r="AJ43" s="70">
        <f t="shared" si="38"/>
        <v>230.3</v>
      </c>
      <c r="AK43" s="70">
        <f t="shared" si="38"/>
        <v>276.00000000000006</v>
      </c>
      <c r="AL43" s="70">
        <f t="shared" si="38"/>
        <v>273.49999999999994</v>
      </c>
      <c r="AM43" s="70">
        <f t="shared" si="38"/>
        <v>297.7999999999999</v>
      </c>
      <c r="AN43" s="70">
        <f t="shared" si="38"/>
        <v>299.60000000000008</v>
      </c>
      <c r="AO43" s="70">
        <f t="shared" si="38"/>
        <v>251.70000000000005</v>
      </c>
      <c r="AP43" s="70">
        <f t="shared" si="38"/>
        <v>481.70000000000005</v>
      </c>
      <c r="AQ43" s="70">
        <f t="shared" si="38"/>
        <v>121.30000000000001</v>
      </c>
      <c r="AR43" s="70">
        <f t="shared" si="38"/>
        <v>402</v>
      </c>
      <c r="AS43" s="70">
        <f t="shared" si="38"/>
        <v>321.39999999999998</v>
      </c>
      <c r="AT43" s="70">
        <f t="shared" si="38"/>
        <v>61.499999999999886</v>
      </c>
      <c r="AU43" s="70">
        <f t="shared" si="38"/>
        <v>334.6</v>
      </c>
      <c r="AV43" s="70">
        <f t="shared" si="38"/>
        <v>167.39999999999992</v>
      </c>
      <c r="AW43" s="70">
        <f t="shared" si="38"/>
        <v>334.5</v>
      </c>
      <c r="AX43" s="70">
        <f t="shared" si="38"/>
        <v>299.59999999999991</v>
      </c>
      <c r="AY43" s="70">
        <f t="shared" si="38"/>
        <v>701.4</v>
      </c>
      <c r="AZ43" s="70">
        <f t="shared" si="38"/>
        <v>507.59999999999991</v>
      </c>
      <c r="BA43" s="70">
        <f t="shared" si="38"/>
        <v>314.30000000000007</v>
      </c>
      <c r="BB43" s="70">
        <f t="shared" si="38"/>
        <v>3.4999999999999432</v>
      </c>
      <c r="BC43" s="70">
        <f t="shared" si="38"/>
        <v>282.19999999999993</v>
      </c>
      <c r="BD43" s="70">
        <f t="shared" si="38"/>
        <v>42</v>
      </c>
      <c r="BE43" s="70">
        <f t="shared" si="38"/>
        <v>344.50000000000006</v>
      </c>
      <c r="BF43" s="70">
        <f t="shared" si="38"/>
        <v>405.49999999999989</v>
      </c>
      <c r="BG43" s="70">
        <f t="shared" si="38"/>
        <v>467.89999999999992</v>
      </c>
      <c r="BH43" s="70">
        <f t="shared" si="38"/>
        <v>350.99999999999994</v>
      </c>
      <c r="BI43" s="70">
        <f t="shared" si="38"/>
        <v>471.10000000000008</v>
      </c>
      <c r="BJ43" s="70">
        <f t="shared" si="38"/>
        <v>318.49999999999994</v>
      </c>
      <c r="BK43" s="70">
        <f t="shared" si="38"/>
        <v>260</v>
      </c>
      <c r="BL43" s="70">
        <f t="shared" si="38"/>
        <v>310</v>
      </c>
      <c r="BM43" s="70">
        <f t="shared" si="38"/>
        <v>255</v>
      </c>
      <c r="BN43" s="70">
        <f t="shared" si="38"/>
        <v>275</v>
      </c>
      <c r="BO43" s="70">
        <f t="shared" ref="BO43:BQ43" si="39">BO40+BO41+BO42</f>
        <v>213</v>
      </c>
      <c r="BP43" s="70">
        <f t="shared" si="39"/>
        <v>299</v>
      </c>
      <c r="BQ43" s="70">
        <f t="shared" si="39"/>
        <v>342</v>
      </c>
      <c r="BR43" s="70">
        <f>BR40+BR41+BR42</f>
        <v>63</v>
      </c>
      <c r="CA43" s="70">
        <f>SUM(C43:F43)</f>
        <v>231.69999999999982</v>
      </c>
      <c r="CB43" s="70">
        <f>SUM(G43:J43)</f>
        <v>544.19999999999993</v>
      </c>
      <c r="CC43" s="70">
        <f>SUM(K43:N43)</f>
        <v>867.59999999999991</v>
      </c>
      <c r="CD43" s="70">
        <f>SUM(O43:R43)</f>
        <v>965.90000000000009</v>
      </c>
      <c r="CE43" s="70">
        <f>SUM(S43:V43)</f>
        <v>980.9000000000002</v>
      </c>
      <c r="CF43" s="70">
        <f>SUM(W43:Z43)</f>
        <v>1134.1999999999998</v>
      </c>
      <c r="CG43" s="70">
        <f>SUM(AA43:AD43)</f>
        <v>1127.5000000000002</v>
      </c>
      <c r="CH43" s="70">
        <f>SUM(AE43:AH43)</f>
        <v>943.09999999999968</v>
      </c>
      <c r="CI43" s="70">
        <f>SUM(AI43:AL43)</f>
        <v>1037.4000000000001</v>
      </c>
      <c r="CJ43" s="70">
        <f>SUM(AM43:AP43)</f>
        <v>1330.8000000000002</v>
      </c>
      <c r="CK43" s="70">
        <f>SUM(AQ43:AT43)</f>
        <v>906.19999999999982</v>
      </c>
      <c r="CL43" s="70">
        <f>SUM(AU43:AX43)</f>
        <v>1136.0999999999999</v>
      </c>
      <c r="CM43" s="70">
        <f>SUM(AY43:BB43)</f>
        <v>1526.8000000000002</v>
      </c>
      <c r="CN43" s="70">
        <f>SUM(BC43:BF43)</f>
        <v>1074.1999999999998</v>
      </c>
      <c r="CO43" s="70">
        <f>SUM(BG43:BJ43)</f>
        <v>1608.5</v>
      </c>
      <c r="CP43" s="70">
        <f>SUM(BK43:BN43)</f>
        <v>1100</v>
      </c>
      <c r="CQ43" s="1">
        <f t="shared" si="32"/>
        <v>917</v>
      </c>
    </row>
    <row r="44" spans="2:156">
      <c r="B44" s="1" t="s">
        <v>252</v>
      </c>
      <c r="C44" s="70">
        <v>19.5</v>
      </c>
      <c r="D44" s="70">
        <v>14.8</v>
      </c>
      <c r="E44" s="70">
        <v>17.399999999999999</v>
      </c>
      <c r="F44" s="70">
        <v>-0.1</v>
      </c>
      <c r="G44" s="70">
        <v>19.5</v>
      </c>
      <c r="H44" s="70">
        <v>21.7</v>
      </c>
      <c r="I44" s="70">
        <v>36.1</v>
      </c>
      <c r="J44" s="70">
        <v>26.5</v>
      </c>
      <c r="K44" s="70">
        <v>36.6</v>
      </c>
      <c r="L44" s="70">
        <v>37.200000000000003</v>
      </c>
      <c r="M44" s="70">
        <v>42.4</v>
      </c>
      <c r="N44" s="70">
        <v>54.3</v>
      </c>
      <c r="O44" s="70">
        <v>59.6</v>
      </c>
      <c r="P44" s="70">
        <v>55.5</v>
      </c>
      <c r="Q44" s="70">
        <v>54.1</v>
      </c>
      <c r="R44" s="70">
        <v>59.7</v>
      </c>
      <c r="S44" s="70">
        <v>55.8</v>
      </c>
      <c r="T44" s="70">
        <v>51.2</v>
      </c>
      <c r="U44" s="70">
        <v>53.7</v>
      </c>
      <c r="V44" s="70">
        <v>63.9</v>
      </c>
      <c r="W44" s="70">
        <v>74.7</v>
      </c>
      <c r="X44" s="70">
        <v>68.099999999999994</v>
      </c>
      <c r="Y44" s="70">
        <v>74.3</v>
      </c>
      <c r="Z44" s="70">
        <v>90.3</v>
      </c>
      <c r="AA44" s="70">
        <v>73.3</v>
      </c>
      <c r="AB44" s="70">
        <v>70.5</v>
      </c>
      <c r="AC44" s="70">
        <v>78.5</v>
      </c>
      <c r="AD44" s="70">
        <v>77.599999999999994</v>
      </c>
      <c r="AE44" s="70">
        <v>51.4</v>
      </c>
      <c r="AF44" s="70">
        <v>49</v>
      </c>
      <c r="AG44" s="70">
        <v>61.3</v>
      </c>
      <c r="AH44" s="70">
        <v>51.7</v>
      </c>
      <c r="AI44" s="70">
        <v>42.9</v>
      </c>
      <c r="AJ44" s="70">
        <v>40.799999999999997</v>
      </c>
      <c r="AK44" s="70">
        <v>59.1</v>
      </c>
      <c r="AL44" s="70">
        <v>68.900000000000006</v>
      </c>
      <c r="AM44" s="70">
        <v>534.20000000000005</v>
      </c>
      <c r="AN44" s="70">
        <v>72.2</v>
      </c>
      <c r="AO44" s="70">
        <v>53.1</v>
      </c>
      <c r="AP44" s="70">
        <v>135.80000000000001</v>
      </c>
      <c r="AQ44" s="70">
        <v>40.5</v>
      </c>
      <c r="AR44" s="70">
        <v>56.4</v>
      </c>
      <c r="AS44" s="70">
        <v>60</v>
      </c>
      <c r="AT44" s="70">
        <f>205-SUM(AQ44:AS44)</f>
        <v>48.099999999999994</v>
      </c>
      <c r="AU44" s="70">
        <v>19.2</v>
      </c>
      <c r="AV44" s="70">
        <v>37.5</v>
      </c>
      <c r="AW44" s="70">
        <v>20.3</v>
      </c>
      <c r="AX44" s="70">
        <v>35.9</v>
      </c>
      <c r="AY44" s="70">
        <v>110.3</v>
      </c>
      <c r="AZ44" s="70">
        <v>97.4</v>
      </c>
      <c r="BA44" s="70">
        <v>44.5</v>
      </c>
      <c r="BB44" s="70">
        <v>-70.3</v>
      </c>
      <c r="BC44" s="70">
        <v>43.6</v>
      </c>
      <c r="BD44" s="70">
        <v>-8.3000000000000007</v>
      </c>
      <c r="BE44" s="70">
        <v>49.4</v>
      </c>
      <c r="BF44" s="70">
        <v>69.8</v>
      </c>
      <c r="BG44" s="70">
        <v>89.2</v>
      </c>
      <c r="BH44" s="70">
        <v>56.5</v>
      </c>
      <c r="BI44" s="70">
        <v>73.099999999999994</v>
      </c>
      <c r="BJ44" s="70">
        <v>111.7</v>
      </c>
      <c r="BK44" s="70">
        <v>47</v>
      </c>
      <c r="BL44" s="70">
        <v>45</v>
      </c>
      <c r="BM44" s="70">
        <v>24</v>
      </c>
      <c r="BN44" s="70">
        <v>36</v>
      </c>
      <c r="BO44" s="70">
        <v>35</v>
      </c>
      <c r="BP44" s="70">
        <v>51</v>
      </c>
      <c r="BQ44" s="70">
        <v>49</v>
      </c>
      <c r="BR44" s="70">
        <v>33</v>
      </c>
      <c r="CA44" s="70">
        <f>SUM(C44:F44)</f>
        <v>51.599999999999994</v>
      </c>
      <c r="CB44" s="70">
        <f>SUM(G44:J44)</f>
        <v>103.80000000000001</v>
      </c>
      <c r="CC44" s="70">
        <f>SUM(K44:N44)</f>
        <v>170.5</v>
      </c>
      <c r="CD44" s="70">
        <f>SUM(O44:R44)</f>
        <v>228.89999999999998</v>
      </c>
      <c r="CE44" s="70">
        <f>SUM(S44:V44)</f>
        <v>224.6</v>
      </c>
      <c r="CF44" s="70">
        <f>SUM(W44:Z44)</f>
        <v>307.40000000000003</v>
      </c>
      <c r="CG44" s="70">
        <f>SUM(AA44:AD44)</f>
        <v>299.89999999999998</v>
      </c>
      <c r="CH44" s="70">
        <f>SUM(AE44:AH44)</f>
        <v>213.39999999999998</v>
      </c>
      <c r="CI44" s="70">
        <f>SUM(AI44:AL44)</f>
        <v>211.7</v>
      </c>
      <c r="CJ44" s="70">
        <f>SUM(AM44:AP44)</f>
        <v>795.30000000000018</v>
      </c>
      <c r="CK44" s="70">
        <f>SUM(AQ44:AT44)</f>
        <v>205</v>
      </c>
      <c r="CL44" s="70">
        <f>SUM(AU44:AX44)</f>
        <v>112.9</v>
      </c>
      <c r="CM44" s="70">
        <f>SUM(AY44:BB44)</f>
        <v>181.89999999999998</v>
      </c>
      <c r="CN44" s="70">
        <f>SUM(BC44:BF44)</f>
        <v>154.5</v>
      </c>
      <c r="CO44" s="70">
        <f>SUM(BG44:BJ44)</f>
        <v>330.5</v>
      </c>
      <c r="CP44" s="70">
        <f>SUM(BK44:BN44)</f>
        <v>152</v>
      </c>
      <c r="CQ44" s="1">
        <f t="shared" si="32"/>
        <v>168</v>
      </c>
    </row>
    <row r="45" spans="2:156" ht="15">
      <c r="B45" s="2" t="s">
        <v>135</v>
      </c>
      <c r="C45" s="68">
        <f t="shared" ref="C45:BN45" si="40">C43-C44</f>
        <v>77.799999999999955</v>
      </c>
      <c r="D45" s="68">
        <f t="shared" si="40"/>
        <v>40.599999999999895</v>
      </c>
      <c r="E45" s="68">
        <f t="shared" si="40"/>
        <v>32.799999999999912</v>
      </c>
      <c r="F45" s="68">
        <f t="shared" si="40"/>
        <v>28.900000000000059</v>
      </c>
      <c r="G45" s="68">
        <f t="shared" si="40"/>
        <v>77.799999999999926</v>
      </c>
      <c r="H45" s="68">
        <f t="shared" si="40"/>
        <v>111.90000000000005</v>
      </c>
      <c r="I45" s="68">
        <f t="shared" si="40"/>
        <v>119.39999999999995</v>
      </c>
      <c r="J45" s="68">
        <f t="shared" si="40"/>
        <v>131.30000000000004</v>
      </c>
      <c r="K45" s="68">
        <f t="shared" si="40"/>
        <v>150.1</v>
      </c>
      <c r="L45" s="68">
        <f t="shared" si="40"/>
        <v>166.39999999999986</v>
      </c>
      <c r="M45" s="68">
        <f t="shared" si="40"/>
        <v>178.8000000000001</v>
      </c>
      <c r="N45" s="68">
        <f t="shared" si="40"/>
        <v>201.7999999999999</v>
      </c>
      <c r="O45" s="68">
        <f t="shared" si="40"/>
        <v>183.30000000000004</v>
      </c>
      <c r="P45" s="68">
        <f t="shared" si="40"/>
        <v>167.79999999999993</v>
      </c>
      <c r="Q45" s="68">
        <f t="shared" si="40"/>
        <v>190.70000000000013</v>
      </c>
      <c r="R45" s="68">
        <f t="shared" si="40"/>
        <v>195.20000000000005</v>
      </c>
      <c r="S45" s="68">
        <f t="shared" si="40"/>
        <v>161.40000000000009</v>
      </c>
      <c r="T45" s="68">
        <f t="shared" si="40"/>
        <v>175.89999999999998</v>
      </c>
      <c r="U45" s="68">
        <f t="shared" si="40"/>
        <v>203.7000000000001</v>
      </c>
      <c r="V45" s="68">
        <f t="shared" si="40"/>
        <v>215.30000000000004</v>
      </c>
      <c r="W45" s="68">
        <f t="shared" si="40"/>
        <v>198.10000000000008</v>
      </c>
      <c r="X45" s="68">
        <f t="shared" si="40"/>
        <v>180.29999999999995</v>
      </c>
      <c r="Y45" s="68">
        <f t="shared" si="40"/>
        <v>199.7</v>
      </c>
      <c r="Z45" s="68">
        <f t="shared" si="40"/>
        <v>248.69999999999987</v>
      </c>
      <c r="AA45" s="68">
        <f t="shared" si="40"/>
        <v>214.2000000000001</v>
      </c>
      <c r="AB45" s="68">
        <f t="shared" si="40"/>
        <v>205.99999999999994</v>
      </c>
      <c r="AC45" s="68">
        <f t="shared" si="40"/>
        <v>206.10000000000008</v>
      </c>
      <c r="AD45" s="68">
        <f t="shared" si="40"/>
        <v>201.30000000000004</v>
      </c>
      <c r="AE45" s="68">
        <f t="shared" si="40"/>
        <v>185.49999999999994</v>
      </c>
      <c r="AF45" s="68">
        <f t="shared" si="40"/>
        <v>167.99999999999991</v>
      </c>
      <c r="AG45" s="68">
        <f t="shared" si="40"/>
        <v>190.99999999999994</v>
      </c>
      <c r="AH45" s="68">
        <f t="shared" si="40"/>
        <v>185.19999999999987</v>
      </c>
      <c r="AI45" s="68">
        <f t="shared" si="40"/>
        <v>214.69999999999996</v>
      </c>
      <c r="AJ45" s="68">
        <f t="shared" si="40"/>
        <v>189.5</v>
      </c>
      <c r="AK45" s="68">
        <f t="shared" si="40"/>
        <v>216.90000000000006</v>
      </c>
      <c r="AL45" s="68">
        <f t="shared" si="40"/>
        <v>204.59999999999994</v>
      </c>
      <c r="AM45" s="68">
        <f t="shared" si="40"/>
        <v>-236.40000000000015</v>
      </c>
      <c r="AN45" s="68">
        <f t="shared" si="40"/>
        <v>227.40000000000009</v>
      </c>
      <c r="AO45" s="68">
        <f t="shared" si="40"/>
        <v>198.60000000000005</v>
      </c>
      <c r="AP45" s="68">
        <f t="shared" si="40"/>
        <v>345.90000000000003</v>
      </c>
      <c r="AQ45" s="68">
        <f t="shared" si="40"/>
        <v>80.800000000000011</v>
      </c>
      <c r="AR45" s="68">
        <f t="shared" si="40"/>
        <v>345.6</v>
      </c>
      <c r="AS45" s="68">
        <f t="shared" si="40"/>
        <v>261.39999999999998</v>
      </c>
      <c r="AT45" s="68">
        <f t="shared" si="40"/>
        <v>13.399999999999892</v>
      </c>
      <c r="AU45" s="68">
        <f t="shared" si="40"/>
        <v>315.40000000000003</v>
      </c>
      <c r="AV45" s="68">
        <f t="shared" si="40"/>
        <v>129.89999999999992</v>
      </c>
      <c r="AW45" s="68">
        <f t="shared" si="40"/>
        <v>314.2</v>
      </c>
      <c r="AX45" s="68">
        <f t="shared" si="40"/>
        <v>263.69999999999993</v>
      </c>
      <c r="AY45" s="68">
        <f t="shared" si="40"/>
        <v>591.1</v>
      </c>
      <c r="AZ45" s="68">
        <f t="shared" si="40"/>
        <v>410.19999999999993</v>
      </c>
      <c r="BA45" s="68">
        <f t="shared" si="40"/>
        <v>269.80000000000007</v>
      </c>
      <c r="BB45" s="68">
        <f t="shared" si="40"/>
        <v>73.79999999999994</v>
      </c>
      <c r="BC45" s="68">
        <f t="shared" si="40"/>
        <v>238.59999999999994</v>
      </c>
      <c r="BD45" s="68">
        <f t="shared" si="40"/>
        <v>50.3</v>
      </c>
      <c r="BE45" s="68">
        <f t="shared" si="40"/>
        <v>295.10000000000008</v>
      </c>
      <c r="BF45" s="68">
        <f t="shared" si="40"/>
        <v>335.69999999999987</v>
      </c>
      <c r="BG45" s="68">
        <f t="shared" si="40"/>
        <v>378.69999999999993</v>
      </c>
      <c r="BH45" s="68">
        <f t="shared" si="40"/>
        <v>294.49999999999994</v>
      </c>
      <c r="BI45" s="68">
        <f t="shared" si="40"/>
        <v>398.00000000000011</v>
      </c>
      <c r="BJ45" s="68">
        <f t="shared" si="40"/>
        <v>206.79999999999995</v>
      </c>
      <c r="BK45" s="68">
        <f t="shared" si="40"/>
        <v>213</v>
      </c>
      <c r="BL45" s="68">
        <f t="shared" si="40"/>
        <v>265</v>
      </c>
      <c r="BM45" s="68">
        <f t="shared" si="40"/>
        <v>231</v>
      </c>
      <c r="BN45" s="68">
        <f t="shared" si="40"/>
        <v>239</v>
      </c>
      <c r="BO45" s="68">
        <f t="shared" ref="BO45:BQ45" si="41">BO43-BO44</f>
        <v>178</v>
      </c>
      <c r="BP45" s="68">
        <f t="shared" si="41"/>
        <v>248</v>
      </c>
      <c r="BQ45" s="68">
        <f t="shared" si="41"/>
        <v>293</v>
      </c>
      <c r="BR45" s="68">
        <f>BR43-BR44</f>
        <v>30</v>
      </c>
      <c r="CA45" s="68">
        <f>SUM(C45:F45)</f>
        <v>180.09999999999982</v>
      </c>
      <c r="CB45" s="68">
        <f>SUM(G45:J45)</f>
        <v>440.4</v>
      </c>
      <c r="CC45" s="68">
        <f>SUM(K45:N45)</f>
        <v>697.09999999999991</v>
      </c>
      <c r="CD45" s="68">
        <f>SUM(O45:R45)</f>
        <v>737.00000000000011</v>
      </c>
      <c r="CE45" s="68">
        <f>SUM(S45:V45)</f>
        <v>756.3000000000003</v>
      </c>
      <c r="CF45" s="68">
        <f>SUM(W45:Z45)</f>
        <v>826.8</v>
      </c>
      <c r="CG45" s="68">
        <f>SUM(AA45:AD45)</f>
        <v>827.60000000000025</v>
      </c>
      <c r="CH45" s="68">
        <f>SUM(AE45:AH45)</f>
        <v>729.69999999999959</v>
      </c>
      <c r="CI45" s="68">
        <f>SUM(AI45:AL45)</f>
        <v>825.69999999999993</v>
      </c>
      <c r="CJ45" s="68">
        <f>SUM(AM45:AP45)</f>
        <v>535.5</v>
      </c>
      <c r="CK45" s="68">
        <f>SUM(AQ45:AT45)</f>
        <v>701.19999999999982</v>
      </c>
      <c r="CL45" s="68">
        <f>SUM(AU45:AX45)</f>
        <v>1023.1999999999999</v>
      </c>
      <c r="CM45" s="68">
        <f>SUM(AY45:BB45)</f>
        <v>1344.8999999999999</v>
      </c>
      <c r="CN45" s="68">
        <f>SUM(BC45:BF45)</f>
        <v>919.69999999999982</v>
      </c>
      <c r="CO45" s="68">
        <f>SUM(BG45:BJ45)</f>
        <v>1277.9999999999998</v>
      </c>
      <c r="CP45" s="68">
        <f>SUM(BK45:BN45)</f>
        <v>948</v>
      </c>
      <c r="CQ45" s="2">
        <f t="shared" si="32"/>
        <v>749</v>
      </c>
    </row>
    <row r="46" spans="2:156">
      <c r="B46" s="1" t="s">
        <v>139</v>
      </c>
      <c r="C46" s="70">
        <v>142</v>
      </c>
      <c r="D46" s="70">
        <v>142</v>
      </c>
      <c r="E46" s="70">
        <v>142</v>
      </c>
      <c r="F46" s="70">
        <v>142</v>
      </c>
      <c r="G46" s="70">
        <v>142.5</v>
      </c>
      <c r="H46" s="70">
        <v>143</v>
      </c>
      <c r="I46" s="70">
        <v>143.5</v>
      </c>
      <c r="J46" s="70">
        <v>144</v>
      </c>
      <c r="K46" s="70">
        <v>144.25</v>
      </c>
      <c r="L46" s="70">
        <v>144.5</v>
      </c>
      <c r="M46" s="70">
        <v>144.75</v>
      </c>
      <c r="N46" s="70">
        <v>145</v>
      </c>
      <c r="O46" s="70">
        <v>144.6</v>
      </c>
      <c r="P46" s="70">
        <v>144.19999999999999</v>
      </c>
      <c r="Q46" s="70">
        <v>143.80000000000001</v>
      </c>
      <c r="R46" s="70">
        <v>143.4</v>
      </c>
      <c r="S46" s="70">
        <v>142.78</v>
      </c>
      <c r="T46" s="70">
        <v>142.15</v>
      </c>
      <c r="U46" s="70">
        <v>141.53</v>
      </c>
      <c r="V46" s="70">
        <v>140.9</v>
      </c>
      <c r="W46" s="70">
        <v>140.6</v>
      </c>
      <c r="X46" s="70">
        <v>140.30000000000001</v>
      </c>
      <c r="Y46" s="70">
        <v>140</v>
      </c>
      <c r="Z46" s="70">
        <v>139.69999999999999</v>
      </c>
      <c r="AA46" s="70">
        <v>138.69999999999999</v>
      </c>
      <c r="AB46" s="70">
        <v>137.69999999999999</v>
      </c>
      <c r="AC46" s="70">
        <v>136.69999999999999</v>
      </c>
      <c r="AD46" s="70">
        <v>135.69999999999999</v>
      </c>
      <c r="AE46" s="70">
        <v>134.55000000000001</v>
      </c>
      <c r="AF46" s="70">
        <v>133.4</v>
      </c>
      <c r="AG46" s="70">
        <v>132.25</v>
      </c>
      <c r="AH46" s="70">
        <v>131.1</v>
      </c>
      <c r="AI46" s="70">
        <v>130.80000000000001</v>
      </c>
      <c r="AJ46" s="70">
        <v>130.5</v>
      </c>
      <c r="AK46" s="70">
        <v>130.19999999999999</v>
      </c>
      <c r="AL46" s="70">
        <v>129.9</v>
      </c>
      <c r="AM46" s="70">
        <v>129.15</v>
      </c>
      <c r="AN46" s="70">
        <v>128.4</v>
      </c>
      <c r="AO46" s="70">
        <v>127.65</v>
      </c>
      <c r="AP46" s="70">
        <v>126.9</v>
      </c>
      <c r="AQ46" s="70">
        <v>120</v>
      </c>
      <c r="AR46" s="70">
        <v>119</v>
      </c>
      <c r="AS46" s="70">
        <v>117.6</v>
      </c>
      <c r="AT46" s="70">
        <v>116.6</v>
      </c>
      <c r="AU46" s="70">
        <v>116.4</v>
      </c>
      <c r="AV46" s="70">
        <v>116.2</v>
      </c>
      <c r="AW46" s="70">
        <v>116</v>
      </c>
      <c r="AX46" s="70">
        <v>115.8</v>
      </c>
      <c r="AY46" s="70">
        <v>116.1</v>
      </c>
      <c r="AZ46" s="70">
        <v>116.1</v>
      </c>
      <c r="BA46" s="70">
        <v>116</v>
      </c>
      <c r="BB46" s="70">
        <v>116</v>
      </c>
      <c r="BC46" s="70">
        <v>116</v>
      </c>
      <c r="BD46" s="70">
        <v>116.2</v>
      </c>
      <c r="BE46" s="70">
        <v>116</v>
      </c>
      <c r="BF46" s="70">
        <v>115.9</v>
      </c>
      <c r="BG46" s="70">
        <v>114.8</v>
      </c>
      <c r="BH46" s="70">
        <v>114.8</v>
      </c>
      <c r="BI46" s="70">
        <v>114.8</v>
      </c>
      <c r="BJ46" s="70">
        <v>114.8</v>
      </c>
      <c r="BK46" s="70">
        <v>114.6</v>
      </c>
      <c r="BL46" s="70">
        <v>114.3</v>
      </c>
      <c r="BM46" s="70">
        <v>113.7</v>
      </c>
      <c r="BN46" s="70">
        <v>114</v>
      </c>
      <c r="BO46" s="70">
        <v>113</v>
      </c>
      <c r="BP46" s="70">
        <v>112.9</v>
      </c>
      <c r="BQ46" s="70">
        <v>112.5</v>
      </c>
      <c r="BR46" s="70">
        <v>112.7</v>
      </c>
      <c r="CA46" s="70">
        <f>AVERAGE(C46:F46)</f>
        <v>142</v>
      </c>
      <c r="CB46" s="70">
        <f>AVERAGE(G46:J46)</f>
        <v>143.25</v>
      </c>
      <c r="CC46" s="70">
        <f>AVERAGE(K46:N46)</f>
        <v>144.625</v>
      </c>
      <c r="CD46" s="70">
        <f>AVERAGE(O46:R46)</f>
        <v>144</v>
      </c>
      <c r="CE46" s="70">
        <f>AVERAGE(S46:V46)</f>
        <v>141.84</v>
      </c>
      <c r="CF46" s="70">
        <f>AVERAGE(W46:Z46)</f>
        <v>140.14999999999998</v>
      </c>
      <c r="CG46" s="70">
        <f>AVERAGE(AA46:AD46)</f>
        <v>137.19999999999999</v>
      </c>
      <c r="CH46" s="70">
        <f>AVERAGE(AE46:AH46)</f>
        <v>132.82500000000002</v>
      </c>
      <c r="CI46" s="70">
        <f>AVERAGE(AI46:AL46)</f>
        <v>130.35</v>
      </c>
      <c r="CJ46" s="70">
        <f>AVERAGE(AM46:AP46)</f>
        <v>128.02500000000001</v>
      </c>
      <c r="CK46" s="70">
        <f>AVERAGE(AQ46:AT46)</f>
        <v>118.30000000000001</v>
      </c>
      <c r="CL46" s="70">
        <f>AVERAGE(AU46:AX46)</f>
        <v>116.10000000000001</v>
      </c>
      <c r="CM46" s="70">
        <f>AVERAGE(AY46:BB46)</f>
        <v>116.05</v>
      </c>
      <c r="CN46" s="70">
        <f>AVERAGE(BC46:BF46)</f>
        <v>116.02500000000001</v>
      </c>
      <c r="CO46" s="70">
        <f>AVERAGE(BG46:BJ46)</f>
        <v>114.8</v>
      </c>
      <c r="CP46" s="70">
        <f>AVERAGE(BK46:BN46)</f>
        <v>114.14999999999999</v>
      </c>
      <c r="CQ46" s="70">
        <f>AVERAGE(BO46:BR46)</f>
        <v>112.77499999999999</v>
      </c>
    </row>
    <row r="47" spans="2:156">
      <c r="B47" s="1" t="s">
        <v>253</v>
      </c>
      <c r="C47" s="40">
        <f t="shared" ref="C47:BN47" si="42">C45/C46</f>
        <v>0.54788732394366169</v>
      </c>
      <c r="D47" s="40">
        <f t="shared" si="42"/>
        <v>0.28591549295774576</v>
      </c>
      <c r="E47" s="40">
        <f t="shared" si="42"/>
        <v>0.23098591549295713</v>
      </c>
      <c r="F47" s="40">
        <f t="shared" si="42"/>
        <v>0.2035211267605638</v>
      </c>
      <c r="G47" s="40">
        <f t="shared" si="42"/>
        <v>0.54596491228070121</v>
      </c>
      <c r="H47" s="40">
        <f t="shared" si="42"/>
        <v>0.78251748251748288</v>
      </c>
      <c r="I47" s="40">
        <f t="shared" si="42"/>
        <v>0.83205574912891955</v>
      </c>
      <c r="J47" s="40">
        <f t="shared" si="42"/>
        <v>0.91180555555555587</v>
      </c>
      <c r="K47" s="40">
        <f t="shared" si="42"/>
        <v>1.0405545927209705</v>
      </c>
      <c r="L47" s="40">
        <f t="shared" si="42"/>
        <v>1.1515570934256045</v>
      </c>
      <c r="M47" s="40">
        <f t="shared" si="42"/>
        <v>1.2352331606217624</v>
      </c>
      <c r="N47" s="40">
        <f t="shared" si="42"/>
        <v>1.3917241379310337</v>
      </c>
      <c r="O47" s="40">
        <f t="shared" si="42"/>
        <v>1.2676348547717846</v>
      </c>
      <c r="P47" s="40">
        <f t="shared" si="42"/>
        <v>1.1636615811373088</v>
      </c>
      <c r="Q47" s="40">
        <f t="shared" si="42"/>
        <v>1.3261474269819202</v>
      </c>
      <c r="R47" s="40">
        <f t="shared" si="42"/>
        <v>1.3612273361227338</v>
      </c>
      <c r="S47" s="40">
        <f t="shared" si="42"/>
        <v>1.1304104216276796</v>
      </c>
      <c r="T47" s="40">
        <f t="shared" si="42"/>
        <v>1.2374252550123108</v>
      </c>
      <c r="U47" s="40">
        <f t="shared" si="42"/>
        <v>1.4392708259732927</v>
      </c>
      <c r="V47" s="40">
        <f t="shared" si="42"/>
        <v>1.5280340667139818</v>
      </c>
      <c r="W47" s="40">
        <f t="shared" si="42"/>
        <v>1.4089615931721202</v>
      </c>
      <c r="X47" s="40">
        <f t="shared" si="42"/>
        <v>1.2851033499643616</v>
      </c>
      <c r="Y47" s="40">
        <f t="shared" si="42"/>
        <v>1.4264285714285714</v>
      </c>
      <c r="Z47" s="40">
        <f t="shared" si="42"/>
        <v>1.7802433786685747</v>
      </c>
      <c r="AA47" s="40">
        <f t="shared" si="42"/>
        <v>1.544340302811825</v>
      </c>
      <c r="AB47" s="40">
        <f t="shared" si="42"/>
        <v>1.4960058097312996</v>
      </c>
      <c r="AC47" s="40">
        <f t="shared" si="42"/>
        <v>1.5076810534016101</v>
      </c>
      <c r="AD47" s="40">
        <f t="shared" si="42"/>
        <v>1.4834193072955053</v>
      </c>
      <c r="AE47" s="40">
        <f t="shared" si="42"/>
        <v>1.3786696395392042</v>
      </c>
      <c r="AF47" s="40">
        <f t="shared" si="42"/>
        <v>1.2593703148425781</v>
      </c>
      <c r="AG47" s="40">
        <f t="shared" si="42"/>
        <v>1.4442344045368616</v>
      </c>
      <c r="AH47" s="40">
        <f t="shared" si="42"/>
        <v>1.4126620900076268</v>
      </c>
      <c r="AI47" s="40">
        <f t="shared" si="42"/>
        <v>1.641437308868501</v>
      </c>
      <c r="AJ47" s="40">
        <f t="shared" si="42"/>
        <v>1.4521072796934866</v>
      </c>
      <c r="AK47" s="40">
        <f t="shared" si="42"/>
        <v>1.6658986175115214</v>
      </c>
      <c r="AL47" s="40">
        <f t="shared" si="42"/>
        <v>1.5750577367205538</v>
      </c>
      <c r="AM47" s="40">
        <f t="shared" si="42"/>
        <v>-1.8304297328687584</v>
      </c>
      <c r="AN47" s="40">
        <f t="shared" si="42"/>
        <v>1.7710280373831782</v>
      </c>
      <c r="AO47" s="40">
        <f t="shared" si="42"/>
        <v>1.5558166862514693</v>
      </c>
      <c r="AP47" s="40">
        <f t="shared" si="42"/>
        <v>2.7257683215130024</v>
      </c>
      <c r="AQ47" s="40">
        <f t="shared" si="42"/>
        <v>0.67333333333333345</v>
      </c>
      <c r="AR47" s="40">
        <f t="shared" si="42"/>
        <v>2.9042016806722692</v>
      </c>
      <c r="AS47" s="40">
        <f t="shared" si="42"/>
        <v>2.2227891156462585</v>
      </c>
      <c r="AT47" s="40">
        <f t="shared" si="42"/>
        <v>0.11492281303601966</v>
      </c>
      <c r="AU47" s="40">
        <f t="shared" si="42"/>
        <v>2.7096219931271479</v>
      </c>
      <c r="AV47" s="40">
        <f t="shared" si="42"/>
        <v>1.117900172117039</v>
      </c>
      <c r="AW47" s="40">
        <f t="shared" si="42"/>
        <v>2.7086206896551723</v>
      </c>
      <c r="AX47" s="40">
        <f t="shared" si="42"/>
        <v>2.2772020725388598</v>
      </c>
      <c r="AY47" s="40">
        <f t="shared" si="42"/>
        <v>5.0913006029285102</v>
      </c>
      <c r="AZ47" s="40">
        <f t="shared" si="42"/>
        <v>3.5331610680447887</v>
      </c>
      <c r="BA47" s="40">
        <f t="shared" si="42"/>
        <v>2.3258620689655176</v>
      </c>
      <c r="BB47" s="40">
        <f t="shared" si="42"/>
        <v>0.63620689655172358</v>
      </c>
      <c r="BC47" s="40">
        <f t="shared" si="42"/>
        <v>2.0568965517241375</v>
      </c>
      <c r="BD47" s="40">
        <f t="shared" si="42"/>
        <v>0.43287435456110152</v>
      </c>
      <c r="BE47" s="40">
        <f t="shared" si="42"/>
        <v>2.54396551724138</v>
      </c>
      <c r="BF47" s="40">
        <f t="shared" si="42"/>
        <v>2.8964624676445201</v>
      </c>
      <c r="BG47" s="40">
        <f t="shared" si="42"/>
        <v>3.2987804878048776</v>
      </c>
      <c r="BH47" s="40">
        <f t="shared" si="42"/>
        <v>2.5653310104529612</v>
      </c>
      <c r="BI47" s="40">
        <f t="shared" si="42"/>
        <v>3.4668989547038338</v>
      </c>
      <c r="BJ47" s="40">
        <f t="shared" si="42"/>
        <v>1.8013937282229961</v>
      </c>
      <c r="BK47" s="40">
        <f t="shared" si="42"/>
        <v>1.8586387434554974</v>
      </c>
      <c r="BL47" s="40">
        <f t="shared" si="42"/>
        <v>2.3184601924759405</v>
      </c>
      <c r="BM47" s="40">
        <f t="shared" si="42"/>
        <v>2.0316622691292876</v>
      </c>
      <c r="BN47" s="40">
        <f t="shared" si="42"/>
        <v>2.0964912280701755</v>
      </c>
      <c r="BO47" s="40">
        <f t="shared" ref="BO47:BQ47" si="43">BO45/BO46</f>
        <v>1.5752212389380531</v>
      </c>
      <c r="BP47" s="40">
        <f t="shared" si="43"/>
        <v>2.1966341895482726</v>
      </c>
      <c r="BQ47" s="40">
        <f t="shared" si="43"/>
        <v>2.6044444444444443</v>
      </c>
      <c r="BR47" s="40">
        <f>BR45/BR46</f>
        <v>0.26619343389529726</v>
      </c>
      <c r="CA47" s="40">
        <f>SUM(C47:F47)</f>
        <v>1.2683098591549284</v>
      </c>
      <c r="CB47" s="40">
        <f>SUM(G47:J47)</f>
        <v>3.0723436994826598</v>
      </c>
      <c r="CC47" s="40">
        <f>SUM(K47:N47)</f>
        <v>4.8190689846993706</v>
      </c>
      <c r="CD47" s="40">
        <f>SUM(O47:R47)</f>
        <v>5.1186711990137477</v>
      </c>
      <c r="CE47" s="40">
        <f>SUM(S47:V47)</f>
        <v>5.3351405693272653</v>
      </c>
      <c r="CF47" s="40">
        <f>SUM(W47:Z47)</f>
        <v>5.9007368932336277</v>
      </c>
      <c r="CG47" s="40">
        <f>SUM(AA47:AD47)</f>
        <v>6.0314464732402397</v>
      </c>
      <c r="CH47" s="40">
        <f>SUM(AE47:AH47)</f>
        <v>5.4949364489262713</v>
      </c>
      <c r="CI47" s="40">
        <f>SUM(AI47:AL47)</f>
        <v>6.3345009427940635</v>
      </c>
      <c r="CJ47" s="40">
        <f>SUM(AM47:AP47)</f>
        <v>4.2221833122788919</v>
      </c>
      <c r="CK47" s="40">
        <f>SUM(AQ47:AT47)</f>
        <v>5.9152469426878804</v>
      </c>
      <c r="CL47" s="40">
        <f>SUM(AU47:AX47)</f>
        <v>8.8133449274382194</v>
      </c>
      <c r="CM47" s="40">
        <f>SUM(AY47:BB47)</f>
        <v>11.58653063649054</v>
      </c>
      <c r="CN47" s="40">
        <f>SUM(BC47:BF47)</f>
        <v>7.9301988911711394</v>
      </c>
      <c r="CO47" s="40">
        <f>SUM(BG47:BJ47)</f>
        <v>11.132404181184668</v>
      </c>
      <c r="CP47" s="40">
        <f>SUM(BK47:BN47)</f>
        <v>8.3052524331309012</v>
      </c>
      <c r="CQ47" s="40">
        <f t="shared" si="32"/>
        <v>6.6424933068260676</v>
      </c>
    </row>
    <row r="49" spans="2:106">
      <c r="B49" s="37" t="s">
        <v>122</v>
      </c>
      <c r="C49" s="66">
        <f t="shared" ref="C49:BN49" si="44">C36/C35</f>
        <v>0.60018735362997666</v>
      </c>
      <c r="D49" s="66">
        <f t="shared" si="44"/>
        <v>0.65636518287496459</v>
      </c>
      <c r="E49" s="66">
        <f t="shared" si="44"/>
        <v>0.63375544123466565</v>
      </c>
      <c r="F49" s="66">
        <f t="shared" si="44"/>
        <v>0.65846410994521309</v>
      </c>
      <c r="G49" s="66">
        <f t="shared" si="44"/>
        <v>0.60018735362997666</v>
      </c>
      <c r="H49" s="66">
        <f t="shared" si="44"/>
        <v>0.59373121511378268</v>
      </c>
      <c r="I49" s="66">
        <f t="shared" si="44"/>
        <v>0.59995268511947009</v>
      </c>
      <c r="J49" s="66">
        <f t="shared" si="44"/>
        <v>0.60999336723413666</v>
      </c>
      <c r="K49" s="66">
        <f t="shared" si="44"/>
        <v>0.60177185532288768</v>
      </c>
      <c r="L49" s="66">
        <f t="shared" si="44"/>
        <v>0.60624274298203684</v>
      </c>
      <c r="M49" s="66">
        <f t="shared" si="44"/>
        <v>0.59978894604933386</v>
      </c>
      <c r="N49" s="66">
        <f t="shared" si="44"/>
        <v>0.59910536178444063</v>
      </c>
      <c r="O49" s="66">
        <f t="shared" si="44"/>
        <v>0.58022932356333534</v>
      </c>
      <c r="P49" s="66">
        <f t="shared" si="44"/>
        <v>0.60393312407917499</v>
      </c>
      <c r="Q49" s="66">
        <f t="shared" si="44"/>
        <v>0.59529607792873618</v>
      </c>
      <c r="R49" s="66">
        <f t="shared" si="44"/>
        <v>0.60685096153846152</v>
      </c>
      <c r="S49" s="66">
        <f t="shared" si="44"/>
        <v>0.5921971528337362</v>
      </c>
      <c r="T49" s="66">
        <f t="shared" si="44"/>
        <v>0.59521933280798534</v>
      </c>
      <c r="U49" s="66">
        <f t="shared" si="44"/>
        <v>0.59801748553133849</v>
      </c>
      <c r="V49" s="66">
        <f t="shared" si="44"/>
        <v>0.59363525091799263</v>
      </c>
      <c r="W49" s="66">
        <f t="shared" si="44"/>
        <v>0.58302443927875858</v>
      </c>
      <c r="X49" s="66">
        <f t="shared" si="44"/>
        <v>0.59025304592314909</v>
      </c>
      <c r="Y49" s="66">
        <f t="shared" si="44"/>
        <v>0.58684449833282815</v>
      </c>
      <c r="Z49" s="66">
        <f t="shared" si="44"/>
        <v>0.57744976989561125</v>
      </c>
      <c r="AA49" s="66">
        <f t="shared" si="44"/>
        <v>0.56332571138211374</v>
      </c>
      <c r="AB49" s="66">
        <f t="shared" si="44"/>
        <v>0.56590147020892445</v>
      </c>
      <c r="AC49" s="66">
        <f t="shared" si="44"/>
        <v>0.56945149822244789</v>
      </c>
      <c r="AD49" s="66">
        <f t="shared" si="44"/>
        <v>0.58681181959564543</v>
      </c>
      <c r="AE49" s="66">
        <f t="shared" si="44"/>
        <v>0.57051731389317262</v>
      </c>
      <c r="AF49" s="66">
        <f t="shared" si="44"/>
        <v>0.58751648962021807</v>
      </c>
      <c r="AG49" s="66">
        <f t="shared" si="44"/>
        <v>0.58154681139755771</v>
      </c>
      <c r="AH49" s="66">
        <f t="shared" si="44"/>
        <v>0.57630313271805544</v>
      </c>
      <c r="AI49" s="66">
        <f t="shared" si="44"/>
        <v>0.56901295041266864</v>
      </c>
      <c r="AJ49" s="66">
        <f t="shared" si="44"/>
        <v>0.5776233674322846</v>
      </c>
      <c r="AK49" s="66">
        <f t="shared" si="44"/>
        <v>0.57622561280640316</v>
      </c>
      <c r="AL49" s="66">
        <f t="shared" si="44"/>
        <v>0.58536731634182915</v>
      </c>
      <c r="AM49" s="66">
        <f t="shared" si="44"/>
        <v>0.55867893608975172</v>
      </c>
      <c r="AN49" s="66">
        <f t="shared" si="44"/>
        <v>0.57370397286821706</v>
      </c>
      <c r="AO49" s="66">
        <f t="shared" si="44"/>
        <v>0.56160593394949077</v>
      </c>
      <c r="AP49" s="66">
        <f t="shared" si="44"/>
        <v>0.57438566059554785</v>
      </c>
      <c r="AQ49" s="66">
        <f t="shared" si="44"/>
        <v>0.55054811205846532</v>
      </c>
      <c r="AR49" s="66">
        <f t="shared" si="44"/>
        <v>0.57272178636089321</v>
      </c>
      <c r="AS49" s="66">
        <f t="shared" si="44"/>
        <v>0.56140772325986432</v>
      </c>
      <c r="AT49" s="66">
        <f t="shared" si="44"/>
        <v>0.58189381246750249</v>
      </c>
      <c r="AU49" s="66">
        <f t="shared" si="44"/>
        <v>0.58272484416740877</v>
      </c>
      <c r="AV49" s="66">
        <f t="shared" si="44"/>
        <v>0.58436923808957353</v>
      </c>
      <c r="AW49" s="66">
        <f t="shared" si="44"/>
        <v>0.60243902439024388</v>
      </c>
      <c r="AX49" s="66">
        <f t="shared" si="44"/>
        <v>0.59280254777070063</v>
      </c>
      <c r="AY49" s="66">
        <f t="shared" si="44"/>
        <v>0.58671775223499356</v>
      </c>
      <c r="AZ49" s="66">
        <f t="shared" si="44"/>
        <v>0.56796171171171173</v>
      </c>
      <c r="BA49" s="66">
        <f t="shared" si="44"/>
        <v>0.58615467820443479</v>
      </c>
      <c r="BB49" s="66">
        <f t="shared" si="44"/>
        <v>0.6023242944106254</v>
      </c>
      <c r="BC49" s="66">
        <f t="shared" si="44"/>
        <v>0.59676898222940233</v>
      </c>
      <c r="BD49" s="66">
        <f t="shared" si="44"/>
        <v>0.63239358761746822</v>
      </c>
      <c r="BE49" s="66">
        <f t="shared" si="44"/>
        <v>0.59233113255459624</v>
      </c>
      <c r="BF49" s="66">
        <f t="shared" si="44"/>
        <v>0.58320790216368767</v>
      </c>
      <c r="BG49" s="66">
        <f t="shared" si="44"/>
        <v>0.58929833417465927</v>
      </c>
      <c r="BH49" s="66">
        <f t="shared" si="44"/>
        <v>0.5902857142857143</v>
      </c>
      <c r="BI49" s="66">
        <f t="shared" si="44"/>
        <v>0.59128686327077751</v>
      </c>
      <c r="BJ49" s="66">
        <f t="shared" si="44"/>
        <v>0.58790951638065525</v>
      </c>
      <c r="BK49" s="66">
        <f t="shared" si="44"/>
        <v>0.61257309941520466</v>
      </c>
      <c r="BL49" s="66">
        <f t="shared" si="44"/>
        <v>0.60818438381937912</v>
      </c>
      <c r="BM49" s="66">
        <f t="shared" si="44"/>
        <v>0.61238420282788886</v>
      </c>
      <c r="BN49" s="66">
        <f t="shared" si="44"/>
        <v>0.29828009828009827</v>
      </c>
      <c r="BO49" s="66">
        <f t="shared" ref="BO49:BQ49" si="45">BO36/BO35</f>
        <v>0.61616161616161613</v>
      </c>
      <c r="BP49" s="66">
        <f t="shared" si="45"/>
        <v>0.59520239880059966</v>
      </c>
      <c r="BQ49" s="66">
        <f t="shared" si="45"/>
        <v>0.59141791044776115</v>
      </c>
      <c r="BR49" s="66">
        <f>BR36/BR35</f>
        <v>0.30569948186528495</v>
      </c>
      <c r="CA49" s="66">
        <f t="shared" ref="CA49:CQ49" si="46">CA36/CA35</f>
        <v>0.63724396553770213</v>
      </c>
      <c r="CB49" s="66">
        <f t="shared" si="46"/>
        <v>0.60131768581428857</v>
      </c>
      <c r="CC49" s="66">
        <f t="shared" si="46"/>
        <v>0.60162655822945144</v>
      </c>
      <c r="CD49" s="66">
        <f t="shared" si="46"/>
        <v>0.59697415087708083</v>
      </c>
      <c r="CE49" s="66">
        <f t="shared" si="46"/>
        <v>0.59479840677592533</v>
      </c>
      <c r="CF49" s="66">
        <f t="shared" si="46"/>
        <v>0.58422284290782822</v>
      </c>
      <c r="CG49" s="66">
        <f t="shared" si="46"/>
        <v>0.57147386610440887</v>
      </c>
      <c r="CH49" s="66">
        <f t="shared" si="46"/>
        <v>0.57896079598605321</v>
      </c>
      <c r="CI49" s="66">
        <f t="shared" si="46"/>
        <v>0.57728201796777212</v>
      </c>
      <c r="CJ49" s="66">
        <f t="shared" si="46"/>
        <v>0.56722172217221722</v>
      </c>
      <c r="CK49" s="66">
        <f t="shared" si="46"/>
        <v>0.56684092606422698</v>
      </c>
      <c r="CL49" s="66">
        <f t="shared" si="46"/>
        <v>0.59000284369174372</v>
      </c>
      <c r="CM49" s="66">
        <f t="shared" si="46"/>
        <v>0.58583881108888269</v>
      </c>
      <c r="CN49" s="66">
        <f t="shared" si="46"/>
        <v>0.60023192887514487</v>
      </c>
      <c r="CO49" s="66">
        <f t="shared" si="46"/>
        <v>0.58964451313755795</v>
      </c>
      <c r="CP49" s="66">
        <f t="shared" si="46"/>
        <v>0.53400290416263307</v>
      </c>
      <c r="CQ49" s="66">
        <f t="shared" si="46"/>
        <v>0.51858067609685932</v>
      </c>
    </row>
    <row r="50" spans="2:106">
      <c r="B50" s="37" t="s">
        <v>123</v>
      </c>
      <c r="C50" s="66">
        <f t="shared" ref="C50:BN50" si="47">C38/C35</f>
        <v>0.29274004683840749</v>
      </c>
      <c r="D50" s="66">
        <f t="shared" si="47"/>
        <v>0.27672242699177774</v>
      </c>
      <c r="E50" s="66">
        <f t="shared" si="47"/>
        <v>0.30174119509299568</v>
      </c>
      <c r="F50" s="66">
        <f t="shared" si="47"/>
        <v>0.29417773237997957</v>
      </c>
      <c r="G50" s="66">
        <f t="shared" si="47"/>
        <v>0.29274004683840749</v>
      </c>
      <c r="H50" s="66">
        <f t="shared" si="47"/>
        <v>0.27754401030485187</v>
      </c>
      <c r="I50" s="66">
        <f t="shared" si="47"/>
        <v>0.26283416134374266</v>
      </c>
      <c r="J50" s="66">
        <f t="shared" si="47"/>
        <v>0.2611098828211364</v>
      </c>
      <c r="K50" s="66">
        <f t="shared" si="47"/>
        <v>0.25406355249670526</v>
      </c>
      <c r="L50" s="66">
        <f t="shared" si="47"/>
        <v>0.24322109145550169</v>
      </c>
      <c r="M50" s="66">
        <f t="shared" si="47"/>
        <v>0.24403113045772326</v>
      </c>
      <c r="N50" s="66">
        <f t="shared" si="47"/>
        <v>0.23460073747204258</v>
      </c>
      <c r="O50" s="66">
        <f t="shared" si="47"/>
        <v>0.2458782821086912</v>
      </c>
      <c r="P50" s="66">
        <f t="shared" si="47"/>
        <v>0.23899814233553265</v>
      </c>
      <c r="Q50" s="66">
        <f t="shared" si="47"/>
        <v>0.23699051525249934</v>
      </c>
      <c r="R50" s="66">
        <f t="shared" si="47"/>
        <v>0.23221153846153844</v>
      </c>
      <c r="S50" s="66">
        <f t="shared" si="47"/>
        <v>0.2508058017727639</v>
      </c>
      <c r="T50" s="66">
        <f t="shared" si="47"/>
        <v>0.24743892828999214</v>
      </c>
      <c r="U50" s="66">
        <f t="shared" si="47"/>
        <v>0.236239379386775</v>
      </c>
      <c r="V50" s="66">
        <f t="shared" si="47"/>
        <v>0.23529754619105903</v>
      </c>
      <c r="W50" s="66">
        <f t="shared" si="47"/>
        <v>0.24213105484701888</v>
      </c>
      <c r="X50" s="66">
        <f t="shared" si="47"/>
        <v>0.24523586379256482</v>
      </c>
      <c r="Y50" s="66">
        <f t="shared" si="47"/>
        <v>0.23910275841163989</v>
      </c>
      <c r="Z50" s="66">
        <f t="shared" si="47"/>
        <v>0.22325738017734875</v>
      </c>
      <c r="AA50" s="66">
        <f t="shared" si="47"/>
        <v>0.24574441056910568</v>
      </c>
      <c r="AB50" s="66">
        <f t="shared" si="47"/>
        <v>0.24658240907918494</v>
      </c>
      <c r="AC50" s="66">
        <f t="shared" si="47"/>
        <v>0.23895378364652106</v>
      </c>
      <c r="AD50" s="66">
        <f t="shared" si="47"/>
        <v>0.22438569206842923</v>
      </c>
      <c r="AE50" s="66">
        <f t="shared" si="47"/>
        <v>0.25227814383849712</v>
      </c>
      <c r="AF50" s="66">
        <f t="shared" si="47"/>
        <v>0.24904533777685203</v>
      </c>
      <c r="AG50" s="66">
        <f t="shared" si="47"/>
        <v>0.2352103120759837</v>
      </c>
      <c r="AH50" s="66">
        <f t="shared" si="47"/>
        <v>0.26134147926686602</v>
      </c>
      <c r="AI50" s="66">
        <f t="shared" si="47"/>
        <v>0.24827215996779173</v>
      </c>
      <c r="AJ50" s="66">
        <f t="shared" si="47"/>
        <v>0.26326963906581741</v>
      </c>
      <c r="AK50" s="66">
        <f t="shared" si="47"/>
        <v>0.24187093546773386</v>
      </c>
      <c r="AL50" s="66">
        <f t="shared" si="47"/>
        <v>0.23484257871064468</v>
      </c>
      <c r="AM50" s="66">
        <f t="shared" si="47"/>
        <v>0.2436657002395059</v>
      </c>
      <c r="AN50" s="66">
        <f t="shared" si="47"/>
        <v>0.2341327519379845</v>
      </c>
      <c r="AO50" s="66">
        <f t="shared" si="47"/>
        <v>0.2352387119562018</v>
      </c>
      <c r="AP50" s="66">
        <f t="shared" si="47"/>
        <v>0.24001156403584853</v>
      </c>
      <c r="AQ50" s="66">
        <f t="shared" si="47"/>
        <v>0.23550548112058464</v>
      </c>
      <c r="AR50" s="66">
        <f t="shared" si="47"/>
        <v>0.23234761617380809</v>
      </c>
      <c r="AS50" s="66">
        <f t="shared" si="47"/>
        <v>0.21722419073929494</v>
      </c>
      <c r="AT50" s="66">
        <f t="shared" si="47"/>
        <v>0.23432896181177421</v>
      </c>
      <c r="AU50" s="66">
        <f t="shared" si="47"/>
        <v>0.23935886019590383</v>
      </c>
      <c r="AV50" s="66">
        <f t="shared" si="47"/>
        <v>0.20936180336644264</v>
      </c>
      <c r="AW50" s="66">
        <f t="shared" si="47"/>
        <v>0.26556671449067432</v>
      </c>
      <c r="AX50" s="66">
        <f t="shared" si="47"/>
        <v>0.22573248407643309</v>
      </c>
      <c r="AY50" s="66">
        <f t="shared" si="47"/>
        <v>0.23920817369093234</v>
      </c>
      <c r="AZ50" s="66">
        <f t="shared" si="47"/>
        <v>0.23721846846846847</v>
      </c>
      <c r="BA50" s="66">
        <f t="shared" si="47"/>
        <v>0.23628988642509463</v>
      </c>
      <c r="BB50" s="66">
        <f t="shared" si="47"/>
        <v>0.24748201438848921</v>
      </c>
      <c r="BC50" s="66">
        <f t="shared" si="47"/>
        <v>0.24098007539041466</v>
      </c>
      <c r="BD50" s="66">
        <f t="shared" si="47"/>
        <v>0.23687119955776673</v>
      </c>
      <c r="BE50" s="66">
        <f t="shared" si="47"/>
        <v>0.22447943118334179</v>
      </c>
      <c r="BF50" s="66">
        <f t="shared" si="47"/>
        <v>0.21105362182502352</v>
      </c>
      <c r="BG50" s="66">
        <f t="shared" si="47"/>
        <v>0.23700151438667338</v>
      </c>
      <c r="BH50" s="66">
        <f t="shared" si="47"/>
        <v>0.22030769230769232</v>
      </c>
      <c r="BI50" s="66">
        <f t="shared" si="47"/>
        <v>0.22403932082216263</v>
      </c>
      <c r="BJ50" s="66">
        <f t="shared" si="47"/>
        <v>0.21513260530421219</v>
      </c>
      <c r="BK50" s="66">
        <f t="shared" si="47"/>
        <v>0.25048732943469787</v>
      </c>
      <c r="BL50" s="66">
        <f t="shared" si="47"/>
        <v>0.23565380997177798</v>
      </c>
      <c r="BM50" s="66">
        <f t="shared" si="47"/>
        <v>0.24427108727450025</v>
      </c>
      <c r="BN50" s="66">
        <f t="shared" si="47"/>
        <v>0.23832923832923833</v>
      </c>
      <c r="BO50" s="66">
        <f t="shared" ref="BO50:BQ50" si="48">BO38/BO35</f>
        <v>0.25305688463583198</v>
      </c>
      <c r="BP50" s="66">
        <f t="shared" si="48"/>
        <v>0.23438280859570215</v>
      </c>
      <c r="BQ50" s="66">
        <f t="shared" si="48"/>
        <v>0.23227611940298507</v>
      </c>
      <c r="BR50" s="66">
        <f>BR38/BR35</f>
        <v>0.20336787564766839</v>
      </c>
      <c r="CA50" s="66">
        <f t="shared" ref="CA50:CQ50" si="49">CA38/CA35</f>
        <v>0.29124439275627184</v>
      </c>
      <c r="CB50" s="66">
        <f t="shared" si="49"/>
        <v>0.27245213094502779</v>
      </c>
      <c r="CC50" s="66">
        <f t="shared" si="49"/>
        <v>0.24351709886007597</v>
      </c>
      <c r="CD50" s="66">
        <f t="shared" si="49"/>
        <v>0.23831357638112277</v>
      </c>
      <c r="CE50" s="66">
        <f t="shared" si="49"/>
        <v>0.24208504541948081</v>
      </c>
      <c r="CF50" s="66">
        <f t="shared" si="49"/>
        <v>0.2370498980901336</v>
      </c>
      <c r="CG50" s="66">
        <f t="shared" si="49"/>
        <v>0.23881164888473183</v>
      </c>
      <c r="CH50" s="66">
        <f t="shared" si="49"/>
        <v>0.24957904583723106</v>
      </c>
      <c r="CI50" s="66">
        <f t="shared" si="49"/>
        <v>0.24679543041845575</v>
      </c>
      <c r="CJ50" s="66">
        <f t="shared" si="49"/>
        <v>0.23820882088208822</v>
      </c>
      <c r="CK50" s="66">
        <f t="shared" si="49"/>
        <v>0.22987303958177743</v>
      </c>
      <c r="CL50" s="66">
        <f t="shared" si="49"/>
        <v>0.23378305791652187</v>
      </c>
      <c r="CM50" s="66">
        <f t="shared" si="49"/>
        <v>0.24006859102600747</v>
      </c>
      <c r="CN50" s="66">
        <f t="shared" si="49"/>
        <v>0.22763819095477386</v>
      </c>
      <c r="CO50" s="66">
        <f t="shared" si="49"/>
        <v>0.22341576506955177</v>
      </c>
      <c r="CP50" s="66">
        <f t="shared" si="49"/>
        <v>0.24213455953533397</v>
      </c>
      <c r="CQ50" s="66">
        <f t="shared" si="49"/>
        <v>0.22944138096379765</v>
      </c>
    </row>
    <row r="51" spans="2:106">
      <c r="B51" s="37" t="s">
        <v>124</v>
      </c>
      <c r="C51" s="66">
        <f t="shared" ref="C51:BN51" si="50">C40/C35</f>
        <v>0.10707259953161588</v>
      </c>
      <c r="D51" s="66">
        <f t="shared" si="50"/>
        <v>6.6912390133257629E-2</v>
      </c>
      <c r="E51" s="66">
        <f t="shared" si="50"/>
        <v>6.4899089829837664E-2</v>
      </c>
      <c r="F51" s="66">
        <f t="shared" si="50"/>
        <v>4.0858018386108322E-2</v>
      </c>
      <c r="G51" s="66">
        <f t="shared" si="50"/>
        <v>0.10557377049180322</v>
      </c>
      <c r="H51" s="66">
        <f t="shared" si="50"/>
        <v>0.12769428939458999</v>
      </c>
      <c r="I51" s="66">
        <f t="shared" si="50"/>
        <v>0.13721315353678729</v>
      </c>
      <c r="J51" s="66">
        <f t="shared" si="50"/>
        <v>0.13368708084604616</v>
      </c>
      <c r="K51" s="66">
        <f t="shared" si="50"/>
        <v>0.14753258163713576</v>
      </c>
      <c r="L51" s="66">
        <f t="shared" si="50"/>
        <v>0.14957994672495042</v>
      </c>
      <c r="M51" s="66">
        <f t="shared" si="50"/>
        <v>0.15558633425669444</v>
      </c>
      <c r="N51" s="66">
        <f t="shared" si="50"/>
        <v>0.16363416550806983</v>
      </c>
      <c r="O51" s="66">
        <f t="shared" si="50"/>
        <v>0.17497794965737162</v>
      </c>
      <c r="P51" s="66">
        <f t="shared" si="50"/>
        <v>0.15706873358529239</v>
      </c>
      <c r="Q51" s="66">
        <f t="shared" si="50"/>
        <v>0.16662394257882601</v>
      </c>
      <c r="R51" s="66">
        <f t="shared" si="50"/>
        <v>0.16213942307692311</v>
      </c>
      <c r="S51" s="66">
        <f t="shared" si="50"/>
        <v>0.1569970453934999</v>
      </c>
      <c r="T51" s="66">
        <f t="shared" si="50"/>
        <v>0.15918045705279746</v>
      </c>
      <c r="U51" s="66">
        <f t="shared" si="50"/>
        <v>0.16789804211304032</v>
      </c>
      <c r="V51" s="66">
        <f t="shared" si="50"/>
        <v>0.17071749140292594</v>
      </c>
      <c r="W51" s="66">
        <f t="shared" si="50"/>
        <v>0.18075014135829617</v>
      </c>
      <c r="X51" s="66">
        <f t="shared" si="50"/>
        <v>0.16451109028428612</v>
      </c>
      <c r="Y51" s="66">
        <f t="shared" si="50"/>
        <v>0.17484086086692935</v>
      </c>
      <c r="Z51" s="66">
        <f t="shared" si="50"/>
        <v>0.19328768660904697</v>
      </c>
      <c r="AA51" s="66">
        <f t="shared" si="50"/>
        <v>0.19092987804878056</v>
      </c>
      <c r="AB51" s="66">
        <f t="shared" si="50"/>
        <v>0.18751612071189061</v>
      </c>
      <c r="AC51" s="66">
        <f t="shared" si="50"/>
        <v>0.19159471813103102</v>
      </c>
      <c r="AD51" s="66">
        <f t="shared" si="50"/>
        <v>0.18880248833592539</v>
      </c>
      <c r="AE51" s="66">
        <f t="shared" si="50"/>
        <v>0.17825599327071356</v>
      </c>
      <c r="AF51" s="66">
        <f t="shared" si="50"/>
        <v>0.16343817260292989</v>
      </c>
      <c r="AG51" s="66">
        <f t="shared" si="50"/>
        <v>0.1832428765264586</v>
      </c>
      <c r="AH51" s="66">
        <f t="shared" si="50"/>
        <v>0.16547510724034828</v>
      </c>
      <c r="AI51" s="66">
        <f t="shared" si="50"/>
        <v>0.18539891297054281</v>
      </c>
      <c r="AJ51" s="66">
        <f t="shared" si="50"/>
        <v>0.15910699350189797</v>
      </c>
      <c r="AK51" s="66">
        <f t="shared" si="50"/>
        <v>0.18190345172586295</v>
      </c>
      <c r="AL51" s="66">
        <f t="shared" si="50"/>
        <v>0.17937031484257868</v>
      </c>
      <c r="AM51" s="66">
        <f t="shared" si="50"/>
        <v>0.19765536367074243</v>
      </c>
      <c r="AN51" s="66">
        <f t="shared" si="50"/>
        <v>0.191921027131783</v>
      </c>
      <c r="AO51" s="66">
        <f t="shared" si="50"/>
        <v>0.15788544180844177</v>
      </c>
      <c r="AP51" s="66">
        <f t="shared" si="50"/>
        <v>0.24001156403584853</v>
      </c>
      <c r="AQ51" s="66">
        <f t="shared" si="50"/>
        <v>0.21394640682095006</v>
      </c>
      <c r="AR51" s="66">
        <f t="shared" si="50"/>
        <v>0.19493059746529873</v>
      </c>
      <c r="AS51" s="66">
        <f t="shared" si="50"/>
        <v>0.22449102156026662</v>
      </c>
      <c r="AT51" s="66">
        <f t="shared" si="50"/>
        <v>0.1837772257207233</v>
      </c>
      <c r="AU51" s="66">
        <f t="shared" si="50"/>
        <v>0.17215791035915701</v>
      </c>
      <c r="AV51" s="66">
        <f t="shared" si="50"/>
        <v>0.20085648010468088</v>
      </c>
      <c r="AW51" s="66">
        <f t="shared" si="50"/>
        <v>0.13228120516499284</v>
      </c>
      <c r="AX51" s="66">
        <f t="shared" si="50"/>
        <v>0.27229299363057319</v>
      </c>
      <c r="AY51" s="66">
        <f t="shared" si="50"/>
        <v>0.4623243933588761</v>
      </c>
      <c r="AZ51" s="66">
        <f t="shared" si="50"/>
        <v>0.1914414414414414</v>
      </c>
      <c r="BA51" s="66">
        <f t="shared" si="50"/>
        <v>0.18209843158464037</v>
      </c>
      <c r="BB51" s="66">
        <f t="shared" si="50"/>
        <v>-9.7786386275594939E-2</v>
      </c>
      <c r="BC51" s="66">
        <f t="shared" si="50"/>
        <v>0.1679052234787291</v>
      </c>
      <c r="BD51" s="66">
        <f t="shared" si="50"/>
        <v>0.11763405196241018</v>
      </c>
      <c r="BE51" s="66">
        <f t="shared" si="50"/>
        <v>0.19324530218384969</v>
      </c>
      <c r="BF51" s="66">
        <f t="shared" si="50"/>
        <v>0.20263405456255876</v>
      </c>
      <c r="BG51" s="66">
        <f t="shared" si="50"/>
        <v>0.17370015143866729</v>
      </c>
      <c r="BH51" s="66">
        <f t="shared" si="50"/>
        <v>0.14232967032967031</v>
      </c>
      <c r="BI51" s="66">
        <f t="shared" si="50"/>
        <v>0.18467381590705992</v>
      </c>
      <c r="BJ51" s="66">
        <f t="shared" si="50"/>
        <v>0.14949297971918876</v>
      </c>
      <c r="BK51" s="66">
        <f t="shared" si="50"/>
        <v>0.14132553606237816</v>
      </c>
      <c r="BL51" s="66">
        <f t="shared" si="50"/>
        <v>0.1561618062088429</v>
      </c>
      <c r="BM51" s="66">
        <f t="shared" si="50"/>
        <v>0.14334470989761092</v>
      </c>
      <c r="BN51" s="66">
        <f t="shared" si="50"/>
        <v>0.16609336609336608</v>
      </c>
      <c r="BO51" s="66">
        <f t="shared" ref="BO51:BQ51" si="51">BO40/BO35</f>
        <v>0.13397129186602871</v>
      </c>
      <c r="BP51" s="66">
        <f t="shared" si="51"/>
        <v>0.17041479260369816</v>
      </c>
      <c r="BQ51" s="66">
        <f t="shared" si="51"/>
        <v>0.17863805970149255</v>
      </c>
      <c r="BR51" s="66">
        <f>BR40/BR35</f>
        <v>9.6286701208981001E-2</v>
      </c>
      <c r="CA51" s="66">
        <f t="shared" ref="CA51:CQ51" si="52">CA40/CA35</f>
        <v>6.9945173616879852E-2</v>
      </c>
      <c r="CB51" s="66">
        <f t="shared" si="52"/>
        <v>0.12699197035206916</v>
      </c>
      <c r="CC51" s="66">
        <f t="shared" si="52"/>
        <v>0.1545063662422505</v>
      </c>
      <c r="CD51" s="66">
        <f t="shared" si="52"/>
        <v>0.16501581621241654</v>
      </c>
      <c r="CE51" s="66">
        <f t="shared" si="52"/>
        <v>0.1640139170956722</v>
      </c>
      <c r="CF51" s="66">
        <f t="shared" si="52"/>
        <v>0.17872725900203815</v>
      </c>
      <c r="CG51" s="66">
        <f t="shared" si="52"/>
        <v>0.18971448501085944</v>
      </c>
      <c r="CH51" s="66">
        <f t="shared" si="52"/>
        <v>0.17253167786376386</v>
      </c>
      <c r="CI51" s="66">
        <f t="shared" si="52"/>
        <v>0.17644542328838747</v>
      </c>
      <c r="CJ51" s="66">
        <f t="shared" si="52"/>
        <v>0.19708970897089712</v>
      </c>
      <c r="CK51" s="66">
        <f t="shared" si="52"/>
        <v>0.2040627333831217</v>
      </c>
      <c r="CL51" s="66">
        <f t="shared" si="52"/>
        <v>0.19583557142405761</v>
      </c>
      <c r="CM51" s="66">
        <f t="shared" si="52"/>
        <v>0.17490711631894826</v>
      </c>
      <c r="CN51" s="66">
        <f t="shared" si="52"/>
        <v>0.17212988017008116</v>
      </c>
      <c r="CO51" s="66">
        <f t="shared" si="52"/>
        <v>0.16168028262309558</v>
      </c>
      <c r="CP51" s="66">
        <f t="shared" si="52"/>
        <v>0.15174249757986447</v>
      </c>
      <c r="CQ51" s="66">
        <f t="shared" si="52"/>
        <v>0.14373052025893071</v>
      </c>
    </row>
    <row r="52" spans="2:106">
      <c r="B52" s="37" t="s">
        <v>125</v>
      </c>
      <c r="C52" s="66">
        <f t="shared" ref="C52:BN52" si="53">C44/C43</f>
        <v>0.20041109969167534</v>
      </c>
      <c r="D52" s="66">
        <f t="shared" si="53"/>
        <v>0.26714801444043373</v>
      </c>
      <c r="E52" s="66">
        <f t="shared" si="53"/>
        <v>0.34661354581673365</v>
      </c>
      <c r="F52" s="66">
        <f t="shared" si="53"/>
        <v>-3.4722222222222155E-3</v>
      </c>
      <c r="G52" s="66">
        <f t="shared" si="53"/>
        <v>0.20041109969167539</v>
      </c>
      <c r="H52" s="66">
        <f t="shared" si="53"/>
        <v>0.16242514970059874</v>
      </c>
      <c r="I52" s="66">
        <f t="shared" si="53"/>
        <v>0.23215434083601297</v>
      </c>
      <c r="J52" s="66">
        <f t="shared" si="53"/>
        <v>0.16793409378960705</v>
      </c>
      <c r="K52" s="66">
        <f t="shared" si="53"/>
        <v>0.19603642206748798</v>
      </c>
      <c r="L52" s="66">
        <f t="shared" si="53"/>
        <v>0.18271119842829089</v>
      </c>
      <c r="M52" s="66">
        <f t="shared" si="53"/>
        <v>0.19168173598553337</v>
      </c>
      <c r="N52" s="66">
        <f t="shared" si="53"/>
        <v>0.21202655212807503</v>
      </c>
      <c r="O52" s="66">
        <f t="shared" si="53"/>
        <v>0.24536846438863727</v>
      </c>
      <c r="P52" s="66">
        <f t="shared" si="53"/>
        <v>0.24854455888938656</v>
      </c>
      <c r="Q52" s="66">
        <f t="shared" si="53"/>
        <v>0.22099673202614367</v>
      </c>
      <c r="R52" s="66">
        <f t="shared" si="53"/>
        <v>0.23420949391918394</v>
      </c>
      <c r="S52" s="66">
        <f t="shared" si="53"/>
        <v>0.2569060773480662</v>
      </c>
      <c r="T52" s="66">
        <f t="shared" si="53"/>
        <v>0.22545134302069578</v>
      </c>
      <c r="U52" s="66">
        <f t="shared" si="53"/>
        <v>0.20862470862470855</v>
      </c>
      <c r="V52" s="66">
        <f t="shared" si="53"/>
        <v>0.22886819484240684</v>
      </c>
      <c r="W52" s="66">
        <f t="shared" si="53"/>
        <v>0.27382697947214069</v>
      </c>
      <c r="X52" s="66">
        <f t="shared" si="53"/>
        <v>0.27415458937198073</v>
      </c>
      <c r="Y52" s="66">
        <f t="shared" si="53"/>
        <v>0.27116788321167884</v>
      </c>
      <c r="Z52" s="66">
        <f t="shared" si="53"/>
        <v>0.26637168141592926</v>
      </c>
      <c r="AA52" s="66">
        <f t="shared" si="53"/>
        <v>0.2549565217391303</v>
      </c>
      <c r="AB52" s="66">
        <f t="shared" si="53"/>
        <v>0.25497287522603984</v>
      </c>
      <c r="AC52" s="66">
        <f t="shared" si="53"/>
        <v>0.27582572030920582</v>
      </c>
      <c r="AD52" s="66">
        <f t="shared" si="53"/>
        <v>0.27823592685550369</v>
      </c>
      <c r="AE52" s="66">
        <f t="shared" si="53"/>
        <v>0.21696918531025752</v>
      </c>
      <c r="AF52" s="66">
        <f t="shared" si="53"/>
        <v>0.2258064516129033</v>
      </c>
      <c r="AG52" s="66">
        <f t="shared" si="53"/>
        <v>0.24296472453428461</v>
      </c>
      <c r="AH52" s="66">
        <f t="shared" si="53"/>
        <v>0.21823554242296342</v>
      </c>
      <c r="AI52" s="66">
        <f t="shared" si="53"/>
        <v>0.16653726708074537</v>
      </c>
      <c r="AJ52" s="66">
        <f t="shared" si="53"/>
        <v>0.17716022579244461</v>
      </c>
      <c r="AK52" s="66">
        <f t="shared" si="53"/>
        <v>0.21413043478260865</v>
      </c>
      <c r="AL52" s="66">
        <f t="shared" si="53"/>
        <v>0.25191956124314452</v>
      </c>
      <c r="AM52" s="66">
        <f t="shared" si="53"/>
        <v>1.7938213566151788</v>
      </c>
      <c r="AN52" s="66">
        <f t="shared" si="53"/>
        <v>0.24098798397863813</v>
      </c>
      <c r="AO52" s="66">
        <f t="shared" si="53"/>
        <v>0.2109654350417163</v>
      </c>
      <c r="AP52" s="66">
        <f t="shared" si="53"/>
        <v>0.28191820635250153</v>
      </c>
      <c r="AQ52" s="66">
        <f t="shared" si="53"/>
        <v>0.3338829348722176</v>
      </c>
      <c r="AR52" s="66">
        <f t="shared" si="53"/>
        <v>0.14029850746268657</v>
      </c>
      <c r="AS52" s="66">
        <f t="shared" si="53"/>
        <v>0.18668326073428751</v>
      </c>
      <c r="AT52" s="66">
        <f t="shared" si="53"/>
        <v>0.78211382113821271</v>
      </c>
      <c r="AU52" s="66">
        <f t="shared" si="53"/>
        <v>5.7381948595337712E-2</v>
      </c>
      <c r="AV52" s="66">
        <f t="shared" si="53"/>
        <v>0.22401433691756284</v>
      </c>
      <c r="AW52" s="66">
        <f t="shared" si="53"/>
        <v>6.0687593423019437E-2</v>
      </c>
      <c r="AX52" s="66">
        <f t="shared" si="53"/>
        <v>0.11982643524699603</v>
      </c>
      <c r="AY52" s="66">
        <f t="shared" si="53"/>
        <v>0.15725691474194467</v>
      </c>
      <c r="AZ52" s="66">
        <f t="shared" si="53"/>
        <v>0.19188337273443662</v>
      </c>
      <c r="BA52" s="66">
        <f t="shared" si="53"/>
        <v>0.14158447343302574</v>
      </c>
      <c r="BB52" s="71">
        <f t="shared" si="53"/>
        <v>-20.085714285714612</v>
      </c>
      <c r="BC52" s="66">
        <f t="shared" si="53"/>
        <v>0.15450035435861095</v>
      </c>
      <c r="BD52" s="66">
        <f t="shared" si="53"/>
        <v>-0.19761904761904764</v>
      </c>
      <c r="BE52" s="66">
        <f t="shared" si="53"/>
        <v>0.14339622641509431</v>
      </c>
      <c r="BF52" s="66">
        <f t="shared" si="53"/>
        <v>0.17213316892725036</v>
      </c>
      <c r="BG52" s="66">
        <f t="shared" si="53"/>
        <v>0.19063902543278483</v>
      </c>
      <c r="BH52" s="66">
        <f t="shared" si="53"/>
        <v>0.160968660968661</v>
      </c>
      <c r="BI52" s="66">
        <f t="shared" si="53"/>
        <v>0.15516875398004665</v>
      </c>
      <c r="BJ52" s="66">
        <f t="shared" si="53"/>
        <v>0.35070643642072219</v>
      </c>
      <c r="BK52" s="66">
        <f t="shared" si="53"/>
        <v>0.18076923076923077</v>
      </c>
      <c r="BL52" s="66">
        <f t="shared" si="53"/>
        <v>0.14516129032258066</v>
      </c>
      <c r="BM52" s="66">
        <f t="shared" si="53"/>
        <v>9.4117647058823528E-2</v>
      </c>
      <c r="BN52" s="66">
        <f t="shared" si="53"/>
        <v>0.13090909090909092</v>
      </c>
      <c r="BO52" s="66">
        <f t="shared" ref="BO52:BQ52" si="54">BO44/BO43</f>
        <v>0.16431924882629109</v>
      </c>
      <c r="BP52" s="66">
        <f t="shared" si="54"/>
        <v>0.1705685618729097</v>
      </c>
      <c r="BQ52" s="66">
        <f t="shared" si="54"/>
        <v>0.14327485380116958</v>
      </c>
      <c r="BR52" s="66">
        <f>BR44/BR43</f>
        <v>0.52380952380952384</v>
      </c>
      <c r="CA52" s="66">
        <f t="shared" ref="CA52:CQ52" si="55">CA44/CA43</f>
        <v>0.22270176952956425</v>
      </c>
      <c r="CB52" s="66">
        <f t="shared" si="55"/>
        <v>0.19073869900771778</v>
      </c>
      <c r="CC52" s="66">
        <f t="shared" si="55"/>
        <v>0.19651913324112497</v>
      </c>
      <c r="CD52" s="66">
        <f t="shared" si="55"/>
        <v>0.23698105393933114</v>
      </c>
      <c r="CE52" s="66">
        <f t="shared" si="55"/>
        <v>0.22897339178305631</v>
      </c>
      <c r="CF52" s="66">
        <f t="shared" si="55"/>
        <v>0.27102803738317766</v>
      </c>
      <c r="CG52" s="66">
        <f t="shared" si="55"/>
        <v>0.26598669623059862</v>
      </c>
      <c r="CH52" s="66">
        <f t="shared" si="55"/>
        <v>0.22627505036581491</v>
      </c>
      <c r="CI52" s="66">
        <f t="shared" si="55"/>
        <v>0.20406786196259877</v>
      </c>
      <c r="CJ52" s="66">
        <f t="shared" si="55"/>
        <v>0.59761045987376016</v>
      </c>
      <c r="CK52" s="66">
        <f t="shared" si="55"/>
        <v>0.2262193776208343</v>
      </c>
      <c r="CL52" s="66">
        <f t="shared" si="55"/>
        <v>9.9375055012762975E-2</v>
      </c>
      <c r="CM52" s="66">
        <f t="shared" si="55"/>
        <v>0.11913806654440658</v>
      </c>
      <c r="CN52" s="66">
        <f t="shared" si="55"/>
        <v>0.14382796499720724</v>
      </c>
      <c r="CO52" s="66">
        <f t="shared" si="55"/>
        <v>0.20547093565433633</v>
      </c>
      <c r="CP52" s="66">
        <f t="shared" si="55"/>
        <v>0.13818181818181818</v>
      </c>
      <c r="CQ52" s="66">
        <f t="shared" si="55"/>
        <v>0.18320610687022901</v>
      </c>
    </row>
    <row r="53" spans="2:106">
      <c r="B53" s="37" t="s">
        <v>126</v>
      </c>
      <c r="C53" s="66">
        <f t="shared" ref="C53:BN53" si="56">C45/C35</f>
        <v>7.2880562060889886E-2</v>
      </c>
      <c r="D53" s="66">
        <f t="shared" si="56"/>
        <v>3.8370664398449959E-2</v>
      </c>
      <c r="E53" s="66">
        <f t="shared" si="56"/>
        <v>3.244954491491879E-2</v>
      </c>
      <c r="F53" s="66">
        <f t="shared" si="56"/>
        <v>2.6836289349057532E-2</v>
      </c>
      <c r="G53" s="66">
        <f t="shared" si="56"/>
        <v>7.2880562060889859E-2</v>
      </c>
      <c r="H53" s="66">
        <f t="shared" si="56"/>
        <v>9.6092743666809838E-2</v>
      </c>
      <c r="I53" s="66">
        <f t="shared" si="56"/>
        <v>9.4156612254554017E-2</v>
      </c>
      <c r="J53" s="66">
        <f t="shared" si="56"/>
        <v>9.6764684206647522E-2</v>
      </c>
      <c r="K53" s="66">
        <f t="shared" si="56"/>
        <v>0.10989896031629814</v>
      </c>
      <c r="L53" s="66">
        <f t="shared" si="56"/>
        <v>0.11365343897274768</v>
      </c>
      <c r="M53" s="66">
        <f t="shared" si="56"/>
        <v>0.11792639493470525</v>
      </c>
      <c r="N53" s="66">
        <f t="shared" si="56"/>
        <v>0.12198512966209267</v>
      </c>
      <c r="O53" s="66">
        <f t="shared" si="56"/>
        <v>0.12436393242418077</v>
      </c>
      <c r="P53" s="66">
        <f t="shared" si="56"/>
        <v>0.10748830952533465</v>
      </c>
      <c r="Q53" s="66">
        <f t="shared" si="56"/>
        <v>0.1222122532683928</v>
      </c>
      <c r="R53" s="66">
        <f t="shared" si="56"/>
        <v>0.11730769230769234</v>
      </c>
      <c r="S53" s="66">
        <f t="shared" si="56"/>
        <v>0.10838033843674462</v>
      </c>
      <c r="T53" s="66">
        <f t="shared" si="56"/>
        <v>0.11551090097189387</v>
      </c>
      <c r="U53" s="66">
        <f t="shared" si="56"/>
        <v>0.12541558921315116</v>
      </c>
      <c r="V53" s="66">
        <f t="shared" si="56"/>
        <v>0.12548813895203126</v>
      </c>
      <c r="W53" s="66">
        <f t="shared" si="56"/>
        <v>0.12445812653138159</v>
      </c>
      <c r="X53" s="66">
        <f t="shared" si="56"/>
        <v>0.11265229615745077</v>
      </c>
      <c r="Y53" s="66">
        <f t="shared" si="56"/>
        <v>0.12106698999696877</v>
      </c>
      <c r="Z53" s="66">
        <f t="shared" si="56"/>
        <v>0.13957795487709052</v>
      </c>
      <c r="AA53" s="66">
        <f t="shared" si="56"/>
        <v>0.13605182926829273</v>
      </c>
      <c r="AB53" s="66">
        <f t="shared" si="56"/>
        <v>0.1328346659788496</v>
      </c>
      <c r="AC53" s="66">
        <f t="shared" si="56"/>
        <v>0.13084052818689695</v>
      </c>
      <c r="AD53" s="66">
        <f t="shared" si="56"/>
        <v>0.12522550544323485</v>
      </c>
      <c r="AE53" s="66">
        <f t="shared" si="56"/>
        <v>0.13002944062806671</v>
      </c>
      <c r="AF53" s="66">
        <f t="shared" si="56"/>
        <v>0.11664236617371375</v>
      </c>
      <c r="AG53" s="66">
        <f t="shared" si="56"/>
        <v>0.12957937584803253</v>
      </c>
      <c r="AH53" s="66">
        <f t="shared" si="56"/>
        <v>0.12036916677499018</v>
      </c>
      <c r="AI53" s="66">
        <f t="shared" si="56"/>
        <v>0.14406495336509426</v>
      </c>
      <c r="AJ53" s="66">
        <f t="shared" si="56"/>
        <v>0.12191983529563148</v>
      </c>
      <c r="AK53" s="66">
        <f t="shared" si="56"/>
        <v>0.13563031515757881</v>
      </c>
      <c r="AL53" s="66">
        <f t="shared" si="56"/>
        <v>0.12269865067466264</v>
      </c>
      <c r="AM53" s="66">
        <f t="shared" si="56"/>
        <v>-0.14899785705281746</v>
      </c>
      <c r="AN53" s="66">
        <f t="shared" si="56"/>
        <v>0.137718023255814</v>
      </c>
      <c r="AO53" s="66">
        <f t="shared" si="56"/>
        <v>0.11691293341967389</v>
      </c>
      <c r="AP53" s="66">
        <f t="shared" si="56"/>
        <v>0.2</v>
      </c>
      <c r="AQ53" s="66">
        <f t="shared" si="56"/>
        <v>4.9208282582216815E-2</v>
      </c>
      <c r="AR53" s="66">
        <f t="shared" si="56"/>
        <v>0.20856970428485216</v>
      </c>
      <c r="AS53" s="66">
        <f t="shared" si="56"/>
        <v>0.15698756831421537</v>
      </c>
      <c r="AT53" s="66">
        <f t="shared" si="56"/>
        <v>7.7416372985151622E-3</v>
      </c>
      <c r="AU53" s="66">
        <f t="shared" si="56"/>
        <v>0.18723656871475217</v>
      </c>
      <c r="AV53" s="66">
        <f t="shared" si="56"/>
        <v>7.7261642776422959E-2</v>
      </c>
      <c r="AW53" s="66">
        <f t="shared" si="56"/>
        <v>0.22539454806312767</v>
      </c>
      <c r="AX53" s="66">
        <f t="shared" si="56"/>
        <v>0.16796178343949039</v>
      </c>
      <c r="AY53" s="66">
        <f t="shared" si="56"/>
        <v>0.37745849297573436</v>
      </c>
      <c r="AZ53" s="66">
        <f t="shared" si="56"/>
        <v>0.23096846846846844</v>
      </c>
      <c r="BA53" s="66">
        <f t="shared" si="56"/>
        <v>0.1459167117360736</v>
      </c>
      <c r="BB53" s="66">
        <f t="shared" si="56"/>
        <v>4.0841173215273904E-2</v>
      </c>
      <c r="BC53" s="66">
        <f t="shared" si="56"/>
        <v>0.1284868066774367</v>
      </c>
      <c r="BD53" s="66">
        <f t="shared" si="56"/>
        <v>2.7805417357656161E-2</v>
      </c>
      <c r="BE53" s="66">
        <f t="shared" si="56"/>
        <v>0.14987303199593707</v>
      </c>
      <c r="BF53" s="66">
        <f t="shared" si="56"/>
        <v>0.15790216368767632</v>
      </c>
      <c r="BG53" s="66">
        <f t="shared" si="56"/>
        <v>0.19116607773851588</v>
      </c>
      <c r="BH53" s="66">
        <f t="shared" si="56"/>
        <v>0.12945054945054943</v>
      </c>
      <c r="BI53" s="66">
        <f t="shared" si="56"/>
        <v>0.17783735478105456</v>
      </c>
      <c r="BJ53" s="66">
        <f t="shared" si="56"/>
        <v>8.0655226209048345E-2</v>
      </c>
      <c r="BK53" s="66">
        <f t="shared" si="56"/>
        <v>0.10380116959064327</v>
      </c>
      <c r="BL53" s="66">
        <f t="shared" si="56"/>
        <v>0.12464722483537159</v>
      </c>
      <c r="BM53" s="66">
        <f t="shared" si="56"/>
        <v>0.11262798634812286</v>
      </c>
      <c r="BN53" s="66">
        <f t="shared" si="56"/>
        <v>0.11744471744471745</v>
      </c>
      <c r="BO53" s="66">
        <f t="shared" ref="BO53:BQ53" si="57">BO45/BO35</f>
        <v>9.4630515683147259E-2</v>
      </c>
      <c r="BP53" s="66">
        <f t="shared" si="57"/>
        <v>0.12393803098450774</v>
      </c>
      <c r="BQ53" s="66">
        <f t="shared" si="57"/>
        <v>0.13666044776119404</v>
      </c>
      <c r="BR53" s="66">
        <f>BR45/BR35</f>
        <v>1.2953367875647668E-2</v>
      </c>
      <c r="CA53" s="66">
        <f t="shared" ref="CA53:CQ53" si="58">CA45/CA35</f>
        <v>4.2745591341703616E-2</v>
      </c>
      <c r="CB53" s="66">
        <f t="shared" si="58"/>
        <v>9.0673255095738106E-2</v>
      </c>
      <c r="CC53" s="66">
        <f t="shared" si="58"/>
        <v>0.11617558829411372</v>
      </c>
      <c r="CD53" s="66">
        <f t="shared" si="58"/>
        <v>0.11774291465635686</v>
      </c>
      <c r="CE53" s="66">
        <f t="shared" si="58"/>
        <v>0.11906673593727866</v>
      </c>
      <c r="CF53" s="66">
        <f t="shared" si="58"/>
        <v>0.12482826300294406</v>
      </c>
      <c r="CG53" s="66">
        <f t="shared" si="58"/>
        <v>0.13120055803040637</v>
      </c>
      <c r="CH53" s="66">
        <f t="shared" si="58"/>
        <v>0.12410919295858484</v>
      </c>
      <c r="CI53" s="66">
        <f t="shared" si="58"/>
        <v>0.13082883082724636</v>
      </c>
      <c r="CJ53" s="66">
        <f t="shared" si="58"/>
        <v>8.0333033303330331E-2</v>
      </c>
      <c r="CK53" s="66">
        <f t="shared" si="58"/>
        <v>0.1047348767737117</v>
      </c>
      <c r="CL53" s="66">
        <f t="shared" si="58"/>
        <v>0.16164807734841541</v>
      </c>
      <c r="CM53" s="66">
        <f t="shared" si="58"/>
        <v>0.19218348099456986</v>
      </c>
      <c r="CN53" s="66">
        <f t="shared" si="58"/>
        <v>0.11850277026156421</v>
      </c>
      <c r="CO53" s="66">
        <f t="shared" si="58"/>
        <v>0.14109074850960474</v>
      </c>
      <c r="CP53" s="66">
        <f t="shared" si="58"/>
        <v>0.11471442400774444</v>
      </c>
      <c r="CQ53" s="66">
        <f t="shared" si="58"/>
        <v>8.9786621913210254E-2</v>
      </c>
    </row>
    <row r="55" spans="2:106">
      <c r="B55" s="1" t="s">
        <v>127</v>
      </c>
      <c r="BB55" s="1">
        <v>662</v>
      </c>
      <c r="BC55" s="1">
        <v>540</v>
      </c>
      <c r="BD55" s="1">
        <v>443</v>
      </c>
      <c r="BE55" s="1">
        <v>483</v>
      </c>
      <c r="BF55" s="1">
        <v>491</v>
      </c>
      <c r="BG55" s="1">
        <v>460</v>
      </c>
      <c r="BH55" s="1">
        <v>456</v>
      </c>
      <c r="BI55" s="1">
        <v>444</v>
      </c>
      <c r="BJ55" s="1">
        <v>1072</v>
      </c>
      <c r="BK55" s="1">
        <v>440</v>
      </c>
      <c r="BL55" s="1">
        <v>470</v>
      </c>
      <c r="BM55" s="1">
        <v>407</v>
      </c>
      <c r="BN55" s="1">
        <v>471</v>
      </c>
      <c r="BO55" s="1">
        <v>471</v>
      </c>
      <c r="BP55" s="1">
        <v>450</v>
      </c>
      <c r="BQ55" s="1">
        <v>495</v>
      </c>
      <c r="BR55" s="1">
        <v>468</v>
      </c>
      <c r="CM55" s="1">
        <f>BB55</f>
        <v>662</v>
      </c>
      <c r="CN55" s="1">
        <f>BF55</f>
        <v>491</v>
      </c>
      <c r="CO55" s="1">
        <f>BJ55</f>
        <v>1072</v>
      </c>
      <c r="CP55" s="1">
        <f>BN55</f>
        <v>471</v>
      </c>
      <c r="CQ55" s="1">
        <f>BR55</f>
        <v>468</v>
      </c>
    </row>
    <row r="56" spans="2:106">
      <c r="B56" s="1" t="s">
        <v>267</v>
      </c>
      <c r="BB56" s="1">
        <v>1425</v>
      </c>
      <c r="BC56" s="1">
        <v>1484</v>
      </c>
      <c r="BD56" s="1">
        <v>1573</v>
      </c>
      <c r="BE56" s="1">
        <v>1702</v>
      </c>
      <c r="BF56" s="1">
        <v>1737</v>
      </c>
      <c r="BG56" s="1">
        <v>1839</v>
      </c>
      <c r="BH56" s="1">
        <v>2046</v>
      </c>
      <c r="BI56" s="1">
        <v>2245</v>
      </c>
      <c r="BJ56" s="1">
        <v>2167</v>
      </c>
      <c r="BK56" s="1">
        <v>1935</v>
      </c>
      <c r="BL56" s="1">
        <v>1960</v>
      </c>
      <c r="BM56" s="1">
        <v>1875</v>
      </c>
      <c r="BN56" s="1">
        <v>1802</v>
      </c>
      <c r="BO56" s="1">
        <v>1675</v>
      </c>
      <c r="BP56" s="1">
        <v>1820</v>
      </c>
      <c r="BQ56" s="1">
        <v>1867</v>
      </c>
      <c r="BR56" s="1">
        <v>1931</v>
      </c>
      <c r="CM56" s="1">
        <f>BB56</f>
        <v>1425</v>
      </c>
      <c r="CN56" s="1">
        <f>BF56</f>
        <v>1737</v>
      </c>
      <c r="CO56" s="1">
        <f>BJ56</f>
        <v>2167</v>
      </c>
      <c r="CP56" s="1">
        <f>BN56</f>
        <v>1802</v>
      </c>
      <c r="CQ56" s="1">
        <f t="shared" ref="CQ56:CQ61" si="59">BR56</f>
        <v>1931</v>
      </c>
    </row>
    <row r="57" spans="2:106" ht="15" customHeight="1">
      <c r="B57" s="1" t="s">
        <v>268</v>
      </c>
      <c r="BB57" s="1">
        <v>798</v>
      </c>
      <c r="BC57" s="1">
        <v>869</v>
      </c>
      <c r="BD57" s="1">
        <v>931</v>
      </c>
      <c r="BE57" s="1">
        <v>989</v>
      </c>
      <c r="BF57" s="1">
        <v>1054</v>
      </c>
      <c r="BG57" s="1">
        <v>1270</v>
      </c>
      <c r="BH57" s="1">
        <v>1329</v>
      </c>
      <c r="BI57" s="1">
        <v>1435</v>
      </c>
      <c r="BJ57" s="1">
        <v>1405</v>
      </c>
      <c r="BK57" s="1">
        <v>1474</v>
      </c>
      <c r="BL57" s="1">
        <v>1385</v>
      </c>
      <c r="BM57" s="1">
        <v>1356</v>
      </c>
      <c r="BN57" s="1">
        <v>1293</v>
      </c>
      <c r="BO57" s="1">
        <v>1234</v>
      </c>
      <c r="BP57" s="1">
        <v>1175</v>
      </c>
      <c r="BQ57" s="1">
        <v>1253</v>
      </c>
      <c r="BR57" s="1">
        <v>1247</v>
      </c>
      <c r="CM57" s="1">
        <f>BB57</f>
        <v>798</v>
      </c>
      <c r="CN57" s="1">
        <f>BF57</f>
        <v>1054</v>
      </c>
      <c r="CO57" s="1">
        <f>BJ57</f>
        <v>1405</v>
      </c>
      <c r="CP57" s="1">
        <f>BN57</f>
        <v>1293</v>
      </c>
      <c r="CQ57" s="1">
        <f t="shared" si="59"/>
        <v>1247</v>
      </c>
      <c r="CS57" s="49" t="s">
        <v>170</v>
      </c>
      <c r="CT57" s="50"/>
      <c r="CU57" s="50"/>
      <c r="CV57" s="49" t="s">
        <v>171</v>
      </c>
      <c r="CW57" s="50"/>
      <c r="CX57" s="51" t="s">
        <v>172</v>
      </c>
      <c r="CY57" s="50"/>
      <c r="CZ57" s="52" t="s">
        <v>173</v>
      </c>
      <c r="DA57" s="53">
        <v>0.06</v>
      </c>
      <c r="DB57" s="50"/>
    </row>
    <row r="58" spans="2:106" ht="15" customHeight="1">
      <c r="B58" s="1" t="s">
        <v>269</v>
      </c>
      <c r="BB58" s="1">
        <v>179</v>
      </c>
      <c r="BC58" s="1">
        <v>236</v>
      </c>
      <c r="BD58" s="1">
        <v>338</v>
      </c>
      <c r="BE58" s="1">
        <v>318</v>
      </c>
      <c r="BF58" s="1">
        <v>329</v>
      </c>
      <c r="BG58" s="1">
        <v>290</v>
      </c>
      <c r="BH58" s="1">
        <v>271</v>
      </c>
      <c r="BI58" s="1">
        <v>277</v>
      </c>
      <c r="BJ58" s="1">
        <v>267</v>
      </c>
      <c r="BK58" s="1">
        <v>287</v>
      </c>
      <c r="BL58" s="1">
        <v>299</v>
      </c>
      <c r="BM58" s="1">
        <v>285</v>
      </c>
      <c r="BN58" s="1">
        <v>315</v>
      </c>
      <c r="BO58" s="1">
        <v>368</v>
      </c>
      <c r="BP58" s="1">
        <v>325</v>
      </c>
      <c r="BQ58" s="1">
        <v>296</v>
      </c>
      <c r="BR58" s="1">
        <v>265</v>
      </c>
      <c r="CM58" s="1">
        <f>BB58</f>
        <v>179</v>
      </c>
      <c r="CN58" s="1">
        <f>BF58</f>
        <v>329</v>
      </c>
      <c r="CO58" s="1">
        <f>BJ58</f>
        <v>267</v>
      </c>
      <c r="CP58" s="1">
        <f>BN58</f>
        <v>315</v>
      </c>
      <c r="CQ58" s="1">
        <f t="shared" si="59"/>
        <v>265</v>
      </c>
      <c r="CS58" s="50">
        <v>2025</v>
      </c>
      <c r="CT58" s="50"/>
      <c r="CU58" s="50">
        <v>2023</v>
      </c>
      <c r="CV58" s="50">
        <v>2024</v>
      </c>
      <c r="CW58" s="50"/>
      <c r="CX58" s="51" t="s">
        <v>174</v>
      </c>
      <c r="CY58" s="50"/>
      <c r="CZ58" s="52" t="s">
        <v>175</v>
      </c>
      <c r="DA58" s="53">
        <v>2.5000000000000001E-2</v>
      </c>
      <c r="DB58" s="50"/>
    </row>
    <row r="59" spans="2:106" ht="15" customHeight="1">
      <c r="B59" s="1" t="s">
        <v>270</v>
      </c>
      <c r="BB59" s="1">
        <v>582</v>
      </c>
      <c r="BC59" s="1">
        <v>584</v>
      </c>
      <c r="BD59" s="1">
        <v>577</v>
      </c>
      <c r="BE59" s="1">
        <v>569</v>
      </c>
      <c r="BF59" s="1">
        <v>587</v>
      </c>
      <c r="BG59" s="1">
        <v>623</v>
      </c>
      <c r="BH59" s="1">
        <v>638</v>
      </c>
      <c r="BI59" s="1">
        <v>654</v>
      </c>
      <c r="BJ59" s="1">
        <v>684</v>
      </c>
      <c r="BK59" s="1">
        <v>705</v>
      </c>
      <c r="BL59" s="1">
        <v>715</v>
      </c>
      <c r="BM59" s="1">
        <v>736</v>
      </c>
      <c r="BN59" s="1">
        <v>777</v>
      </c>
      <c r="BO59" s="1">
        <v>763</v>
      </c>
      <c r="BP59" s="1">
        <v>766</v>
      </c>
      <c r="BQ59" s="1">
        <v>761</v>
      </c>
      <c r="BR59" s="1">
        <v>797</v>
      </c>
      <c r="CM59" s="1">
        <f>BB59</f>
        <v>582</v>
      </c>
      <c r="CN59" s="1">
        <f>BF59</f>
        <v>587</v>
      </c>
      <c r="CO59" s="1">
        <f>BJ59</f>
        <v>684</v>
      </c>
      <c r="CP59" s="1">
        <f>BN59</f>
        <v>777</v>
      </c>
      <c r="CQ59" s="1">
        <f t="shared" si="59"/>
        <v>797</v>
      </c>
      <c r="CS59" s="54">
        <f>AVERAGE(CQ45)*(1-CQ57)</f>
        <v>-933254</v>
      </c>
      <c r="CT59" s="50"/>
      <c r="CU59" s="55">
        <f>SUM(CO60:CO64)-CO75+CO65+CO68+CO67</f>
        <v>16613</v>
      </c>
      <c r="CV59" s="55">
        <f>SUM(CP60:CP64)-CP75+CP65+CP68+CP67</f>
        <v>18335</v>
      </c>
      <c r="CW59" s="50"/>
      <c r="CX59" s="55">
        <f>AVERAGE(CU59:CV59)</f>
        <v>17474</v>
      </c>
      <c r="CY59" s="50"/>
      <c r="CZ59" s="52" t="s">
        <v>176</v>
      </c>
      <c r="DA59" s="53">
        <v>4.3400000000000001E-2</v>
      </c>
      <c r="DB59" s="50"/>
    </row>
    <row r="60" spans="2:106" ht="15" customHeight="1">
      <c r="B60" s="1" t="s">
        <v>271</v>
      </c>
      <c r="BB60" s="1">
        <v>378</v>
      </c>
      <c r="BC60" s="1">
        <v>371</v>
      </c>
      <c r="BD60" s="1">
        <v>348</v>
      </c>
      <c r="BE60" s="1">
        <v>340</v>
      </c>
      <c r="BF60" s="1">
        <v>321</v>
      </c>
      <c r="BG60" s="1">
        <v>320</v>
      </c>
      <c r="BH60" s="1">
        <v>308</v>
      </c>
      <c r="BI60" s="1">
        <v>318</v>
      </c>
      <c r="BJ60" s="1">
        <v>349</v>
      </c>
      <c r="BK60" s="1">
        <v>350</v>
      </c>
      <c r="BL60" s="1">
        <v>406</v>
      </c>
      <c r="BM60" s="1">
        <v>406</v>
      </c>
      <c r="BN60" s="1">
        <v>423</v>
      </c>
      <c r="BO60" s="1">
        <v>388</v>
      </c>
      <c r="BP60" s="1">
        <v>385</v>
      </c>
      <c r="BQ60" s="1">
        <v>387</v>
      </c>
      <c r="BR60" s="1">
        <v>403</v>
      </c>
      <c r="CM60" s="1">
        <f>BB60</f>
        <v>378</v>
      </c>
      <c r="CN60" s="1">
        <f>BF60</f>
        <v>321</v>
      </c>
      <c r="CO60" s="1">
        <f>BJ60</f>
        <v>349</v>
      </c>
      <c r="CP60" s="1">
        <f>BN60</f>
        <v>423</v>
      </c>
      <c r="CQ60" s="1">
        <f t="shared" si="59"/>
        <v>403</v>
      </c>
      <c r="CS60" s="56">
        <f>CS59/CX59</f>
        <v>-53.40814925031475</v>
      </c>
      <c r="CT60" s="50"/>
      <c r="CU60" s="50"/>
      <c r="CV60" s="50"/>
      <c r="CW60" s="50"/>
      <c r="CX60" s="50"/>
      <c r="CY60" s="50"/>
      <c r="CZ60" s="52" t="s">
        <v>177</v>
      </c>
      <c r="DA60" s="53">
        <f>13.4%-DA59</f>
        <v>9.0600000000000014E-2</v>
      </c>
      <c r="DB60" s="50"/>
    </row>
    <row r="61" spans="2:106" ht="15" customHeight="1">
      <c r="B61" s="1" t="s">
        <v>272</v>
      </c>
      <c r="BB61" s="1">
        <v>3626</v>
      </c>
      <c r="BC61" s="1">
        <v>3622</v>
      </c>
      <c r="BD61" s="1">
        <v>3620</v>
      </c>
      <c r="BE61" s="1">
        <v>3582</v>
      </c>
      <c r="BF61" s="1">
        <v>3524</v>
      </c>
      <c r="BG61" s="1">
        <v>3641</v>
      </c>
      <c r="BH61" s="1">
        <v>3685</v>
      </c>
      <c r="BI61" s="1">
        <v>3701</v>
      </c>
      <c r="BJ61" s="1">
        <v>3529</v>
      </c>
      <c r="BK61" s="1">
        <v>3967</v>
      </c>
      <c r="BL61" s="1">
        <v>3964</v>
      </c>
      <c r="BM61" s="1">
        <v>3954</v>
      </c>
      <c r="BN61" s="1">
        <v>3993</v>
      </c>
      <c r="BO61" s="1">
        <v>3915</v>
      </c>
      <c r="BP61" s="1">
        <v>3938</v>
      </c>
      <c r="BQ61" s="1">
        <v>4002</v>
      </c>
      <c r="BR61" s="1">
        <v>3839</v>
      </c>
      <c r="CM61" s="1">
        <f>BB61</f>
        <v>3626</v>
      </c>
      <c r="CN61" s="1">
        <f>BF61</f>
        <v>3524</v>
      </c>
      <c r="CO61" s="1">
        <f>BJ61</f>
        <v>3529</v>
      </c>
      <c r="CP61" s="1">
        <f>BN61</f>
        <v>3993</v>
      </c>
      <c r="CQ61" s="1">
        <f t="shared" si="59"/>
        <v>3839</v>
      </c>
      <c r="CS61" s="50"/>
      <c r="CT61" s="50"/>
      <c r="CU61" s="50"/>
      <c r="CV61" s="50"/>
      <c r="CW61" s="50"/>
      <c r="CX61" s="50"/>
      <c r="CY61" s="50"/>
      <c r="CZ61" s="52" t="s">
        <v>178</v>
      </c>
      <c r="DA61" s="50">
        <f>'Notes | Quant Analysis'!S242</f>
        <v>1.140846574445135</v>
      </c>
      <c r="DB61" s="50"/>
    </row>
    <row r="62" spans="2:106" ht="15" customHeight="1">
      <c r="B62" s="1" t="s">
        <v>273</v>
      </c>
      <c r="BB62" s="1">
        <v>1022</v>
      </c>
      <c r="BC62" s="1">
        <v>994</v>
      </c>
      <c r="BD62" s="1">
        <v>969</v>
      </c>
      <c r="BE62" s="1">
        <v>936</v>
      </c>
      <c r="BF62" s="1">
        <v>902</v>
      </c>
      <c r="BG62" s="1">
        <v>918</v>
      </c>
      <c r="BH62" s="1">
        <v>910</v>
      </c>
      <c r="BI62" s="1">
        <v>883</v>
      </c>
      <c r="BJ62" s="1">
        <v>853</v>
      </c>
      <c r="BK62" s="1">
        <v>1190</v>
      </c>
      <c r="BL62" s="1">
        <v>1141</v>
      </c>
      <c r="BM62" s="1">
        <v>1100</v>
      </c>
      <c r="BN62" s="1">
        <v>1066</v>
      </c>
      <c r="BO62" s="1">
        <v>1027</v>
      </c>
      <c r="BP62" s="1">
        <v>992</v>
      </c>
      <c r="BQ62" s="1">
        <v>966</v>
      </c>
      <c r="BR62" s="1">
        <v>864</v>
      </c>
      <c r="CM62" s="1">
        <f t="shared" ref="CM62:CM65" si="60">BB62</f>
        <v>1022</v>
      </c>
      <c r="CN62" s="1">
        <f t="shared" ref="CN62:CN65" si="61">BF62</f>
        <v>902</v>
      </c>
      <c r="CO62" s="1">
        <f t="shared" ref="CO62:CO65" si="62">BJ62</f>
        <v>853</v>
      </c>
      <c r="CP62" s="1">
        <f t="shared" ref="CP62:CP65" si="63">BN62</f>
        <v>1066</v>
      </c>
      <c r="CQ62" s="1">
        <f t="shared" ref="CQ62:CQ65" si="64">BR62</f>
        <v>864</v>
      </c>
      <c r="CS62" s="50"/>
      <c r="CT62" s="50"/>
      <c r="CU62" s="50"/>
      <c r="CV62" s="50"/>
      <c r="CW62" s="50"/>
      <c r="CX62" s="50"/>
      <c r="CY62" s="50"/>
      <c r="CZ62" s="52" t="s">
        <v>179</v>
      </c>
      <c r="DA62" s="53">
        <f>+DA59+(DA60*DA61)</f>
        <v>0.14676069964472926</v>
      </c>
      <c r="DB62" s="50"/>
    </row>
    <row r="63" spans="2:106" ht="15" customHeight="1">
      <c r="B63" s="1" t="s">
        <v>274</v>
      </c>
      <c r="BB63" s="1">
        <v>381</v>
      </c>
      <c r="BC63" s="1">
        <v>373</v>
      </c>
      <c r="BD63" s="1">
        <v>344</v>
      </c>
      <c r="BE63" s="1">
        <v>367</v>
      </c>
      <c r="BF63" s="1">
        <v>384</v>
      </c>
      <c r="BG63" s="1">
        <v>341</v>
      </c>
      <c r="BH63" s="1">
        <v>363</v>
      </c>
      <c r="BI63" s="1">
        <v>361</v>
      </c>
      <c r="BJ63" s="1">
        <v>459</v>
      </c>
      <c r="BK63" s="1">
        <v>462</v>
      </c>
      <c r="BL63" s="1">
        <v>478</v>
      </c>
      <c r="BM63" s="1">
        <v>514</v>
      </c>
      <c r="BN63" s="1">
        <v>517</v>
      </c>
      <c r="BO63" s="1">
        <v>533</v>
      </c>
      <c r="BP63" s="1">
        <v>552</v>
      </c>
      <c r="BQ63" s="1">
        <v>550</v>
      </c>
      <c r="BR63" s="1">
        <v>596</v>
      </c>
      <c r="CM63" s="1">
        <f t="shared" si="60"/>
        <v>381</v>
      </c>
      <c r="CN63" s="1">
        <f t="shared" si="61"/>
        <v>384</v>
      </c>
      <c r="CO63" s="1">
        <f t="shared" si="62"/>
        <v>459</v>
      </c>
      <c r="CP63" s="1">
        <f t="shared" si="63"/>
        <v>517</v>
      </c>
      <c r="CQ63" s="1">
        <f t="shared" si="64"/>
        <v>596</v>
      </c>
      <c r="CS63" s="50"/>
      <c r="CT63" s="50"/>
      <c r="CU63" s="50"/>
      <c r="CV63" s="50"/>
      <c r="CW63" s="50"/>
      <c r="CX63" s="50"/>
      <c r="CY63" s="50"/>
      <c r="CZ63" s="52"/>
      <c r="DA63" s="50"/>
      <c r="DB63" s="50"/>
    </row>
    <row r="64" spans="2:106" ht="15" customHeight="1">
      <c r="B64" s="1" t="s">
        <v>275</v>
      </c>
      <c r="BB64" s="1">
        <f>1364+287</f>
        <v>1651</v>
      </c>
      <c r="BC64" s="1">
        <f>1370+297</f>
        <v>1667</v>
      </c>
      <c r="BD64" s="1">
        <f>1273+300</f>
        <v>1573</v>
      </c>
      <c r="BE64" s="1">
        <f>1201+313</f>
        <v>1514</v>
      </c>
      <c r="BF64" s="1">
        <f>1056+374</f>
        <v>1430</v>
      </c>
      <c r="BG64" s="1">
        <f>1058+390</f>
        <v>1448</v>
      </c>
      <c r="BH64" s="1">
        <f>1053+410</f>
        <v>1463</v>
      </c>
      <c r="BI64" s="1">
        <f>1002+423</f>
        <v>1425</v>
      </c>
      <c r="BJ64" s="1">
        <f>157+362</f>
        <v>519</v>
      </c>
      <c r="BK64" s="1">
        <f>162+361</f>
        <v>523</v>
      </c>
      <c r="BL64" s="1">
        <f>172+377</f>
        <v>549</v>
      </c>
      <c r="BM64" s="1">
        <f>168+388</f>
        <v>556</v>
      </c>
      <c r="BN64" s="1">
        <v>575</v>
      </c>
      <c r="BO64" s="1">
        <v>570</v>
      </c>
      <c r="BP64" s="1">
        <v>590</v>
      </c>
      <c r="BQ64" s="1">
        <v>616</v>
      </c>
      <c r="BR64" s="1">
        <v>809</v>
      </c>
      <c r="CM64" s="1">
        <f t="shared" si="60"/>
        <v>1651</v>
      </c>
      <c r="CN64" s="1">
        <f t="shared" si="61"/>
        <v>1430</v>
      </c>
      <c r="CO64" s="1">
        <f t="shared" si="62"/>
        <v>519</v>
      </c>
      <c r="CP64" s="1">
        <f t="shared" si="63"/>
        <v>575</v>
      </c>
      <c r="CQ64" s="1">
        <f t="shared" si="64"/>
        <v>809</v>
      </c>
      <c r="CS64" s="50"/>
      <c r="CT64" s="50"/>
      <c r="CU64" s="50"/>
      <c r="CV64" s="50"/>
      <c r="CW64" s="50"/>
      <c r="CX64" s="50"/>
      <c r="CY64" s="50"/>
      <c r="CZ64" s="52" t="s">
        <v>180</v>
      </c>
      <c r="DA64" s="55">
        <f>NPV(DA62,CQ50:EN50)</f>
        <v>0.20007782010220568</v>
      </c>
      <c r="DB64" s="50"/>
    </row>
    <row r="65" spans="2:156" s="2" customFormat="1" ht="15" customHeight="1">
      <c r="B65" s="2" t="s">
        <v>290</v>
      </c>
      <c r="BB65" s="2">
        <f>SUM(BB55:BB64)</f>
        <v>10704</v>
      </c>
      <c r="BC65" s="2">
        <f>SUM(BC55:BC64)</f>
        <v>10740</v>
      </c>
      <c r="BD65" s="2">
        <f>SUM(BD55:BD64)</f>
        <v>10716</v>
      </c>
      <c r="BE65" s="2">
        <f>SUM(BE55:BE64)</f>
        <v>10800</v>
      </c>
      <c r="BF65" s="2">
        <f>SUM(BF55:BF64)</f>
        <v>10759</v>
      </c>
      <c r="BG65" s="2">
        <f>SUM(BG55:BG64)</f>
        <v>11150</v>
      </c>
      <c r="BH65" s="2">
        <f>SUM(BH55:BH64)</f>
        <v>11469</v>
      </c>
      <c r="BI65" s="2">
        <f>SUM(BI55:BI64)</f>
        <v>11743</v>
      </c>
      <c r="BJ65" s="2">
        <f>SUM(BJ55:BJ64)</f>
        <v>11304</v>
      </c>
      <c r="BK65" s="2">
        <f>SUM(BK55:BK64)</f>
        <v>11333</v>
      </c>
      <c r="BL65" s="2">
        <f>SUM(BL55:BL64)</f>
        <v>11367</v>
      </c>
      <c r="BM65" s="2">
        <f>SUM(BM55:BM64)</f>
        <v>11189</v>
      </c>
      <c r="BN65" s="2">
        <f>SUM(BN55:BN64)</f>
        <v>11232</v>
      </c>
      <c r="BO65" s="2">
        <f>SUM(BO55:BO64)</f>
        <v>10944</v>
      </c>
      <c r="BP65" s="2">
        <f>SUM(BP55:BP64)</f>
        <v>10993</v>
      </c>
      <c r="BQ65" s="2">
        <f>SUM(BQ55:BQ64)</f>
        <v>11193</v>
      </c>
      <c r="BR65" s="2">
        <f>SUM(BR55:BR64)</f>
        <v>11219</v>
      </c>
      <c r="BS65" s="34"/>
      <c r="BT65" s="34"/>
      <c r="BU65" s="34"/>
      <c r="BV65" s="34"/>
      <c r="CM65" s="2">
        <f t="shared" si="60"/>
        <v>10704</v>
      </c>
      <c r="CN65" s="2">
        <f t="shared" si="61"/>
        <v>10759</v>
      </c>
      <c r="CO65" s="2">
        <f t="shared" si="62"/>
        <v>11304</v>
      </c>
      <c r="CP65" s="2">
        <f t="shared" si="63"/>
        <v>11232</v>
      </c>
      <c r="CQ65" s="2">
        <f t="shared" si="64"/>
        <v>11219</v>
      </c>
      <c r="CR65" s="34"/>
      <c r="CS65" s="50"/>
      <c r="CT65" s="50"/>
      <c r="CU65" s="50"/>
      <c r="CV65" s="50"/>
      <c r="CW65" s="50"/>
      <c r="CX65" s="50"/>
      <c r="CY65" s="50"/>
      <c r="CZ65" s="52" t="s">
        <v>139</v>
      </c>
      <c r="DA65" s="55">
        <f>Main!C4</f>
        <v>112.273</v>
      </c>
      <c r="DB65" s="57" t="s">
        <v>181</v>
      </c>
      <c r="DC65" s="35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</row>
    <row r="66" spans="2:156" ht="15" customHeight="1">
      <c r="CS66" s="50"/>
      <c r="CT66" s="50"/>
      <c r="CU66" s="50"/>
      <c r="CV66" s="50"/>
      <c r="CW66" s="50"/>
      <c r="CX66" s="50"/>
      <c r="CY66" s="50"/>
      <c r="CZ66" s="52" t="s">
        <v>182</v>
      </c>
      <c r="DA66" s="58">
        <f>DA64/DA65</f>
        <v>1.7820653238285757E-3</v>
      </c>
      <c r="DB66" s="49"/>
    </row>
    <row r="67" spans="2:156" ht="15" customHeight="1">
      <c r="B67" s="1" t="s">
        <v>276</v>
      </c>
      <c r="BB67" s="1">
        <v>510</v>
      </c>
      <c r="BD67" s="1">
        <v>641</v>
      </c>
      <c r="BE67" s="1">
        <v>602</v>
      </c>
      <c r="BF67" s="1">
        <v>359</v>
      </c>
      <c r="BG67" s="1">
        <v>548</v>
      </c>
      <c r="BH67" s="1">
        <v>514</v>
      </c>
      <c r="BI67" s="1">
        <v>279</v>
      </c>
      <c r="BJ67" s="1">
        <v>95</v>
      </c>
      <c r="BK67" s="1">
        <v>501</v>
      </c>
      <c r="BL67" s="1">
        <v>777</v>
      </c>
      <c r="BM67" s="1">
        <v>817</v>
      </c>
      <c r="BN67" s="1">
        <v>771</v>
      </c>
      <c r="BO67" s="1">
        <v>743</v>
      </c>
      <c r="BP67" s="1">
        <v>1110</v>
      </c>
      <c r="BQ67" s="1">
        <v>846</v>
      </c>
      <c r="BR67" s="1">
        <v>608</v>
      </c>
      <c r="CM67" s="1">
        <f t="shared" ref="CM67:CM80" si="65">BB67</f>
        <v>510</v>
      </c>
      <c r="CN67" s="1">
        <f t="shared" ref="CN67:CN80" si="66">BF67</f>
        <v>359</v>
      </c>
      <c r="CO67" s="1">
        <f t="shared" ref="CO67:CO80" si="67">BJ67</f>
        <v>95</v>
      </c>
      <c r="CP67" s="1">
        <f t="shared" ref="CP67:CP80" si="68">BN67</f>
        <v>771</v>
      </c>
      <c r="CQ67" s="1">
        <f t="shared" ref="CQ67:CQ80" si="69">BR67</f>
        <v>608</v>
      </c>
      <c r="CS67" s="50"/>
      <c r="CT67" s="50"/>
      <c r="CU67" s="50"/>
      <c r="CV67" s="50"/>
      <c r="CW67" s="50"/>
      <c r="CX67" s="50"/>
      <c r="CY67" s="50"/>
      <c r="CZ67" s="52" t="s">
        <v>183</v>
      </c>
      <c r="DA67" s="58">
        <f>Main!C3</f>
        <v>396.92</v>
      </c>
      <c r="DB67" s="59"/>
    </row>
    <row r="68" spans="2:156" ht="15" customHeight="1">
      <c r="B68" s="1" t="s">
        <v>277</v>
      </c>
      <c r="BB68" s="1">
        <v>7</v>
      </c>
      <c r="BD68" s="1">
        <v>0</v>
      </c>
      <c r="BE68" s="1">
        <v>0</v>
      </c>
      <c r="BF68" s="1">
        <v>609</v>
      </c>
      <c r="BG68" s="1">
        <v>609</v>
      </c>
      <c r="BH68" s="1">
        <v>609</v>
      </c>
      <c r="BI68" s="1">
        <v>608</v>
      </c>
      <c r="BJ68" s="1">
        <v>9</v>
      </c>
      <c r="BK68" s="1">
        <v>10</v>
      </c>
      <c r="BL68" s="1">
        <v>309</v>
      </c>
      <c r="BM68" s="1">
        <v>308</v>
      </c>
      <c r="BN68" s="1">
        <v>307</v>
      </c>
      <c r="BO68" s="1">
        <v>306</v>
      </c>
      <c r="BP68" s="1">
        <v>4</v>
      </c>
      <c r="BQ68" s="1">
        <v>2</v>
      </c>
      <c r="BR68" s="1">
        <v>2</v>
      </c>
      <c r="CM68" s="1">
        <f t="shared" si="65"/>
        <v>7</v>
      </c>
      <c r="CN68" s="1">
        <f t="shared" si="66"/>
        <v>609</v>
      </c>
      <c r="CO68" s="1">
        <f t="shared" si="67"/>
        <v>9</v>
      </c>
      <c r="CP68" s="1">
        <f t="shared" si="68"/>
        <v>307</v>
      </c>
      <c r="CQ68" s="1">
        <f t="shared" si="69"/>
        <v>2</v>
      </c>
      <c r="CS68" s="50"/>
      <c r="CT68" s="50"/>
      <c r="CU68" s="50"/>
      <c r="CV68" s="50"/>
      <c r="CW68" s="50"/>
      <c r="CX68" s="50"/>
      <c r="CY68" s="50"/>
      <c r="CZ68" s="52" t="s">
        <v>184</v>
      </c>
      <c r="DA68" s="53">
        <f>DA66/DA67-1</f>
        <v>-0.99999551026573663</v>
      </c>
      <c r="DB68" s="60" t="str">
        <f>IF(DA68&gt;0,"Upside","Downside")</f>
        <v>Downside</v>
      </c>
    </row>
    <row r="69" spans="2:156" ht="15" customHeight="1">
      <c r="B69" s="1" t="s">
        <v>278</v>
      </c>
      <c r="BB69" s="1">
        <v>890</v>
      </c>
      <c r="BD69" s="1">
        <v>932</v>
      </c>
      <c r="BE69" s="1">
        <v>989</v>
      </c>
      <c r="BF69" s="1">
        <v>1028</v>
      </c>
      <c r="BG69" s="1">
        <v>1035</v>
      </c>
      <c r="BH69" s="1">
        <v>992</v>
      </c>
      <c r="BI69" s="1">
        <v>1009</v>
      </c>
      <c r="BJ69" s="1">
        <v>1150</v>
      </c>
      <c r="BK69" s="1">
        <v>935</v>
      </c>
      <c r="BL69" s="1">
        <v>903</v>
      </c>
      <c r="BM69" s="1">
        <v>844</v>
      </c>
      <c r="BN69" s="1">
        <v>860</v>
      </c>
      <c r="BO69" s="1">
        <v>789</v>
      </c>
      <c r="BP69" s="1">
        <v>766</v>
      </c>
      <c r="BQ69" s="1">
        <v>840</v>
      </c>
      <c r="BR69" s="1">
        <v>930</v>
      </c>
      <c r="CM69" s="1">
        <f t="shared" si="65"/>
        <v>890</v>
      </c>
      <c r="CN69" s="1">
        <f t="shared" si="66"/>
        <v>1028</v>
      </c>
      <c r="CO69" s="1">
        <f t="shared" si="67"/>
        <v>1150</v>
      </c>
      <c r="CP69" s="1">
        <f t="shared" si="68"/>
        <v>860</v>
      </c>
      <c r="CQ69" s="1">
        <f t="shared" si="69"/>
        <v>930</v>
      </c>
      <c r="CZ69" s="65" t="str" cm="1">
        <f t="array" ref="CZ69">_xlfn.IFS(DA68&gt;=25%,"Strong Buy",DA68&gt;=10.00001%,"Buy",AND(DA68&lt;=10%,DA68&gt;=-4.9999%),"Hold",AND(DA68&lt;=-5%,DA68&gt;=-14.999999%),"Sell",DA68&lt;=-15%,"Strong Sell")</f>
        <v>Strong Sell</v>
      </c>
      <c r="DA69" s="65"/>
    </row>
    <row r="70" spans="2:156" ht="15" customHeight="1">
      <c r="B70" s="1" t="s">
        <v>279</v>
      </c>
      <c r="BB70" s="1">
        <v>408</v>
      </c>
      <c r="BD70" s="1">
        <v>261</v>
      </c>
      <c r="BE70" s="1">
        <v>284</v>
      </c>
      <c r="BF70" s="1">
        <v>293</v>
      </c>
      <c r="BG70" s="1">
        <v>261</v>
      </c>
      <c r="BH70" s="1">
        <v>321</v>
      </c>
      <c r="BI70" s="1">
        <v>366</v>
      </c>
      <c r="BJ70" s="1">
        <v>500</v>
      </c>
      <c r="BK70" s="1">
        <v>270</v>
      </c>
      <c r="BL70" s="1">
        <v>228</v>
      </c>
      <c r="BM70" s="1">
        <v>214</v>
      </c>
      <c r="BN70" s="1">
        <v>259</v>
      </c>
      <c r="BO70" s="1">
        <v>239</v>
      </c>
      <c r="BP70" s="1">
        <v>285</v>
      </c>
      <c r="BQ70" s="1">
        <v>349</v>
      </c>
      <c r="BR70" s="1">
        <v>432</v>
      </c>
      <c r="CM70" s="1">
        <f t="shared" si="65"/>
        <v>408</v>
      </c>
      <c r="CN70" s="1">
        <f t="shared" si="66"/>
        <v>293</v>
      </c>
      <c r="CO70" s="1">
        <f t="shared" si="67"/>
        <v>500</v>
      </c>
      <c r="CP70" s="1">
        <f t="shared" si="68"/>
        <v>259</v>
      </c>
      <c r="CQ70" s="1">
        <f t="shared" si="69"/>
        <v>432</v>
      </c>
    </row>
    <row r="71" spans="2:156" ht="13.5" customHeight="1">
      <c r="B71" s="1" t="s">
        <v>280</v>
      </c>
      <c r="BB71" s="1">
        <v>463</v>
      </c>
      <c r="BD71" s="1">
        <v>541</v>
      </c>
      <c r="BE71" s="1">
        <v>549</v>
      </c>
      <c r="BF71" s="1">
        <v>507</v>
      </c>
      <c r="BG71" s="1">
        <v>542</v>
      </c>
      <c r="BH71" s="1">
        <v>581</v>
      </c>
      <c r="BI71" s="1">
        <v>621</v>
      </c>
      <c r="BJ71" s="1">
        <v>593</v>
      </c>
      <c r="BK71" s="1">
        <v>595</v>
      </c>
      <c r="BL71" s="1">
        <v>610</v>
      </c>
      <c r="BM71" s="1">
        <v>609</v>
      </c>
      <c r="BN71" s="1">
        <v>584</v>
      </c>
      <c r="BO71" s="1">
        <v>608</v>
      </c>
      <c r="BP71" s="1">
        <v>649</v>
      </c>
      <c r="BQ71" s="1">
        <v>648</v>
      </c>
      <c r="BR71" s="1">
        <v>621</v>
      </c>
      <c r="CM71" s="1">
        <f t="shared" si="65"/>
        <v>463</v>
      </c>
      <c r="CN71" s="1">
        <f t="shared" si="66"/>
        <v>507</v>
      </c>
      <c r="CO71" s="1">
        <f t="shared" si="67"/>
        <v>593</v>
      </c>
      <c r="CP71" s="1">
        <f t="shared" si="68"/>
        <v>584</v>
      </c>
      <c r="CQ71" s="1">
        <f t="shared" si="69"/>
        <v>621</v>
      </c>
    </row>
    <row r="72" spans="2:156" ht="13.5" customHeight="1">
      <c r="B72" s="1" t="s">
        <v>281</v>
      </c>
      <c r="BB72" s="1">
        <v>238</v>
      </c>
      <c r="BD72" s="1">
        <v>285</v>
      </c>
      <c r="BE72" s="1">
        <v>340</v>
      </c>
      <c r="BF72" s="1">
        <v>373</v>
      </c>
      <c r="BG72" s="1">
        <v>345</v>
      </c>
      <c r="BH72" s="1">
        <v>371</v>
      </c>
      <c r="BI72" s="1">
        <v>462</v>
      </c>
      <c r="BJ72" s="1">
        <v>452</v>
      </c>
      <c r="BK72" s="1">
        <v>391</v>
      </c>
      <c r="BL72" s="1">
        <v>428</v>
      </c>
      <c r="BM72" s="1">
        <v>379</v>
      </c>
      <c r="BN72" s="1">
        <v>347</v>
      </c>
      <c r="BO72" s="1">
        <v>335</v>
      </c>
      <c r="BP72" s="1">
        <v>334</v>
      </c>
      <c r="BQ72" s="1">
        <v>361</v>
      </c>
      <c r="BR72" s="1">
        <v>347</v>
      </c>
      <c r="CM72" s="1">
        <f t="shared" si="65"/>
        <v>238</v>
      </c>
      <c r="CN72" s="1">
        <f t="shared" si="66"/>
        <v>373</v>
      </c>
      <c r="CO72" s="1">
        <f t="shared" si="67"/>
        <v>452</v>
      </c>
      <c r="CP72" s="1">
        <f t="shared" si="68"/>
        <v>347</v>
      </c>
      <c r="CQ72" s="1">
        <f t="shared" si="69"/>
        <v>347</v>
      </c>
    </row>
    <row r="73" spans="2:156" ht="13.5" customHeight="1">
      <c r="B73" s="1" t="s">
        <v>282</v>
      </c>
      <c r="BB73" s="1">
        <v>478</v>
      </c>
      <c r="BD73" s="1">
        <v>368</v>
      </c>
      <c r="BE73" s="1">
        <v>517</v>
      </c>
      <c r="BF73" s="1">
        <v>403</v>
      </c>
      <c r="BG73" s="1">
        <v>408</v>
      </c>
      <c r="BH73" s="1">
        <v>407</v>
      </c>
      <c r="BI73" s="1">
        <v>577</v>
      </c>
      <c r="BJ73" s="1">
        <v>567</v>
      </c>
      <c r="BK73" s="1">
        <v>609</v>
      </c>
      <c r="BL73" s="1">
        <v>448</v>
      </c>
      <c r="BM73" s="1">
        <v>620</v>
      </c>
      <c r="BN73" s="1">
        <v>476</v>
      </c>
      <c r="BO73" s="1">
        <v>456</v>
      </c>
      <c r="BP73" s="1">
        <v>436</v>
      </c>
      <c r="BQ73" s="1">
        <v>644</v>
      </c>
      <c r="BR73" s="1">
        <v>505</v>
      </c>
      <c r="CM73" s="1">
        <f t="shared" si="65"/>
        <v>478</v>
      </c>
      <c r="CN73" s="1">
        <f t="shared" si="66"/>
        <v>403</v>
      </c>
      <c r="CO73" s="1">
        <f t="shared" si="67"/>
        <v>567</v>
      </c>
      <c r="CP73" s="1">
        <f t="shared" si="68"/>
        <v>476</v>
      </c>
      <c r="CQ73" s="1">
        <f t="shared" si="69"/>
        <v>505</v>
      </c>
    </row>
    <row r="74" spans="2:156" ht="13.5" customHeight="1">
      <c r="B74" s="1" t="s">
        <v>283</v>
      </c>
      <c r="BB74" s="1">
        <v>3465</v>
      </c>
      <c r="BD74" s="1">
        <v>3466</v>
      </c>
      <c r="BE74" s="1">
        <v>3464</v>
      </c>
      <c r="BF74" s="1">
        <v>2868</v>
      </c>
      <c r="BG74" s="1">
        <v>2867</v>
      </c>
      <c r="BH74" s="1">
        <v>2868</v>
      </c>
      <c r="BI74" s="1">
        <v>2867</v>
      </c>
      <c r="BJ74" s="1">
        <v>2863</v>
      </c>
      <c r="BK74" s="1">
        <v>2863</v>
      </c>
      <c r="BL74" s="1">
        <v>2585</v>
      </c>
      <c r="BM74" s="1">
        <v>2559</v>
      </c>
      <c r="BN74" s="1">
        <v>2561</v>
      </c>
      <c r="BO74" s="1">
        <v>2564</v>
      </c>
      <c r="BP74" s="1">
        <v>2568</v>
      </c>
      <c r="BQ74" s="1">
        <v>2617</v>
      </c>
      <c r="BR74" s="1">
        <v>2614</v>
      </c>
      <c r="CM74" s="1">
        <f t="shared" si="65"/>
        <v>3465</v>
      </c>
      <c r="CN74" s="1">
        <f t="shared" si="66"/>
        <v>2868</v>
      </c>
      <c r="CO74" s="1">
        <f t="shared" si="67"/>
        <v>2863</v>
      </c>
      <c r="CP74" s="1">
        <f t="shared" si="68"/>
        <v>2561</v>
      </c>
      <c r="CQ74" s="1">
        <f t="shared" si="69"/>
        <v>2614</v>
      </c>
    </row>
    <row r="75" spans="2:156" ht="13.5" customHeight="1">
      <c r="B75" s="1" t="s">
        <v>284</v>
      </c>
      <c r="BB75" s="1">
        <v>721</v>
      </c>
      <c r="BD75" s="1">
        <v>496</v>
      </c>
      <c r="BE75" s="1">
        <v>583</v>
      </c>
      <c r="BF75" s="1">
        <v>471</v>
      </c>
      <c r="BG75" s="1">
        <v>474</v>
      </c>
      <c r="BH75" s="1">
        <v>564</v>
      </c>
      <c r="BI75" s="1">
        <v>517</v>
      </c>
      <c r="BJ75" s="1">
        <v>504</v>
      </c>
      <c r="BK75" s="1">
        <v>513</v>
      </c>
      <c r="BL75" s="1">
        <v>513</v>
      </c>
      <c r="BM75" s="1">
        <v>512</v>
      </c>
      <c r="BN75" s="1">
        <v>549</v>
      </c>
      <c r="BO75" s="1">
        <v>542</v>
      </c>
      <c r="BP75" s="1">
        <v>545</v>
      </c>
      <c r="BQ75" s="1">
        <v>558</v>
      </c>
      <c r="BR75" s="1">
        <v>406</v>
      </c>
      <c r="CM75" s="1">
        <f t="shared" si="65"/>
        <v>721</v>
      </c>
      <c r="CN75" s="1">
        <f t="shared" si="66"/>
        <v>471</v>
      </c>
      <c r="CO75" s="1">
        <f t="shared" si="67"/>
        <v>504</v>
      </c>
      <c r="CP75" s="1">
        <f t="shared" si="68"/>
        <v>549</v>
      </c>
      <c r="CQ75" s="1">
        <f t="shared" si="69"/>
        <v>406</v>
      </c>
    </row>
    <row r="76" spans="2:156" ht="13.5" customHeight="1">
      <c r="B76" s="1" t="s">
        <v>285</v>
      </c>
      <c r="BB76" s="1">
        <v>314</v>
      </c>
      <c r="BD76" s="1">
        <v>288</v>
      </c>
      <c r="BE76" s="1">
        <v>280</v>
      </c>
      <c r="BF76" s="1">
        <v>264</v>
      </c>
      <c r="BG76" s="1">
        <v>260</v>
      </c>
      <c r="BH76" s="1">
        <v>255</v>
      </c>
      <c r="BI76" s="1">
        <v>257</v>
      </c>
      <c r="BJ76" s="1">
        <v>285</v>
      </c>
      <c r="BK76" s="1">
        <v>278</v>
      </c>
      <c r="BL76" s="1">
        <v>333</v>
      </c>
      <c r="BM76" s="1">
        <v>333</v>
      </c>
      <c r="BN76" s="1">
        <v>356</v>
      </c>
      <c r="BO76" s="1">
        <v>326</v>
      </c>
      <c r="BP76" s="1">
        <v>321</v>
      </c>
      <c r="BQ76" s="1">
        <v>318</v>
      </c>
      <c r="BR76" s="1">
        <v>329</v>
      </c>
      <c r="CM76" s="1">
        <f t="shared" si="65"/>
        <v>314</v>
      </c>
      <c r="CN76" s="1">
        <f t="shared" si="66"/>
        <v>264</v>
      </c>
      <c r="CO76" s="1">
        <f t="shared" si="67"/>
        <v>285</v>
      </c>
      <c r="CP76" s="1">
        <f t="shared" si="68"/>
        <v>356</v>
      </c>
      <c r="CQ76" s="1">
        <f t="shared" si="69"/>
        <v>329</v>
      </c>
    </row>
    <row r="77" spans="2:156" ht="13.5" customHeight="1">
      <c r="B77" s="1" t="s">
        <v>286</v>
      </c>
      <c r="BB77" s="1">
        <v>517</v>
      </c>
      <c r="BD77" s="1">
        <v>508</v>
      </c>
      <c r="BE77" s="1">
        <v>506</v>
      </c>
      <c r="BF77" s="1">
        <v>567</v>
      </c>
      <c r="BG77" s="1">
        <v>601</v>
      </c>
      <c r="BH77" s="1">
        <v>552</v>
      </c>
      <c r="BI77" s="1">
        <v>558</v>
      </c>
      <c r="BJ77" s="1">
        <v>544</v>
      </c>
      <c r="BK77" s="1">
        <v>581</v>
      </c>
      <c r="BL77" s="1">
        <v>512</v>
      </c>
      <c r="BM77" s="1">
        <v>491</v>
      </c>
      <c r="BN77" s="1">
        <v>487</v>
      </c>
      <c r="BO77" s="1">
        <v>480</v>
      </c>
      <c r="BP77" s="1">
        <v>370</v>
      </c>
      <c r="BQ77" s="1">
        <v>382</v>
      </c>
      <c r="BR77" s="1">
        <v>714</v>
      </c>
      <c r="CM77" s="1">
        <f t="shared" si="65"/>
        <v>517</v>
      </c>
      <c r="CN77" s="1">
        <f t="shared" si="66"/>
        <v>567</v>
      </c>
      <c r="CO77" s="1">
        <f t="shared" si="67"/>
        <v>544</v>
      </c>
      <c r="CP77" s="1">
        <f t="shared" si="68"/>
        <v>487</v>
      </c>
      <c r="CQ77" s="1">
        <f t="shared" si="69"/>
        <v>714</v>
      </c>
    </row>
    <row r="78" spans="2:156" s="2" customFormat="1" ht="13.5" customHeight="1">
      <c r="B78" s="2" t="s">
        <v>287</v>
      </c>
      <c r="BB78" s="2">
        <f t="shared" ref="BB78:BQ78" si="70">SUM(BB67:BB77)</f>
        <v>8011</v>
      </c>
      <c r="BC78" s="2">
        <f t="shared" si="70"/>
        <v>0</v>
      </c>
      <c r="BD78" s="2">
        <f t="shared" si="70"/>
        <v>7786</v>
      </c>
      <c r="BE78" s="2">
        <f t="shared" si="70"/>
        <v>8114</v>
      </c>
      <c r="BF78" s="2">
        <f t="shared" si="70"/>
        <v>7742</v>
      </c>
      <c r="BG78" s="2">
        <f t="shared" si="70"/>
        <v>7950</v>
      </c>
      <c r="BH78" s="2">
        <f t="shared" si="70"/>
        <v>8034</v>
      </c>
      <c r="BI78" s="2">
        <f t="shared" si="70"/>
        <v>8121</v>
      </c>
      <c r="BJ78" s="2">
        <f t="shared" si="70"/>
        <v>7562</v>
      </c>
      <c r="BK78" s="2">
        <f t="shared" si="70"/>
        <v>7546</v>
      </c>
      <c r="BL78" s="2">
        <f t="shared" si="70"/>
        <v>7646</v>
      </c>
      <c r="BM78" s="2">
        <f t="shared" si="70"/>
        <v>7686</v>
      </c>
      <c r="BN78" s="2">
        <f t="shared" si="70"/>
        <v>7557</v>
      </c>
      <c r="BO78" s="2">
        <f t="shared" si="70"/>
        <v>7388</v>
      </c>
      <c r="BP78" s="2">
        <f t="shared" si="70"/>
        <v>7388</v>
      </c>
      <c r="BQ78" s="2">
        <f t="shared" si="70"/>
        <v>7565</v>
      </c>
      <c r="BR78" s="2">
        <f>SUM(BR67:BR77)</f>
        <v>7508</v>
      </c>
      <c r="BS78" s="34"/>
      <c r="BT78" s="34"/>
      <c r="BU78" s="34"/>
      <c r="BV78" s="34"/>
      <c r="CM78" s="2">
        <f t="shared" si="65"/>
        <v>8011</v>
      </c>
      <c r="CN78" s="2">
        <f t="shared" si="66"/>
        <v>7742</v>
      </c>
      <c r="CO78" s="2">
        <f t="shared" si="67"/>
        <v>7562</v>
      </c>
      <c r="CP78" s="2">
        <f t="shared" si="68"/>
        <v>7557</v>
      </c>
      <c r="CQ78" s="2">
        <f t="shared" si="69"/>
        <v>7508</v>
      </c>
      <c r="CR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34"/>
      <c r="EO78" s="34"/>
      <c r="EP78" s="34"/>
      <c r="EQ78" s="34"/>
      <c r="ER78" s="34"/>
      <c r="ES78" s="34"/>
      <c r="ET78" s="34"/>
      <c r="EU78" s="34"/>
      <c r="EV78" s="34"/>
      <c r="EW78" s="34"/>
      <c r="EX78" s="34"/>
      <c r="EY78" s="34"/>
      <c r="EZ78" s="34"/>
    </row>
    <row r="79" spans="2:156" ht="13.5" customHeight="1">
      <c r="B79" s="1" t="s">
        <v>288</v>
      </c>
      <c r="BB79" s="1">
        <v>2693</v>
      </c>
      <c r="BD79" s="1">
        <v>2930</v>
      </c>
      <c r="BE79" s="1">
        <v>2686</v>
      </c>
      <c r="BF79" s="1">
        <v>3017</v>
      </c>
      <c r="BG79" s="1">
        <v>3200</v>
      </c>
      <c r="BH79" s="1">
        <v>3435</v>
      </c>
      <c r="BI79" s="1">
        <v>3622</v>
      </c>
      <c r="BJ79" s="1">
        <v>3742</v>
      </c>
      <c r="BK79" s="1">
        <v>3787</v>
      </c>
      <c r="BL79" s="1">
        <v>3721</v>
      </c>
      <c r="BM79" s="1">
        <v>3503</v>
      </c>
      <c r="BN79" s="1">
        <v>3675</v>
      </c>
      <c r="BO79" s="1">
        <v>3556</v>
      </c>
      <c r="BP79" s="1">
        <v>3605</v>
      </c>
      <c r="BQ79" s="1">
        <v>3628</v>
      </c>
      <c r="BR79" s="1">
        <v>3711</v>
      </c>
      <c r="CM79" s="1">
        <f t="shared" si="65"/>
        <v>2693</v>
      </c>
      <c r="CN79" s="1">
        <f t="shared" si="66"/>
        <v>3017</v>
      </c>
      <c r="CO79" s="1">
        <f t="shared" si="67"/>
        <v>3742</v>
      </c>
      <c r="CP79" s="1">
        <f t="shared" si="68"/>
        <v>3675</v>
      </c>
      <c r="CQ79" s="1">
        <f t="shared" si="69"/>
        <v>3711</v>
      </c>
    </row>
    <row r="80" spans="2:156" s="2" customFormat="1" ht="15">
      <c r="B80" s="2" t="s">
        <v>289</v>
      </c>
      <c r="BB80" s="2">
        <f t="shared" ref="BB80:BQ80" si="71">BB78+BB79</f>
        <v>10704</v>
      </c>
      <c r="BC80" s="2">
        <f t="shared" si="71"/>
        <v>0</v>
      </c>
      <c r="BD80" s="2">
        <f t="shared" si="71"/>
        <v>10716</v>
      </c>
      <c r="BE80" s="2">
        <f t="shared" si="71"/>
        <v>10800</v>
      </c>
      <c r="BF80" s="2">
        <f t="shared" si="71"/>
        <v>10759</v>
      </c>
      <c r="BG80" s="2">
        <f t="shared" si="71"/>
        <v>11150</v>
      </c>
      <c r="BH80" s="2">
        <f t="shared" si="71"/>
        <v>11469</v>
      </c>
      <c r="BI80" s="2">
        <f t="shared" si="71"/>
        <v>11743</v>
      </c>
      <c r="BJ80" s="2">
        <f t="shared" si="71"/>
        <v>11304</v>
      </c>
      <c r="BK80" s="2">
        <f t="shared" si="71"/>
        <v>11333</v>
      </c>
      <c r="BL80" s="2">
        <f t="shared" si="71"/>
        <v>11367</v>
      </c>
      <c r="BM80" s="2">
        <f t="shared" si="71"/>
        <v>11189</v>
      </c>
      <c r="BN80" s="2">
        <f t="shared" si="71"/>
        <v>11232</v>
      </c>
      <c r="BO80" s="2">
        <f t="shared" si="71"/>
        <v>10944</v>
      </c>
      <c r="BP80" s="2">
        <f t="shared" si="71"/>
        <v>10993</v>
      </c>
      <c r="BQ80" s="2">
        <f t="shared" si="71"/>
        <v>11193</v>
      </c>
      <c r="BR80" s="2">
        <f>BR78+BR79</f>
        <v>11219</v>
      </c>
      <c r="BS80" s="34"/>
      <c r="BT80" s="34"/>
      <c r="BU80" s="34"/>
      <c r="BV80" s="34"/>
      <c r="CM80" s="2">
        <f t="shared" si="65"/>
        <v>10704</v>
      </c>
      <c r="CN80" s="2">
        <f t="shared" si="66"/>
        <v>10759</v>
      </c>
      <c r="CO80" s="2">
        <f t="shared" si="67"/>
        <v>11304</v>
      </c>
      <c r="CP80" s="2">
        <f t="shared" si="68"/>
        <v>11232</v>
      </c>
      <c r="CQ80" s="2">
        <f t="shared" si="69"/>
        <v>11219</v>
      </c>
      <c r="CR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</row>
    <row r="82" spans="2:156">
      <c r="B82" s="1" t="s">
        <v>128</v>
      </c>
    </row>
    <row r="83" spans="2:156">
      <c r="B83" s="1" t="s">
        <v>129</v>
      </c>
    </row>
    <row r="84" spans="2:156">
      <c r="B84" s="1" t="s">
        <v>130</v>
      </c>
    </row>
    <row r="85" spans="2:156">
      <c r="B85" s="1" t="s">
        <v>131</v>
      </c>
    </row>
    <row r="86" spans="2:156">
      <c r="B86" s="1" t="s">
        <v>132</v>
      </c>
    </row>
    <row r="87" spans="2:156">
      <c r="B87" s="1" t="s">
        <v>133</v>
      </c>
      <c r="CS87" s="50"/>
      <c r="CT87" s="50"/>
      <c r="CU87" s="50"/>
      <c r="CV87" s="50"/>
      <c r="CW87" s="50"/>
      <c r="CX87" s="50"/>
      <c r="CY87" s="50"/>
      <c r="CZ87" s="52"/>
      <c r="DA87" s="53"/>
      <c r="DB87" s="50"/>
    </row>
    <row r="88" spans="2:156">
      <c r="B88" s="1" t="s">
        <v>134</v>
      </c>
      <c r="CS88" s="50"/>
      <c r="CT88" s="50"/>
      <c r="CU88" s="50"/>
      <c r="CV88" s="50"/>
      <c r="CW88" s="50"/>
      <c r="CX88" s="50"/>
      <c r="CY88" s="50"/>
      <c r="CZ88" s="52"/>
      <c r="DA88" s="50"/>
      <c r="DB88" s="50"/>
    </row>
    <row r="89" spans="2:156">
      <c r="CS89" s="50"/>
      <c r="CT89" s="50"/>
      <c r="CU89" s="50"/>
      <c r="CV89" s="50"/>
      <c r="CW89" s="50"/>
      <c r="CX89" s="50"/>
      <c r="CY89" s="50"/>
      <c r="CZ89" s="52"/>
      <c r="DA89" s="55"/>
      <c r="DB89" s="57"/>
    </row>
    <row r="90" spans="2:156">
      <c r="B90" s="1" t="s">
        <v>135</v>
      </c>
      <c r="C90" s="70">
        <f>C45</f>
        <v>77.799999999999955</v>
      </c>
      <c r="D90" s="70">
        <f>D45</f>
        <v>40.599999999999895</v>
      </c>
      <c r="E90" s="70">
        <f>E45</f>
        <v>32.799999999999912</v>
      </c>
      <c r="F90" s="70">
        <f>F45</f>
        <v>28.900000000000059</v>
      </c>
      <c r="G90" s="70">
        <f>G45</f>
        <v>77.799999999999926</v>
      </c>
      <c r="H90" s="70">
        <f>H45</f>
        <v>111.90000000000005</v>
      </c>
      <c r="I90" s="70">
        <f>I45</f>
        <v>119.39999999999995</v>
      </c>
      <c r="J90" s="70">
        <f>J45</f>
        <v>131.30000000000004</v>
      </c>
      <c r="K90" s="70">
        <f>K45</f>
        <v>150.1</v>
      </c>
      <c r="L90" s="70">
        <f>L45</f>
        <v>166.39999999999986</v>
      </c>
      <c r="M90" s="70">
        <f>M45</f>
        <v>178.8000000000001</v>
      </c>
      <c r="N90" s="70">
        <f>N45</f>
        <v>201.7999999999999</v>
      </c>
      <c r="O90" s="70">
        <f>O45</f>
        <v>183.30000000000004</v>
      </c>
      <c r="P90" s="70">
        <f>P45</f>
        <v>167.79999999999993</v>
      </c>
      <c r="Q90" s="70">
        <f>Q45</f>
        <v>190.70000000000013</v>
      </c>
      <c r="R90" s="70">
        <f>R45</f>
        <v>195.20000000000005</v>
      </c>
      <c r="S90" s="70">
        <f>S45</f>
        <v>161.40000000000009</v>
      </c>
      <c r="T90" s="70">
        <f>T45</f>
        <v>175.89999999999998</v>
      </c>
      <c r="U90" s="70">
        <f>U45</f>
        <v>203.7000000000001</v>
      </c>
      <c r="V90" s="70">
        <f>V45</f>
        <v>215.30000000000004</v>
      </c>
      <c r="W90" s="70">
        <f>W45</f>
        <v>198.10000000000008</v>
      </c>
      <c r="X90" s="70">
        <f>X45</f>
        <v>180.29999999999995</v>
      </c>
      <c r="Y90" s="70">
        <f>Y45</f>
        <v>199.7</v>
      </c>
      <c r="Z90" s="70">
        <f>Z45</f>
        <v>248.69999999999987</v>
      </c>
      <c r="AA90" s="70">
        <f>AA45</f>
        <v>214.2000000000001</v>
      </c>
      <c r="AB90" s="70">
        <f>AB45</f>
        <v>205.99999999999994</v>
      </c>
      <c r="AC90" s="70">
        <f>AC45</f>
        <v>206.10000000000008</v>
      </c>
      <c r="AD90" s="70">
        <f>AD45</f>
        <v>201.30000000000004</v>
      </c>
      <c r="AE90" s="70">
        <f>AE45</f>
        <v>185.49999999999994</v>
      </c>
      <c r="AF90" s="70">
        <f>AF45</f>
        <v>167.99999999999991</v>
      </c>
      <c r="AG90" s="70">
        <f>AG45</f>
        <v>190.99999999999994</v>
      </c>
      <c r="AH90" s="70">
        <f>AH45</f>
        <v>185.19999999999987</v>
      </c>
      <c r="AI90" s="70">
        <f>AI45</f>
        <v>214.69999999999996</v>
      </c>
      <c r="AJ90" s="70">
        <f>AJ45</f>
        <v>189.5</v>
      </c>
      <c r="AK90" s="70">
        <f>AK45</f>
        <v>216.90000000000006</v>
      </c>
      <c r="AL90" s="70">
        <f>AL45</f>
        <v>204.59999999999994</v>
      </c>
      <c r="AM90" s="70">
        <f>AM45</f>
        <v>-236.40000000000015</v>
      </c>
      <c r="AN90" s="70">
        <f>AN45</f>
        <v>227.40000000000009</v>
      </c>
      <c r="AO90" s="70">
        <f>AO45</f>
        <v>198.60000000000005</v>
      </c>
      <c r="AP90" s="70">
        <f>AP45</f>
        <v>345.90000000000003</v>
      </c>
      <c r="AQ90" s="70">
        <f>AQ45</f>
        <v>80.800000000000011</v>
      </c>
      <c r="AR90" s="70">
        <f>AR45</f>
        <v>345.6</v>
      </c>
      <c r="AS90" s="70">
        <f>AS45</f>
        <v>261.39999999999998</v>
      </c>
      <c r="AT90" s="70">
        <f>AT45</f>
        <v>13.399999999999892</v>
      </c>
      <c r="AU90" s="70">
        <f>AU45</f>
        <v>315.40000000000003</v>
      </c>
      <c r="AV90" s="70">
        <f>AV45</f>
        <v>129.89999999999992</v>
      </c>
      <c r="AW90" s="70">
        <f>AW45</f>
        <v>314.2</v>
      </c>
      <c r="AX90" s="70">
        <f>AX45</f>
        <v>263.69999999999993</v>
      </c>
      <c r="AY90" s="70">
        <f>AY45</f>
        <v>591.1</v>
      </c>
      <c r="AZ90" s="70">
        <f>AZ45</f>
        <v>410.19999999999993</v>
      </c>
      <c r="BA90" s="70">
        <f>BA45</f>
        <v>269.80000000000007</v>
      </c>
      <c r="BB90" s="70">
        <f>BB45</f>
        <v>73.79999999999994</v>
      </c>
      <c r="BC90" s="70">
        <f>BC45</f>
        <v>238.59999999999994</v>
      </c>
      <c r="BD90" s="70">
        <f>BD45</f>
        <v>50.3</v>
      </c>
      <c r="BE90" s="70">
        <f>BE45</f>
        <v>295.10000000000008</v>
      </c>
      <c r="BF90" s="70">
        <f>BF45</f>
        <v>335.69999999999987</v>
      </c>
      <c r="BG90" s="70">
        <f>BG45</f>
        <v>378.69999999999993</v>
      </c>
      <c r="BH90" s="70">
        <f>BH45</f>
        <v>294.49999999999994</v>
      </c>
      <c r="BI90" s="70">
        <f>BI45</f>
        <v>398.00000000000011</v>
      </c>
      <c r="BJ90" s="70">
        <f>BJ45</f>
        <v>206.79999999999995</v>
      </c>
      <c r="BK90" s="70">
        <f>BK45</f>
        <v>213</v>
      </c>
      <c r="BL90" s="70">
        <f>BL45</f>
        <v>265</v>
      </c>
      <c r="BM90" s="70">
        <f>BM45</f>
        <v>231</v>
      </c>
      <c r="BN90" s="70">
        <f>BN45</f>
        <v>239</v>
      </c>
      <c r="BO90" s="70">
        <f>BO45</f>
        <v>178</v>
      </c>
      <c r="BP90" s="70">
        <f>BP45</f>
        <v>248</v>
      </c>
      <c r="BQ90" s="70">
        <f>BQ45</f>
        <v>293</v>
      </c>
      <c r="BR90" s="70">
        <f>BR45</f>
        <v>30</v>
      </c>
      <c r="CA90" s="70">
        <f>SUM(C90:F90)</f>
        <v>180.09999999999982</v>
      </c>
      <c r="CB90" s="70">
        <f>SUM(G90:J90)</f>
        <v>440.4</v>
      </c>
      <c r="CC90" s="70">
        <f>SUM(K90:N90)</f>
        <v>697.09999999999991</v>
      </c>
      <c r="CD90" s="70">
        <f>SUM(O90:R90)</f>
        <v>737.00000000000011</v>
      </c>
      <c r="CE90" s="70">
        <f>SUM(S90:V90)</f>
        <v>756.3000000000003</v>
      </c>
      <c r="CF90" s="70">
        <f>SUM(W90:Z90)</f>
        <v>826.8</v>
      </c>
      <c r="CG90" s="70">
        <f>SUM(AA90:AD90)</f>
        <v>827.60000000000025</v>
      </c>
      <c r="CH90" s="70">
        <f>SUM(AE90:AH90)</f>
        <v>729.69999999999959</v>
      </c>
      <c r="CI90" s="70">
        <f>SUM(AI90:AL90)</f>
        <v>825.69999999999993</v>
      </c>
      <c r="CJ90" s="70">
        <f>SUM(AM90:AP90)</f>
        <v>535.5</v>
      </c>
      <c r="CK90" s="70">
        <f>SUM(AQ90:AT90)</f>
        <v>701.19999999999982</v>
      </c>
      <c r="CL90" s="70">
        <f>SUM(AU90:AX90)</f>
        <v>1023.1999999999999</v>
      </c>
      <c r="CM90" s="70">
        <f>SUM(AY90:BB90)</f>
        <v>1344.8999999999999</v>
      </c>
      <c r="CN90" s="70">
        <f>SUM(BC90:BF90)</f>
        <v>919.69999999999982</v>
      </c>
      <c r="CO90" s="70">
        <f>SUM(BG90:BJ90)</f>
        <v>1277.9999999999998</v>
      </c>
      <c r="CP90" s="70">
        <f>SUM(BK90:BN90)</f>
        <v>948</v>
      </c>
      <c r="CQ90" s="1">
        <f t="shared" ref="CQ90:CQ95" si="72">SUM(BO90:BR90)</f>
        <v>749</v>
      </c>
      <c r="CS90" s="50"/>
      <c r="CT90" s="50"/>
      <c r="CU90" s="50"/>
      <c r="CV90" s="50"/>
      <c r="CW90" s="50"/>
      <c r="CX90" s="50"/>
      <c r="CY90" s="50"/>
      <c r="CZ90" s="52"/>
      <c r="DA90" s="58"/>
      <c r="DB90" s="49"/>
    </row>
    <row r="91" spans="2:156" s="2" customFormat="1" ht="15">
      <c r="B91" s="2" t="s">
        <v>136</v>
      </c>
      <c r="C91" s="68">
        <v>202</v>
      </c>
      <c r="D91" s="68">
        <v>-282.60000000000002</v>
      </c>
      <c r="E91" s="68">
        <v>199.8</v>
      </c>
      <c r="F91" s="68">
        <v>113</v>
      </c>
      <c r="G91" s="68">
        <v>16</v>
      </c>
      <c r="H91" s="68">
        <v>292.8</v>
      </c>
      <c r="I91" s="68">
        <v>158.6</v>
      </c>
      <c r="J91" s="68">
        <v>100</v>
      </c>
      <c r="K91" s="68">
        <v>-122.5</v>
      </c>
      <c r="L91" s="68">
        <v>-70</v>
      </c>
      <c r="M91" s="68">
        <v>557.29999999999995</v>
      </c>
      <c r="N91" s="68">
        <v>-527.4</v>
      </c>
      <c r="O91" s="68">
        <v>-179.3</v>
      </c>
      <c r="P91" s="68">
        <v>-135.9</v>
      </c>
      <c r="Q91" s="68">
        <v>669.6</v>
      </c>
      <c r="R91" s="68">
        <v>-411.3</v>
      </c>
      <c r="S91" s="68">
        <v>16</v>
      </c>
      <c r="T91" s="68">
        <v>-4.4000000000000004</v>
      </c>
      <c r="U91" s="68">
        <v>672.8</v>
      </c>
      <c r="V91" s="68">
        <v>-378.9</v>
      </c>
      <c r="W91" s="68">
        <v>214.2</v>
      </c>
      <c r="X91" s="68">
        <v>-207.3</v>
      </c>
      <c r="Y91" s="68">
        <v>729.5</v>
      </c>
      <c r="Z91" s="68">
        <v>326.7</v>
      </c>
      <c r="AA91" s="68">
        <v>272.60000000000002</v>
      </c>
      <c r="AB91" s="68">
        <v>-157.4</v>
      </c>
      <c r="AC91" s="68">
        <v>84.2</v>
      </c>
      <c r="AD91" s="68">
        <v>181.7</v>
      </c>
      <c r="AE91" s="68">
        <v>185.5</v>
      </c>
      <c r="AF91" s="68">
        <v>213.8</v>
      </c>
      <c r="AG91" s="68">
        <v>276</v>
      </c>
      <c r="AH91" s="68">
        <v>275.3</v>
      </c>
      <c r="AI91" s="68">
        <v>310.8</v>
      </c>
      <c r="AJ91" s="68">
        <v>301</v>
      </c>
      <c r="AK91" s="68">
        <v>315.3</v>
      </c>
      <c r="AL91" s="68">
        <v>106.9</v>
      </c>
      <c r="AM91" s="68">
        <v>212.7</v>
      </c>
      <c r="AN91" s="68">
        <v>381.4</v>
      </c>
      <c r="AO91" s="68">
        <v>343.1</v>
      </c>
      <c r="AP91" s="68">
        <v>362.8</v>
      </c>
      <c r="AQ91" s="68">
        <v>212</v>
      </c>
      <c r="AR91" s="68">
        <v>143.80000000000001</v>
      </c>
      <c r="AS91" s="68">
        <v>351.2</v>
      </c>
      <c r="AT91" s="68">
        <v>475</v>
      </c>
      <c r="AU91" s="68">
        <v>231.1</v>
      </c>
      <c r="AV91" s="68">
        <v>217.4</v>
      </c>
      <c r="AW91" s="68">
        <v>346.2</v>
      </c>
      <c r="AX91" s="68">
        <v>325.8</v>
      </c>
      <c r="AY91" s="68">
        <v>346.5</v>
      </c>
      <c r="AZ91" s="68">
        <v>248.9</v>
      </c>
      <c r="BA91" s="68">
        <v>461.5</v>
      </c>
      <c r="BB91" s="68">
        <v>204.1</v>
      </c>
      <c r="BC91" s="68">
        <v>-12</v>
      </c>
      <c r="BD91" s="68">
        <v>90.8</v>
      </c>
      <c r="BE91" s="68">
        <v>344.9</v>
      </c>
      <c r="BF91" s="68">
        <v>399.4</v>
      </c>
      <c r="BG91" s="68">
        <v>66.3</v>
      </c>
      <c r="BH91" s="68">
        <v>187.1</v>
      </c>
      <c r="BI91" s="68">
        <v>281.7</v>
      </c>
      <c r="BJ91" s="68">
        <v>839.5</v>
      </c>
      <c r="BK91" s="68">
        <v>33</v>
      </c>
      <c r="BL91" s="68">
        <v>120</v>
      </c>
      <c r="BM91" s="68">
        <v>279</v>
      </c>
      <c r="BN91" s="68">
        <v>432</v>
      </c>
      <c r="BO91" s="68">
        <v>364</v>
      </c>
      <c r="BP91" s="68">
        <v>199</v>
      </c>
      <c r="BQ91" s="68">
        <v>527</v>
      </c>
      <c r="BR91" s="68">
        <v>454</v>
      </c>
      <c r="BS91" s="69"/>
      <c r="BT91" s="69"/>
      <c r="BU91" s="34"/>
      <c r="BV91" s="34"/>
      <c r="CA91" s="68">
        <f>SUM(C91:F91)</f>
        <v>232.2</v>
      </c>
      <c r="CB91" s="68">
        <f>SUM(G91:J91)</f>
        <v>567.4</v>
      </c>
      <c r="CC91" s="68">
        <f>SUM(K91:N91)</f>
        <v>-162.60000000000002</v>
      </c>
      <c r="CD91" s="68">
        <f>SUM(O91:R91)</f>
        <v>-56.900000000000034</v>
      </c>
      <c r="CE91" s="68">
        <f>SUM(S91:V91)</f>
        <v>305.5</v>
      </c>
      <c r="CF91" s="68">
        <f>SUM(W91:Z91)</f>
        <v>1063.0999999999999</v>
      </c>
      <c r="CG91" s="68">
        <f>SUM(AA91:AD91)</f>
        <v>381.1</v>
      </c>
      <c r="CH91" s="68">
        <f>SUM(AE91:AH91)</f>
        <v>950.59999999999991</v>
      </c>
      <c r="CI91" s="68">
        <f>SUM(AI91:AL91)</f>
        <v>1034</v>
      </c>
      <c r="CJ91" s="68">
        <f>SUM(AM91:AP91)</f>
        <v>1300</v>
      </c>
      <c r="CK91" s="68">
        <f>SUM(AQ91:AT91)</f>
        <v>1182</v>
      </c>
      <c r="CL91" s="68">
        <f>SUM(AU91:AX91)</f>
        <v>1120.5</v>
      </c>
      <c r="CM91" s="68">
        <f>SUM(AY91:BB91)</f>
        <v>1261</v>
      </c>
      <c r="CN91" s="68">
        <f>SUM(BC91:BF91)</f>
        <v>823.09999999999991</v>
      </c>
      <c r="CO91" s="68">
        <f>SUM(BG91:BJ91)</f>
        <v>1374.6</v>
      </c>
      <c r="CP91" s="68">
        <f>SUM(BK91:BN91)</f>
        <v>864</v>
      </c>
      <c r="CQ91" s="2">
        <f t="shared" si="72"/>
        <v>1544</v>
      </c>
      <c r="CR91" s="34"/>
      <c r="CS91" s="50"/>
      <c r="CT91" s="50"/>
      <c r="CU91" s="50"/>
      <c r="CV91" s="50"/>
      <c r="CW91" s="50"/>
      <c r="CX91" s="50"/>
      <c r="CY91" s="50"/>
      <c r="CZ91" s="52"/>
      <c r="DA91" s="58"/>
      <c r="DB91" s="59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</row>
    <row r="92" spans="2:156">
      <c r="B92" s="1" t="s">
        <v>137</v>
      </c>
      <c r="C92" s="70">
        <v>-13</v>
      </c>
      <c r="D92" s="70">
        <f>-55-C92</f>
        <v>-42</v>
      </c>
      <c r="E92" s="70">
        <f>-87-SUM(C92:D92)</f>
        <v>-32</v>
      </c>
      <c r="F92" s="70">
        <f>-98-SUM(C92:E92)</f>
        <v>-11</v>
      </c>
      <c r="G92" s="70">
        <v>-13</v>
      </c>
      <c r="H92" s="70">
        <f>-31-G92</f>
        <v>-18</v>
      </c>
      <c r="I92" s="70">
        <f>-54-SUM(G92:H92)</f>
        <v>-23</v>
      </c>
      <c r="J92" s="70">
        <f>-99-SUM(G92:I92)</f>
        <v>-45</v>
      </c>
      <c r="K92" s="70">
        <v>-20</v>
      </c>
      <c r="L92" s="70">
        <f>-43-K92</f>
        <v>-23</v>
      </c>
      <c r="M92" s="70">
        <f>-76-SUM(K92:L92)</f>
        <v>-33</v>
      </c>
      <c r="N92" s="70">
        <f>-120-SUM(K92:M92)</f>
        <v>-44</v>
      </c>
      <c r="O92" s="70">
        <v>-32</v>
      </c>
      <c r="P92" s="70">
        <f>-63-O92</f>
        <v>-31</v>
      </c>
      <c r="Q92" s="70">
        <f>-95-SUM(O92:P92)</f>
        <v>-32</v>
      </c>
      <c r="R92" s="70">
        <f>-140-SUM(O92:Q92)</f>
        <v>-45</v>
      </c>
      <c r="S92" s="70">
        <v>-22</v>
      </c>
      <c r="T92" s="70">
        <f>-55-S92</f>
        <v>-33</v>
      </c>
      <c r="U92" s="70">
        <f>-87-SUM(S92:T92)</f>
        <v>-32</v>
      </c>
      <c r="V92" s="70">
        <f>-146-SUM(S92:U92)</f>
        <v>-59</v>
      </c>
      <c r="W92" s="70">
        <v>-35.6</v>
      </c>
      <c r="X92" s="70">
        <v>-22.7</v>
      </c>
      <c r="Y92" s="70">
        <v>-38.1</v>
      </c>
      <c r="Z92" s="70">
        <v>-44.6</v>
      </c>
      <c r="AA92" s="70">
        <v>-40</v>
      </c>
      <c r="AB92" s="70">
        <v>-18</v>
      </c>
      <c r="AC92" s="70">
        <v>-25.2</v>
      </c>
      <c r="AD92" s="70">
        <v>-39.700000000000003</v>
      </c>
      <c r="AE92" s="70">
        <v>-40.200000000000003</v>
      </c>
      <c r="AF92" s="70">
        <v>-12.4</v>
      </c>
      <c r="AG92" s="70">
        <v>-26.8</v>
      </c>
      <c r="AH92" s="70">
        <v>-37.5</v>
      </c>
      <c r="AI92" s="70">
        <v>-39.4</v>
      </c>
      <c r="AJ92" s="70">
        <v>-28</v>
      </c>
      <c r="AK92" s="70">
        <v>-30.1</v>
      </c>
      <c r="AL92" s="70">
        <v>-44.2</v>
      </c>
      <c r="AM92" s="70">
        <v>-34.1</v>
      </c>
      <c r="AN92" s="70">
        <v>-22.1</v>
      </c>
      <c r="AO92" s="70">
        <v>-22.4</v>
      </c>
      <c r="AP92" s="70">
        <v>-46.9</v>
      </c>
      <c r="AQ92" s="70">
        <v>-42</v>
      </c>
      <c r="AR92" s="70">
        <v>-38.9</v>
      </c>
      <c r="AS92" s="70">
        <v>-27.8</v>
      </c>
      <c r="AT92" s="70">
        <v>-24.1</v>
      </c>
      <c r="AU92" s="70">
        <v>-37</v>
      </c>
      <c r="AV92" s="70">
        <v>-19.600000000000001</v>
      </c>
      <c r="AW92" s="70">
        <v>-35.299999999999997</v>
      </c>
      <c r="AX92" s="70">
        <v>-22</v>
      </c>
      <c r="AY92" s="70">
        <v>-27.1</v>
      </c>
      <c r="AZ92" s="70">
        <v>-25</v>
      </c>
      <c r="BA92" s="70">
        <v>-24.5</v>
      </c>
      <c r="BB92" s="70">
        <v>-43.7</v>
      </c>
      <c r="BC92" s="70">
        <v>-37.1</v>
      </c>
      <c r="BD92" s="70">
        <v>-44.9</v>
      </c>
      <c r="BE92" s="70">
        <v>-18.3</v>
      </c>
      <c r="BF92" s="70">
        <v>-40.799999999999997</v>
      </c>
      <c r="BG92" s="70">
        <v>-24.2</v>
      </c>
      <c r="BH92" s="70">
        <v>-31.5</v>
      </c>
      <c r="BI92" s="70">
        <v>-41.6</v>
      </c>
      <c r="BJ92" s="70">
        <v>-63.2</v>
      </c>
      <c r="BK92" s="70">
        <v>-68</v>
      </c>
      <c r="BL92" s="70">
        <v>-51</v>
      </c>
      <c r="BM92" s="70">
        <v>-41</v>
      </c>
      <c r="BN92" s="70">
        <v>-65</v>
      </c>
      <c r="BO92" s="70">
        <v>-71</v>
      </c>
      <c r="BP92" s="70">
        <v>-28</v>
      </c>
      <c r="BQ92" s="70">
        <v>-38</v>
      </c>
      <c r="BR92" s="70">
        <v>-49</v>
      </c>
      <c r="CA92" s="70">
        <f>SUM(C92:F92)</f>
        <v>-98</v>
      </c>
      <c r="CB92" s="70">
        <f>SUM(G92:J92)</f>
        <v>-99</v>
      </c>
      <c r="CC92" s="70">
        <f>SUM(K92:N92)</f>
        <v>-120</v>
      </c>
      <c r="CD92" s="70">
        <f>SUM(O92:R92)</f>
        <v>-140</v>
      </c>
      <c r="CE92" s="70">
        <f>SUM(S92:V92)</f>
        <v>-146</v>
      </c>
      <c r="CF92" s="70">
        <f>SUM(W92:Z92)</f>
        <v>-141</v>
      </c>
      <c r="CG92" s="70">
        <f>SUM(AA92:AD92)</f>
        <v>-122.9</v>
      </c>
      <c r="CH92" s="70">
        <f>SUM(AE92:AH92)</f>
        <v>-116.9</v>
      </c>
      <c r="CI92" s="70">
        <f>SUM(AI92:AL92)</f>
        <v>-141.69999999999999</v>
      </c>
      <c r="CJ92" s="70">
        <f>SUM(AM92:AP92)</f>
        <v>-125.5</v>
      </c>
      <c r="CK92" s="70">
        <f>SUM(AQ92:AT92)</f>
        <v>-132.80000000000001</v>
      </c>
      <c r="CL92" s="70">
        <f>SUM(AU92:AX92)</f>
        <v>-113.9</v>
      </c>
      <c r="CM92" s="70">
        <f>SUM(AY92:BB92)</f>
        <v>-120.3</v>
      </c>
      <c r="CN92" s="70">
        <f>SUM(BC92:BF92)</f>
        <v>-141.1</v>
      </c>
      <c r="CO92" s="70">
        <f>SUM(BG92:BJ92)</f>
        <v>-160.5</v>
      </c>
      <c r="CP92" s="70">
        <f>SUM(BK92:BN92)</f>
        <v>-225</v>
      </c>
      <c r="CQ92" s="1">
        <f t="shared" si="72"/>
        <v>-186</v>
      </c>
      <c r="CS92" s="50"/>
      <c r="CT92" s="50"/>
      <c r="CU92" s="50"/>
      <c r="CV92" s="50"/>
      <c r="CW92" s="50"/>
      <c r="CX92" s="50"/>
      <c r="CY92" s="50"/>
      <c r="CZ92" s="52"/>
      <c r="DA92" s="53"/>
      <c r="DB92" s="60"/>
    </row>
    <row r="93" spans="2:156" s="2" customFormat="1" ht="15">
      <c r="B93" s="2" t="s">
        <v>138</v>
      </c>
      <c r="C93" s="68">
        <f>C91+C92</f>
        <v>189</v>
      </c>
      <c r="D93" s="68">
        <f>D91+D92</f>
        <v>-324.60000000000002</v>
      </c>
      <c r="E93" s="68">
        <f>E91+E92</f>
        <v>167.8</v>
      </c>
      <c r="F93" s="68">
        <f>F91+F92</f>
        <v>102</v>
      </c>
      <c r="G93" s="68">
        <f>G91+G92</f>
        <v>3</v>
      </c>
      <c r="H93" s="68">
        <f>H91+H92</f>
        <v>274.8</v>
      </c>
      <c r="I93" s="68">
        <f>I91+I92</f>
        <v>135.6</v>
      </c>
      <c r="J93" s="68">
        <f>J91+J92</f>
        <v>55</v>
      </c>
      <c r="K93" s="68">
        <f>K91+K92</f>
        <v>-142.5</v>
      </c>
      <c r="L93" s="68">
        <f>L91+L92</f>
        <v>-93</v>
      </c>
      <c r="M93" s="68">
        <f>M91+M92</f>
        <v>524.29999999999995</v>
      </c>
      <c r="N93" s="68">
        <f>N91+N92</f>
        <v>-571.4</v>
      </c>
      <c r="O93" s="68">
        <f>O91+O92</f>
        <v>-211.3</v>
      </c>
      <c r="P93" s="68">
        <f>P91+P92</f>
        <v>-166.9</v>
      </c>
      <c r="Q93" s="68">
        <f>Q91+Q92</f>
        <v>637.6</v>
      </c>
      <c r="R93" s="68">
        <f>R91+R92</f>
        <v>-456.3</v>
      </c>
      <c r="S93" s="68">
        <f>S91+S92</f>
        <v>-6</v>
      </c>
      <c r="T93" s="68">
        <f>T91+T92</f>
        <v>-37.4</v>
      </c>
      <c r="U93" s="68">
        <f>U91+U92</f>
        <v>640.79999999999995</v>
      </c>
      <c r="V93" s="68">
        <f>V91+V92</f>
        <v>-437.9</v>
      </c>
      <c r="W93" s="68">
        <f>W91+W92</f>
        <v>178.6</v>
      </c>
      <c r="X93" s="68">
        <f>X91+X92</f>
        <v>-230</v>
      </c>
      <c r="Y93" s="68">
        <f>Y91+Y92</f>
        <v>691.4</v>
      </c>
      <c r="Z93" s="68">
        <f>Z91+Z92</f>
        <v>282.09999999999997</v>
      </c>
      <c r="AA93" s="68">
        <f>AA91+AA92</f>
        <v>232.60000000000002</v>
      </c>
      <c r="AB93" s="68">
        <f>AB91+AB92</f>
        <v>-175.4</v>
      </c>
      <c r="AC93" s="68">
        <f>AC91+AC92</f>
        <v>59</v>
      </c>
      <c r="AD93" s="68">
        <f>AD91+AD92</f>
        <v>142</v>
      </c>
      <c r="AE93" s="68">
        <f>AE91+AE92</f>
        <v>145.30000000000001</v>
      </c>
      <c r="AF93" s="68">
        <f>AF91+AF92</f>
        <v>201.4</v>
      </c>
      <c r="AG93" s="68">
        <f>AG91+AG92</f>
        <v>249.2</v>
      </c>
      <c r="AH93" s="68">
        <f>AH91+AH92</f>
        <v>237.8</v>
      </c>
      <c r="AI93" s="68">
        <f>AI91+AI92</f>
        <v>271.40000000000003</v>
      </c>
      <c r="AJ93" s="68">
        <f>AJ91+AJ92</f>
        <v>273</v>
      </c>
      <c r="AK93" s="68">
        <f>AK91+AK92</f>
        <v>285.2</v>
      </c>
      <c r="AL93" s="68">
        <f>AL91+AL92</f>
        <v>62.7</v>
      </c>
      <c r="AM93" s="68">
        <f>AM91+AM92</f>
        <v>178.6</v>
      </c>
      <c r="AN93" s="68">
        <f>AN91+AN92</f>
        <v>359.29999999999995</v>
      </c>
      <c r="AO93" s="68">
        <f>AO91+AO92</f>
        <v>320.70000000000005</v>
      </c>
      <c r="AP93" s="68">
        <f>AP91+AP92</f>
        <v>315.90000000000003</v>
      </c>
      <c r="AQ93" s="68">
        <f>AQ91+AQ92</f>
        <v>170</v>
      </c>
      <c r="AR93" s="68">
        <f>AR91+AR92</f>
        <v>104.9</v>
      </c>
      <c r="AS93" s="68">
        <f>AS91+AS92</f>
        <v>323.39999999999998</v>
      </c>
      <c r="AT93" s="68">
        <f>AT91+AT92</f>
        <v>450.9</v>
      </c>
      <c r="AU93" s="68">
        <f>AU91+AU92</f>
        <v>194.1</v>
      </c>
      <c r="AV93" s="68">
        <f>AV91+AV92</f>
        <v>197.8</v>
      </c>
      <c r="AW93" s="68">
        <f>AW91+AW92</f>
        <v>310.89999999999998</v>
      </c>
      <c r="AX93" s="68">
        <f>AX91+AX92</f>
        <v>303.8</v>
      </c>
      <c r="AY93" s="68">
        <f>AY91+AY92</f>
        <v>319.39999999999998</v>
      </c>
      <c r="AZ93" s="68">
        <f>AZ91+AZ92</f>
        <v>223.9</v>
      </c>
      <c r="BA93" s="68">
        <f>BA91+BA92</f>
        <v>437</v>
      </c>
      <c r="BB93" s="68">
        <f>BB91+BB92</f>
        <v>160.39999999999998</v>
      </c>
      <c r="BC93" s="68">
        <f>BC91+BC92</f>
        <v>-49.1</v>
      </c>
      <c r="BD93" s="68">
        <f>BD91+BD92</f>
        <v>45.9</v>
      </c>
      <c r="BE93" s="68">
        <f>BE91+BE92</f>
        <v>326.59999999999997</v>
      </c>
      <c r="BF93" s="68">
        <f>BF91+BF92</f>
        <v>358.59999999999997</v>
      </c>
      <c r="BG93" s="68">
        <f>BG91+BG92</f>
        <v>42.099999999999994</v>
      </c>
      <c r="BH93" s="68">
        <f>BH91+BH92</f>
        <v>155.6</v>
      </c>
      <c r="BI93" s="68">
        <f>BI91+BI92</f>
        <v>240.1</v>
      </c>
      <c r="BJ93" s="68">
        <f>BJ91+BJ92</f>
        <v>776.3</v>
      </c>
      <c r="BK93" s="68">
        <f>BK91+BK92</f>
        <v>-35</v>
      </c>
      <c r="BL93" s="68">
        <f>BL91+BL92</f>
        <v>69</v>
      </c>
      <c r="BM93" s="68">
        <f>BM91+BM92</f>
        <v>238</v>
      </c>
      <c r="BN93" s="68">
        <f>BN91+BN92</f>
        <v>367</v>
      </c>
      <c r="BO93" s="68">
        <f>BO91+BO92</f>
        <v>293</v>
      </c>
      <c r="BP93" s="68">
        <f>BP91+BP92</f>
        <v>171</v>
      </c>
      <c r="BQ93" s="68">
        <f>BQ91+BQ92</f>
        <v>489</v>
      </c>
      <c r="BR93" s="68">
        <f>BR91+BR92</f>
        <v>405</v>
      </c>
      <c r="BS93" s="34"/>
      <c r="BT93" s="34"/>
      <c r="BU93" s="34"/>
      <c r="BV93" s="34"/>
      <c r="CA93" s="68">
        <f>SUM(C93:F93)</f>
        <v>134.19999999999999</v>
      </c>
      <c r="CB93" s="68">
        <f>SUM(G93:J93)</f>
        <v>468.4</v>
      </c>
      <c r="CC93" s="68">
        <f>SUM(K93:N93)</f>
        <v>-282.60000000000002</v>
      </c>
      <c r="CD93" s="68">
        <f>SUM(O93:R93)</f>
        <v>-196.90000000000003</v>
      </c>
      <c r="CE93" s="68">
        <f>SUM(S93:V93)</f>
        <v>159.5</v>
      </c>
      <c r="CF93" s="68">
        <f>SUM(W93:Z93)</f>
        <v>922.09999999999991</v>
      </c>
      <c r="CG93" s="68">
        <f>SUM(AA93:AD93)</f>
        <v>258.20000000000005</v>
      </c>
      <c r="CH93" s="68">
        <f>SUM(AE93:AH93)</f>
        <v>833.7</v>
      </c>
      <c r="CI93" s="68">
        <f>SUM(AI93:AL93)</f>
        <v>892.30000000000018</v>
      </c>
      <c r="CJ93" s="68">
        <f>SUM(AM93:AP93)</f>
        <v>1174.5</v>
      </c>
      <c r="CK93" s="68">
        <f>SUM(AQ93:AT93)</f>
        <v>1049.1999999999998</v>
      </c>
      <c r="CL93" s="68">
        <f>SUM(AU93:AX93)</f>
        <v>1006.5999999999999</v>
      </c>
      <c r="CM93" s="68">
        <f>SUM(AY93:BB93)</f>
        <v>1140.6999999999998</v>
      </c>
      <c r="CN93" s="68">
        <f>SUM(BC93:BF93)</f>
        <v>682</v>
      </c>
      <c r="CO93" s="68">
        <f>SUM(BG93:BJ93)</f>
        <v>1214.0999999999999</v>
      </c>
      <c r="CP93" s="68">
        <f>SUM(BK93:BN93)</f>
        <v>639</v>
      </c>
      <c r="CQ93" s="2">
        <f t="shared" si="72"/>
        <v>1358</v>
      </c>
      <c r="CR93" s="34"/>
      <c r="CS93" s="35"/>
      <c r="CT93" s="35"/>
      <c r="CU93" s="35"/>
      <c r="CV93" s="35"/>
      <c r="CW93" s="35"/>
      <c r="CX93" s="35"/>
      <c r="CY93" s="35"/>
      <c r="CZ93" s="65"/>
      <c r="DA93" s="65"/>
      <c r="DB93" s="35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</row>
    <row r="94" spans="2:156">
      <c r="B94" s="1" t="s">
        <v>139</v>
      </c>
      <c r="C94" s="70">
        <f>C46</f>
        <v>142</v>
      </c>
      <c r="D94" s="70">
        <f>D46</f>
        <v>142</v>
      </c>
      <c r="E94" s="70">
        <f>E46</f>
        <v>142</v>
      </c>
      <c r="F94" s="70">
        <f>F46</f>
        <v>142</v>
      </c>
      <c r="G94" s="70">
        <f>G46</f>
        <v>142.5</v>
      </c>
      <c r="H94" s="70">
        <f>H46</f>
        <v>143</v>
      </c>
      <c r="I94" s="70">
        <f>I46</f>
        <v>143.5</v>
      </c>
      <c r="J94" s="70">
        <f>J46</f>
        <v>144</v>
      </c>
      <c r="K94" s="70">
        <f>K46</f>
        <v>144.25</v>
      </c>
      <c r="L94" s="70">
        <f>L46</f>
        <v>144.5</v>
      </c>
      <c r="M94" s="70">
        <f>M46</f>
        <v>144.75</v>
      </c>
      <c r="N94" s="70">
        <f>N46</f>
        <v>145</v>
      </c>
      <c r="O94" s="70">
        <f>O46</f>
        <v>144.6</v>
      </c>
      <c r="P94" s="70">
        <f>P46</f>
        <v>144.19999999999999</v>
      </c>
      <c r="Q94" s="70">
        <f>Q46</f>
        <v>143.80000000000001</v>
      </c>
      <c r="R94" s="70">
        <f>R46</f>
        <v>143.4</v>
      </c>
      <c r="S94" s="70">
        <f>S46</f>
        <v>142.78</v>
      </c>
      <c r="T94" s="70">
        <f>T46</f>
        <v>142.15</v>
      </c>
      <c r="U94" s="70">
        <f>U46</f>
        <v>141.53</v>
      </c>
      <c r="V94" s="70">
        <f>V46</f>
        <v>140.9</v>
      </c>
      <c r="W94" s="70">
        <f>W46</f>
        <v>140.6</v>
      </c>
      <c r="X94" s="70">
        <f>X46</f>
        <v>140.30000000000001</v>
      </c>
      <c r="Y94" s="70">
        <f>Y46</f>
        <v>140</v>
      </c>
      <c r="Z94" s="70">
        <f>Z46</f>
        <v>139.69999999999999</v>
      </c>
      <c r="AA94" s="70">
        <f>AA46</f>
        <v>138.69999999999999</v>
      </c>
      <c r="AB94" s="70">
        <f>AB46</f>
        <v>137.69999999999999</v>
      </c>
      <c r="AC94" s="70">
        <f>AC46</f>
        <v>136.69999999999999</v>
      </c>
      <c r="AD94" s="70">
        <f>AD46</f>
        <v>135.69999999999999</v>
      </c>
      <c r="AE94" s="70">
        <f>AE46</f>
        <v>134.55000000000001</v>
      </c>
      <c r="AF94" s="70">
        <f>AF46</f>
        <v>133.4</v>
      </c>
      <c r="AG94" s="70">
        <f>AG46</f>
        <v>132.25</v>
      </c>
      <c r="AH94" s="70">
        <f>AH46</f>
        <v>131.1</v>
      </c>
      <c r="AI94" s="70">
        <f>AI46</f>
        <v>130.80000000000001</v>
      </c>
      <c r="AJ94" s="70">
        <f>AJ46</f>
        <v>130.5</v>
      </c>
      <c r="AK94" s="70">
        <f>AK46</f>
        <v>130.19999999999999</v>
      </c>
      <c r="AL94" s="70">
        <f>AL46</f>
        <v>129.9</v>
      </c>
      <c r="AM94" s="70">
        <f>AM46</f>
        <v>129.15</v>
      </c>
      <c r="AN94" s="70">
        <f>AN46</f>
        <v>128.4</v>
      </c>
      <c r="AO94" s="70">
        <f>AO46</f>
        <v>127.65</v>
      </c>
      <c r="AP94" s="70">
        <f>AP46</f>
        <v>126.9</v>
      </c>
      <c r="AQ94" s="70">
        <f>AQ46</f>
        <v>120</v>
      </c>
      <c r="AR94" s="70">
        <f>AR46</f>
        <v>119</v>
      </c>
      <c r="AS94" s="70">
        <f>AS46</f>
        <v>117.6</v>
      </c>
      <c r="AT94" s="70">
        <f>AT46</f>
        <v>116.6</v>
      </c>
      <c r="AU94" s="70">
        <f>AU46</f>
        <v>116.4</v>
      </c>
      <c r="AV94" s="70">
        <f>AV46</f>
        <v>116.2</v>
      </c>
      <c r="AW94" s="70">
        <f>AW46</f>
        <v>116</v>
      </c>
      <c r="AX94" s="70">
        <f>AX46</f>
        <v>115.8</v>
      </c>
      <c r="AY94" s="70">
        <f>AY46</f>
        <v>116.1</v>
      </c>
      <c r="AZ94" s="70">
        <f>AZ46</f>
        <v>116.1</v>
      </c>
      <c r="BA94" s="70">
        <f>BA46</f>
        <v>116</v>
      </c>
      <c r="BB94" s="70">
        <f>BB46</f>
        <v>116</v>
      </c>
      <c r="BC94" s="70">
        <f>BC46</f>
        <v>116</v>
      </c>
      <c r="BD94" s="70">
        <f>BD46</f>
        <v>116.2</v>
      </c>
      <c r="BE94" s="70">
        <f>BE46</f>
        <v>116</v>
      </c>
      <c r="BF94" s="70">
        <f>BF46</f>
        <v>115.9</v>
      </c>
      <c r="BG94" s="70">
        <f>BG46</f>
        <v>114.8</v>
      </c>
      <c r="BH94" s="70">
        <f>BH46</f>
        <v>114.8</v>
      </c>
      <c r="BI94" s="70">
        <f>BI46</f>
        <v>114.8</v>
      </c>
      <c r="BJ94" s="70">
        <f>BJ46</f>
        <v>114.8</v>
      </c>
      <c r="BK94" s="70">
        <f>BK46</f>
        <v>114.6</v>
      </c>
      <c r="BL94" s="70">
        <f>BL46</f>
        <v>114.3</v>
      </c>
      <c r="BM94" s="70">
        <f>BM46</f>
        <v>113.7</v>
      </c>
      <c r="BN94" s="70">
        <f>BN46</f>
        <v>114</v>
      </c>
      <c r="BO94" s="70">
        <f>BO46</f>
        <v>113</v>
      </c>
      <c r="BP94" s="70">
        <f>BP46</f>
        <v>112.9</v>
      </c>
      <c r="BQ94" s="70">
        <f>BQ46</f>
        <v>112.5</v>
      </c>
      <c r="BR94" s="70">
        <f>BR46</f>
        <v>112.7</v>
      </c>
      <c r="CA94" s="70">
        <f>CA46</f>
        <v>142</v>
      </c>
      <c r="CB94" s="70">
        <f>CB46</f>
        <v>143.25</v>
      </c>
      <c r="CC94" s="70">
        <f>CC46</f>
        <v>144.625</v>
      </c>
      <c r="CD94" s="70">
        <f>CD46</f>
        <v>144</v>
      </c>
      <c r="CE94" s="70">
        <f>CE46</f>
        <v>141.84</v>
      </c>
      <c r="CF94" s="70">
        <f>CF46</f>
        <v>140.14999999999998</v>
      </c>
      <c r="CG94" s="70">
        <f>CG46</f>
        <v>137.19999999999999</v>
      </c>
      <c r="CH94" s="70">
        <f>CH46</f>
        <v>132.82500000000002</v>
      </c>
      <c r="CI94" s="70">
        <f>CI46</f>
        <v>130.35</v>
      </c>
      <c r="CJ94" s="70">
        <f>CJ46</f>
        <v>128.02500000000001</v>
      </c>
      <c r="CK94" s="70">
        <f>CK46</f>
        <v>118.30000000000001</v>
      </c>
      <c r="CL94" s="70">
        <f>CL46</f>
        <v>116.10000000000001</v>
      </c>
      <c r="CM94" s="70">
        <f>CM46</f>
        <v>116.05</v>
      </c>
      <c r="CN94" s="70">
        <f>CN46</f>
        <v>116.02500000000001</v>
      </c>
      <c r="CO94" s="70">
        <f>CO46</f>
        <v>114.8</v>
      </c>
      <c r="CP94" s="70">
        <f>CP46</f>
        <v>114.14999999999999</v>
      </c>
      <c r="CQ94" s="70">
        <f>CQ46</f>
        <v>112.77499999999999</v>
      </c>
    </row>
    <row r="95" spans="2:156">
      <c r="B95" s="1" t="s">
        <v>140</v>
      </c>
      <c r="C95" s="40">
        <f>C93/C94</f>
        <v>1.3309859154929577</v>
      </c>
      <c r="D95" s="40">
        <f t="shared" ref="D95:BO95" si="73">D93/D94</f>
        <v>-2.2859154929577468</v>
      </c>
      <c r="E95" s="40">
        <f t="shared" si="73"/>
        <v>1.1816901408450704</v>
      </c>
      <c r="F95" s="40">
        <f t="shared" si="73"/>
        <v>0.71830985915492962</v>
      </c>
      <c r="G95" s="40">
        <f t="shared" si="73"/>
        <v>2.1052631578947368E-2</v>
      </c>
      <c r="H95" s="40">
        <f t="shared" si="73"/>
        <v>1.9216783216783218</v>
      </c>
      <c r="I95" s="40">
        <f t="shared" si="73"/>
        <v>0.94494773519163755</v>
      </c>
      <c r="J95" s="40">
        <f t="shared" si="73"/>
        <v>0.38194444444444442</v>
      </c>
      <c r="K95" s="40">
        <f t="shared" si="73"/>
        <v>-0.98786828422876949</v>
      </c>
      <c r="L95" s="40">
        <f t="shared" si="73"/>
        <v>-0.643598615916955</v>
      </c>
      <c r="M95" s="40">
        <f t="shared" si="73"/>
        <v>3.6221070811744385</v>
      </c>
      <c r="N95" s="40">
        <f t="shared" si="73"/>
        <v>-3.9406896551724135</v>
      </c>
      <c r="O95" s="40">
        <f t="shared" si="73"/>
        <v>-1.4612724757952975</v>
      </c>
      <c r="P95" s="40">
        <f t="shared" si="73"/>
        <v>-1.1574202496532595</v>
      </c>
      <c r="Q95" s="40">
        <f t="shared" si="73"/>
        <v>4.4339360222531292</v>
      </c>
      <c r="R95" s="40">
        <f t="shared" si="73"/>
        <v>-3.1820083682008367</v>
      </c>
      <c r="S95" s="40">
        <f t="shared" si="73"/>
        <v>-4.2022692253817058E-2</v>
      </c>
      <c r="T95" s="40">
        <f t="shared" si="73"/>
        <v>-0.2631023566654942</v>
      </c>
      <c r="U95" s="40">
        <f t="shared" si="73"/>
        <v>4.5276619797922697</v>
      </c>
      <c r="V95" s="40">
        <f t="shared" si="73"/>
        <v>-3.1078779276082327</v>
      </c>
      <c r="W95" s="40">
        <f t="shared" si="73"/>
        <v>1.2702702702702702</v>
      </c>
      <c r="X95" s="40">
        <f t="shared" si="73"/>
        <v>-1.6393442622950818</v>
      </c>
      <c r="Y95" s="40">
        <f t="shared" si="73"/>
        <v>4.9385714285714286</v>
      </c>
      <c r="Z95" s="40">
        <f t="shared" si="73"/>
        <v>2.0193271295633499</v>
      </c>
      <c r="AA95" s="40">
        <f t="shared" si="73"/>
        <v>1.6770007209805338</v>
      </c>
      <c r="AB95" s="40">
        <f t="shared" si="73"/>
        <v>-1.2737835875090779</v>
      </c>
      <c r="AC95" s="40">
        <f t="shared" si="73"/>
        <v>0.43160204828090715</v>
      </c>
      <c r="AD95" s="40">
        <f t="shared" si="73"/>
        <v>1.0464259395725868</v>
      </c>
      <c r="AE95" s="40">
        <f t="shared" si="73"/>
        <v>1.0798959494611668</v>
      </c>
      <c r="AF95" s="40">
        <f t="shared" si="73"/>
        <v>1.5097451274362819</v>
      </c>
      <c r="AG95" s="40">
        <f t="shared" si="73"/>
        <v>1.8843100189035915</v>
      </c>
      <c r="AH95" s="40">
        <f t="shared" si="73"/>
        <v>1.8138825324180017</v>
      </c>
      <c r="AI95" s="40">
        <f t="shared" si="73"/>
        <v>2.0749235474006116</v>
      </c>
      <c r="AJ95" s="40">
        <f t="shared" si="73"/>
        <v>2.0919540229885056</v>
      </c>
      <c r="AK95" s="40">
        <f t="shared" si="73"/>
        <v>2.1904761904761907</v>
      </c>
      <c r="AL95" s="40">
        <f t="shared" si="73"/>
        <v>0.48267898383371827</v>
      </c>
      <c r="AM95" s="40">
        <f t="shared" si="73"/>
        <v>1.3828881145954315</v>
      </c>
      <c r="AN95" s="40">
        <f t="shared" si="73"/>
        <v>2.7982866043613703</v>
      </c>
      <c r="AO95" s="40">
        <f t="shared" si="73"/>
        <v>2.5123384253819041</v>
      </c>
      <c r="AP95" s="40">
        <f t="shared" si="73"/>
        <v>2.4893617021276597</v>
      </c>
      <c r="AQ95" s="40">
        <f t="shared" si="73"/>
        <v>1.4166666666666667</v>
      </c>
      <c r="AR95" s="40">
        <f t="shared" si="73"/>
        <v>0.88151260504201689</v>
      </c>
      <c r="AS95" s="40">
        <f t="shared" si="73"/>
        <v>2.75</v>
      </c>
      <c r="AT95" s="40">
        <f t="shared" si="73"/>
        <v>3.8670668953687821</v>
      </c>
      <c r="AU95" s="40">
        <f t="shared" si="73"/>
        <v>1.6675257731958761</v>
      </c>
      <c r="AV95" s="40">
        <f t="shared" si="73"/>
        <v>1.7022375215146299</v>
      </c>
      <c r="AW95" s="40">
        <f t="shared" si="73"/>
        <v>2.6801724137931031</v>
      </c>
      <c r="AX95" s="40">
        <f t="shared" si="73"/>
        <v>2.6234887737478414</v>
      </c>
      <c r="AY95" s="40">
        <f t="shared" si="73"/>
        <v>2.7510766580534023</v>
      </c>
      <c r="AZ95" s="40">
        <f t="shared" si="73"/>
        <v>1.9285099052540915</v>
      </c>
      <c r="BA95" s="40">
        <f t="shared" si="73"/>
        <v>3.7672413793103448</v>
      </c>
      <c r="BB95" s="40">
        <f t="shared" si="73"/>
        <v>1.3827586206896549</v>
      </c>
      <c r="BC95" s="40">
        <f t="shared" si="73"/>
        <v>-0.4232758620689655</v>
      </c>
      <c r="BD95" s="40">
        <f t="shared" si="73"/>
        <v>0.39500860585197933</v>
      </c>
      <c r="BE95" s="40">
        <f t="shared" si="73"/>
        <v>2.8155172413793101</v>
      </c>
      <c r="BF95" s="40">
        <f t="shared" si="73"/>
        <v>3.0940465918895597</v>
      </c>
      <c r="BG95" s="40">
        <f t="shared" si="73"/>
        <v>0.36672473867595817</v>
      </c>
      <c r="BH95" s="40">
        <f t="shared" si="73"/>
        <v>1.3554006968641115</v>
      </c>
      <c r="BI95" s="40">
        <f t="shared" si="73"/>
        <v>2.0914634146341462</v>
      </c>
      <c r="BJ95" s="40">
        <f t="shared" si="73"/>
        <v>6.7621951219512191</v>
      </c>
      <c r="BK95" s="40">
        <f t="shared" si="73"/>
        <v>-0.30541012216404889</v>
      </c>
      <c r="BL95" s="40">
        <f t="shared" si="73"/>
        <v>0.60367454068241466</v>
      </c>
      <c r="BM95" s="40">
        <f t="shared" si="73"/>
        <v>2.0932277924362355</v>
      </c>
      <c r="BN95" s="40">
        <f t="shared" si="73"/>
        <v>3.2192982456140351</v>
      </c>
      <c r="BO95" s="40">
        <f t="shared" si="73"/>
        <v>2.5929203539823007</v>
      </c>
      <c r="BP95" s="40">
        <f t="shared" ref="BP95:BR95" si="74">BP93/BP94</f>
        <v>1.5146147032772364</v>
      </c>
      <c r="BQ95" s="40">
        <f t="shared" si="74"/>
        <v>4.3466666666666667</v>
      </c>
      <c r="BR95" s="40">
        <f t="shared" si="74"/>
        <v>3.593611357586513</v>
      </c>
      <c r="CA95" s="40">
        <f>SUM(C95:F95)</f>
        <v>0.94507042253521101</v>
      </c>
      <c r="CB95" s="40">
        <f>SUM(G95:J95)</f>
        <v>3.2696231328933516</v>
      </c>
      <c r="CC95" s="40">
        <f>SUM(K95:N95)</f>
        <v>-1.9500494741436996</v>
      </c>
      <c r="CD95" s="40">
        <f>SUM(O95:R95)</f>
        <v>-1.3667650713962645</v>
      </c>
      <c r="CE95" s="40">
        <f>SUM(S95:V95)</f>
        <v>1.1146590032647254</v>
      </c>
      <c r="CF95" s="40">
        <f>SUM(W95:Z95)</f>
        <v>6.5888245661099667</v>
      </c>
      <c r="CG95" s="40">
        <f>SUM(AA95:AD95)</f>
        <v>1.8812451213249497</v>
      </c>
      <c r="CH95" s="40">
        <f>SUM(AE95:AH95)</f>
        <v>6.2878336282190421</v>
      </c>
      <c r="CI95" s="40">
        <f>SUM(AI95:AL95)</f>
        <v>6.8400327446990259</v>
      </c>
      <c r="CJ95" s="40">
        <f>SUM(AM95:AP95)</f>
        <v>9.1828748464663654</v>
      </c>
      <c r="CK95" s="40">
        <f>SUM(AQ95:AT95)</f>
        <v>8.9152461670774663</v>
      </c>
      <c r="CL95" s="40">
        <f>SUM(AU95:AX95)</f>
        <v>8.6734244822514501</v>
      </c>
      <c r="CM95" s="40">
        <f>SUM(AY95:BB95)</f>
        <v>9.8295865633074939</v>
      </c>
      <c r="CN95" s="40">
        <f>SUM(BC95:BF95)</f>
        <v>5.8812965770518835</v>
      </c>
      <c r="CO95" s="40">
        <f>SUM(BG95:BJ95)</f>
        <v>10.575783972125436</v>
      </c>
      <c r="CP95" s="40">
        <f>SUM(BK95:BN95)</f>
        <v>5.6107904565686368</v>
      </c>
      <c r="CQ95" s="40">
        <f t="shared" si="72"/>
        <v>12.047813081512716</v>
      </c>
    </row>
  </sheetData>
  <mergeCells count="2">
    <mergeCell ref="CZ93:DA93"/>
    <mergeCell ref="CZ69:DA69"/>
  </mergeCells>
  <conditionalFormatting sqref="CZ6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9" priority="8" operator="containsText" text="Strong Sell">
      <formula>NOT(ISERROR(SEARCH("Strong Sell",CZ69)))</formula>
    </cfRule>
    <cfRule type="containsText" dxfId="8" priority="9" operator="containsText" text="Sell">
      <formula>NOT(ISERROR(SEARCH("Sell",CZ69)))</formula>
    </cfRule>
    <cfRule type="containsText" dxfId="7" priority="10" operator="containsText" text="Hold">
      <formula>NOT(ISERROR(SEARCH("Hold",CZ69)))</formula>
    </cfRule>
    <cfRule type="beginsWith" dxfId="6" priority="11" operator="beginsWith" text="Buy">
      <formula>LEFT(CZ69,LEN("Buy"))="Buy"</formula>
    </cfRule>
    <cfRule type="beginsWith" dxfId="5" priority="12" operator="beginsWith" text="Strong">
      <formula>LEFT(CZ69,LEN("Strong"))="Strong"</formula>
    </cfRule>
  </conditionalFormatting>
  <conditionalFormatting sqref="CZ9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Sell",CZ93)))</formula>
    </cfRule>
    <cfRule type="containsText" dxfId="3" priority="3" operator="containsText" text="Sell">
      <formula>NOT(ISERROR(SEARCH("Sell",CZ93)))</formula>
    </cfRule>
    <cfRule type="containsText" dxfId="2" priority="4" operator="containsText" text="Hold">
      <formula>NOT(ISERROR(SEARCH("Hold",CZ93)))</formula>
    </cfRule>
    <cfRule type="beginsWith" dxfId="1" priority="5" operator="beginsWith" text="Buy">
      <formula>LEFT(CZ93,LEN("Buy"))="Buy"</formula>
    </cfRule>
    <cfRule type="beginsWith" dxfId="0" priority="6" operator="beginsWith" text="Strong">
      <formula>LEFT(CZ93,LEN("Strong"))="Strong"</formula>
    </cfRule>
  </conditionalFormatting>
  <pageMargins left="0.7" right="0.7" top="0.75" bottom="0.75" header="0.3" footer="0.3"/>
  <ignoredErrors>
    <ignoredError sqref="CR12:CZ12 CP9 CP10:CP11 CP12:CP14 BC9:BR12 BC24:BR28 AY30:BR33 AY14:BR16 BR47 C47:BQ47" evalError="1"/>
    <ignoredError sqref="BB37:BR37 BB40:BR40 BB43:BR43 BB45:BR45" formula="1"/>
    <ignoredError sqref="CA35:CP36 CA38:CP45 AT35:AT36 AT38 AT44 CQ35:CQ45 CA91:CQ93" formulaRange="1"/>
    <ignoredError sqref="CA46:CQ46 CA94:CQ94" formula="1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I1584"/>
  <sheetViews>
    <sheetView topLeftCell="P149" zoomScale="70" zoomScaleNormal="70" workbookViewId="0">
      <selection activeCell="AG175" sqref="AG175"/>
    </sheetView>
  </sheetViews>
  <sheetFormatPr defaultColWidth="9.140625" defaultRowHeight="14.25"/>
  <cols>
    <col min="1" max="7" width="0" style="1" hidden="1" customWidth="1"/>
    <col min="8" max="8" width="3.140625" style="1" hidden="1" customWidth="1"/>
    <col min="9" max="15" width="0" style="1" hidden="1" customWidth="1"/>
    <col min="16" max="16" width="3.140625" style="1" customWidth="1"/>
    <col min="17" max="36" width="9.140625" style="1"/>
    <col min="37" max="37" width="2.7109375" style="1" customWidth="1"/>
    <col min="38" max="16384" width="9.140625" style="1"/>
  </cols>
  <sheetData>
    <row r="1" spans="16:87">
      <c r="CI1" s="1">
        <v>0</v>
      </c>
    </row>
    <row r="2" spans="16:87" ht="15">
      <c r="P2" s="2" t="s">
        <v>161</v>
      </c>
      <c r="AL2" s="2" t="s">
        <v>259</v>
      </c>
    </row>
    <row r="25" spans="17:18">
      <c r="Q25" s="1" t="s">
        <v>15</v>
      </c>
      <c r="R25" s="1" t="s">
        <v>16</v>
      </c>
    </row>
    <row r="26" spans="17:18">
      <c r="R26" s="1" t="s">
        <v>17</v>
      </c>
    </row>
    <row r="27" spans="17:18">
      <c r="R27" s="1" t="s">
        <v>18</v>
      </c>
    </row>
    <row r="35" spans="16:38" ht="15">
      <c r="AL35" s="2" t="s">
        <v>141</v>
      </c>
    </row>
    <row r="36" spans="16:38" ht="15">
      <c r="P36" s="2" t="s">
        <v>258</v>
      </c>
      <c r="AL36" s="2" t="s">
        <v>142</v>
      </c>
    </row>
    <row r="65" spans="16:38">
      <c r="Q65" s="1" t="s">
        <v>15</v>
      </c>
      <c r="R65" s="1" t="s">
        <v>16</v>
      </c>
    </row>
    <row r="66" spans="16:38">
      <c r="R66" s="1" t="s">
        <v>17</v>
      </c>
    </row>
    <row r="67" spans="16:38">
      <c r="R67" s="1" t="s">
        <v>18</v>
      </c>
    </row>
    <row r="69" spans="16:38" ht="15">
      <c r="P69" s="2" t="s">
        <v>260</v>
      </c>
      <c r="AL69" s="2" t="s">
        <v>143</v>
      </c>
    </row>
    <row r="101" spans="16:38">
      <c r="Q101" s="1" t="s">
        <v>15</v>
      </c>
      <c r="R101" s="1" t="s">
        <v>16</v>
      </c>
    </row>
    <row r="102" spans="16:38">
      <c r="R102" s="1" t="s">
        <v>17</v>
      </c>
    </row>
    <row r="103" spans="16:38">
      <c r="R103" s="1" t="s">
        <v>18</v>
      </c>
    </row>
    <row r="105" spans="16:38" ht="15">
      <c r="P105" s="2" t="s">
        <v>260</v>
      </c>
      <c r="AL105" s="2" t="s">
        <v>144</v>
      </c>
    </row>
    <row r="137" spans="16:38">
      <c r="Q137" s="1" t="s">
        <v>15</v>
      </c>
      <c r="R137" s="1" t="s">
        <v>16</v>
      </c>
    </row>
    <row r="138" spans="16:38">
      <c r="R138" s="1" t="s">
        <v>17</v>
      </c>
    </row>
    <row r="139" spans="16:38">
      <c r="R139" s="1" t="s">
        <v>18</v>
      </c>
    </row>
    <row r="141" spans="16:38" ht="15">
      <c r="P141" s="2" t="s">
        <v>164</v>
      </c>
      <c r="AL141" s="2" t="s">
        <v>145</v>
      </c>
    </row>
    <row r="170" spans="16:18">
      <c r="Q170" s="1" t="s">
        <v>15</v>
      </c>
      <c r="R170" s="1" t="s">
        <v>16</v>
      </c>
    </row>
    <row r="171" spans="16:18">
      <c r="R171" s="1" t="s">
        <v>17</v>
      </c>
    </row>
    <row r="172" spans="16:18">
      <c r="R172" s="1" t="s">
        <v>18</v>
      </c>
    </row>
    <row r="174" spans="16:18" ht="15">
      <c r="P174" s="2" t="s">
        <v>163</v>
      </c>
    </row>
    <row r="190" ht="15" customHeight="1"/>
    <row r="203" spans="17:18">
      <c r="Q203" s="1" t="s">
        <v>15</v>
      </c>
      <c r="R203" s="1" t="s">
        <v>16</v>
      </c>
    </row>
    <row r="204" spans="17:18">
      <c r="R204" s="1" t="s">
        <v>17</v>
      </c>
    </row>
    <row r="205" spans="17:18">
      <c r="R205" s="1" t="s">
        <v>18</v>
      </c>
    </row>
    <row r="220" spans="1:15">
      <c r="A220" s="1" t="s">
        <v>185</v>
      </c>
      <c r="I220" s="1" t="s">
        <v>1044</v>
      </c>
    </row>
    <row r="221" spans="1:15">
      <c r="A221" s="1" t="s">
        <v>1045</v>
      </c>
      <c r="I221" s="1" t="s">
        <v>1045</v>
      </c>
    </row>
    <row r="222" spans="1:15">
      <c r="A222" s="24" t="s">
        <v>19</v>
      </c>
      <c r="B222" s="24" t="s">
        <v>20</v>
      </c>
      <c r="C222" s="24" t="s">
        <v>21</v>
      </c>
      <c r="D222" s="24" t="s">
        <v>22</v>
      </c>
      <c r="E222" s="24" t="s">
        <v>23</v>
      </c>
      <c r="F222" s="24" t="s">
        <v>24</v>
      </c>
      <c r="G222" s="24" t="s">
        <v>25</v>
      </c>
      <c r="I222" s="24" t="s">
        <v>19</v>
      </c>
      <c r="J222" s="24" t="s">
        <v>20</v>
      </c>
      <c r="K222" s="24" t="s">
        <v>21</v>
      </c>
      <c r="L222" s="24" t="s">
        <v>22</v>
      </c>
      <c r="M222" s="24" t="s">
        <v>23</v>
      </c>
      <c r="N222" s="24" t="s">
        <v>24</v>
      </c>
      <c r="O222" s="24" t="s">
        <v>25</v>
      </c>
    </row>
    <row r="223" spans="1:15">
      <c r="A223" s="74">
        <v>630.48</v>
      </c>
      <c r="B223" s="74">
        <v>632.98</v>
      </c>
      <c r="C223" s="74">
        <v>629.48</v>
      </c>
      <c r="D223" s="74">
        <v>630.29999999999995</v>
      </c>
      <c r="E223" s="74">
        <v>5007553</v>
      </c>
      <c r="F223" s="74" t="s">
        <v>291</v>
      </c>
      <c r="G223" s="25">
        <f>A223/D223-1</f>
        <v>2.8557829604958229E-4</v>
      </c>
      <c r="I223" s="73">
        <v>404.29</v>
      </c>
      <c r="J223" s="73">
        <v>406.04</v>
      </c>
      <c r="K223" s="73">
        <v>401.5</v>
      </c>
      <c r="L223" s="73">
        <v>403.51</v>
      </c>
      <c r="M223" s="73">
        <v>733713</v>
      </c>
      <c r="N223" s="73" t="s">
        <v>291</v>
      </c>
      <c r="O223" s="25">
        <f>I223/L223-1</f>
        <v>1.9330375951029932E-3</v>
      </c>
    </row>
    <row r="224" spans="1:15">
      <c r="A224" s="74">
        <v>629.29999999999995</v>
      </c>
      <c r="B224" s="74">
        <v>630.17999999999995</v>
      </c>
      <c r="C224" s="74">
        <v>626.48</v>
      </c>
      <c r="D224" s="74">
        <v>630.13</v>
      </c>
      <c r="E224" s="74">
        <v>5114434</v>
      </c>
      <c r="F224" s="74" t="s">
        <v>292</v>
      </c>
      <c r="G224" s="25">
        <f t="shared" ref="G224:G287" si="0">A224/D224-1</f>
        <v>-1.3171885166554098E-3</v>
      </c>
      <c r="I224" s="73">
        <v>403.89</v>
      </c>
      <c r="J224" s="73">
        <v>406.44</v>
      </c>
      <c r="K224" s="73">
        <v>399.62</v>
      </c>
      <c r="L224" s="73">
        <v>400.37</v>
      </c>
      <c r="M224" s="73">
        <v>1308267</v>
      </c>
      <c r="N224" s="73" t="s">
        <v>292</v>
      </c>
      <c r="O224" s="25">
        <f t="shared" ref="O224:O287" si="1">I224/L224-1</f>
        <v>8.7918675225415743E-3</v>
      </c>
    </row>
    <row r="225" spans="1:21">
      <c r="A225" s="74">
        <v>628.77</v>
      </c>
      <c r="B225" s="74">
        <v>629.78</v>
      </c>
      <c r="C225" s="74">
        <v>624.95000000000005</v>
      </c>
      <c r="D225" s="74">
        <v>625.77</v>
      </c>
      <c r="E225" s="74">
        <v>5149531</v>
      </c>
      <c r="F225" s="74" t="s">
        <v>293</v>
      </c>
      <c r="G225" s="25">
        <f t="shared" si="0"/>
        <v>4.7940936765904496E-3</v>
      </c>
      <c r="I225" s="73">
        <v>400.37</v>
      </c>
      <c r="J225" s="73">
        <v>400.87</v>
      </c>
      <c r="K225" s="73">
        <v>388.54</v>
      </c>
      <c r="L225" s="73">
        <v>391.01</v>
      </c>
      <c r="M225" s="73">
        <v>770713</v>
      </c>
      <c r="N225" s="73" t="s">
        <v>293</v>
      </c>
      <c r="O225" s="25">
        <f t="shared" si="1"/>
        <v>2.3938006700595871E-2</v>
      </c>
    </row>
    <row r="226" spans="1:21">
      <c r="A226" s="74">
        <v>626.58000000000004</v>
      </c>
      <c r="B226" s="74">
        <v>628.77</v>
      </c>
      <c r="C226" s="74">
        <v>624.62</v>
      </c>
      <c r="D226" s="74">
        <v>627.01</v>
      </c>
      <c r="E226" s="74">
        <v>5256797</v>
      </c>
      <c r="F226" s="74" t="s">
        <v>294</v>
      </c>
      <c r="G226" s="25">
        <f t="shared" si="0"/>
        <v>-6.8579448493633066E-4</v>
      </c>
      <c r="I226" s="73">
        <v>391.2</v>
      </c>
      <c r="J226" s="73">
        <v>393.37</v>
      </c>
      <c r="K226" s="73">
        <v>387.0009</v>
      </c>
      <c r="L226" s="73">
        <v>392.84</v>
      </c>
      <c r="M226" s="73">
        <v>721626</v>
      </c>
      <c r="N226" s="73" t="s">
        <v>294</v>
      </c>
      <c r="O226" s="25">
        <f t="shared" si="1"/>
        <v>-4.1747276244781251E-3</v>
      </c>
    </row>
    <row r="227" spans="1:21">
      <c r="A227" s="74">
        <v>625.52</v>
      </c>
      <c r="B227" s="74">
        <v>628.01</v>
      </c>
      <c r="C227" s="74">
        <v>624.1</v>
      </c>
      <c r="D227" s="74">
        <v>624.16999999999996</v>
      </c>
      <c r="E227" s="74">
        <v>8381362</v>
      </c>
      <c r="F227" s="74" t="s">
        <v>295</v>
      </c>
      <c r="G227" s="25">
        <f t="shared" si="0"/>
        <v>2.1628722944069256E-3</v>
      </c>
      <c r="I227" s="73">
        <v>389.96</v>
      </c>
      <c r="J227" s="73">
        <v>396.82</v>
      </c>
      <c r="K227" s="73">
        <v>388.5188</v>
      </c>
      <c r="L227" s="73">
        <v>390.98</v>
      </c>
      <c r="M227" s="73">
        <v>822698</v>
      </c>
      <c r="N227" s="73" t="s">
        <v>295</v>
      </c>
      <c r="O227" s="25">
        <f t="shared" si="1"/>
        <v>-2.6088290961175931E-3</v>
      </c>
    </row>
    <row r="228" spans="1:21">
      <c r="A228" s="74">
        <v>628.41</v>
      </c>
      <c r="B228" s="74">
        <v>628.63</v>
      </c>
      <c r="C228" s="74">
        <v>625.70500000000004</v>
      </c>
      <c r="D228" s="74">
        <v>626.02499999999998</v>
      </c>
      <c r="E228" s="74">
        <v>2949167</v>
      </c>
      <c r="F228" s="74" t="s">
        <v>296</v>
      </c>
      <c r="G228" s="25">
        <f t="shared" si="0"/>
        <v>3.8097520067090773E-3</v>
      </c>
      <c r="I228" s="73">
        <v>395.86</v>
      </c>
      <c r="J228" s="73">
        <v>398.82</v>
      </c>
      <c r="K228" s="73">
        <v>394.85</v>
      </c>
      <c r="L228" s="73">
        <v>395.98</v>
      </c>
      <c r="M228" s="73">
        <v>540165</v>
      </c>
      <c r="N228" s="73" t="s">
        <v>296</v>
      </c>
      <c r="O228" s="25">
        <f t="shared" si="1"/>
        <v>-3.0304560836402761E-4</v>
      </c>
    </row>
    <row r="229" spans="1:21">
      <c r="A229" s="74">
        <v>624.95000000000005</v>
      </c>
      <c r="B229" s="74">
        <v>626.80999999999995</v>
      </c>
      <c r="C229" s="74">
        <v>622.26</v>
      </c>
      <c r="D229" s="74">
        <v>623.05999999999995</v>
      </c>
      <c r="E229" s="74">
        <v>5292533</v>
      </c>
      <c r="F229" s="74" t="s">
        <v>297</v>
      </c>
      <c r="G229" s="25">
        <f t="shared" si="0"/>
        <v>3.033415722402566E-3</v>
      </c>
      <c r="I229" s="73">
        <v>393.99</v>
      </c>
      <c r="J229" s="73">
        <v>397.56</v>
      </c>
      <c r="K229" s="73">
        <v>390.97500000000002</v>
      </c>
      <c r="L229" s="73">
        <v>391.88</v>
      </c>
      <c r="M229" s="73">
        <v>884367</v>
      </c>
      <c r="N229" s="73" t="s">
        <v>297</v>
      </c>
      <c r="O229" s="25">
        <f t="shared" si="1"/>
        <v>5.3843013167296228E-3</v>
      </c>
    </row>
    <row r="230" spans="1:21">
      <c r="A230" s="74">
        <v>620.66</v>
      </c>
      <c r="B230" s="74">
        <v>621.75</v>
      </c>
      <c r="C230" s="74">
        <v>610.99</v>
      </c>
      <c r="D230" s="74">
        <v>614.78</v>
      </c>
      <c r="E230" s="74">
        <v>7289905</v>
      </c>
      <c r="F230" s="74" t="s">
        <v>298</v>
      </c>
      <c r="G230" s="25">
        <f t="shared" si="0"/>
        <v>9.5643970200722794E-3</v>
      </c>
      <c r="I230" s="73">
        <v>391.3</v>
      </c>
      <c r="J230" s="73">
        <v>392.40499999999997</v>
      </c>
      <c r="K230" s="73">
        <v>384.88</v>
      </c>
      <c r="L230" s="73">
        <v>386.02</v>
      </c>
      <c r="M230" s="73">
        <v>816293</v>
      </c>
      <c r="N230" s="73" t="s">
        <v>298</v>
      </c>
      <c r="O230" s="25">
        <f t="shared" si="1"/>
        <v>1.3678047769545731E-2</v>
      </c>
    </row>
    <row r="231" spans="1:21">
      <c r="A231" s="74">
        <v>614.94000000000005</v>
      </c>
      <c r="B231" s="74">
        <v>616.09</v>
      </c>
      <c r="C231" s="74">
        <v>608.30499999999995</v>
      </c>
      <c r="D231" s="74">
        <v>609.28</v>
      </c>
      <c r="E231" s="74">
        <v>6218559</v>
      </c>
      <c r="F231" s="74" t="s">
        <v>299</v>
      </c>
      <c r="G231" s="25">
        <f t="shared" si="0"/>
        <v>9.2896533613446852E-3</v>
      </c>
      <c r="I231" s="73">
        <v>384.37</v>
      </c>
      <c r="J231" s="73">
        <v>387.16</v>
      </c>
      <c r="K231" s="73">
        <v>376.44</v>
      </c>
      <c r="L231" s="73">
        <v>379.45</v>
      </c>
      <c r="M231" s="73">
        <v>1857673</v>
      </c>
      <c r="N231" s="73" t="s">
        <v>299</v>
      </c>
      <c r="O231" s="25">
        <f t="shared" si="1"/>
        <v>1.2966135195678019E-2</v>
      </c>
    </row>
    <row r="232" spans="1:21">
      <c r="A232" s="74">
        <v>605.92999999999995</v>
      </c>
      <c r="B232" s="74">
        <v>611.01</v>
      </c>
      <c r="C232" s="74">
        <v>598.38</v>
      </c>
      <c r="D232" s="74">
        <v>602.25</v>
      </c>
      <c r="E232" s="74">
        <v>9789866</v>
      </c>
      <c r="F232" s="74" t="s">
        <v>300</v>
      </c>
      <c r="G232" s="25">
        <f t="shared" si="0"/>
        <v>6.1104192611041164E-3</v>
      </c>
      <c r="I232" s="73">
        <v>378.73</v>
      </c>
      <c r="J232" s="73">
        <v>384.65</v>
      </c>
      <c r="K232" s="73">
        <v>369.04</v>
      </c>
      <c r="L232" s="73">
        <v>371.16</v>
      </c>
      <c r="M232" s="73">
        <v>1644701</v>
      </c>
      <c r="N232" s="73" t="s">
        <v>300</v>
      </c>
      <c r="O232" s="25">
        <f t="shared" si="1"/>
        <v>2.0395516758271448E-2</v>
      </c>
    </row>
    <row r="233" spans="1:21">
      <c r="A233" s="74">
        <v>599.96</v>
      </c>
      <c r="B233" s="74">
        <v>621.12879999999996</v>
      </c>
      <c r="C233" s="74">
        <v>599.36</v>
      </c>
      <c r="D233" s="74">
        <v>618.72</v>
      </c>
      <c r="E233" s="74">
        <v>13857655</v>
      </c>
      <c r="F233" s="74" t="s">
        <v>301</v>
      </c>
      <c r="G233" s="25">
        <f t="shared" si="0"/>
        <v>-3.0320662011895538E-2</v>
      </c>
      <c r="I233" s="73">
        <v>368.7</v>
      </c>
      <c r="J233" s="73">
        <v>383.79</v>
      </c>
      <c r="K233" s="73">
        <v>368.32249999999999</v>
      </c>
      <c r="L233" s="73">
        <v>382.62</v>
      </c>
      <c r="M233" s="73">
        <v>1417090</v>
      </c>
      <c r="N233" s="73" t="s">
        <v>301</v>
      </c>
      <c r="O233" s="25">
        <f t="shared" si="1"/>
        <v>-3.6380743296220874E-2</v>
      </c>
    </row>
    <row r="234" spans="1:21">
      <c r="A234" s="74">
        <v>609.20000000000005</v>
      </c>
      <c r="B234" s="74">
        <v>613.56989999999996</v>
      </c>
      <c r="C234" s="74">
        <v>605.66999999999996</v>
      </c>
      <c r="D234" s="74">
        <v>607.52</v>
      </c>
      <c r="E234" s="74">
        <v>7297298</v>
      </c>
      <c r="F234" s="74" t="s">
        <v>302</v>
      </c>
      <c r="G234" s="25">
        <f t="shared" si="0"/>
        <v>2.7653410587307192E-3</v>
      </c>
      <c r="I234" s="73">
        <v>372.48</v>
      </c>
      <c r="J234" s="73">
        <v>373.66</v>
      </c>
      <c r="K234" s="73">
        <v>365.42</v>
      </c>
      <c r="L234" s="73">
        <v>367.63</v>
      </c>
      <c r="M234" s="73">
        <v>1201595</v>
      </c>
      <c r="N234" s="73" t="s">
        <v>302</v>
      </c>
      <c r="O234" s="25">
        <f t="shared" si="1"/>
        <v>1.3192612137203241E-2</v>
      </c>
    </row>
    <row r="235" spans="1:21">
      <c r="A235" s="74">
        <v>607</v>
      </c>
      <c r="B235" s="74">
        <v>611.51</v>
      </c>
      <c r="C235" s="74">
        <v>603</v>
      </c>
      <c r="D235" s="74">
        <v>608.72</v>
      </c>
      <c r="E235" s="74">
        <v>8485565</v>
      </c>
      <c r="F235" s="74" t="s">
        <v>303</v>
      </c>
      <c r="G235" s="25">
        <f t="shared" si="0"/>
        <v>-2.8256012616638682E-3</v>
      </c>
      <c r="I235" s="73">
        <v>366.01</v>
      </c>
      <c r="J235" s="73">
        <v>370.19</v>
      </c>
      <c r="K235" s="73">
        <v>363.92</v>
      </c>
      <c r="L235" s="73">
        <v>366.67</v>
      </c>
      <c r="M235" s="73">
        <v>976045</v>
      </c>
      <c r="N235" s="73" t="s">
        <v>303</v>
      </c>
      <c r="O235" s="25">
        <f t="shared" si="1"/>
        <v>-1.7999836365124589E-3</v>
      </c>
    </row>
    <row r="236" spans="1:21">
      <c r="A236" s="74">
        <v>612.04</v>
      </c>
      <c r="B236" s="74">
        <v>619.44849999999997</v>
      </c>
      <c r="C236" s="74">
        <v>608.80999999999995</v>
      </c>
      <c r="D236" s="74">
        <v>615.74</v>
      </c>
      <c r="E236" s="74">
        <v>8858869</v>
      </c>
      <c r="F236" s="74" t="s">
        <v>304</v>
      </c>
      <c r="G236" s="25">
        <f t="shared" si="0"/>
        <v>-6.0090297852990471E-3</v>
      </c>
      <c r="I236" s="73">
        <v>370.1</v>
      </c>
      <c r="J236" s="73">
        <v>375.75</v>
      </c>
      <c r="K236" s="73">
        <v>366.78</v>
      </c>
      <c r="L236" s="73">
        <v>374.05</v>
      </c>
      <c r="M236" s="73">
        <v>1417952</v>
      </c>
      <c r="N236" s="73" t="s">
        <v>304</v>
      </c>
      <c r="O236" s="25">
        <f t="shared" si="1"/>
        <v>-1.0560085550060161E-2</v>
      </c>
      <c r="Q236" s="26"/>
      <c r="R236" s="26" t="s">
        <v>26</v>
      </c>
      <c r="S236" s="27">
        <f>MIN(O223:O975)</f>
        <v>-6.0658058427351835E-2</v>
      </c>
    </row>
    <row r="237" spans="1:21">
      <c r="A237" s="74">
        <v>617.83000000000004</v>
      </c>
      <c r="B237" s="74">
        <v>621.21990000000005</v>
      </c>
      <c r="C237" s="74">
        <v>609.83000000000004</v>
      </c>
      <c r="D237" s="74">
        <v>611.75</v>
      </c>
      <c r="E237" s="74">
        <v>9651895</v>
      </c>
      <c r="F237" s="74" t="s">
        <v>305</v>
      </c>
      <c r="G237" s="25">
        <f t="shared" si="0"/>
        <v>9.9387004495301579E-3</v>
      </c>
      <c r="I237" s="73">
        <v>377.13</v>
      </c>
      <c r="J237" s="73">
        <v>381.66</v>
      </c>
      <c r="K237" s="73">
        <v>371.69</v>
      </c>
      <c r="L237" s="73">
        <v>373.88</v>
      </c>
      <c r="M237" s="73">
        <v>866846</v>
      </c>
      <c r="N237" s="73" t="s">
        <v>305</v>
      </c>
      <c r="O237" s="25">
        <f t="shared" si="1"/>
        <v>8.6926286509041439E-3</v>
      </c>
      <c r="Q237" s="26"/>
      <c r="R237" s="26" t="s">
        <v>27</v>
      </c>
      <c r="S237" s="27">
        <f>MAX(O223:O975)</f>
        <v>0.11785862498270849</v>
      </c>
    </row>
    <row r="238" spans="1:21">
      <c r="A238" s="74">
        <v>617.99</v>
      </c>
      <c r="B238" s="74">
        <v>626.02</v>
      </c>
      <c r="C238" s="74">
        <v>616.51</v>
      </c>
      <c r="D238" s="74">
        <v>625.66999999999996</v>
      </c>
      <c r="E238" s="74">
        <v>10526401</v>
      </c>
      <c r="F238" s="74" t="s">
        <v>306</v>
      </c>
      <c r="G238" s="25">
        <f t="shared" si="0"/>
        <v>-1.2274841370051193E-2</v>
      </c>
      <c r="I238" s="73">
        <v>379.69</v>
      </c>
      <c r="J238" s="73">
        <v>393</v>
      </c>
      <c r="K238" s="73">
        <v>377.22</v>
      </c>
      <c r="L238" s="73">
        <v>389.63</v>
      </c>
      <c r="M238" s="73">
        <v>1006859</v>
      </c>
      <c r="N238" s="73" t="s">
        <v>306</v>
      </c>
      <c r="O238" s="25">
        <f t="shared" si="1"/>
        <v>-2.5511382593742749E-2</v>
      </c>
      <c r="Q238" s="26"/>
      <c r="R238" s="26" t="s">
        <v>28</v>
      </c>
      <c r="S238" s="27">
        <f>AVERAGE(O223:O975)</f>
        <v>3.0642300277821034E-4</v>
      </c>
    </row>
    <row r="239" spans="1:21">
      <c r="A239" s="74">
        <v>628.22</v>
      </c>
      <c r="B239" s="74">
        <v>629.77</v>
      </c>
      <c r="C239" s="74">
        <v>626.1</v>
      </c>
      <c r="D239" s="74">
        <v>629.65</v>
      </c>
      <c r="E239" s="74">
        <v>6065826</v>
      </c>
      <c r="F239" s="74" t="s">
        <v>307</v>
      </c>
      <c r="G239" s="25">
        <f t="shared" si="0"/>
        <v>-2.2711029937265703E-3</v>
      </c>
      <c r="I239" s="73">
        <v>394.54</v>
      </c>
      <c r="J239" s="73">
        <v>398.2</v>
      </c>
      <c r="K239" s="73">
        <v>391.61</v>
      </c>
      <c r="L239" s="73">
        <v>393.6</v>
      </c>
      <c r="M239" s="73">
        <v>1115540</v>
      </c>
      <c r="N239" s="73" t="s">
        <v>307</v>
      </c>
      <c r="O239" s="25">
        <f t="shared" si="1"/>
        <v>2.3882113821138695E-3</v>
      </c>
      <c r="Q239" s="26"/>
      <c r="R239" s="26" t="s">
        <v>29</v>
      </c>
      <c r="S239" s="27">
        <f>MEDIAN(O223:O975)</f>
        <v>5.0701368936945101E-4</v>
      </c>
    </row>
    <row r="240" spans="1:21" ht="15">
      <c r="A240" s="74">
        <v>627.91</v>
      </c>
      <c r="B240" s="74">
        <v>628.49</v>
      </c>
      <c r="C240" s="74">
        <v>624.07000000000005</v>
      </c>
      <c r="D240" s="74">
        <v>625.16</v>
      </c>
      <c r="E240" s="74">
        <v>5610874</v>
      </c>
      <c r="F240" s="74" t="s">
        <v>308</v>
      </c>
      <c r="G240" s="25">
        <f t="shared" si="0"/>
        <v>4.3988738882845269E-3</v>
      </c>
      <c r="I240" s="73">
        <v>392.08</v>
      </c>
      <c r="J240" s="73">
        <v>393.21</v>
      </c>
      <c r="K240" s="73">
        <v>387.92</v>
      </c>
      <c r="L240" s="73">
        <v>391.32</v>
      </c>
      <c r="M240" s="73">
        <v>1033858</v>
      </c>
      <c r="N240" s="73" t="s">
        <v>308</v>
      </c>
      <c r="O240" s="25">
        <f t="shared" si="1"/>
        <v>1.9421445364407042E-3</v>
      </c>
      <c r="Q240" s="26"/>
      <c r="R240" s="26" t="s">
        <v>30</v>
      </c>
      <c r="S240" s="27">
        <f>_xlfn.STDEV.P(O223:O975)</f>
        <v>1.456143368434523E-2</v>
      </c>
      <c r="U240" s="2"/>
    </row>
    <row r="241" spans="1:25" ht="15">
      <c r="A241" s="74">
        <v>626.47</v>
      </c>
      <c r="B241" s="74">
        <v>627.21</v>
      </c>
      <c r="C241" s="74">
        <v>620.66</v>
      </c>
      <c r="D241" s="74">
        <v>622.69000000000005</v>
      </c>
      <c r="E241" s="74">
        <v>8383792</v>
      </c>
      <c r="F241" s="74" t="s">
        <v>309</v>
      </c>
      <c r="G241" s="25">
        <f t="shared" si="0"/>
        <v>6.0704363326855582E-3</v>
      </c>
      <c r="I241" s="73">
        <v>391.24</v>
      </c>
      <c r="J241" s="73">
        <v>393.71499999999997</v>
      </c>
      <c r="K241" s="73">
        <v>377.35</v>
      </c>
      <c r="L241" s="73">
        <v>377.35</v>
      </c>
      <c r="M241" s="73">
        <v>1404480</v>
      </c>
      <c r="N241" s="73" t="s">
        <v>309</v>
      </c>
      <c r="O241" s="25">
        <f t="shared" si="1"/>
        <v>3.6809328209884695E-2</v>
      </c>
      <c r="Q241" s="26"/>
      <c r="R241" s="28" t="s">
        <v>31</v>
      </c>
      <c r="S241" s="27">
        <f>3*S240</f>
        <v>4.3684301053035689E-2</v>
      </c>
      <c r="T241" s="26"/>
      <c r="U241" s="2" t="s">
        <v>155</v>
      </c>
    </row>
    <row r="242" spans="1:25" ht="15">
      <c r="A242" s="74">
        <v>616.89</v>
      </c>
      <c r="B242" s="74">
        <v>617.02</v>
      </c>
      <c r="C242" s="74">
        <v>607.91999999999996</v>
      </c>
      <c r="D242" s="74">
        <v>614.09</v>
      </c>
      <c r="E242" s="74">
        <v>7527198</v>
      </c>
      <c r="F242" s="74" t="s">
        <v>310</v>
      </c>
      <c r="G242" s="25">
        <f t="shared" si="0"/>
        <v>4.5595922421794999E-3</v>
      </c>
      <c r="I242" s="73">
        <v>373.49</v>
      </c>
      <c r="J242" s="73">
        <v>375.52</v>
      </c>
      <c r="K242" s="73">
        <v>363.78</v>
      </c>
      <c r="L242" s="73">
        <v>368.02</v>
      </c>
      <c r="M242" s="73">
        <v>1507260</v>
      </c>
      <c r="N242" s="73" t="s">
        <v>310</v>
      </c>
      <c r="O242" s="25">
        <f t="shared" si="1"/>
        <v>1.4863322645508381E-2</v>
      </c>
      <c r="Q242" s="26"/>
      <c r="R242" s="28" t="s">
        <v>32</v>
      </c>
      <c r="S242" s="64">
        <f>_xlfn.COVARIANCE.P(O223:O472,G223:G472)/_xlfn.VAR.P(G223:G472)</f>
        <v>1.140846574445135</v>
      </c>
      <c r="T242" s="26"/>
      <c r="U242" s="2" t="s">
        <v>33</v>
      </c>
    </row>
    <row r="243" spans="1:25">
      <c r="A243" s="74">
        <v>616.24</v>
      </c>
      <c r="B243" s="74">
        <v>622.79</v>
      </c>
      <c r="C243" s="74">
        <v>614.82000000000005</v>
      </c>
      <c r="D243" s="74">
        <v>621.96</v>
      </c>
      <c r="E243" s="74">
        <v>7032116</v>
      </c>
      <c r="F243" s="74" t="s">
        <v>311</v>
      </c>
      <c r="G243" s="25">
        <f t="shared" si="0"/>
        <v>-9.1967329088687988E-3</v>
      </c>
      <c r="I243" s="73">
        <v>372.5</v>
      </c>
      <c r="J243" s="73">
        <v>396.89</v>
      </c>
      <c r="K243" s="73">
        <v>372.5</v>
      </c>
      <c r="L243" s="73">
        <v>383.16</v>
      </c>
      <c r="M243" s="73">
        <v>2011694</v>
      </c>
      <c r="N243" s="73" t="s">
        <v>311</v>
      </c>
      <c r="O243" s="25">
        <f t="shared" si="1"/>
        <v>-2.7821275707276438E-2</v>
      </c>
    </row>
    <row r="244" spans="1:25">
      <c r="A244" s="74">
        <v>622.86</v>
      </c>
      <c r="B244" s="74">
        <v>626</v>
      </c>
      <c r="C244" s="74">
        <v>619.83000000000004</v>
      </c>
      <c r="D244" s="74">
        <v>620.59</v>
      </c>
      <c r="E244" s="74">
        <v>10264461</v>
      </c>
      <c r="F244" s="74" t="s">
        <v>312</v>
      </c>
      <c r="G244" s="25">
        <f t="shared" si="0"/>
        <v>3.6578095038592995E-3</v>
      </c>
      <c r="I244" s="73">
        <v>362.6</v>
      </c>
      <c r="J244" s="73">
        <v>365.36</v>
      </c>
      <c r="K244" s="73">
        <v>354.1053</v>
      </c>
      <c r="L244" s="73">
        <v>356.87</v>
      </c>
      <c r="M244" s="73">
        <v>1199364</v>
      </c>
      <c r="N244" s="73" t="s">
        <v>312</v>
      </c>
      <c r="O244" s="25">
        <f t="shared" si="1"/>
        <v>1.6056266987978907E-2</v>
      </c>
      <c r="Q244" s="29" t="s">
        <v>34</v>
      </c>
      <c r="R244" s="30">
        <v>1014</v>
      </c>
    </row>
    <row r="245" spans="1:25" ht="15" thickBot="1">
      <c r="A245" s="74">
        <v>620.99</v>
      </c>
      <c r="B245" s="74">
        <v>625.16999999999996</v>
      </c>
      <c r="C245" s="74">
        <v>620.20000000000005</v>
      </c>
      <c r="D245" s="74">
        <v>621.65</v>
      </c>
      <c r="E245" s="74">
        <v>8203353</v>
      </c>
      <c r="F245" s="74" t="s">
        <v>313</v>
      </c>
      <c r="G245" s="25">
        <f t="shared" si="0"/>
        <v>-1.0616906619479449E-3</v>
      </c>
      <c r="I245" s="73">
        <v>359.85</v>
      </c>
      <c r="J245" s="73">
        <v>361.09</v>
      </c>
      <c r="K245" s="73">
        <v>355.18</v>
      </c>
      <c r="L245" s="73">
        <v>359.05</v>
      </c>
      <c r="M245" s="73">
        <v>730275</v>
      </c>
      <c r="N245" s="73" t="s">
        <v>313</v>
      </c>
      <c r="O245" s="25">
        <f t="shared" si="1"/>
        <v>2.2281019356635845E-3</v>
      </c>
      <c r="Q245" s="1" t="s">
        <v>35</v>
      </c>
      <c r="T245" s="1" t="s">
        <v>36</v>
      </c>
      <c r="X245" s="1" t="s">
        <v>37</v>
      </c>
    </row>
    <row r="246" spans="1:25" ht="15" customHeight="1">
      <c r="A246" s="74">
        <v>628.27</v>
      </c>
      <c r="B246" s="74">
        <v>630.54</v>
      </c>
      <c r="C246" s="74">
        <v>625.16</v>
      </c>
      <c r="D246" s="74">
        <v>630.41999999999996</v>
      </c>
      <c r="E246" s="74">
        <v>5510227</v>
      </c>
      <c r="F246" s="74" t="s">
        <v>314</v>
      </c>
      <c r="G246" s="25">
        <f t="shared" si="0"/>
        <v>-3.4104247961675993E-3</v>
      </c>
      <c r="I246" s="73">
        <v>364.54</v>
      </c>
      <c r="J246" s="73">
        <v>368</v>
      </c>
      <c r="K246" s="73">
        <v>359.7756</v>
      </c>
      <c r="L246" s="73">
        <v>366.48</v>
      </c>
      <c r="M246" s="73">
        <v>803705</v>
      </c>
      <c r="N246" s="73" t="s">
        <v>314</v>
      </c>
      <c r="O246" s="25">
        <f t="shared" si="1"/>
        <v>-5.293604016590292E-3</v>
      </c>
      <c r="Q246" s="78" t="s">
        <v>38</v>
      </c>
      <c r="R246" s="78" t="s">
        <v>39</v>
      </c>
      <c r="T246" s="31" t="s">
        <v>40</v>
      </c>
      <c r="U246" s="32" t="s">
        <v>41</v>
      </c>
      <c r="X246" s="31" t="s">
        <v>42</v>
      </c>
      <c r="Y246" s="32" t="s">
        <v>43</v>
      </c>
    </row>
    <row r="247" spans="1:25" ht="15" customHeight="1">
      <c r="A247" s="74">
        <v>627.04</v>
      </c>
      <c r="B247" s="74">
        <v>629.94000000000005</v>
      </c>
      <c r="C247" s="74">
        <v>624.5</v>
      </c>
      <c r="D247" s="74">
        <v>629.84</v>
      </c>
      <c r="E247" s="74">
        <v>7019277</v>
      </c>
      <c r="F247" s="74" t="s">
        <v>315</v>
      </c>
      <c r="G247" s="25">
        <f t="shared" si="0"/>
        <v>-4.4455734789788925E-3</v>
      </c>
      <c r="I247" s="73">
        <v>368.36</v>
      </c>
      <c r="J247" s="73">
        <v>370.46</v>
      </c>
      <c r="K247" s="73">
        <v>365.81</v>
      </c>
      <c r="L247" s="73">
        <v>365.81</v>
      </c>
      <c r="M247" s="73">
        <v>716108</v>
      </c>
      <c r="N247" s="73" t="s">
        <v>315</v>
      </c>
      <c r="O247" s="25">
        <f t="shared" si="1"/>
        <v>6.970831852601167E-3</v>
      </c>
      <c r="Q247" s="75">
        <v>-4.5000000000000033E-2</v>
      </c>
      <c r="R247" s="76">
        <v>4</v>
      </c>
      <c r="T247" s="75">
        <v>-0.05</v>
      </c>
      <c r="U247" s="1">
        <f>_xlfn.NORM.DIST(T247,$S$238,$S$240,FALSE)</f>
        <v>7.0138593642458169E-2</v>
      </c>
      <c r="W247" s="1" t="s">
        <v>146</v>
      </c>
      <c r="X247" s="61">
        <f>S238</f>
        <v>3.0642300277821034E-4</v>
      </c>
      <c r="Y247" s="1">
        <v>0</v>
      </c>
    </row>
    <row r="248" spans="1:25" ht="15">
      <c r="A248" s="74">
        <v>625.24</v>
      </c>
      <c r="B248" s="74">
        <v>630.63</v>
      </c>
      <c r="C248" s="74">
        <v>625.1</v>
      </c>
      <c r="D248" s="74">
        <v>628.80999999999995</v>
      </c>
      <c r="E248" s="74">
        <v>6171678</v>
      </c>
      <c r="F248" s="74" t="s">
        <v>316</v>
      </c>
      <c r="G248" s="25">
        <f t="shared" si="0"/>
        <v>-5.6773906267393315E-3</v>
      </c>
      <c r="I248" s="73">
        <v>365.66</v>
      </c>
      <c r="J248" s="73">
        <v>375.02</v>
      </c>
      <c r="K248" s="73">
        <v>364.17</v>
      </c>
      <c r="L248" s="73">
        <v>365</v>
      </c>
      <c r="M248" s="73">
        <v>534707</v>
      </c>
      <c r="N248" s="73" t="s">
        <v>316</v>
      </c>
      <c r="O248" s="25">
        <f t="shared" si="1"/>
        <v>1.8082191780821599E-3</v>
      </c>
      <c r="Q248" s="75">
        <v>-4.4000000000000032E-2</v>
      </c>
      <c r="R248" s="76">
        <v>1</v>
      </c>
      <c r="T248" s="75">
        <v>-4.9000000000000002E-2</v>
      </c>
      <c r="U248" s="1">
        <f t="shared" ref="U248:U311" si="2">_xlfn.NORM.DIST(T248,$S$238,$S$240,FALSE)</f>
        <v>8.870976579182395E-2</v>
      </c>
      <c r="X248" s="61">
        <f>S238</f>
        <v>3.0642300277821034E-4</v>
      </c>
      <c r="Y248" s="1">
        <v>27.5</v>
      </c>
    </row>
    <row r="249" spans="1:25" ht="15">
      <c r="A249" s="74">
        <v>631.95000000000005</v>
      </c>
      <c r="B249" s="74">
        <v>634.13</v>
      </c>
      <c r="C249" s="74">
        <v>627.87</v>
      </c>
      <c r="D249" s="74">
        <v>633.21</v>
      </c>
      <c r="E249" s="74">
        <v>6037388</v>
      </c>
      <c r="F249" s="74" t="s">
        <v>317</v>
      </c>
      <c r="G249" s="25">
        <f t="shared" si="0"/>
        <v>-1.9898611834936464E-3</v>
      </c>
      <c r="I249" s="73">
        <v>368.15</v>
      </c>
      <c r="J249" s="73">
        <v>372.22500000000002</v>
      </c>
      <c r="K249" s="73">
        <v>362.5</v>
      </c>
      <c r="L249" s="73">
        <v>363.13</v>
      </c>
      <c r="M249" s="73">
        <v>876324</v>
      </c>
      <c r="N249" s="73" t="s">
        <v>317</v>
      </c>
      <c r="O249" s="25">
        <f t="shared" si="1"/>
        <v>1.3824250268498872E-2</v>
      </c>
      <c r="Q249" s="75">
        <v>-4.3000000000000031E-2</v>
      </c>
      <c r="R249" s="76">
        <v>0</v>
      </c>
      <c r="T249" s="75">
        <v>-4.8000000000000001E-2</v>
      </c>
      <c r="U249" s="1">
        <f t="shared" si="2"/>
        <v>0.11167027725366437</v>
      </c>
      <c r="W249" s="39" t="s">
        <v>147</v>
      </c>
      <c r="X249" s="61">
        <f>($S$240*-3)+$S$238</f>
        <v>-4.337787805025748E-2</v>
      </c>
      <c r="Y249" s="1">
        <v>0</v>
      </c>
    </row>
    <row r="250" spans="1:25" ht="15">
      <c r="A250" s="74">
        <v>631.69000000000005</v>
      </c>
      <c r="B250" s="74">
        <v>633.39</v>
      </c>
      <c r="C250" s="74">
        <v>629.64</v>
      </c>
      <c r="D250" s="74">
        <v>631.71</v>
      </c>
      <c r="E250" s="74">
        <v>5575277</v>
      </c>
      <c r="F250" s="74" t="s">
        <v>318</v>
      </c>
      <c r="G250" s="25">
        <f t="shared" si="0"/>
        <v>-3.1660097196462011E-5</v>
      </c>
      <c r="I250" s="73">
        <v>361.98</v>
      </c>
      <c r="J250" s="73">
        <v>362.22</v>
      </c>
      <c r="K250" s="73">
        <v>356.64</v>
      </c>
      <c r="L250" s="73">
        <v>360.42</v>
      </c>
      <c r="M250" s="73">
        <v>549013</v>
      </c>
      <c r="N250" s="73" t="s">
        <v>318</v>
      </c>
      <c r="O250" s="25">
        <f t="shared" si="1"/>
        <v>4.3282836690528015E-3</v>
      </c>
      <c r="Q250" s="75">
        <v>-4.200000000000003E-2</v>
      </c>
      <c r="R250" s="76">
        <v>0</v>
      </c>
      <c r="T250" s="75">
        <v>-4.7E-2</v>
      </c>
      <c r="U250" s="1">
        <f t="shared" si="2"/>
        <v>0.1399121849455715</v>
      </c>
      <c r="W250" s="40"/>
      <c r="X250" s="61">
        <f>($S$240*-3)+$S$238</f>
        <v>-4.337787805025748E-2</v>
      </c>
      <c r="Y250" s="1">
        <v>1</v>
      </c>
    </row>
    <row r="251" spans="1:25" ht="15">
      <c r="A251" s="74">
        <v>630</v>
      </c>
      <c r="B251" s="74">
        <v>630.29</v>
      </c>
      <c r="C251" s="74">
        <v>627.16</v>
      </c>
      <c r="D251" s="74">
        <v>627.74</v>
      </c>
      <c r="E251" s="74">
        <v>7804316</v>
      </c>
      <c r="F251" s="74" t="s">
        <v>319</v>
      </c>
      <c r="G251" s="25">
        <f t="shared" si="0"/>
        <v>3.600216650205379E-3</v>
      </c>
      <c r="I251" s="73">
        <v>361.53</v>
      </c>
      <c r="J251" s="73">
        <v>364.53739999999999</v>
      </c>
      <c r="K251" s="73">
        <v>359</v>
      </c>
      <c r="L251" s="73">
        <v>360.2</v>
      </c>
      <c r="M251" s="73">
        <v>601037</v>
      </c>
      <c r="N251" s="73" t="s">
        <v>319</v>
      </c>
      <c r="O251" s="25">
        <f t="shared" si="1"/>
        <v>3.6923931149361877E-3</v>
      </c>
      <c r="Q251" s="75">
        <v>-4.1000000000000029E-2</v>
      </c>
      <c r="R251" s="76">
        <v>0</v>
      </c>
      <c r="T251" s="75">
        <v>-4.5999999999999999E-2</v>
      </c>
      <c r="U251" s="1">
        <f t="shared" si="2"/>
        <v>0.17447180974911369</v>
      </c>
      <c r="W251" s="39" t="s">
        <v>148</v>
      </c>
      <c r="X251" s="61">
        <f>($S$240*-2)+$S$238</f>
        <v>-2.8816444365912249E-2</v>
      </c>
      <c r="Y251" s="1">
        <v>0</v>
      </c>
    </row>
    <row r="252" spans="1:25" ht="15">
      <c r="A252" s="74">
        <v>622.54999999999995</v>
      </c>
      <c r="B252" s="74">
        <v>623.78989999999999</v>
      </c>
      <c r="C252" s="74">
        <v>621.20699999999999</v>
      </c>
      <c r="D252" s="74">
        <v>621.91999999999996</v>
      </c>
      <c r="E252" s="74">
        <v>5650844</v>
      </c>
      <c r="F252" s="74" t="s">
        <v>320</v>
      </c>
      <c r="G252" s="25">
        <f t="shared" si="0"/>
        <v>1.0129920246977342E-3</v>
      </c>
      <c r="I252" s="73">
        <v>356.48</v>
      </c>
      <c r="J252" s="73">
        <v>361.6</v>
      </c>
      <c r="K252" s="73">
        <v>356.34</v>
      </c>
      <c r="L252" s="73">
        <v>361.6</v>
      </c>
      <c r="M252" s="73">
        <v>418461</v>
      </c>
      <c r="N252" s="73" t="s">
        <v>320</v>
      </c>
      <c r="O252" s="25">
        <f t="shared" si="1"/>
        <v>-1.415929203539823E-2</v>
      </c>
      <c r="Q252" s="75">
        <v>-4.0000000000000029E-2</v>
      </c>
      <c r="R252" s="76">
        <v>1</v>
      </c>
      <c r="T252" s="75">
        <v>-4.5000000000000033E-2</v>
      </c>
      <c r="U252" s="1">
        <f>_xlfn.NORM.DIST(T252,$S$238,$S$240,FALSE)</f>
        <v>0.21654430956684967</v>
      </c>
      <c r="W252" s="40"/>
      <c r="X252" s="61">
        <f>($S$240*-2)+$S$238</f>
        <v>-2.8816444365912249E-2</v>
      </c>
      <c r="Y252" s="1">
        <v>5</v>
      </c>
    </row>
    <row r="253" spans="1:25" ht="15">
      <c r="A253" s="74">
        <v>617.44000000000005</v>
      </c>
      <c r="B253" s="74">
        <v>618.47400000000005</v>
      </c>
      <c r="C253" s="74">
        <v>613.99</v>
      </c>
      <c r="D253" s="74">
        <v>614.25</v>
      </c>
      <c r="E253" s="74">
        <v>5825360</v>
      </c>
      <c r="F253" s="74" t="s">
        <v>321</v>
      </c>
      <c r="G253" s="25">
        <f t="shared" si="0"/>
        <v>5.1933251933253821E-3</v>
      </c>
      <c r="I253" s="73">
        <v>357.16</v>
      </c>
      <c r="J253" s="73">
        <v>357.16</v>
      </c>
      <c r="K253" s="73">
        <v>350.63</v>
      </c>
      <c r="L253" s="73">
        <v>350.63</v>
      </c>
      <c r="M253" s="73">
        <v>414022</v>
      </c>
      <c r="N253" s="73" t="s">
        <v>321</v>
      </c>
      <c r="O253" s="25">
        <f t="shared" si="1"/>
        <v>1.8623620340529889E-2</v>
      </c>
      <c r="Q253" s="75">
        <v>-3.9000000000000028E-2</v>
      </c>
      <c r="R253" s="76">
        <v>1</v>
      </c>
      <c r="T253" s="75">
        <v>-4.4000000000000032E-2</v>
      </c>
      <c r="U253" s="1">
        <f t="shared" ref="U253:U278" si="3">_xlfn.NORM.DIST(T253,$S$238,$S$240,FALSE)</f>
        <v>0.26749770976472237</v>
      </c>
      <c r="W253" s="41" t="s">
        <v>149</v>
      </c>
      <c r="X253" s="61">
        <f>($S$240*-1)+$S$238</f>
        <v>-1.425501068156702E-2</v>
      </c>
      <c r="Y253" s="1">
        <v>0</v>
      </c>
    </row>
    <row r="254" spans="1:25" ht="15">
      <c r="A254" s="74">
        <v>613.97</v>
      </c>
      <c r="B254" s="74">
        <v>617.83000000000004</v>
      </c>
      <c r="C254" s="74">
        <v>609.83000000000004</v>
      </c>
      <c r="D254" s="74">
        <v>617.83000000000004</v>
      </c>
      <c r="E254" s="74">
        <v>6119026</v>
      </c>
      <c r="F254" s="74" t="s">
        <v>322</v>
      </c>
      <c r="G254" s="25">
        <f t="shared" si="0"/>
        <v>-6.247673308191648E-3</v>
      </c>
      <c r="I254" s="73">
        <v>350.3</v>
      </c>
      <c r="J254" s="73">
        <v>360.7</v>
      </c>
      <c r="K254" s="73">
        <v>349.12009999999998</v>
      </c>
      <c r="L254" s="73">
        <v>357</v>
      </c>
      <c r="M254" s="73">
        <v>611525</v>
      </c>
      <c r="N254" s="73" t="s">
        <v>322</v>
      </c>
      <c r="O254" s="25">
        <f t="shared" si="1"/>
        <v>-1.8767507002801054E-2</v>
      </c>
      <c r="Q254" s="75">
        <v>-3.8000000000000027E-2</v>
      </c>
      <c r="R254" s="76">
        <v>0</v>
      </c>
      <c r="T254" s="75">
        <v>-4.3000000000000031E-2</v>
      </c>
      <c r="U254" s="1">
        <f t="shared" si="3"/>
        <v>0.32888581544527434</v>
      </c>
      <c r="X254" s="61">
        <f>($S$240*-1)+$S$238</f>
        <v>-1.425501068156702E-2</v>
      </c>
      <c r="Y254" s="1">
        <v>17</v>
      </c>
    </row>
    <row r="255" spans="1:25" ht="15">
      <c r="A255" s="74">
        <v>617.09</v>
      </c>
      <c r="B255" s="74">
        <v>618.74</v>
      </c>
      <c r="C255" s="74">
        <v>615.98099999999999</v>
      </c>
      <c r="D255" s="74">
        <v>617.33000000000004</v>
      </c>
      <c r="E255" s="74">
        <v>4156131</v>
      </c>
      <c r="F255" s="74" t="s">
        <v>323</v>
      </c>
      <c r="G255" s="25">
        <f t="shared" si="0"/>
        <v>-3.8877099768364065E-4</v>
      </c>
      <c r="I255" s="73">
        <v>354.16</v>
      </c>
      <c r="J255" s="73">
        <v>358.83</v>
      </c>
      <c r="K255" s="73">
        <v>350.12</v>
      </c>
      <c r="L255" s="73">
        <v>351.24</v>
      </c>
      <c r="M255" s="73">
        <v>498098</v>
      </c>
      <c r="N255" s="73" t="s">
        <v>323</v>
      </c>
      <c r="O255" s="25">
        <f t="shared" si="1"/>
        <v>8.3134039403256477E-3</v>
      </c>
      <c r="Q255" s="75">
        <v>-3.7000000000000026E-2</v>
      </c>
      <c r="R255" s="76">
        <v>1</v>
      </c>
      <c r="T255" s="75">
        <v>-4.200000000000003E-2</v>
      </c>
      <c r="U255" s="1">
        <f t="shared" si="3"/>
        <v>0.40245933095038328</v>
      </c>
      <c r="W255" s="1" t="s">
        <v>150</v>
      </c>
      <c r="X255" s="61">
        <f>($S$240*1)+$S$238</f>
        <v>1.486785668712344E-2</v>
      </c>
      <c r="Y255" s="1">
        <v>0</v>
      </c>
    </row>
    <row r="256" spans="1:25" ht="15">
      <c r="A256" s="74">
        <v>617.16999999999996</v>
      </c>
      <c r="B256" s="74">
        <v>618.01</v>
      </c>
      <c r="C256" s="74">
        <v>613.51</v>
      </c>
      <c r="D256" s="74">
        <v>613.51</v>
      </c>
      <c r="E256" s="74">
        <v>4049225</v>
      </c>
      <c r="F256" s="74" t="s">
        <v>324</v>
      </c>
      <c r="G256" s="25">
        <f t="shared" si="0"/>
        <v>5.9656729311665657E-3</v>
      </c>
      <c r="I256" s="73">
        <v>352.79</v>
      </c>
      <c r="J256" s="73">
        <v>353.66</v>
      </c>
      <c r="K256" s="73">
        <v>349.33</v>
      </c>
      <c r="L256" s="73">
        <v>349.77</v>
      </c>
      <c r="M256" s="73">
        <v>420786</v>
      </c>
      <c r="N256" s="73" t="s">
        <v>324</v>
      </c>
      <c r="O256" s="25">
        <f t="shared" si="1"/>
        <v>8.6342453612375802E-3</v>
      </c>
      <c r="Q256" s="75">
        <v>-3.6000000000000025E-2</v>
      </c>
      <c r="R256" s="76">
        <v>2</v>
      </c>
      <c r="T256" s="75">
        <v>-4.1000000000000029E-2</v>
      </c>
      <c r="U256" s="1">
        <f t="shared" si="3"/>
        <v>0.49017441735650857</v>
      </c>
      <c r="X256" s="61">
        <f>($S$240*1)+$S$238</f>
        <v>1.486785668712344E-2</v>
      </c>
      <c r="Y256" s="1">
        <v>17</v>
      </c>
    </row>
    <row r="257" spans="1:25" ht="15">
      <c r="A257" s="74">
        <v>610.76</v>
      </c>
      <c r="B257" s="74">
        <v>612.02</v>
      </c>
      <c r="C257" s="74">
        <v>605.1</v>
      </c>
      <c r="D257" s="74">
        <v>606.34</v>
      </c>
      <c r="E257" s="74">
        <v>6884090</v>
      </c>
      <c r="F257" s="74" t="s">
        <v>325</v>
      </c>
      <c r="G257" s="25">
        <f t="shared" si="0"/>
        <v>7.289639476201426E-3</v>
      </c>
      <c r="I257" s="73">
        <v>347.66</v>
      </c>
      <c r="J257" s="73">
        <v>348.1</v>
      </c>
      <c r="K257" s="73">
        <v>343.81</v>
      </c>
      <c r="L257" s="73">
        <v>347.19</v>
      </c>
      <c r="M257" s="73">
        <v>679567</v>
      </c>
      <c r="N257" s="73" t="s">
        <v>325</v>
      </c>
      <c r="O257" s="25">
        <f t="shared" si="1"/>
        <v>1.3537256257381003E-3</v>
      </c>
      <c r="Q257" s="75">
        <v>-3.5000000000000024E-2</v>
      </c>
      <c r="R257" s="76">
        <v>0</v>
      </c>
      <c r="T257" s="75">
        <v>-4.0000000000000029E-2</v>
      </c>
      <c r="U257" s="1">
        <f t="shared" si="3"/>
        <v>0.59419783399102521</v>
      </c>
      <c r="W257" s="42" t="s">
        <v>151</v>
      </c>
      <c r="X257" s="61">
        <f>($S$240*2)+$S$238</f>
        <v>2.9429290371468672E-2</v>
      </c>
      <c r="Y257" s="1">
        <v>0</v>
      </c>
    </row>
    <row r="258" spans="1:25" ht="15">
      <c r="A258" s="74">
        <v>607.39</v>
      </c>
      <c r="B258" s="74">
        <v>614.79999999999995</v>
      </c>
      <c r="C258" s="74">
        <v>604.14</v>
      </c>
      <c r="D258" s="74">
        <v>613.11</v>
      </c>
      <c r="E258" s="74">
        <v>7533209</v>
      </c>
      <c r="F258" s="74" t="s">
        <v>326</v>
      </c>
      <c r="G258" s="25">
        <f t="shared" si="0"/>
        <v>-9.3294841056255073E-3</v>
      </c>
      <c r="I258" s="73">
        <v>348.02</v>
      </c>
      <c r="J258" s="73">
        <v>354.25</v>
      </c>
      <c r="K258" s="73">
        <v>345.51</v>
      </c>
      <c r="L258" s="73">
        <v>354.11</v>
      </c>
      <c r="M258" s="73">
        <v>630190</v>
      </c>
      <c r="N258" s="73" t="s">
        <v>326</v>
      </c>
      <c r="O258" s="25">
        <f t="shared" si="1"/>
        <v>-1.719804580497597E-2</v>
      </c>
      <c r="Q258" s="75">
        <v>-3.4000000000000023E-2</v>
      </c>
      <c r="R258" s="76">
        <v>2</v>
      </c>
      <c r="T258" s="75">
        <v>-3.9000000000000028E-2</v>
      </c>
      <c r="U258" s="1">
        <f t="shared" si="3"/>
        <v>0.71690774142572378</v>
      </c>
      <c r="X258" s="61">
        <f>($S$240*2)+$S$238</f>
        <v>2.9429290371468672E-2</v>
      </c>
      <c r="Y258" s="1">
        <v>5</v>
      </c>
    </row>
    <row r="259" spans="1:25" ht="15">
      <c r="A259" s="74">
        <v>611.42999999999995</v>
      </c>
      <c r="B259" s="74">
        <v>616.20500000000004</v>
      </c>
      <c r="C259" s="74">
        <v>605.82000000000005</v>
      </c>
      <c r="D259" s="74">
        <v>613.07000000000005</v>
      </c>
      <c r="E259" s="74">
        <v>6474986</v>
      </c>
      <c r="F259" s="74" t="s">
        <v>327</v>
      </c>
      <c r="G259" s="25">
        <f t="shared" si="0"/>
        <v>-2.6750615753504681E-3</v>
      </c>
      <c r="I259" s="73">
        <v>352.09</v>
      </c>
      <c r="J259" s="73">
        <v>352.75</v>
      </c>
      <c r="K259" s="73">
        <v>345.95</v>
      </c>
      <c r="L259" s="73">
        <v>346.88</v>
      </c>
      <c r="M259" s="73">
        <v>812718</v>
      </c>
      <c r="N259" s="73" t="s">
        <v>327</v>
      </c>
      <c r="O259" s="25">
        <f t="shared" si="1"/>
        <v>1.5019603321033248E-2</v>
      </c>
      <c r="Q259" s="75">
        <v>-3.3000000000000022E-2</v>
      </c>
      <c r="R259" s="76">
        <v>1</v>
      </c>
      <c r="T259" s="75">
        <v>-3.8000000000000027E-2</v>
      </c>
      <c r="U259" s="1">
        <f t="shared" si="3"/>
        <v>0.86088919784496509</v>
      </c>
      <c r="W259" s="42" t="s">
        <v>152</v>
      </c>
      <c r="X259" s="61">
        <f>($S$240*3)+$S$238</f>
        <v>4.3990724055813897E-2</v>
      </c>
      <c r="Y259" s="1">
        <v>0</v>
      </c>
    </row>
    <row r="260" spans="1:25" ht="15">
      <c r="A260" s="74">
        <v>608.75</v>
      </c>
      <c r="B260" s="74">
        <v>612.14</v>
      </c>
      <c r="C260" s="74">
        <v>600.51</v>
      </c>
      <c r="D260" s="74">
        <v>604.20000000000005</v>
      </c>
      <c r="E260" s="74">
        <v>7469018</v>
      </c>
      <c r="F260" s="74" t="s">
        <v>328</v>
      </c>
      <c r="G260" s="25">
        <f t="shared" si="0"/>
        <v>7.5306190003310292E-3</v>
      </c>
      <c r="I260" s="73">
        <v>344.01</v>
      </c>
      <c r="J260" s="73">
        <v>349.09</v>
      </c>
      <c r="K260" s="73">
        <v>335.17</v>
      </c>
      <c r="L260" s="73">
        <v>335.31</v>
      </c>
      <c r="M260" s="73">
        <v>1018404</v>
      </c>
      <c r="N260" s="73" t="s">
        <v>328</v>
      </c>
      <c r="O260" s="25">
        <f t="shared" si="1"/>
        <v>2.5946139393397072E-2</v>
      </c>
      <c r="Q260" s="75">
        <v>-3.2000000000000021E-2</v>
      </c>
      <c r="R260" s="76">
        <v>1</v>
      </c>
      <c r="T260" s="75">
        <v>-3.7000000000000026E-2</v>
      </c>
      <c r="U260" s="1">
        <f t="shared" si="3"/>
        <v>1.0289233653270704</v>
      </c>
      <c r="W260" s="42"/>
      <c r="X260" s="61">
        <f>($S$240*3)+$S$238</f>
        <v>4.3990724055813897E-2</v>
      </c>
      <c r="Y260" s="1">
        <v>1</v>
      </c>
    </row>
    <row r="261" spans="1:25" ht="15">
      <c r="A261" s="74">
        <v>609.61</v>
      </c>
      <c r="B261" s="74">
        <v>611.02719999999999</v>
      </c>
      <c r="C261" s="74">
        <v>606.57500000000005</v>
      </c>
      <c r="D261" s="74">
        <v>607.37</v>
      </c>
      <c r="E261" s="74">
        <v>6942460</v>
      </c>
      <c r="F261" s="74" t="s">
        <v>329</v>
      </c>
      <c r="G261" s="25">
        <f t="shared" si="0"/>
        <v>3.6880320068493067E-3</v>
      </c>
      <c r="I261" s="73">
        <v>339.2</v>
      </c>
      <c r="J261" s="73">
        <v>340.98</v>
      </c>
      <c r="K261" s="73">
        <v>336.61500000000001</v>
      </c>
      <c r="L261" s="73">
        <v>338.4</v>
      </c>
      <c r="M261" s="73">
        <v>597886</v>
      </c>
      <c r="N261" s="73" t="s">
        <v>329</v>
      </c>
      <c r="O261" s="25">
        <f t="shared" si="1"/>
        <v>2.3640661938535423E-3</v>
      </c>
      <c r="Q261" s="75">
        <v>-3.1000000000000021E-2</v>
      </c>
      <c r="R261" s="76">
        <v>0</v>
      </c>
      <c r="T261" s="75">
        <v>-3.6000000000000025E-2</v>
      </c>
      <c r="U261" s="1">
        <f t="shared" si="3"/>
        <v>1.2239694646025199</v>
      </c>
    </row>
    <row r="262" spans="1:25" ht="15">
      <c r="A262" s="74">
        <v>600.51</v>
      </c>
      <c r="B262" s="74">
        <v>619.6</v>
      </c>
      <c r="C262" s="74">
        <v>600.23</v>
      </c>
      <c r="D262" s="74">
        <v>617.99</v>
      </c>
      <c r="E262" s="74">
        <v>13339202</v>
      </c>
      <c r="F262" s="74" t="s">
        <v>330</v>
      </c>
      <c r="G262" s="25">
        <f t="shared" si="0"/>
        <v>-2.8285247334099317E-2</v>
      </c>
      <c r="I262" s="73">
        <v>333.75</v>
      </c>
      <c r="J262" s="73">
        <v>347.6</v>
      </c>
      <c r="K262" s="73">
        <v>332.71</v>
      </c>
      <c r="L262" s="73">
        <v>344.94</v>
      </c>
      <c r="M262" s="73">
        <v>859399</v>
      </c>
      <c r="N262" s="73" t="s">
        <v>330</v>
      </c>
      <c r="O262" s="25">
        <f t="shared" si="1"/>
        <v>-3.2440424421638525E-2</v>
      </c>
      <c r="Q262" s="75">
        <v>-3.000000000000002E-2</v>
      </c>
      <c r="R262" s="76">
        <v>1</v>
      </c>
      <c r="T262" s="75">
        <v>-3.5000000000000024E-2</v>
      </c>
      <c r="U262" s="1">
        <f t="shared" si="3"/>
        <v>1.4491385830362513</v>
      </c>
    </row>
    <row r="263" spans="1:25" ht="15">
      <c r="A263" s="74">
        <v>617.1</v>
      </c>
      <c r="B263" s="74">
        <v>619.59</v>
      </c>
      <c r="C263" s="74">
        <v>615.28</v>
      </c>
      <c r="D263" s="74">
        <v>619.23</v>
      </c>
      <c r="E263" s="74">
        <v>5879748</v>
      </c>
      <c r="F263" s="74" t="s">
        <v>331</v>
      </c>
      <c r="G263" s="25">
        <f t="shared" si="0"/>
        <v>-3.439755825783597E-3</v>
      </c>
      <c r="I263" s="73">
        <v>342.8</v>
      </c>
      <c r="J263" s="73">
        <v>350.92</v>
      </c>
      <c r="K263" s="73">
        <v>340.77510000000001</v>
      </c>
      <c r="L263" s="73">
        <v>350.92</v>
      </c>
      <c r="M263" s="73">
        <v>588288</v>
      </c>
      <c r="N263" s="73" t="s">
        <v>331</v>
      </c>
      <c r="O263" s="25">
        <f t="shared" si="1"/>
        <v>-2.3139177020403467E-2</v>
      </c>
      <c r="Q263" s="75">
        <v>-2.9000000000000019E-2</v>
      </c>
      <c r="R263" s="76">
        <v>5</v>
      </c>
      <c r="T263" s="75">
        <v>-3.4000000000000023E-2</v>
      </c>
      <c r="U263" s="1">
        <f t="shared" si="3"/>
        <v>1.7076585568204621</v>
      </c>
    </row>
    <row r="264" spans="1:25" ht="15">
      <c r="A264" s="74">
        <v>618.77</v>
      </c>
      <c r="B264" s="74">
        <v>618.9</v>
      </c>
      <c r="C264" s="74">
        <v>615.46420000000001</v>
      </c>
      <c r="D264" s="74">
        <v>616.21500000000003</v>
      </c>
      <c r="E264" s="74">
        <v>5000436</v>
      </c>
      <c r="F264" s="74" t="s">
        <v>332</v>
      </c>
      <c r="G264" s="25">
        <f t="shared" si="0"/>
        <v>4.1462801132721161E-3</v>
      </c>
      <c r="I264" s="73">
        <v>348.11</v>
      </c>
      <c r="J264" s="73">
        <v>348.53</v>
      </c>
      <c r="K264" s="73">
        <v>342.625</v>
      </c>
      <c r="L264" s="73">
        <v>345.68</v>
      </c>
      <c r="M264" s="73">
        <v>672852</v>
      </c>
      <c r="N264" s="73" t="s">
        <v>332</v>
      </c>
      <c r="O264" s="25">
        <f t="shared" si="1"/>
        <v>7.0296227725064053E-3</v>
      </c>
      <c r="Q264" s="75">
        <v>-2.8000000000000018E-2</v>
      </c>
      <c r="R264" s="76">
        <v>0</v>
      </c>
      <c r="T264" s="75">
        <v>-3.3000000000000022E-2</v>
      </c>
      <c r="U264" s="1">
        <f t="shared" si="3"/>
        <v>2.0028293191660675</v>
      </c>
    </row>
    <row r="265" spans="1:25" ht="15">
      <c r="A265" s="74">
        <v>615.20000000000005</v>
      </c>
      <c r="B265" s="74">
        <v>618.73929999999996</v>
      </c>
      <c r="C265" s="74">
        <v>613.82000000000005</v>
      </c>
      <c r="D265" s="74">
        <v>618.29999999999995</v>
      </c>
      <c r="E265" s="74">
        <v>7439508</v>
      </c>
      <c r="F265" s="74" t="s">
        <v>333</v>
      </c>
      <c r="G265" s="25">
        <f t="shared" si="0"/>
        <v>-5.0137473718258052E-3</v>
      </c>
      <c r="I265" s="73">
        <v>344.22</v>
      </c>
      <c r="J265" s="73">
        <v>350.89499999999998</v>
      </c>
      <c r="K265" s="73">
        <v>342.18</v>
      </c>
      <c r="L265" s="73">
        <v>349.15</v>
      </c>
      <c r="M265" s="73">
        <v>620075</v>
      </c>
      <c r="N265" s="73" t="s">
        <v>333</v>
      </c>
      <c r="O265" s="25">
        <f t="shared" si="1"/>
        <v>-1.4120005728196938E-2</v>
      </c>
      <c r="Q265" s="75">
        <v>-2.7000000000000017E-2</v>
      </c>
      <c r="R265" s="76">
        <v>4</v>
      </c>
      <c r="T265" s="75">
        <v>-3.2000000000000021E-2</v>
      </c>
      <c r="U265" s="1">
        <f t="shared" si="3"/>
        <v>2.3379683342361863</v>
      </c>
    </row>
    <row r="266" spans="1:25" ht="15">
      <c r="A266" s="74">
        <v>617.4</v>
      </c>
      <c r="B266" s="74">
        <v>618.28</v>
      </c>
      <c r="C266" s="74">
        <v>615.48</v>
      </c>
      <c r="D266" s="74">
        <v>617.46</v>
      </c>
      <c r="E266" s="74">
        <v>5958193</v>
      </c>
      <c r="F266" s="74" t="s">
        <v>334</v>
      </c>
      <c r="G266" s="25">
        <f t="shared" si="0"/>
        <v>-9.7172286463997892E-5</v>
      </c>
      <c r="I266" s="73">
        <v>348.57</v>
      </c>
      <c r="J266" s="73">
        <v>352.88499999999999</v>
      </c>
      <c r="K266" s="73">
        <v>348.13499999999999</v>
      </c>
      <c r="L266" s="73">
        <v>352.52</v>
      </c>
      <c r="M266" s="73">
        <v>697519</v>
      </c>
      <c r="N266" s="73" t="s">
        <v>334</v>
      </c>
      <c r="O266" s="25">
        <f t="shared" si="1"/>
        <v>-1.1205038012027657E-2</v>
      </c>
      <c r="Q266" s="75">
        <v>-2.6000000000000016E-2</v>
      </c>
      <c r="R266" s="76">
        <v>5</v>
      </c>
      <c r="T266" s="75">
        <v>-3.1000000000000021E-2</v>
      </c>
      <c r="U266" s="1">
        <f t="shared" si="3"/>
        <v>2.7163460218346156</v>
      </c>
    </row>
    <row r="267" spans="1:25" ht="15">
      <c r="A267" s="74">
        <v>615.29999999999995</v>
      </c>
      <c r="B267" s="74">
        <v>618.41999999999996</v>
      </c>
      <c r="C267" s="74">
        <v>614.28800000000001</v>
      </c>
      <c r="D267" s="74">
        <v>615.95000000000005</v>
      </c>
      <c r="E267" s="74">
        <v>7187163</v>
      </c>
      <c r="F267" s="74" t="s">
        <v>335</v>
      </c>
      <c r="G267" s="25">
        <f t="shared" si="0"/>
        <v>-1.0552804610765021E-3</v>
      </c>
      <c r="I267" s="73">
        <v>349.4</v>
      </c>
      <c r="J267" s="73">
        <v>353.62</v>
      </c>
      <c r="K267" s="73">
        <v>346.60500000000002</v>
      </c>
      <c r="L267" s="73">
        <v>349.01</v>
      </c>
      <c r="M267" s="73">
        <v>836065</v>
      </c>
      <c r="N267" s="73" t="s">
        <v>335</v>
      </c>
      <c r="O267" s="25">
        <f t="shared" si="1"/>
        <v>1.1174464915044702E-3</v>
      </c>
      <c r="Q267" s="75">
        <v>-2.5000000000000015E-2</v>
      </c>
      <c r="R267" s="76">
        <v>3</v>
      </c>
      <c r="T267" s="75">
        <v>-3.000000000000002E-2</v>
      </c>
      <c r="U267" s="1">
        <f t="shared" si="3"/>
        <v>3.141111417717477</v>
      </c>
    </row>
    <row r="268" spans="1:25" ht="15">
      <c r="A268" s="74">
        <v>615.25</v>
      </c>
      <c r="B268" s="74">
        <v>616.48</v>
      </c>
      <c r="C268" s="74">
        <v>613.02</v>
      </c>
      <c r="D268" s="74">
        <v>616.41</v>
      </c>
      <c r="E268" s="74">
        <v>7036646</v>
      </c>
      <c r="F268" s="74" t="s">
        <v>336</v>
      </c>
      <c r="G268" s="25">
        <f t="shared" si="0"/>
        <v>-1.8818643435375426E-3</v>
      </c>
      <c r="I268" s="73">
        <v>348.69</v>
      </c>
      <c r="J268" s="73">
        <v>354.97989999999999</v>
      </c>
      <c r="K268" s="73">
        <v>345.61</v>
      </c>
      <c r="L268" s="73">
        <v>351.68</v>
      </c>
      <c r="M268" s="73">
        <v>816552</v>
      </c>
      <c r="N268" s="73" t="s">
        <v>336</v>
      </c>
      <c r="O268" s="25">
        <f t="shared" si="1"/>
        <v>-8.5020473157415566E-3</v>
      </c>
      <c r="Q268" s="75">
        <v>-2.4000000000000014E-2</v>
      </c>
      <c r="R268" s="76">
        <v>1</v>
      </c>
      <c r="T268" s="75">
        <v>-2.9000000000000019E-2</v>
      </c>
      <c r="U268" s="1">
        <f t="shared" si="3"/>
        <v>3.6152087028495101</v>
      </c>
    </row>
    <row r="269" spans="1:25" ht="15">
      <c r="A269" s="74">
        <v>614.57000000000005</v>
      </c>
      <c r="B269" s="74">
        <v>615.39</v>
      </c>
      <c r="C269" s="74">
        <v>609.57000000000005</v>
      </c>
      <c r="D269" s="74">
        <v>609.70000000000005</v>
      </c>
      <c r="E269" s="74">
        <v>9753029</v>
      </c>
      <c r="F269" s="74" t="s">
        <v>337</v>
      </c>
      <c r="G269" s="25">
        <f t="shared" si="0"/>
        <v>7.9875348532065793E-3</v>
      </c>
      <c r="I269" s="73">
        <v>349.32</v>
      </c>
      <c r="J269" s="73">
        <v>351.88</v>
      </c>
      <c r="K269" s="73">
        <v>345.55</v>
      </c>
      <c r="L269" s="73">
        <v>347.54</v>
      </c>
      <c r="M269" s="73">
        <v>921053</v>
      </c>
      <c r="N269" s="73" t="s">
        <v>337</v>
      </c>
      <c r="O269" s="25">
        <f t="shared" si="1"/>
        <v>5.1217126086204878E-3</v>
      </c>
      <c r="Q269" s="75">
        <v>-2.3000000000000013E-2</v>
      </c>
      <c r="R269" s="76">
        <v>2</v>
      </c>
      <c r="T269" s="75">
        <v>-2.8000000000000018E-2</v>
      </c>
      <c r="U269" s="1">
        <f t="shared" si="3"/>
        <v>4.1412856624960375</v>
      </c>
    </row>
    <row r="270" spans="1:25" ht="15">
      <c r="A270" s="74">
        <v>612.38</v>
      </c>
      <c r="B270" s="74">
        <v>612.86</v>
      </c>
      <c r="C270" s="74">
        <v>608.27</v>
      </c>
      <c r="D270" s="74">
        <v>609.42999999999995</v>
      </c>
      <c r="E270" s="74">
        <v>6481423</v>
      </c>
      <c r="F270" s="74" t="s">
        <v>338</v>
      </c>
      <c r="G270" s="25">
        <f t="shared" si="0"/>
        <v>4.8405887468618847E-3</v>
      </c>
      <c r="I270" s="73">
        <v>349.53</v>
      </c>
      <c r="J270" s="73">
        <v>350.16</v>
      </c>
      <c r="K270" s="73">
        <v>342.69499999999999</v>
      </c>
      <c r="L270" s="73">
        <v>343.54</v>
      </c>
      <c r="M270" s="73">
        <v>878907</v>
      </c>
      <c r="N270" s="73" t="s">
        <v>338</v>
      </c>
      <c r="O270" s="25">
        <f t="shared" si="1"/>
        <v>1.7436106421377273E-2</v>
      </c>
      <c r="Q270" s="75">
        <v>-2.2000000000000013E-2</v>
      </c>
      <c r="R270" s="76">
        <v>4</v>
      </c>
      <c r="T270" s="75">
        <v>-2.7000000000000017E-2</v>
      </c>
      <c r="U270" s="1">
        <f t="shared" si="3"/>
        <v>4.7215955896878556</v>
      </c>
    </row>
    <row r="271" spans="1:25" ht="15">
      <c r="A271" s="74">
        <v>610.13</v>
      </c>
      <c r="B271" s="74">
        <v>611.67999999999995</v>
      </c>
      <c r="C271" s="74">
        <v>608.48</v>
      </c>
      <c r="D271" s="74">
        <v>610.79</v>
      </c>
      <c r="E271" s="74">
        <v>5658835</v>
      </c>
      <c r="F271" s="74" t="s">
        <v>339</v>
      </c>
      <c r="G271" s="25">
        <f t="shared" si="0"/>
        <v>-1.0805677892564702E-3</v>
      </c>
      <c r="I271" s="73">
        <v>344.53</v>
      </c>
      <c r="J271" s="73">
        <v>346.72</v>
      </c>
      <c r="K271" s="73">
        <v>343.11</v>
      </c>
      <c r="L271" s="73">
        <v>343.28</v>
      </c>
      <c r="M271" s="73">
        <v>566617</v>
      </c>
      <c r="N271" s="73" t="s">
        <v>339</v>
      </c>
      <c r="O271" s="25">
        <f t="shared" si="1"/>
        <v>3.6413423444419113E-3</v>
      </c>
      <c r="Q271" s="75">
        <v>-2.1000000000000012E-2</v>
      </c>
      <c r="R271" s="76">
        <v>7</v>
      </c>
      <c r="T271" s="75">
        <v>-2.6000000000000016E-2</v>
      </c>
      <c r="U271" s="1">
        <f t="shared" si="3"/>
        <v>5.3578946108620737</v>
      </c>
    </row>
    <row r="272" spans="1:25" ht="15">
      <c r="A272" s="74">
        <v>610.16</v>
      </c>
      <c r="B272" s="74">
        <v>610.70000000000005</v>
      </c>
      <c r="C272" s="74">
        <v>606.56500000000005</v>
      </c>
      <c r="D272" s="74">
        <v>608.03</v>
      </c>
      <c r="E272" s="74">
        <v>6438634</v>
      </c>
      <c r="F272" s="74" t="s">
        <v>340</v>
      </c>
      <c r="G272" s="25">
        <f t="shared" si="0"/>
        <v>3.5031166225349963E-3</v>
      </c>
      <c r="I272" s="73">
        <v>343.58</v>
      </c>
      <c r="J272" s="73">
        <v>344.70499999999998</v>
      </c>
      <c r="K272" s="73">
        <v>339.45</v>
      </c>
      <c r="L272" s="73">
        <v>341.1</v>
      </c>
      <c r="M272" s="73">
        <v>543524</v>
      </c>
      <c r="N272" s="73" t="s">
        <v>340</v>
      </c>
      <c r="O272" s="25">
        <f t="shared" si="1"/>
        <v>7.2705951333917884E-3</v>
      </c>
      <c r="Q272" s="75">
        <v>-2.0000000000000011E-2</v>
      </c>
      <c r="R272" s="76">
        <v>7</v>
      </c>
      <c r="T272" s="75">
        <v>-2.5000000000000015E-2</v>
      </c>
      <c r="U272" s="1">
        <f t="shared" si="3"/>
        <v>6.0513368648638108</v>
      </c>
    </row>
    <row r="273" spans="1:21" ht="15">
      <c r="A273" s="74">
        <v>606.59</v>
      </c>
      <c r="B273" s="74">
        <v>607.92999999999995</v>
      </c>
      <c r="C273" s="74">
        <v>603.35</v>
      </c>
      <c r="D273" s="74">
        <v>606.62</v>
      </c>
      <c r="E273" s="74">
        <v>6927746</v>
      </c>
      <c r="F273" s="74" t="s">
        <v>341</v>
      </c>
      <c r="G273" s="25">
        <f t="shared" si="0"/>
        <v>-4.9454353631572801E-5</v>
      </c>
      <c r="I273" s="73">
        <v>340.03</v>
      </c>
      <c r="J273" s="73">
        <v>341.08</v>
      </c>
      <c r="K273" s="73">
        <v>336.79</v>
      </c>
      <c r="L273" s="73">
        <v>339.15</v>
      </c>
      <c r="M273" s="73">
        <v>714513</v>
      </c>
      <c r="N273" s="73" t="s">
        <v>341</v>
      </c>
      <c r="O273" s="25">
        <f t="shared" si="1"/>
        <v>2.5947220993660647E-3</v>
      </c>
      <c r="Q273" s="75">
        <v>-1.900000000000001E-2</v>
      </c>
      <c r="R273" s="76">
        <v>5</v>
      </c>
      <c r="T273" s="75">
        <v>-2.4000000000000014E-2</v>
      </c>
      <c r="U273" s="1">
        <f t="shared" si="3"/>
        <v>6.8023703880530446</v>
      </c>
    </row>
    <row r="274" spans="1:21" ht="15">
      <c r="A274" s="74">
        <v>609.5</v>
      </c>
      <c r="B274" s="74">
        <v>612.74</v>
      </c>
      <c r="C274" s="74">
        <v>608.19000000000005</v>
      </c>
      <c r="D274" s="74">
        <v>612.63</v>
      </c>
      <c r="E274" s="74">
        <v>23764079</v>
      </c>
      <c r="F274" s="74" t="s">
        <v>342</v>
      </c>
      <c r="G274" s="25">
        <f t="shared" si="0"/>
        <v>-5.1091196970438624E-3</v>
      </c>
      <c r="I274" s="73">
        <v>342.48</v>
      </c>
      <c r="J274" s="73">
        <v>346.77499999999998</v>
      </c>
      <c r="K274" s="73">
        <v>340.63</v>
      </c>
      <c r="L274" s="73">
        <v>345.68</v>
      </c>
      <c r="M274" s="73">
        <v>765628</v>
      </c>
      <c r="N274" s="73" t="s">
        <v>342</v>
      </c>
      <c r="O274" s="25">
        <f t="shared" si="1"/>
        <v>-9.2571164082387858E-3</v>
      </c>
      <c r="Q274" s="75">
        <v>-1.8000000000000009E-2</v>
      </c>
      <c r="R274" s="76">
        <v>7</v>
      </c>
      <c r="T274" s="75">
        <v>-2.3000000000000013E-2</v>
      </c>
      <c r="U274" s="1">
        <f t="shared" si="3"/>
        <v>7.6106369244736909</v>
      </c>
    </row>
    <row r="275" spans="1:21" ht="15">
      <c r="A275" s="74">
        <v>611.54</v>
      </c>
      <c r="B275" s="74">
        <v>615.26</v>
      </c>
      <c r="C275" s="74">
        <v>610.34100000000001</v>
      </c>
      <c r="D275" s="74">
        <v>614.70500000000004</v>
      </c>
      <c r="E275" s="74">
        <v>10728553</v>
      </c>
      <c r="F275" s="74" t="s">
        <v>343</v>
      </c>
      <c r="G275" s="25">
        <f t="shared" si="0"/>
        <v>-5.148811218389393E-3</v>
      </c>
      <c r="I275" s="73">
        <v>342.73</v>
      </c>
      <c r="J275" s="73">
        <v>349.05</v>
      </c>
      <c r="K275" s="73">
        <v>341.44</v>
      </c>
      <c r="L275" s="73">
        <v>346.82</v>
      </c>
      <c r="M275" s="73">
        <v>865753</v>
      </c>
      <c r="N275" s="73" t="s">
        <v>343</v>
      </c>
      <c r="O275" s="25">
        <f t="shared" si="1"/>
        <v>-1.1792860850008524E-2</v>
      </c>
      <c r="Q275" s="75">
        <v>-1.7000000000000008E-2</v>
      </c>
      <c r="R275" s="76">
        <v>6</v>
      </c>
      <c r="T275" s="75">
        <v>-2.2000000000000013E-2</v>
      </c>
      <c r="U275" s="1">
        <f t="shared" si="3"/>
        <v>8.4748791668676535</v>
      </c>
    </row>
    <row r="276" spans="1:21" ht="15">
      <c r="A276" s="74">
        <v>614.76</v>
      </c>
      <c r="B276" s="74">
        <v>615.22</v>
      </c>
      <c r="C276" s="74">
        <v>610.51</v>
      </c>
      <c r="D276" s="74">
        <v>610.52</v>
      </c>
      <c r="E276" s="74">
        <v>11551587</v>
      </c>
      <c r="F276" s="74" t="s">
        <v>344</v>
      </c>
      <c r="G276" s="25">
        <f t="shared" si="0"/>
        <v>6.9448994299941003E-3</v>
      </c>
      <c r="I276" s="73">
        <v>345.36</v>
      </c>
      <c r="J276" s="73">
        <v>347.83</v>
      </c>
      <c r="K276" s="73">
        <v>343.53</v>
      </c>
      <c r="L276" s="73">
        <v>347.58</v>
      </c>
      <c r="M276" s="73">
        <v>772927</v>
      </c>
      <c r="N276" s="73" t="s">
        <v>344</v>
      </c>
      <c r="O276" s="25">
        <f t="shared" si="1"/>
        <v>-6.3870188158120511E-3</v>
      </c>
      <c r="Q276" s="75">
        <v>-1.6000000000000007E-2</v>
      </c>
      <c r="R276" s="76">
        <v>6</v>
      </c>
      <c r="T276" s="75">
        <v>-2.1000000000000012E-2</v>
      </c>
      <c r="U276" s="1">
        <f t="shared" si="3"/>
        <v>9.3928591184447807</v>
      </c>
    </row>
    <row r="277" spans="1:21" ht="15">
      <c r="A277" s="74">
        <v>611.78</v>
      </c>
      <c r="B277" s="74">
        <v>612.66999999999996</v>
      </c>
      <c r="C277" s="74">
        <v>608.85</v>
      </c>
      <c r="D277" s="74">
        <v>610.62</v>
      </c>
      <c r="E277" s="74">
        <v>6065655</v>
      </c>
      <c r="F277" s="74" t="s">
        <v>345</v>
      </c>
      <c r="G277" s="25">
        <f t="shared" si="0"/>
        <v>1.899708493007024E-3</v>
      </c>
      <c r="I277" s="73">
        <v>347.82</v>
      </c>
      <c r="J277" s="73">
        <v>350.21499999999997</v>
      </c>
      <c r="K277" s="73">
        <v>343.83</v>
      </c>
      <c r="L277" s="73">
        <v>349.45</v>
      </c>
      <c r="M277" s="73">
        <v>1045596</v>
      </c>
      <c r="N277" s="73" t="s">
        <v>345</v>
      </c>
      <c r="O277" s="25">
        <f t="shared" si="1"/>
        <v>-4.6644727428816202E-3</v>
      </c>
      <c r="Q277" s="75">
        <v>-1.5000000000000006E-2</v>
      </c>
      <c r="R277" s="76">
        <v>10</v>
      </c>
      <c r="T277" s="75">
        <v>-2.0000000000000011E-2</v>
      </c>
      <c r="U277" s="1">
        <f t="shared" si="3"/>
        <v>10.361291325543872</v>
      </c>
    </row>
    <row r="278" spans="1:21" ht="15">
      <c r="A278" s="74">
        <v>608.94000000000005</v>
      </c>
      <c r="B278" s="74">
        <v>611.30999999999995</v>
      </c>
      <c r="C278" s="74">
        <v>607.07000000000005</v>
      </c>
      <c r="D278" s="74">
        <v>608.54999999999995</v>
      </c>
      <c r="E278" s="74">
        <v>11029230</v>
      </c>
      <c r="F278" s="74" t="s">
        <v>346</v>
      </c>
      <c r="G278" s="25">
        <f t="shared" si="0"/>
        <v>6.4086763618442788E-4</v>
      </c>
      <c r="I278" s="73">
        <v>348.56</v>
      </c>
      <c r="J278" s="73">
        <v>350.81400000000002</v>
      </c>
      <c r="K278" s="73">
        <v>344.86</v>
      </c>
      <c r="L278" s="73">
        <v>345.92</v>
      </c>
      <c r="M278" s="73">
        <v>601244</v>
      </c>
      <c r="N278" s="73" t="s">
        <v>346</v>
      </c>
      <c r="O278" s="25">
        <f t="shared" si="1"/>
        <v>7.6318223866789214E-3</v>
      </c>
      <c r="Q278" s="75">
        <v>-1.4000000000000005E-2</v>
      </c>
      <c r="R278" s="76">
        <v>9</v>
      </c>
      <c r="T278" s="75">
        <v>-1.900000000000001E-2</v>
      </c>
      <c r="U278" s="1">
        <f t="shared" si="3"/>
        <v>11.375794649957873</v>
      </c>
    </row>
    <row r="279" spans="1:21" ht="15">
      <c r="A279" s="74">
        <v>606.09</v>
      </c>
      <c r="B279" s="74">
        <v>608.33000000000004</v>
      </c>
      <c r="C279" s="74">
        <v>601.54999999999995</v>
      </c>
      <c r="D279" s="74">
        <v>606.84</v>
      </c>
      <c r="E279" s="74">
        <v>11613628</v>
      </c>
      <c r="F279" s="74" t="s">
        <v>347</v>
      </c>
      <c r="G279" s="25">
        <f t="shared" si="0"/>
        <v>-1.2359106189440139E-3</v>
      </c>
      <c r="I279" s="73">
        <v>344.66</v>
      </c>
      <c r="J279" s="73">
        <v>348.02</v>
      </c>
      <c r="K279" s="73">
        <v>340.21</v>
      </c>
      <c r="L279" s="73">
        <v>342.5</v>
      </c>
      <c r="M279" s="73">
        <v>892142</v>
      </c>
      <c r="N279" s="73" t="s">
        <v>347</v>
      </c>
      <c r="O279" s="25">
        <f t="shared" si="1"/>
        <v>6.3065693430657266E-3</v>
      </c>
      <c r="Q279" s="75">
        <v>-1.3000000000000005E-2</v>
      </c>
      <c r="R279" s="76">
        <v>14</v>
      </c>
      <c r="T279" s="75">
        <v>-1.8000000000000009E-2</v>
      </c>
      <c r="U279" s="1">
        <f t="shared" ref="U279:U343" si="4">_xlfn.NORM.DIST(T279,$S$238,$S$240,FALSE)</f>
        <v>12.430866013982637</v>
      </c>
    </row>
    <row r="280" spans="1:21" ht="15">
      <c r="A280" s="74">
        <v>606.79</v>
      </c>
      <c r="B280" s="74">
        <v>608.41999999999996</v>
      </c>
      <c r="C280" s="74">
        <v>606.06089999999995</v>
      </c>
      <c r="D280" s="74">
        <v>608.16</v>
      </c>
      <c r="E280" s="74">
        <v>6367152</v>
      </c>
      <c r="F280" s="74" t="s">
        <v>348</v>
      </c>
      <c r="G280" s="25">
        <f t="shared" si="0"/>
        <v>-2.2526966587740338E-3</v>
      </c>
      <c r="I280" s="73">
        <v>342.26</v>
      </c>
      <c r="J280" s="73">
        <v>346.31</v>
      </c>
      <c r="K280" s="73">
        <v>338.81</v>
      </c>
      <c r="L280" s="73">
        <v>346</v>
      </c>
      <c r="M280" s="73">
        <v>918352</v>
      </c>
      <c r="N280" s="73" t="s">
        <v>348</v>
      </c>
      <c r="O280" s="25">
        <f t="shared" si="1"/>
        <v>-1.0809248554913276E-2</v>
      </c>
      <c r="Q280" s="75">
        <v>-1.2000000000000004E-2</v>
      </c>
      <c r="R280" s="76">
        <v>12</v>
      </c>
      <c r="T280" s="75">
        <v>-1.7000000000000008E-2</v>
      </c>
      <c r="U280" s="1">
        <f t="shared" si="4"/>
        <v>13.519879154593069</v>
      </c>
    </row>
    <row r="281" spans="1:21" ht="15">
      <c r="A281" s="74">
        <v>607.59</v>
      </c>
      <c r="B281" s="74">
        <v>607.77</v>
      </c>
      <c r="C281" s="74">
        <v>606.20000000000005</v>
      </c>
      <c r="D281" s="74">
        <v>606.47</v>
      </c>
      <c r="E281" s="74">
        <v>7447134</v>
      </c>
      <c r="F281" s="74" t="s">
        <v>349</v>
      </c>
      <c r="G281" s="25">
        <f t="shared" si="0"/>
        <v>1.8467525186736111E-3</v>
      </c>
      <c r="I281" s="73">
        <v>346.44</v>
      </c>
      <c r="J281" s="73">
        <v>348.06</v>
      </c>
      <c r="K281" s="73">
        <v>343.94499999999999</v>
      </c>
      <c r="L281" s="73">
        <v>346.2</v>
      </c>
      <c r="M281" s="73">
        <v>621256</v>
      </c>
      <c r="N281" s="73" t="s">
        <v>349</v>
      </c>
      <c r="O281" s="25">
        <f t="shared" si="1"/>
        <v>6.9324090121325455E-4</v>
      </c>
      <c r="Q281" s="75">
        <v>-1.1000000000000003E-2</v>
      </c>
      <c r="R281" s="76">
        <v>12</v>
      </c>
      <c r="T281" s="75">
        <v>-1.6000000000000007E-2</v>
      </c>
      <c r="U281" s="1">
        <f t="shared" si="4"/>
        <v>14.635110866180693</v>
      </c>
    </row>
    <row r="282" spans="1:21" ht="15">
      <c r="A282" s="74">
        <v>604.44000000000005</v>
      </c>
      <c r="B282" s="74">
        <v>605.98</v>
      </c>
      <c r="C282" s="74">
        <v>603.95000000000005</v>
      </c>
      <c r="D282" s="74">
        <v>604.59</v>
      </c>
      <c r="E282" s="74">
        <v>8108692</v>
      </c>
      <c r="F282" s="74" t="s">
        <v>350</v>
      </c>
      <c r="G282" s="25">
        <f t="shared" si="0"/>
        <v>-2.4810201955038913E-4</v>
      </c>
      <c r="I282" s="73">
        <v>344.93</v>
      </c>
      <c r="J282" s="73">
        <v>349.39</v>
      </c>
      <c r="K282" s="73">
        <v>344.9</v>
      </c>
      <c r="L282" s="73">
        <v>349.39</v>
      </c>
      <c r="M282" s="73">
        <v>545729</v>
      </c>
      <c r="N282" s="73" t="s">
        <v>350</v>
      </c>
      <c r="O282" s="25">
        <f t="shared" si="1"/>
        <v>-1.2765104897106361E-2</v>
      </c>
      <c r="Q282" s="75">
        <v>-1.0000000000000002E-2</v>
      </c>
      <c r="R282" s="76">
        <v>23</v>
      </c>
      <c r="T282" s="75">
        <v>-1.5000000000000006E-2</v>
      </c>
      <c r="U282" s="1">
        <f t="shared" si="4"/>
        <v>15.767796502571471</v>
      </c>
    </row>
    <row r="283" spans="1:21" ht="15">
      <c r="A283" s="74">
        <v>604.57000000000005</v>
      </c>
      <c r="B283" s="74">
        <v>605.23</v>
      </c>
      <c r="C283" s="74">
        <v>600.89</v>
      </c>
      <c r="D283" s="74">
        <v>601.42999999999995</v>
      </c>
      <c r="E283" s="74">
        <v>9086806</v>
      </c>
      <c r="F283" s="74" t="s">
        <v>351</v>
      </c>
      <c r="G283" s="25">
        <f t="shared" si="0"/>
        <v>5.2208902116623879E-3</v>
      </c>
      <c r="I283" s="73">
        <v>350.54</v>
      </c>
      <c r="J283" s="73">
        <v>351.51</v>
      </c>
      <c r="K283" s="73">
        <v>340.505</v>
      </c>
      <c r="L283" s="73">
        <v>340.93</v>
      </c>
      <c r="M283" s="73">
        <v>730854</v>
      </c>
      <c r="N283" s="73" t="s">
        <v>351</v>
      </c>
      <c r="O283" s="25">
        <f t="shared" si="1"/>
        <v>2.8187604493591145E-2</v>
      </c>
      <c r="Q283" s="75">
        <v>-9.0000000000000011E-3</v>
      </c>
      <c r="R283" s="76">
        <v>12</v>
      </c>
      <c r="T283" s="75">
        <v>-1.4000000000000005E-2</v>
      </c>
      <c r="U283" s="1">
        <f t="shared" si="4"/>
        <v>16.908215665424965</v>
      </c>
    </row>
    <row r="284" spans="1:21" ht="15">
      <c r="A284" s="74">
        <v>599.67999999999995</v>
      </c>
      <c r="B284" s="74">
        <v>601.75</v>
      </c>
      <c r="C284" s="74">
        <v>598.16</v>
      </c>
      <c r="D284" s="74">
        <v>600.91999999999996</v>
      </c>
      <c r="E284" s="74">
        <v>21542357</v>
      </c>
      <c r="F284" s="74" t="s">
        <v>352</v>
      </c>
      <c r="G284" s="25">
        <f t="shared" si="0"/>
        <v>-2.0635026293017722E-3</v>
      </c>
      <c r="I284" s="73">
        <v>339.39</v>
      </c>
      <c r="J284" s="73">
        <v>347.33</v>
      </c>
      <c r="K284" s="73">
        <v>336.98</v>
      </c>
      <c r="L284" s="73">
        <v>341.92</v>
      </c>
      <c r="M284" s="73">
        <v>709716</v>
      </c>
      <c r="N284" s="73" t="s">
        <v>352</v>
      </c>
      <c r="O284" s="25">
        <f t="shared" si="1"/>
        <v>-7.3993916705662466E-3</v>
      </c>
      <c r="Q284" s="75">
        <v>-8.0000000000000002E-3</v>
      </c>
      <c r="R284" s="76">
        <v>18</v>
      </c>
      <c r="T284" s="75">
        <v>-1.3000000000000005E-2</v>
      </c>
      <c r="U284" s="1">
        <f t="shared" si="4"/>
        <v>18.045808052592168</v>
      </c>
    </row>
    <row r="285" spans="1:21" ht="15">
      <c r="A285" s="74">
        <v>597.95000000000005</v>
      </c>
      <c r="B285" s="74">
        <v>598.37</v>
      </c>
      <c r="C285" s="74">
        <v>595.01</v>
      </c>
      <c r="D285" s="74">
        <v>596.61</v>
      </c>
      <c r="E285" s="74">
        <v>7780114</v>
      </c>
      <c r="F285" s="74" t="s">
        <v>353</v>
      </c>
      <c r="G285" s="25">
        <f t="shared" si="0"/>
        <v>2.2460233653476269E-3</v>
      </c>
      <c r="I285" s="73">
        <v>342.95</v>
      </c>
      <c r="J285" s="73">
        <v>344.16</v>
      </c>
      <c r="K285" s="73">
        <v>338.22</v>
      </c>
      <c r="L285" s="73">
        <v>344.16</v>
      </c>
      <c r="M285" s="73">
        <v>540386</v>
      </c>
      <c r="N285" s="73" t="s">
        <v>353</v>
      </c>
      <c r="O285" s="25">
        <f t="shared" si="1"/>
        <v>-3.5158066015807954E-3</v>
      </c>
      <c r="Q285" s="75">
        <v>-7.0000000000000001E-3</v>
      </c>
      <c r="R285" s="76">
        <v>21</v>
      </c>
      <c r="T285" s="75">
        <v>-1.2000000000000004E-2</v>
      </c>
      <c r="U285" s="1">
        <f t="shared" si="4"/>
        <v>19.169318409118095</v>
      </c>
    </row>
    <row r="286" spans="1:21" ht="15">
      <c r="A286" s="74">
        <v>596.5</v>
      </c>
      <c r="B286" s="74">
        <v>597.41</v>
      </c>
      <c r="C286" s="74">
        <v>595.03</v>
      </c>
      <c r="D286" s="74">
        <v>596.30999999999995</v>
      </c>
      <c r="E286" s="74">
        <v>9448293</v>
      </c>
      <c r="F286" s="74" t="s">
        <v>354</v>
      </c>
      <c r="G286" s="25">
        <f t="shared" si="0"/>
        <v>3.1862621790690326E-4</v>
      </c>
      <c r="I286" s="73">
        <v>344.67</v>
      </c>
      <c r="J286" s="73">
        <v>347.7</v>
      </c>
      <c r="K286" s="73">
        <v>340.73</v>
      </c>
      <c r="L286" s="73">
        <v>344.76499999999999</v>
      </c>
      <c r="M286" s="73">
        <v>1194540</v>
      </c>
      <c r="N286" s="73" t="s">
        <v>354</v>
      </c>
      <c r="O286" s="25">
        <f t="shared" si="1"/>
        <v>-2.7555001232715259E-4</v>
      </c>
      <c r="Q286" s="75">
        <v>-6.0000000000000001E-3</v>
      </c>
      <c r="R286" s="76">
        <v>20</v>
      </c>
      <c r="T286" s="75">
        <v>-1.1000000000000003E-2</v>
      </c>
      <c r="U286" s="1">
        <f t="shared" si="4"/>
        <v>20.266968454294403</v>
      </c>
    </row>
    <row r="287" spans="1:21" ht="15">
      <c r="A287" s="74">
        <v>594.96</v>
      </c>
      <c r="B287" s="74">
        <v>599.6</v>
      </c>
      <c r="C287" s="74">
        <v>591.45000000000005</v>
      </c>
      <c r="D287" s="74">
        <v>598.91</v>
      </c>
      <c r="E287" s="74">
        <v>6622130</v>
      </c>
      <c r="F287" s="74" t="s">
        <v>355</v>
      </c>
      <c r="G287" s="25">
        <f t="shared" si="0"/>
        <v>-6.5953148219264346E-3</v>
      </c>
      <c r="I287" s="73">
        <v>339.76</v>
      </c>
      <c r="J287" s="73">
        <v>345.66500000000002</v>
      </c>
      <c r="K287" s="73">
        <v>337.39</v>
      </c>
      <c r="L287" s="73">
        <v>343.5</v>
      </c>
      <c r="M287" s="73">
        <v>539452</v>
      </c>
      <c r="N287" s="73" t="s">
        <v>355</v>
      </c>
      <c r="O287" s="25">
        <f t="shared" si="1"/>
        <v>-1.0887918486171766E-2</v>
      </c>
      <c r="Q287" s="75">
        <v>-5.0000000000000001E-3</v>
      </c>
      <c r="R287" s="76">
        <v>26</v>
      </c>
      <c r="T287" s="75">
        <v>-1.0000000000000002E-2</v>
      </c>
      <c r="U287" s="1">
        <f t="shared" si="4"/>
        <v>21.326652594342999</v>
      </c>
    </row>
    <row r="288" spans="1:21" ht="15">
      <c r="A288" s="74">
        <v>596.59</v>
      </c>
      <c r="B288" s="74">
        <v>596.77</v>
      </c>
      <c r="C288" s="74">
        <v>591.6</v>
      </c>
      <c r="D288" s="74">
        <v>592.47</v>
      </c>
      <c r="E288" s="74">
        <v>8012477</v>
      </c>
      <c r="F288" s="74" t="s">
        <v>356</v>
      </c>
      <c r="G288" s="25">
        <f t="shared" ref="G288:G351" si="5">A288/D288-1</f>
        <v>6.9539385960470934E-3</v>
      </c>
      <c r="I288" s="73">
        <v>341.86</v>
      </c>
      <c r="J288" s="73">
        <v>342.15</v>
      </c>
      <c r="K288" s="73">
        <v>337.05</v>
      </c>
      <c r="L288" s="73">
        <v>339.92</v>
      </c>
      <c r="M288" s="73">
        <v>377800</v>
      </c>
      <c r="N288" s="73" t="s">
        <v>356</v>
      </c>
      <c r="O288" s="25">
        <f t="shared" ref="O288:O351" si="6">I288/L288-1</f>
        <v>5.7072252294656511E-3</v>
      </c>
      <c r="Q288" s="75">
        <v>-4.0000000000000001E-3</v>
      </c>
      <c r="R288" s="76">
        <v>20</v>
      </c>
      <c r="T288" s="75">
        <v>-9.0000000000000011E-3</v>
      </c>
      <c r="U288" s="1">
        <f t="shared" si="4"/>
        <v>22.336153218683695</v>
      </c>
    </row>
    <row r="289" spans="1:21" ht="15">
      <c r="A289" s="74">
        <v>591.72</v>
      </c>
      <c r="B289" s="74">
        <v>592.23</v>
      </c>
      <c r="C289" s="74">
        <v>588.78</v>
      </c>
      <c r="D289" s="74">
        <v>590.80999999999995</v>
      </c>
      <c r="E289" s="74">
        <v>6669875</v>
      </c>
      <c r="F289" s="74" t="s">
        <v>357</v>
      </c>
      <c r="G289" s="25">
        <f t="shared" si="5"/>
        <v>1.5402582894672445E-3</v>
      </c>
      <c r="I289" s="73">
        <v>338.66</v>
      </c>
      <c r="J289" s="73">
        <v>338.79</v>
      </c>
      <c r="K289" s="73">
        <v>335.16</v>
      </c>
      <c r="L289" s="73">
        <v>338.07</v>
      </c>
      <c r="M289" s="73">
        <v>512270</v>
      </c>
      <c r="N289" s="73" t="s">
        <v>357</v>
      </c>
      <c r="O289" s="25">
        <f t="shared" si="6"/>
        <v>1.7452006980802626E-3</v>
      </c>
      <c r="Q289" s="75">
        <v>-3.0000000000000001E-3</v>
      </c>
      <c r="R289" s="76">
        <v>20</v>
      </c>
      <c r="T289" s="75">
        <v>-8.0000000000000002E-3</v>
      </c>
      <c r="U289" s="1">
        <f t="shared" si="4"/>
        <v>23.283370465657484</v>
      </c>
    </row>
    <row r="290" spans="1:21" ht="15">
      <c r="A290" s="74">
        <v>588.71</v>
      </c>
      <c r="B290" s="74">
        <v>588.79999999999995</v>
      </c>
      <c r="C290" s="74">
        <v>583.66999999999996</v>
      </c>
      <c r="D290" s="74">
        <v>586.05999999999995</v>
      </c>
      <c r="E290" s="74">
        <v>11063662</v>
      </c>
      <c r="F290" s="74" t="s">
        <v>358</v>
      </c>
      <c r="G290" s="25">
        <f t="shared" si="5"/>
        <v>4.5217213254618027E-3</v>
      </c>
      <c r="I290" s="73">
        <v>337.84</v>
      </c>
      <c r="J290" s="73">
        <v>340.65</v>
      </c>
      <c r="K290" s="73">
        <v>334.3</v>
      </c>
      <c r="L290" s="73">
        <v>338.71</v>
      </c>
      <c r="M290" s="73">
        <v>1076650</v>
      </c>
      <c r="N290" s="73" t="s">
        <v>358</v>
      </c>
      <c r="O290" s="25">
        <f t="shared" si="6"/>
        <v>-2.568568982315278E-3</v>
      </c>
      <c r="Q290" s="75">
        <v>-2E-3</v>
      </c>
      <c r="R290" s="76">
        <v>18</v>
      </c>
      <c r="T290" s="75">
        <v>-7.0000000000000001E-3</v>
      </c>
      <c r="U290" s="1">
        <f t="shared" si="4"/>
        <v>24.156560576528008</v>
      </c>
    </row>
    <row r="291" spans="1:21" ht="15">
      <c r="A291" s="74">
        <v>593.08000000000004</v>
      </c>
      <c r="B291" s="74">
        <v>595.54999999999995</v>
      </c>
      <c r="C291" s="74">
        <v>591.245</v>
      </c>
      <c r="D291" s="74">
        <v>595.24</v>
      </c>
      <c r="E291" s="74">
        <v>7480746</v>
      </c>
      <c r="F291" s="74" t="s">
        <v>359</v>
      </c>
      <c r="G291" s="25">
        <f t="shared" si="5"/>
        <v>-3.6287883878770577E-3</v>
      </c>
      <c r="I291" s="73">
        <v>343.43</v>
      </c>
      <c r="J291" s="73">
        <v>349.74990000000003</v>
      </c>
      <c r="K291" s="73">
        <v>342.01</v>
      </c>
      <c r="L291" s="73">
        <v>348.44</v>
      </c>
      <c r="M291" s="73">
        <v>696918</v>
      </c>
      <c r="N291" s="73" t="s">
        <v>359</v>
      </c>
      <c r="O291" s="25">
        <f t="shared" si="6"/>
        <v>-1.437837217311444E-2</v>
      </c>
      <c r="Q291" s="75">
        <v>-1E-3</v>
      </c>
      <c r="R291" s="76">
        <v>18</v>
      </c>
      <c r="T291" s="75">
        <v>-6.0000000000000001E-3</v>
      </c>
      <c r="U291" s="1">
        <f t="shared" si="4"/>
        <v>24.944576375672561</v>
      </c>
    </row>
    <row r="292" spans="1:21" ht="15">
      <c r="A292" s="74">
        <v>596.52</v>
      </c>
      <c r="B292" s="74">
        <v>597.07000000000005</v>
      </c>
      <c r="C292" s="74">
        <v>593.27</v>
      </c>
      <c r="D292" s="74">
        <v>595.07000000000005</v>
      </c>
      <c r="E292" s="74">
        <v>5037983</v>
      </c>
      <c r="F292" s="74" t="s">
        <v>360</v>
      </c>
      <c r="G292" s="25">
        <f t="shared" si="5"/>
        <v>2.4366881207251723E-3</v>
      </c>
      <c r="I292" s="73">
        <v>349.13</v>
      </c>
      <c r="J292" s="73">
        <v>351.935</v>
      </c>
      <c r="K292" s="73">
        <v>348.44</v>
      </c>
      <c r="L292" s="73">
        <v>351.61</v>
      </c>
      <c r="M292" s="73">
        <v>881757</v>
      </c>
      <c r="N292" s="73" t="s">
        <v>360</v>
      </c>
      <c r="O292" s="25">
        <f t="shared" si="6"/>
        <v>-7.0532692471773073E-3</v>
      </c>
      <c r="Q292" s="75">
        <v>0</v>
      </c>
      <c r="R292" s="76">
        <v>27</v>
      </c>
      <c r="T292" s="75">
        <v>-5.0000000000000001E-3</v>
      </c>
      <c r="U292" s="1">
        <f t="shared" si="4"/>
        <v>25.637103054414368</v>
      </c>
    </row>
    <row r="293" spans="1:21" ht="15">
      <c r="A293" s="74">
        <v>594.41999999999996</v>
      </c>
      <c r="B293" s="74">
        <v>595.14</v>
      </c>
      <c r="C293" s="74">
        <v>592.44000000000005</v>
      </c>
      <c r="D293" s="74">
        <v>592.52</v>
      </c>
      <c r="E293" s="74">
        <v>6089564</v>
      </c>
      <c r="F293" s="74" t="s">
        <v>361</v>
      </c>
      <c r="G293" s="25">
        <f t="shared" si="5"/>
        <v>3.20664281374472E-3</v>
      </c>
      <c r="I293" s="73">
        <v>349.2</v>
      </c>
      <c r="J293" s="73">
        <v>356.15</v>
      </c>
      <c r="K293" s="73">
        <v>347.88</v>
      </c>
      <c r="L293" s="73">
        <v>353.65</v>
      </c>
      <c r="M293" s="73">
        <v>1174203</v>
      </c>
      <c r="N293" s="73" t="s">
        <v>361</v>
      </c>
      <c r="O293" s="25">
        <f t="shared" si="6"/>
        <v>-1.2583062349780794E-2</v>
      </c>
      <c r="Q293" s="75">
        <v>1E-3</v>
      </c>
      <c r="R293" s="76">
        <v>42</v>
      </c>
      <c r="T293" s="75">
        <v>-4.0000000000000001E-3</v>
      </c>
      <c r="U293" s="1">
        <f t="shared" si="4"/>
        <v>26.224882321319161</v>
      </c>
    </row>
    <row r="294" spans="1:21" ht="15">
      <c r="A294" s="74">
        <v>593.05999999999995</v>
      </c>
      <c r="B294" s="74">
        <v>593.42999999999995</v>
      </c>
      <c r="C294" s="74">
        <v>589.79499999999996</v>
      </c>
      <c r="D294" s="74">
        <v>590.38</v>
      </c>
      <c r="E294" s="74">
        <v>4746851</v>
      </c>
      <c r="F294" s="74" t="s">
        <v>362</v>
      </c>
      <c r="G294" s="25">
        <f t="shared" si="5"/>
        <v>4.5394491683321547E-3</v>
      </c>
      <c r="I294" s="73">
        <v>355.67</v>
      </c>
      <c r="J294" s="73">
        <v>357.36</v>
      </c>
      <c r="K294" s="73">
        <v>348.40499999999997</v>
      </c>
      <c r="L294" s="73">
        <v>349.48</v>
      </c>
      <c r="M294" s="73">
        <v>1455606</v>
      </c>
      <c r="N294" s="73" t="s">
        <v>362</v>
      </c>
      <c r="O294" s="25">
        <f t="shared" si="6"/>
        <v>1.7712029300675391E-2</v>
      </c>
      <c r="Q294" s="75">
        <v>2E-3</v>
      </c>
      <c r="R294" s="76">
        <v>24</v>
      </c>
      <c r="T294" s="75">
        <v>-3.0000000000000001E-3</v>
      </c>
      <c r="U294" s="1">
        <f t="shared" si="4"/>
        <v>26.69991812769203</v>
      </c>
    </row>
    <row r="295" spans="1:21" ht="15">
      <c r="A295" s="74">
        <v>590.70000000000005</v>
      </c>
      <c r="B295" s="74">
        <v>593.22990000000004</v>
      </c>
      <c r="C295" s="74">
        <v>590.54999999999995</v>
      </c>
      <c r="D295" s="74">
        <v>592.04999999999995</v>
      </c>
      <c r="E295" s="74">
        <v>6483035</v>
      </c>
      <c r="F295" s="74" t="s">
        <v>363</v>
      </c>
      <c r="G295" s="25">
        <f t="shared" si="5"/>
        <v>-2.2802128198630145E-3</v>
      </c>
      <c r="I295" s="73">
        <v>349.97</v>
      </c>
      <c r="J295" s="73">
        <v>351.875</v>
      </c>
      <c r="K295" s="73">
        <v>349.45</v>
      </c>
      <c r="L295" s="73">
        <v>350.75</v>
      </c>
      <c r="M295" s="73">
        <v>465308</v>
      </c>
      <c r="N295" s="73" t="s">
        <v>363</v>
      </c>
      <c r="O295" s="25">
        <f t="shared" si="6"/>
        <v>-2.2238061297219502E-3</v>
      </c>
      <c r="Q295" s="75">
        <v>3.0000000000000001E-3</v>
      </c>
      <c r="R295" s="76">
        <v>28</v>
      </c>
      <c r="T295" s="75">
        <v>-2E-3</v>
      </c>
      <c r="U295" s="1">
        <f t="shared" si="4"/>
        <v>27.055657586312478</v>
      </c>
    </row>
    <row r="296" spans="1:21" ht="15">
      <c r="A296" s="74">
        <v>593.21</v>
      </c>
      <c r="B296" s="74">
        <v>594.32000000000005</v>
      </c>
      <c r="C296" s="74">
        <v>585.84</v>
      </c>
      <c r="D296" s="74">
        <v>586.27</v>
      </c>
      <c r="E296" s="74">
        <v>6368542</v>
      </c>
      <c r="F296" s="74" t="s">
        <v>364</v>
      </c>
      <c r="G296" s="25">
        <f t="shared" si="5"/>
        <v>1.1837549252051272E-2</v>
      </c>
      <c r="I296" s="73">
        <v>351.19</v>
      </c>
      <c r="J296" s="73">
        <v>353.52</v>
      </c>
      <c r="K296" s="73">
        <v>341.86500000000001</v>
      </c>
      <c r="L296" s="73">
        <v>342.73</v>
      </c>
      <c r="M296" s="73">
        <v>621479</v>
      </c>
      <c r="N296" s="73" t="s">
        <v>364</v>
      </c>
      <c r="O296" s="25">
        <f t="shared" si="6"/>
        <v>2.4684153706999723E-2</v>
      </c>
      <c r="Q296" s="75">
        <v>4.0000000000000001E-3</v>
      </c>
      <c r="R296" s="76">
        <v>20</v>
      </c>
      <c r="T296" s="75">
        <v>-1E-3</v>
      </c>
      <c r="U296" s="1">
        <f t="shared" si="4"/>
        <v>27.287141364557701</v>
      </c>
    </row>
    <row r="297" spans="1:21" ht="15">
      <c r="A297" s="74">
        <v>584.27</v>
      </c>
      <c r="B297" s="74">
        <v>586.46</v>
      </c>
      <c r="C297" s="74">
        <v>582.65</v>
      </c>
      <c r="D297" s="74">
        <v>584.92999999999995</v>
      </c>
      <c r="E297" s="74">
        <v>4807277</v>
      </c>
      <c r="F297" s="74" t="s">
        <v>365</v>
      </c>
      <c r="G297" s="25">
        <f t="shared" si="5"/>
        <v>-1.1283401432649054E-3</v>
      </c>
      <c r="I297" s="73">
        <v>339.52</v>
      </c>
      <c r="J297" s="73">
        <v>342.46</v>
      </c>
      <c r="K297" s="73">
        <v>337.31</v>
      </c>
      <c r="L297" s="73">
        <v>339.89</v>
      </c>
      <c r="M297" s="73">
        <v>573057</v>
      </c>
      <c r="N297" s="73" t="s">
        <v>365</v>
      </c>
      <c r="O297" s="25">
        <f t="shared" si="6"/>
        <v>-1.0885874841860543E-3</v>
      </c>
      <c r="Q297" s="75">
        <v>5.0000000000000001E-3</v>
      </c>
      <c r="R297" s="76">
        <v>22</v>
      </c>
      <c r="T297" s="75">
        <v>0</v>
      </c>
      <c r="U297" s="1">
        <f t="shared" si="4"/>
        <v>27.391118728106235</v>
      </c>
    </row>
    <row r="298" spans="1:21" ht="15">
      <c r="A298" s="74">
        <v>586.58000000000004</v>
      </c>
      <c r="B298" s="74">
        <v>588</v>
      </c>
      <c r="C298" s="74">
        <v>581.85</v>
      </c>
      <c r="D298" s="74">
        <v>587.80999999999995</v>
      </c>
      <c r="E298" s="74">
        <v>7054266</v>
      </c>
      <c r="F298" s="74" t="s">
        <v>366</v>
      </c>
      <c r="G298" s="25">
        <f t="shared" si="5"/>
        <v>-2.0925128868169995E-3</v>
      </c>
      <c r="I298" s="73">
        <v>339.62</v>
      </c>
      <c r="J298" s="73">
        <v>343.12</v>
      </c>
      <c r="K298" s="73">
        <v>337.16</v>
      </c>
      <c r="L298" s="73">
        <v>341.94</v>
      </c>
      <c r="M298" s="73">
        <v>918154</v>
      </c>
      <c r="N298" s="73" t="s">
        <v>366</v>
      </c>
      <c r="O298" s="25">
        <f t="shared" si="6"/>
        <v>-6.7848160495993515E-3</v>
      </c>
      <c r="Q298" s="75">
        <v>6.0000000000000001E-3</v>
      </c>
      <c r="R298" s="76">
        <v>25</v>
      </c>
      <c r="T298" s="75">
        <v>1E-3</v>
      </c>
      <c r="U298" s="1">
        <f t="shared" si="4"/>
        <v>27.366123505035524</v>
      </c>
    </row>
    <row r="299" spans="1:21" ht="15">
      <c r="A299" s="74">
        <v>588.13</v>
      </c>
      <c r="B299" s="74">
        <v>592.12</v>
      </c>
      <c r="C299" s="74">
        <v>586.94000000000005</v>
      </c>
      <c r="D299" s="74">
        <v>591.25</v>
      </c>
      <c r="E299" s="74">
        <v>6689596</v>
      </c>
      <c r="F299" s="74" t="s">
        <v>367</v>
      </c>
      <c r="G299" s="25">
        <f t="shared" si="5"/>
        <v>-5.2769556025370479E-3</v>
      </c>
      <c r="I299" s="73">
        <v>343.51</v>
      </c>
      <c r="J299" s="73">
        <v>347.17</v>
      </c>
      <c r="K299" s="73">
        <v>342.13</v>
      </c>
      <c r="L299" s="73">
        <v>343</v>
      </c>
      <c r="M299" s="73">
        <v>772800</v>
      </c>
      <c r="N299" s="73" t="s">
        <v>367</v>
      </c>
      <c r="O299" s="25">
        <f t="shared" si="6"/>
        <v>1.4868804664722735E-3</v>
      </c>
      <c r="Q299" s="75">
        <v>7.0000000000000001E-3</v>
      </c>
      <c r="R299" s="76">
        <v>21</v>
      </c>
      <c r="T299" s="75">
        <v>2E-3</v>
      </c>
      <c r="U299" s="1">
        <f t="shared" si="4"/>
        <v>27.212508489002442</v>
      </c>
    </row>
    <row r="300" spans="1:21" ht="15">
      <c r="A300" s="74">
        <v>591.36</v>
      </c>
      <c r="B300" s="74">
        <v>592.02</v>
      </c>
      <c r="C300" s="74">
        <v>590.35</v>
      </c>
      <c r="D300" s="74">
        <v>590.98</v>
      </c>
      <c r="E300" s="74">
        <v>5311743</v>
      </c>
      <c r="F300" s="74" t="s">
        <v>368</v>
      </c>
      <c r="G300" s="25">
        <f t="shared" si="5"/>
        <v>6.4299976310544515E-4</v>
      </c>
      <c r="I300" s="73">
        <v>342.82</v>
      </c>
      <c r="J300" s="73">
        <v>343.75</v>
      </c>
      <c r="K300" s="73">
        <v>339.06</v>
      </c>
      <c r="L300" s="73">
        <v>339.76</v>
      </c>
      <c r="M300" s="73">
        <v>602915</v>
      </c>
      <c r="N300" s="73" t="s">
        <v>368</v>
      </c>
      <c r="O300" s="25">
        <f t="shared" si="6"/>
        <v>9.006357428773315E-3</v>
      </c>
      <c r="Q300" s="75">
        <v>8.0000000000000002E-3</v>
      </c>
      <c r="R300" s="76">
        <v>19</v>
      </c>
      <c r="T300" s="75">
        <v>3.0000000000000001E-3</v>
      </c>
      <c r="U300" s="1">
        <f t="shared" si="4"/>
        <v>26.932437153115192</v>
      </c>
    </row>
    <row r="301" spans="1:21" ht="15">
      <c r="A301" s="74">
        <v>591.57000000000005</v>
      </c>
      <c r="B301" s="74">
        <v>593.95000000000005</v>
      </c>
      <c r="C301" s="74">
        <v>590.66</v>
      </c>
      <c r="D301" s="74">
        <v>593.86</v>
      </c>
      <c r="E301" s="74">
        <v>7196315</v>
      </c>
      <c r="F301" s="74" t="s">
        <v>369</v>
      </c>
      <c r="G301" s="25">
        <f t="shared" si="5"/>
        <v>-3.8561277068668298E-3</v>
      </c>
      <c r="I301" s="73">
        <v>342.28</v>
      </c>
      <c r="J301" s="73">
        <v>347.55500000000001</v>
      </c>
      <c r="K301" s="73">
        <v>342.25</v>
      </c>
      <c r="L301" s="73">
        <v>346.76</v>
      </c>
      <c r="M301" s="73">
        <v>959552</v>
      </c>
      <c r="N301" s="73" t="s">
        <v>369</v>
      </c>
      <c r="O301" s="25">
        <f t="shared" si="6"/>
        <v>-1.2919598569615887E-2</v>
      </c>
      <c r="Q301" s="75">
        <v>9.0000000000000011E-3</v>
      </c>
      <c r="R301" s="76">
        <v>15</v>
      </c>
      <c r="T301" s="75">
        <v>4.0000000000000001E-3</v>
      </c>
      <c r="U301" s="1">
        <f t="shared" si="4"/>
        <v>26.529832946534668</v>
      </c>
    </row>
    <row r="302" spans="1:21" ht="15">
      <c r="A302" s="74">
        <v>592.85</v>
      </c>
      <c r="B302" s="74">
        <v>593.51</v>
      </c>
      <c r="C302" s="74">
        <v>590.5</v>
      </c>
      <c r="D302" s="74">
        <v>590.91999999999996</v>
      </c>
      <c r="E302" s="74">
        <v>6236666</v>
      </c>
      <c r="F302" s="74" t="s">
        <v>370</v>
      </c>
      <c r="G302" s="25">
        <f t="shared" si="5"/>
        <v>3.2660935490422816E-3</v>
      </c>
      <c r="I302" s="73">
        <v>347.51</v>
      </c>
      <c r="J302" s="73">
        <v>351.22</v>
      </c>
      <c r="K302" s="73">
        <v>344.7801</v>
      </c>
      <c r="L302" s="73">
        <v>350.65</v>
      </c>
      <c r="M302" s="73">
        <v>1029450</v>
      </c>
      <c r="N302" s="73" t="s">
        <v>370</v>
      </c>
      <c r="O302" s="25">
        <f t="shared" si="6"/>
        <v>-8.9547982318550767E-3</v>
      </c>
      <c r="Q302" s="75">
        <v>1.0000000000000002E-2</v>
      </c>
      <c r="R302" s="76">
        <v>23</v>
      </c>
      <c r="T302" s="75">
        <v>5.0000000000000001E-3</v>
      </c>
      <c r="U302" s="1">
        <f t="shared" si="4"/>
        <v>26.010287834807755</v>
      </c>
    </row>
    <row r="303" spans="1:21" ht="15">
      <c r="A303" s="74">
        <v>592.84</v>
      </c>
      <c r="B303" s="74">
        <v>594.03</v>
      </c>
      <c r="C303" s="74">
        <v>590.80999999999995</v>
      </c>
      <c r="D303" s="74">
        <v>592.86</v>
      </c>
      <c r="E303" s="74">
        <v>5392973</v>
      </c>
      <c r="F303" s="74" t="s">
        <v>371</v>
      </c>
      <c r="G303" s="25">
        <f t="shared" si="5"/>
        <v>-3.3734777181715359E-5</v>
      </c>
      <c r="I303" s="73">
        <v>349.01</v>
      </c>
      <c r="J303" s="73">
        <v>349.20499999999998</v>
      </c>
      <c r="K303" s="73">
        <v>341.22</v>
      </c>
      <c r="L303" s="73">
        <v>341.22</v>
      </c>
      <c r="M303" s="73">
        <v>1085775</v>
      </c>
      <c r="N303" s="73" t="s">
        <v>371</v>
      </c>
      <c r="O303" s="25">
        <f t="shared" si="6"/>
        <v>2.2829845847253782E-2</v>
      </c>
      <c r="Q303" s="75">
        <v>1.1000000000000003E-2</v>
      </c>
      <c r="R303" s="76">
        <v>15</v>
      </c>
      <c r="T303" s="75">
        <v>6.0000000000000001E-3</v>
      </c>
      <c r="U303" s="1">
        <f t="shared" si="4"/>
        <v>25.380933064049515</v>
      </c>
    </row>
    <row r="304" spans="1:21" ht="15">
      <c r="A304" s="74">
        <v>590.78</v>
      </c>
      <c r="B304" s="74">
        <v>590.96</v>
      </c>
      <c r="C304" s="74">
        <v>585.43499999999995</v>
      </c>
      <c r="D304" s="74">
        <v>586.75</v>
      </c>
      <c r="E304" s="74">
        <v>5874245</v>
      </c>
      <c r="F304" s="74" t="s">
        <v>372</v>
      </c>
      <c r="G304" s="25">
        <f t="shared" si="5"/>
        <v>6.8683425649764818E-3</v>
      </c>
      <c r="I304" s="73">
        <v>339.75</v>
      </c>
      <c r="J304" s="73">
        <v>340.73500000000001</v>
      </c>
      <c r="K304" s="73">
        <v>329.1</v>
      </c>
      <c r="L304" s="73">
        <v>330.75</v>
      </c>
      <c r="M304" s="73">
        <v>972100</v>
      </c>
      <c r="N304" s="73" t="s">
        <v>372</v>
      </c>
      <c r="O304" s="25">
        <f t="shared" si="6"/>
        <v>2.7210884353741527E-2</v>
      </c>
      <c r="Q304" s="75">
        <v>1.2000000000000004E-2</v>
      </c>
      <c r="R304" s="76">
        <v>9</v>
      </c>
      <c r="T304" s="75">
        <v>7.0000000000000001E-3</v>
      </c>
      <c r="U304" s="1">
        <f t="shared" si="4"/>
        <v>24.650276323554305</v>
      </c>
    </row>
    <row r="305" spans="1:21" ht="15">
      <c r="A305" s="74">
        <v>584.54</v>
      </c>
      <c r="B305" s="74">
        <v>587.36</v>
      </c>
      <c r="C305" s="74">
        <v>583.44000000000005</v>
      </c>
      <c r="D305" s="74">
        <v>586.03</v>
      </c>
      <c r="E305" s="74">
        <v>5373949</v>
      </c>
      <c r="F305" s="74" t="s">
        <v>373</v>
      </c>
      <c r="G305" s="25">
        <f t="shared" si="5"/>
        <v>-2.542531952289151E-3</v>
      </c>
      <c r="I305" s="73">
        <v>329.76</v>
      </c>
      <c r="J305" s="73">
        <v>336.21</v>
      </c>
      <c r="K305" s="73">
        <v>328.7</v>
      </c>
      <c r="L305" s="73">
        <v>333.47</v>
      </c>
      <c r="M305" s="73">
        <v>1143486</v>
      </c>
      <c r="N305" s="73" t="s">
        <v>373</v>
      </c>
      <c r="O305" s="25">
        <f t="shared" si="6"/>
        <v>-1.112543857018633E-2</v>
      </c>
      <c r="Q305" s="75">
        <v>1.3000000000000005E-2</v>
      </c>
      <c r="R305" s="76">
        <v>13</v>
      </c>
      <c r="T305" s="75">
        <v>8.0000000000000002E-3</v>
      </c>
      <c r="U305" s="1">
        <f t="shared" si="4"/>
        <v>23.828010502789603</v>
      </c>
    </row>
    <row r="306" spans="1:21" ht="15">
      <c r="A306" s="74">
        <v>585.74</v>
      </c>
      <c r="B306" s="74">
        <v>586.16999999999996</v>
      </c>
      <c r="C306" s="74">
        <v>582.6</v>
      </c>
      <c r="D306" s="74">
        <v>582.92999999999995</v>
      </c>
      <c r="E306" s="74">
        <v>4342341</v>
      </c>
      <c r="F306" s="74" t="s">
        <v>374</v>
      </c>
      <c r="G306" s="25">
        <f t="shared" si="5"/>
        <v>4.8204758718886076E-3</v>
      </c>
      <c r="I306" s="73">
        <v>333.23</v>
      </c>
      <c r="J306" s="73">
        <v>338.11</v>
      </c>
      <c r="K306" s="73">
        <v>330.51</v>
      </c>
      <c r="L306" s="73">
        <v>332.76</v>
      </c>
      <c r="M306" s="73">
        <v>874712</v>
      </c>
      <c r="N306" s="73" t="s">
        <v>374</v>
      </c>
      <c r="O306" s="25">
        <f t="shared" si="6"/>
        <v>1.4124293785311437E-3</v>
      </c>
      <c r="Q306" s="75">
        <v>1.4000000000000005E-2</v>
      </c>
      <c r="R306" s="76">
        <v>14</v>
      </c>
      <c r="T306" s="75">
        <v>9.0000000000000011E-3</v>
      </c>
      <c r="U306" s="1">
        <f t="shared" si="4"/>
        <v>22.924800047329494</v>
      </c>
    </row>
    <row r="307" spans="1:21" ht="15">
      <c r="A307" s="74">
        <v>581.29</v>
      </c>
      <c r="B307" s="74">
        <v>585.52</v>
      </c>
      <c r="C307" s="74">
        <v>578.31269999999995</v>
      </c>
      <c r="D307" s="74">
        <v>584.87</v>
      </c>
      <c r="E307" s="74">
        <v>4594260</v>
      </c>
      <c r="F307" s="74" t="s">
        <v>375</v>
      </c>
      <c r="G307" s="25">
        <f t="shared" si="5"/>
        <v>-6.1210183459572409E-3</v>
      </c>
      <c r="I307" s="73">
        <v>332.59</v>
      </c>
      <c r="J307" s="73">
        <v>337.03</v>
      </c>
      <c r="K307" s="73">
        <v>329.6</v>
      </c>
      <c r="L307" s="73">
        <v>333.85</v>
      </c>
      <c r="M307" s="73">
        <v>1728316</v>
      </c>
      <c r="N307" s="73" t="s">
        <v>375</v>
      </c>
      <c r="O307" s="25">
        <f t="shared" si="6"/>
        <v>-3.7741500673956763E-3</v>
      </c>
      <c r="Q307" s="75">
        <v>1.5000000000000006E-2</v>
      </c>
      <c r="R307" s="76">
        <v>9</v>
      </c>
      <c r="T307" s="75">
        <v>1.0000000000000002E-2</v>
      </c>
      <c r="U307" s="1">
        <f t="shared" si="4"/>
        <v>21.952051485064977</v>
      </c>
    </row>
    <row r="308" spans="1:21" ht="15">
      <c r="A308" s="74">
        <v>581.64</v>
      </c>
      <c r="B308" s="74">
        <v>582.27</v>
      </c>
      <c r="C308" s="74">
        <v>577.41</v>
      </c>
      <c r="D308" s="74">
        <v>578.25</v>
      </c>
      <c r="E308" s="74">
        <v>4545015</v>
      </c>
      <c r="F308" s="74" t="s">
        <v>376</v>
      </c>
      <c r="G308" s="25">
        <f t="shared" si="5"/>
        <v>5.8625162127108332E-3</v>
      </c>
      <c r="I308" s="73">
        <v>328.67</v>
      </c>
      <c r="J308" s="73">
        <v>332.92</v>
      </c>
      <c r="K308" s="73">
        <v>305.44009999999997</v>
      </c>
      <c r="L308" s="73">
        <v>332.24</v>
      </c>
      <c r="M308" s="73">
        <v>3061763</v>
      </c>
      <c r="N308" s="73" t="s">
        <v>376</v>
      </c>
      <c r="O308" s="25">
        <f t="shared" si="6"/>
        <v>-1.0745244401637377E-2</v>
      </c>
      <c r="Q308" s="75">
        <v>1.6000000000000007E-2</v>
      </c>
      <c r="R308" s="76">
        <v>10</v>
      </c>
      <c r="T308" s="75">
        <v>1.1000000000000003E-2</v>
      </c>
      <c r="U308" s="1">
        <f t="shared" si="4"/>
        <v>20.921675001808421</v>
      </c>
    </row>
    <row r="309" spans="1:21" ht="15">
      <c r="A309" s="74">
        <v>577.35</v>
      </c>
      <c r="B309" s="74">
        <v>581.5</v>
      </c>
      <c r="C309" s="74">
        <v>576.4</v>
      </c>
      <c r="D309" s="74">
        <v>580.79</v>
      </c>
      <c r="E309" s="74">
        <v>4647381</v>
      </c>
      <c r="F309" s="74" t="s">
        <v>377</v>
      </c>
      <c r="G309" s="25">
        <f t="shared" si="5"/>
        <v>-5.9229669932332474E-3</v>
      </c>
      <c r="I309" s="73">
        <v>346</v>
      </c>
      <c r="J309" s="73">
        <v>350.48500000000001</v>
      </c>
      <c r="K309" s="73">
        <v>340.87</v>
      </c>
      <c r="L309" s="73">
        <v>349.6</v>
      </c>
      <c r="M309" s="73">
        <v>1337602</v>
      </c>
      <c r="N309" s="73" t="s">
        <v>377</v>
      </c>
      <c r="O309" s="25">
        <f t="shared" si="6"/>
        <v>-1.0297482837528626E-2</v>
      </c>
      <c r="Q309" s="75">
        <v>1.7000000000000008E-2</v>
      </c>
      <c r="R309" s="76">
        <v>12</v>
      </c>
      <c r="T309" s="75">
        <v>1.2000000000000004E-2</v>
      </c>
      <c r="U309" s="1">
        <f t="shared" si="4"/>
        <v>19.845843989444425</v>
      </c>
    </row>
    <row r="310" spans="1:21" ht="15">
      <c r="A310" s="74">
        <v>580.14</v>
      </c>
      <c r="B310" s="74">
        <v>580.21</v>
      </c>
      <c r="C310" s="74">
        <v>575.08000000000004</v>
      </c>
      <c r="D310" s="74">
        <v>575.16999999999996</v>
      </c>
      <c r="E310" s="74">
        <v>6640089</v>
      </c>
      <c r="F310" s="74" t="s">
        <v>378</v>
      </c>
      <c r="G310" s="25">
        <f t="shared" si="5"/>
        <v>8.6409235530364725E-3</v>
      </c>
      <c r="I310" s="73">
        <v>350.16</v>
      </c>
      <c r="J310" s="73">
        <v>350.46</v>
      </c>
      <c r="K310" s="73">
        <v>344.32</v>
      </c>
      <c r="L310" s="73">
        <v>347.02</v>
      </c>
      <c r="M310" s="73">
        <v>949335</v>
      </c>
      <c r="N310" s="73" t="s">
        <v>378</v>
      </c>
      <c r="O310" s="25">
        <f t="shared" si="6"/>
        <v>9.0484698288284537E-3</v>
      </c>
      <c r="Q310" s="75">
        <v>1.8000000000000009E-2</v>
      </c>
      <c r="R310" s="76">
        <v>5</v>
      </c>
      <c r="T310" s="75">
        <v>1.3000000000000005E-2</v>
      </c>
      <c r="U310" s="1">
        <f t="shared" si="4"/>
        <v>18.736759277613462</v>
      </c>
    </row>
    <row r="311" spans="1:21" ht="15">
      <c r="A311" s="74">
        <v>571.45000000000005</v>
      </c>
      <c r="B311" s="74">
        <v>575.74</v>
      </c>
      <c r="C311" s="74">
        <v>569.29</v>
      </c>
      <c r="D311" s="74">
        <v>575.73</v>
      </c>
      <c r="E311" s="74">
        <v>8781254</v>
      </c>
      <c r="F311" s="74" t="s">
        <v>379</v>
      </c>
      <c r="G311" s="25">
        <f t="shared" si="5"/>
        <v>-7.4340402619282875E-3</v>
      </c>
      <c r="I311" s="73">
        <v>344.5</v>
      </c>
      <c r="J311" s="73">
        <v>345.03</v>
      </c>
      <c r="K311" s="73">
        <v>336.37</v>
      </c>
      <c r="L311" s="73">
        <v>342.91</v>
      </c>
      <c r="M311" s="73">
        <v>1087028</v>
      </c>
      <c r="N311" s="73" t="s">
        <v>379</v>
      </c>
      <c r="O311" s="25">
        <f t="shared" si="6"/>
        <v>4.6367851622874934E-3</v>
      </c>
      <c r="Q311" s="75">
        <v>1.900000000000001E-2</v>
      </c>
      <c r="R311" s="76">
        <v>5</v>
      </c>
      <c r="T311" s="75">
        <v>1.4000000000000005E-2</v>
      </c>
      <c r="U311" s="1">
        <f t="shared" si="4"/>
        <v>17.606424310561799</v>
      </c>
    </row>
    <row r="312" spans="1:21" ht="15">
      <c r="A312" s="74">
        <v>581.02</v>
      </c>
      <c r="B312" s="74">
        <v>588.16139999999996</v>
      </c>
      <c r="C312" s="74">
        <v>579.84</v>
      </c>
      <c r="D312" s="74">
        <v>587.83000000000004</v>
      </c>
      <c r="E312" s="74">
        <v>7046843</v>
      </c>
      <c r="F312" s="74" t="s">
        <v>380</v>
      </c>
      <c r="G312" s="25">
        <f t="shared" si="5"/>
        <v>-1.1584982052634363E-2</v>
      </c>
      <c r="I312" s="73">
        <v>351.71</v>
      </c>
      <c r="J312" s="73">
        <v>355.4434</v>
      </c>
      <c r="K312" s="73">
        <v>347.3</v>
      </c>
      <c r="L312" s="73">
        <v>351.74</v>
      </c>
      <c r="M312" s="73">
        <v>1000942</v>
      </c>
      <c r="N312" s="73" t="s">
        <v>380</v>
      </c>
      <c r="O312" s="25">
        <f t="shared" si="6"/>
        <v>-8.5290271223170677E-5</v>
      </c>
      <c r="Q312" s="75">
        <v>2.0000000000000011E-2</v>
      </c>
      <c r="R312" s="76">
        <v>5</v>
      </c>
      <c r="T312" s="75">
        <v>1.5000000000000006E-2</v>
      </c>
      <c r="U312" s="1">
        <f t="shared" si="4"/>
        <v>16.466436873322145</v>
      </c>
    </row>
    <row r="313" spans="1:21" ht="15">
      <c r="A313" s="74">
        <v>583.21</v>
      </c>
      <c r="B313" s="74">
        <v>586.15</v>
      </c>
      <c r="C313" s="74">
        <v>580.54999999999995</v>
      </c>
      <c r="D313" s="74">
        <v>584.66</v>
      </c>
      <c r="E313" s="74">
        <v>6974729</v>
      </c>
      <c r="F313" s="74" t="s">
        <v>381</v>
      </c>
      <c r="G313" s="25">
        <f t="shared" si="5"/>
        <v>-2.4800738890977669E-3</v>
      </c>
      <c r="I313" s="73">
        <v>351.19</v>
      </c>
      <c r="J313" s="73">
        <v>355.25990000000002</v>
      </c>
      <c r="K313" s="73">
        <v>349.3</v>
      </c>
      <c r="L313" s="73">
        <v>354.63</v>
      </c>
      <c r="M313" s="73">
        <v>811191</v>
      </c>
      <c r="N313" s="73" t="s">
        <v>381</v>
      </c>
      <c r="O313" s="25">
        <f t="shared" si="6"/>
        <v>-9.7002509657952984E-3</v>
      </c>
      <c r="Q313" s="75">
        <v>2.1000000000000012E-2</v>
      </c>
      <c r="R313" s="76">
        <v>9</v>
      </c>
      <c r="T313" s="75">
        <v>1.6000000000000007E-2</v>
      </c>
      <c r="U313" s="1">
        <f t="shared" si="4"/>
        <v>15.327802143018229</v>
      </c>
    </row>
    <row r="314" spans="1:21" ht="15">
      <c r="A314" s="74">
        <v>583.91999999999996</v>
      </c>
      <c r="B314" s="74">
        <v>587.08000000000004</v>
      </c>
      <c r="C314" s="74">
        <v>583.12</v>
      </c>
      <c r="D314" s="74">
        <v>586.82000000000005</v>
      </c>
      <c r="E314" s="74">
        <v>5033308</v>
      </c>
      <c r="F314" s="74" t="s">
        <v>382</v>
      </c>
      <c r="G314" s="25">
        <f t="shared" si="5"/>
        <v>-4.9418901877920085E-3</v>
      </c>
      <c r="I314" s="73">
        <v>353.9</v>
      </c>
      <c r="J314" s="73">
        <v>358.75</v>
      </c>
      <c r="K314" s="73">
        <v>352.04500000000002</v>
      </c>
      <c r="L314" s="73">
        <v>357.86</v>
      </c>
      <c r="M314" s="73">
        <v>901118</v>
      </c>
      <c r="N314" s="73" t="s">
        <v>382</v>
      </c>
      <c r="O314" s="25">
        <f t="shared" si="6"/>
        <v>-1.1065779913932872E-2</v>
      </c>
      <c r="Q314" s="75">
        <v>2.2000000000000013E-2</v>
      </c>
      <c r="R314" s="76">
        <v>3</v>
      </c>
      <c r="T314" s="75">
        <v>1.7000000000000008E-2</v>
      </c>
      <c r="U314" s="1">
        <f t="shared" si="4"/>
        <v>14.200770884911414</v>
      </c>
    </row>
    <row r="315" spans="1:21" ht="15">
      <c r="A315" s="74">
        <v>585.44000000000005</v>
      </c>
      <c r="B315" s="74">
        <v>586.5</v>
      </c>
      <c r="C315" s="74">
        <v>584.24</v>
      </c>
      <c r="D315" s="74">
        <v>586.04</v>
      </c>
      <c r="E315" s="74">
        <v>4169858</v>
      </c>
      <c r="F315" s="74" t="s">
        <v>383</v>
      </c>
      <c r="G315" s="25">
        <f t="shared" si="5"/>
        <v>-1.0238208995971831E-3</v>
      </c>
      <c r="I315" s="73">
        <v>356.03</v>
      </c>
      <c r="J315" s="73">
        <v>359.97</v>
      </c>
      <c r="K315" s="73">
        <v>355.84</v>
      </c>
      <c r="L315" s="73">
        <v>359.97</v>
      </c>
      <c r="M315" s="73">
        <v>782511</v>
      </c>
      <c r="N315" s="73" t="s">
        <v>383</v>
      </c>
      <c r="O315" s="25">
        <f t="shared" si="6"/>
        <v>-1.0945356557491071E-2</v>
      </c>
      <c r="Q315" s="75">
        <v>2.3000000000000013E-2</v>
      </c>
      <c r="R315" s="76">
        <v>8</v>
      </c>
      <c r="T315" s="75">
        <v>1.8000000000000009E-2</v>
      </c>
      <c r="U315" s="1">
        <f t="shared" si="4"/>
        <v>13.094705575333906</v>
      </c>
    </row>
    <row r="316" spans="1:21" ht="15">
      <c r="A316" s="74">
        <v>585.58000000000004</v>
      </c>
      <c r="B316" s="74">
        <v>586.04</v>
      </c>
      <c r="C316" s="74">
        <v>583.59</v>
      </c>
      <c r="D316" s="74">
        <v>583.80999999999995</v>
      </c>
      <c r="E316" s="74">
        <v>3189061</v>
      </c>
      <c r="F316" s="74" t="s">
        <v>384</v>
      </c>
      <c r="G316" s="25">
        <f t="shared" si="5"/>
        <v>3.0318082937943469E-3</v>
      </c>
      <c r="I316" s="73">
        <v>358.52</v>
      </c>
      <c r="J316" s="73">
        <v>359.1</v>
      </c>
      <c r="K316" s="73">
        <v>355.41520000000003</v>
      </c>
      <c r="L316" s="73">
        <v>357.66</v>
      </c>
      <c r="M316" s="73">
        <v>632628</v>
      </c>
      <c r="N316" s="73" t="s">
        <v>384</v>
      </c>
      <c r="O316" s="25">
        <f t="shared" si="6"/>
        <v>2.4045182575629376E-3</v>
      </c>
      <c r="Q316" s="75">
        <v>2.4000000000000014E-2</v>
      </c>
      <c r="R316" s="76">
        <v>6</v>
      </c>
      <c r="T316" s="75">
        <v>1.900000000000001E-2</v>
      </c>
      <c r="U316" s="1">
        <f t="shared" si="4"/>
        <v>12.017976162282753</v>
      </c>
    </row>
    <row r="317" spans="1:21" ht="15">
      <c r="A317" s="74">
        <v>583.26</v>
      </c>
      <c r="B317" s="74">
        <v>584.75</v>
      </c>
      <c r="C317" s="74">
        <v>582.72</v>
      </c>
      <c r="D317" s="74">
        <v>583.34</v>
      </c>
      <c r="E317" s="74">
        <v>3840901</v>
      </c>
      <c r="F317" s="74" t="s">
        <v>385</v>
      </c>
      <c r="G317" s="25">
        <f t="shared" si="5"/>
        <v>-1.3714128981390239E-4</v>
      </c>
      <c r="I317" s="73">
        <v>357.01</v>
      </c>
      <c r="J317" s="73">
        <v>360.92</v>
      </c>
      <c r="K317" s="73">
        <v>356.15499999999997</v>
      </c>
      <c r="L317" s="73">
        <v>358.36</v>
      </c>
      <c r="M317" s="73">
        <v>687693</v>
      </c>
      <c r="N317" s="73" t="s">
        <v>385</v>
      </c>
      <c r="O317" s="25">
        <f t="shared" si="6"/>
        <v>-3.767161513561823E-3</v>
      </c>
      <c r="Q317" s="75">
        <v>2.5000000000000015E-2</v>
      </c>
      <c r="R317" s="76">
        <v>4</v>
      </c>
      <c r="T317" s="75">
        <v>2.0000000000000011E-2</v>
      </c>
      <c r="U317" s="1">
        <f t="shared" si="4"/>
        <v>10.977886115056153</v>
      </c>
    </row>
    <row r="318" spans="1:21" ht="15">
      <c r="A318" s="74">
        <v>582.86</v>
      </c>
      <c r="B318" s="74">
        <v>582.96</v>
      </c>
      <c r="C318" s="74">
        <v>578.87</v>
      </c>
      <c r="D318" s="74">
        <v>580.57000000000005</v>
      </c>
      <c r="E318" s="74">
        <v>4257345</v>
      </c>
      <c r="F318" s="74" t="s">
        <v>386</v>
      </c>
      <c r="G318" s="25">
        <f t="shared" si="5"/>
        <v>3.9443994694867701E-3</v>
      </c>
      <c r="I318" s="73">
        <v>357.99</v>
      </c>
      <c r="J318" s="73">
        <v>359.65499999999997</v>
      </c>
      <c r="K318" s="73">
        <v>354.16</v>
      </c>
      <c r="L318" s="73">
        <v>355.73</v>
      </c>
      <c r="M318" s="73">
        <v>629272</v>
      </c>
      <c r="N318" s="73" t="s">
        <v>386</v>
      </c>
      <c r="O318" s="25">
        <f t="shared" si="6"/>
        <v>6.353132994124655E-3</v>
      </c>
      <c r="Q318" s="75">
        <v>2.6000000000000016E-2</v>
      </c>
      <c r="R318" s="76">
        <v>2</v>
      </c>
      <c r="T318" s="75">
        <v>2.1000000000000012E-2</v>
      </c>
      <c r="U318" s="1">
        <f t="shared" si="4"/>
        <v>9.980628409074777</v>
      </c>
    </row>
    <row r="319" spans="1:21" ht="15">
      <c r="A319" s="74">
        <v>577.95000000000005</v>
      </c>
      <c r="B319" s="74">
        <v>578.84</v>
      </c>
      <c r="C319" s="74">
        <v>575.64</v>
      </c>
      <c r="D319" s="74">
        <v>578.28</v>
      </c>
      <c r="E319" s="74">
        <v>4743679</v>
      </c>
      <c r="F319" s="74" t="s">
        <v>387</v>
      </c>
      <c r="G319" s="25">
        <f t="shared" si="5"/>
        <v>-5.7065781282406025E-4</v>
      </c>
      <c r="I319" s="73">
        <v>353.62</v>
      </c>
      <c r="J319" s="73">
        <v>355.19</v>
      </c>
      <c r="K319" s="73">
        <v>348.02</v>
      </c>
      <c r="L319" s="73">
        <v>350</v>
      </c>
      <c r="M319" s="73">
        <v>922435</v>
      </c>
      <c r="N319" s="73" t="s">
        <v>387</v>
      </c>
      <c r="O319" s="25">
        <f t="shared" si="6"/>
        <v>1.0342857142857209E-2</v>
      </c>
      <c r="Q319" s="75">
        <v>2.7000000000000017E-2</v>
      </c>
      <c r="R319" s="76">
        <v>2</v>
      </c>
      <c r="T319" s="75">
        <v>2.2000000000000013E-2</v>
      </c>
      <c r="U319" s="1">
        <f t="shared" si="4"/>
        <v>9.0312701775917503</v>
      </c>
    </row>
    <row r="320" spans="1:21" ht="15">
      <c r="A320" s="74">
        <v>577.95000000000005</v>
      </c>
      <c r="B320" s="74">
        <v>580.53</v>
      </c>
      <c r="C320" s="74">
        <v>577.59</v>
      </c>
      <c r="D320" s="74">
        <v>577.98</v>
      </c>
      <c r="E320" s="74">
        <v>5892207</v>
      </c>
      <c r="F320" s="74" t="s">
        <v>388</v>
      </c>
      <c r="G320" s="25">
        <f t="shared" si="5"/>
        <v>-5.1904910204458865E-5</v>
      </c>
      <c r="I320" s="73">
        <v>350.71</v>
      </c>
      <c r="J320" s="73">
        <v>357.96</v>
      </c>
      <c r="K320" s="73">
        <v>350.55</v>
      </c>
      <c r="L320" s="73">
        <v>356.5</v>
      </c>
      <c r="M320" s="73">
        <v>599307</v>
      </c>
      <c r="N320" s="73" t="s">
        <v>388</v>
      </c>
      <c r="O320" s="25">
        <f t="shared" si="6"/>
        <v>-1.6241234221598955E-2</v>
      </c>
      <c r="Q320" s="75">
        <v>2.8000000000000018E-2</v>
      </c>
      <c r="R320" s="76">
        <v>7</v>
      </c>
      <c r="T320" s="75">
        <v>2.3000000000000013E-2</v>
      </c>
      <c r="U320" s="1">
        <f t="shared" si="4"/>
        <v>8.1337639680790375</v>
      </c>
    </row>
    <row r="321" spans="1:21" ht="15">
      <c r="A321" s="74">
        <v>576.91999999999996</v>
      </c>
      <c r="B321" s="74">
        <v>578.5</v>
      </c>
      <c r="C321" s="74">
        <v>575.84</v>
      </c>
      <c r="D321" s="74">
        <v>578.47</v>
      </c>
      <c r="E321" s="74">
        <v>4244147</v>
      </c>
      <c r="F321" s="74" t="s">
        <v>389</v>
      </c>
      <c r="G321" s="25">
        <f t="shared" si="5"/>
        <v>-2.6794820820441601E-3</v>
      </c>
      <c r="I321" s="73">
        <v>356</v>
      </c>
      <c r="J321" s="73">
        <v>359.16</v>
      </c>
      <c r="K321" s="73">
        <v>353.41</v>
      </c>
      <c r="L321" s="73">
        <v>358.25</v>
      </c>
      <c r="M321" s="73">
        <v>680476</v>
      </c>
      <c r="N321" s="73" t="s">
        <v>389</v>
      </c>
      <c r="O321" s="25">
        <f t="shared" si="6"/>
        <v>-6.2805303558967074E-3</v>
      </c>
      <c r="Q321" s="75">
        <v>2.9000000000000019E-2</v>
      </c>
      <c r="R321" s="76">
        <v>2</v>
      </c>
      <c r="T321" s="75">
        <v>2.4000000000000014E-2</v>
      </c>
      <c r="U321" s="1">
        <f t="shared" si="4"/>
        <v>7.2909828895695892</v>
      </c>
    </row>
    <row r="322" spans="1:21" ht="15">
      <c r="A322" s="74">
        <v>577.17999999999995</v>
      </c>
      <c r="B322" s="74">
        <v>577.65</v>
      </c>
      <c r="C322" s="74">
        <v>573.79999999999995</v>
      </c>
      <c r="D322" s="74">
        <v>574.02</v>
      </c>
      <c r="E322" s="74">
        <v>5391575</v>
      </c>
      <c r="F322" s="74" t="s">
        <v>390</v>
      </c>
      <c r="G322" s="25">
        <f t="shared" si="5"/>
        <v>5.5050346677816275E-3</v>
      </c>
      <c r="I322" s="73">
        <v>356.49</v>
      </c>
      <c r="J322" s="73">
        <v>357.63990000000001</v>
      </c>
      <c r="K322" s="73">
        <v>352.98</v>
      </c>
      <c r="L322" s="73">
        <v>353.85</v>
      </c>
      <c r="M322" s="73">
        <v>680014</v>
      </c>
      <c r="N322" s="73" t="s">
        <v>390</v>
      </c>
      <c r="O322" s="25">
        <f t="shared" si="6"/>
        <v>7.4607884696904492E-3</v>
      </c>
      <c r="Q322" s="75">
        <v>3.000000000000002E-2</v>
      </c>
      <c r="R322" s="76">
        <v>2</v>
      </c>
      <c r="T322" s="75">
        <v>2.5000000000000015E-2</v>
      </c>
      <c r="U322" s="1">
        <f t="shared" si="4"/>
        <v>6.5047764417620062</v>
      </c>
    </row>
    <row r="323" spans="1:21" ht="15">
      <c r="A323" s="74">
        <v>573.74</v>
      </c>
      <c r="B323" s="74">
        <v>574.26</v>
      </c>
      <c r="C323" s="74">
        <v>568.16999999999996</v>
      </c>
      <c r="D323" s="74">
        <v>573.4</v>
      </c>
      <c r="E323" s="74">
        <v>6119852</v>
      </c>
      <c r="F323" s="74" t="s">
        <v>391</v>
      </c>
      <c r="G323" s="25">
        <f t="shared" si="5"/>
        <v>5.9295430763861567E-4</v>
      </c>
      <c r="I323" s="73">
        <v>351.67</v>
      </c>
      <c r="J323" s="73">
        <v>353.72</v>
      </c>
      <c r="K323" s="73">
        <v>346.36</v>
      </c>
      <c r="L323" s="73">
        <v>352</v>
      </c>
      <c r="M323" s="73">
        <v>1459230</v>
      </c>
      <c r="N323" s="73" t="s">
        <v>391</v>
      </c>
      <c r="O323" s="25">
        <f t="shared" si="6"/>
        <v>-9.374999999999245E-4</v>
      </c>
      <c r="Q323" s="75">
        <v>3.1000000000000021E-2</v>
      </c>
      <c r="R323" s="76">
        <v>1</v>
      </c>
      <c r="T323" s="75">
        <v>2.6000000000000016E-2</v>
      </c>
      <c r="U323" s="1">
        <f t="shared" si="4"/>
        <v>5.7760434826895022</v>
      </c>
    </row>
    <row r="324" spans="1:21" ht="15">
      <c r="A324" s="74">
        <v>571.86</v>
      </c>
      <c r="B324" s="74">
        <v>577.16</v>
      </c>
      <c r="C324" s="74">
        <v>571.85</v>
      </c>
      <c r="D324" s="74">
        <v>576.85</v>
      </c>
      <c r="E324" s="74">
        <v>5338268</v>
      </c>
      <c r="F324" s="74" t="s">
        <v>392</v>
      </c>
      <c r="G324" s="25">
        <f t="shared" si="5"/>
        <v>-8.6504290543468754E-3</v>
      </c>
      <c r="I324" s="73">
        <v>346.59</v>
      </c>
      <c r="J324" s="73">
        <v>351.07</v>
      </c>
      <c r="K324" s="73">
        <v>344.54</v>
      </c>
      <c r="L324" s="73">
        <v>345.5</v>
      </c>
      <c r="M324" s="73">
        <v>951385</v>
      </c>
      <c r="N324" s="73" t="s">
        <v>392</v>
      </c>
      <c r="O324" s="25">
        <f t="shared" si="6"/>
        <v>3.1548480463097217E-3</v>
      </c>
      <c r="Q324" s="75">
        <v>3.2000000000000021E-2</v>
      </c>
      <c r="R324" s="76">
        <v>3</v>
      </c>
      <c r="T324" s="75">
        <v>2.7000000000000017E-2</v>
      </c>
      <c r="U324" s="1">
        <f t="shared" si="4"/>
        <v>5.1048186169452787</v>
      </c>
    </row>
    <row r="325" spans="1:21" ht="15">
      <c r="A325" s="74">
        <v>574.35</v>
      </c>
      <c r="B325" s="74">
        <v>574.67899999999997</v>
      </c>
      <c r="C325" s="74">
        <v>571.58000000000004</v>
      </c>
      <c r="D325" s="74">
        <v>572.85</v>
      </c>
      <c r="E325" s="74">
        <v>4719971</v>
      </c>
      <c r="F325" s="74" t="s">
        <v>393</v>
      </c>
      <c r="G325" s="25">
        <f t="shared" si="5"/>
        <v>2.6184865147944603E-3</v>
      </c>
      <c r="I325" s="73">
        <v>343.17</v>
      </c>
      <c r="J325" s="73">
        <v>344.85</v>
      </c>
      <c r="K325" s="73">
        <v>340.3</v>
      </c>
      <c r="L325" s="73">
        <v>341.89</v>
      </c>
      <c r="M325" s="73">
        <v>662848</v>
      </c>
      <c r="N325" s="73" t="s">
        <v>393</v>
      </c>
      <c r="O325" s="25">
        <f t="shared" si="6"/>
        <v>3.7438942349878879E-3</v>
      </c>
      <c r="Q325" s="75">
        <v>3.3000000000000022E-2</v>
      </c>
      <c r="R325" s="76">
        <v>1</v>
      </c>
      <c r="T325" s="75">
        <v>2.8000000000000018E-2</v>
      </c>
      <c r="U325" s="1">
        <f t="shared" si="4"/>
        <v>4.4903682617240106</v>
      </c>
    </row>
    <row r="326" spans="1:21" ht="15">
      <c r="A326" s="74">
        <v>573.22</v>
      </c>
      <c r="B326" s="74">
        <v>574.37570000000005</v>
      </c>
      <c r="C326" s="74">
        <v>571.37</v>
      </c>
      <c r="D326" s="74">
        <v>572.45000000000005</v>
      </c>
      <c r="E326" s="74">
        <v>4414258</v>
      </c>
      <c r="F326" s="74" t="s">
        <v>394</v>
      </c>
      <c r="G326" s="25">
        <f t="shared" si="5"/>
        <v>1.3450956415406168E-3</v>
      </c>
      <c r="I326" s="73">
        <v>343.07</v>
      </c>
      <c r="J326" s="73">
        <v>344.4</v>
      </c>
      <c r="K326" s="73">
        <v>338.43</v>
      </c>
      <c r="L326" s="73">
        <v>341.25</v>
      </c>
      <c r="M326" s="73">
        <v>510784</v>
      </c>
      <c r="N326" s="73" t="s">
        <v>394</v>
      </c>
      <c r="O326" s="25">
        <f t="shared" si="6"/>
        <v>5.3333333333334121E-3</v>
      </c>
      <c r="Q326" s="75">
        <v>3.4000000000000023E-2</v>
      </c>
      <c r="R326" s="76">
        <v>2</v>
      </c>
      <c r="T326" s="75">
        <v>2.9000000000000019E-2</v>
      </c>
      <c r="U326" s="1">
        <f t="shared" si="4"/>
        <v>3.9312927584556774</v>
      </c>
    </row>
    <row r="327" spans="1:21" ht="15">
      <c r="A327" s="74">
        <v>575.29</v>
      </c>
      <c r="B327" s="74">
        <v>576.26</v>
      </c>
      <c r="C327" s="74">
        <v>572.70000000000005</v>
      </c>
      <c r="D327" s="74">
        <v>573.78</v>
      </c>
      <c r="E327" s="74">
        <v>4920279</v>
      </c>
      <c r="F327" s="74" t="s">
        <v>395</v>
      </c>
      <c r="G327" s="25">
        <f t="shared" si="5"/>
        <v>2.6316706751716712E-3</v>
      </c>
      <c r="I327" s="73">
        <v>344.95</v>
      </c>
      <c r="J327" s="73">
        <v>346.25</v>
      </c>
      <c r="K327" s="73">
        <v>336.81</v>
      </c>
      <c r="L327" s="73">
        <v>340.87</v>
      </c>
      <c r="M327" s="73">
        <v>807074</v>
      </c>
      <c r="N327" s="73" t="s">
        <v>395</v>
      </c>
      <c r="O327" s="25">
        <f t="shared" si="6"/>
        <v>1.1969372488045193E-2</v>
      </c>
      <c r="Q327" s="75">
        <v>3.5000000000000024E-2</v>
      </c>
      <c r="R327" s="76">
        <v>0</v>
      </c>
      <c r="T327" s="75">
        <v>3.000000000000002E-2</v>
      </c>
      <c r="U327" s="1">
        <f t="shared" si="4"/>
        <v>3.4256311243585271</v>
      </c>
    </row>
    <row r="328" spans="1:21" ht="15">
      <c r="A328" s="74">
        <v>573.61</v>
      </c>
      <c r="B328" s="74">
        <v>574.26</v>
      </c>
      <c r="C328" s="74">
        <v>570.76</v>
      </c>
      <c r="D328" s="74">
        <v>572.46</v>
      </c>
      <c r="E328" s="74">
        <v>6833139</v>
      </c>
      <c r="F328" s="74" t="s">
        <v>396</v>
      </c>
      <c r="G328" s="25">
        <f t="shared" si="5"/>
        <v>2.0088739824615232E-3</v>
      </c>
      <c r="I328" s="73">
        <v>340.26</v>
      </c>
      <c r="J328" s="73">
        <v>342</v>
      </c>
      <c r="K328" s="73">
        <v>337.53500000000003</v>
      </c>
      <c r="L328" s="73">
        <v>342</v>
      </c>
      <c r="M328" s="73">
        <v>574294</v>
      </c>
      <c r="N328" s="73" t="s">
        <v>396</v>
      </c>
      <c r="O328" s="25">
        <f t="shared" si="6"/>
        <v>-5.0877192982455854E-3</v>
      </c>
      <c r="Q328" s="75">
        <v>3.6000000000000025E-2</v>
      </c>
      <c r="R328" s="76">
        <v>0</v>
      </c>
      <c r="T328" s="75">
        <v>3.1000000000000021E-2</v>
      </c>
      <c r="U328" s="1">
        <f t="shared" si="4"/>
        <v>2.9709653586332894</v>
      </c>
    </row>
    <row r="329" spans="1:21" ht="15">
      <c r="A329" s="74">
        <v>570.23</v>
      </c>
      <c r="B329" s="74">
        <v>571.83000000000004</v>
      </c>
      <c r="C329" s="74">
        <v>569.48</v>
      </c>
      <c r="D329" s="74">
        <v>571.15</v>
      </c>
      <c r="E329" s="74">
        <v>6916815</v>
      </c>
      <c r="F329" s="74" t="s">
        <v>397</v>
      </c>
      <c r="G329" s="25">
        <f t="shared" si="5"/>
        <v>-1.6107852578131077E-3</v>
      </c>
      <c r="I329" s="73">
        <v>338.15</v>
      </c>
      <c r="J329" s="73">
        <v>342.35989999999998</v>
      </c>
      <c r="K329" s="73">
        <v>338.15</v>
      </c>
      <c r="L329" s="73">
        <v>340.3</v>
      </c>
      <c r="M329" s="73">
        <v>874547</v>
      </c>
      <c r="N329" s="73" t="s">
        <v>397</v>
      </c>
      <c r="O329" s="25">
        <f t="shared" si="6"/>
        <v>-6.3179547458126484E-3</v>
      </c>
      <c r="Q329" s="75">
        <v>3.7000000000000026E-2</v>
      </c>
      <c r="R329" s="76">
        <v>1</v>
      </c>
      <c r="T329" s="75">
        <v>3.2000000000000021E-2</v>
      </c>
      <c r="U329" s="1">
        <f t="shared" si="4"/>
        <v>2.5645216085109186</v>
      </c>
    </row>
    <row r="330" spans="1:21" ht="15">
      <c r="A330" s="74">
        <v>570.61</v>
      </c>
      <c r="B330" s="74">
        <v>573.59</v>
      </c>
      <c r="C330" s="74">
        <v>567.98</v>
      </c>
      <c r="D330" s="74">
        <v>573</v>
      </c>
      <c r="E330" s="74">
        <v>6347907</v>
      </c>
      <c r="F330" s="74" t="s">
        <v>398</v>
      </c>
      <c r="G330" s="25">
        <f t="shared" si="5"/>
        <v>-4.1710296684118742E-3</v>
      </c>
      <c r="I330" s="73">
        <v>338.93</v>
      </c>
      <c r="J330" s="73">
        <v>347.6</v>
      </c>
      <c r="K330" s="73">
        <v>338.26</v>
      </c>
      <c r="L330" s="73">
        <v>345.73</v>
      </c>
      <c r="M330" s="73">
        <v>1444583</v>
      </c>
      <c r="N330" s="73" t="s">
        <v>398</v>
      </c>
      <c r="O330" s="25">
        <f t="shared" si="6"/>
        <v>-1.9668527463627683E-2</v>
      </c>
      <c r="Q330" s="75">
        <v>3.8000000000000027E-2</v>
      </c>
      <c r="R330" s="76">
        <v>0</v>
      </c>
      <c r="T330" s="75">
        <v>3.3000000000000022E-2</v>
      </c>
      <c r="U330" s="1">
        <f t="shared" si="4"/>
        <v>2.2032659369708472</v>
      </c>
    </row>
    <row r="331" spans="1:21" ht="15">
      <c r="A331" s="74">
        <v>575.22</v>
      </c>
      <c r="B331" s="74">
        <v>575.66999999999996</v>
      </c>
      <c r="C331" s="74">
        <v>572.13</v>
      </c>
      <c r="D331" s="74">
        <v>572.17999999999995</v>
      </c>
      <c r="E331" s="74">
        <v>4833973</v>
      </c>
      <c r="F331" s="74" t="s">
        <v>399</v>
      </c>
      <c r="G331" s="25">
        <f t="shared" si="5"/>
        <v>5.3130133873957597E-3</v>
      </c>
      <c r="I331" s="73">
        <v>347.07</v>
      </c>
      <c r="J331" s="73">
        <v>348.43</v>
      </c>
      <c r="K331" s="73">
        <v>344.86</v>
      </c>
      <c r="L331" s="73">
        <v>345</v>
      </c>
      <c r="M331" s="73">
        <v>626771</v>
      </c>
      <c r="N331" s="73" t="s">
        <v>399</v>
      </c>
      <c r="O331" s="25">
        <f t="shared" si="6"/>
        <v>6.0000000000000053E-3</v>
      </c>
      <c r="Q331" s="75">
        <v>3.9000000000000028E-2</v>
      </c>
      <c r="R331" s="76">
        <v>2</v>
      </c>
      <c r="T331" s="75">
        <v>3.4000000000000023E-2</v>
      </c>
      <c r="U331" s="1">
        <f t="shared" si="4"/>
        <v>1.8839928936406229</v>
      </c>
    </row>
    <row r="332" spans="1:21" ht="15">
      <c r="A332" s="74">
        <v>570.29</v>
      </c>
      <c r="B332" s="74">
        <v>570.34</v>
      </c>
      <c r="C332" s="74">
        <v>566.80999999999995</v>
      </c>
      <c r="D332" s="74">
        <v>567.37</v>
      </c>
      <c r="E332" s="74">
        <v>6134026</v>
      </c>
      <c r="F332" s="74" t="s">
        <v>400</v>
      </c>
      <c r="G332" s="25">
        <f t="shared" si="5"/>
        <v>5.1465533954913045E-3</v>
      </c>
      <c r="I332" s="73">
        <v>342.74</v>
      </c>
      <c r="J332" s="73">
        <v>343.29</v>
      </c>
      <c r="K332" s="73">
        <v>336.46</v>
      </c>
      <c r="L332" s="73">
        <v>338.31</v>
      </c>
      <c r="M332" s="73">
        <v>780126</v>
      </c>
      <c r="N332" s="73" t="s">
        <v>400</v>
      </c>
      <c r="O332" s="25">
        <f t="shared" si="6"/>
        <v>1.3094499128018633E-2</v>
      </c>
      <c r="Q332" s="75">
        <v>4.0000000000000029E-2</v>
      </c>
      <c r="R332" s="76">
        <v>0</v>
      </c>
      <c r="T332" s="75">
        <v>3.5000000000000024E-2</v>
      </c>
      <c r="U332" s="1">
        <f t="shared" si="4"/>
        <v>1.6034055520870474</v>
      </c>
    </row>
    <row r="333" spans="1:21" ht="15">
      <c r="A333" s="74">
        <v>567.77</v>
      </c>
      <c r="B333" s="74">
        <v>568.79999999999995</v>
      </c>
      <c r="C333" s="74">
        <v>565.79999999999995</v>
      </c>
      <c r="D333" s="74">
        <v>566.55999999999995</v>
      </c>
      <c r="E333" s="74">
        <v>7369350</v>
      </c>
      <c r="F333" s="74" t="s">
        <v>401</v>
      </c>
      <c r="G333" s="25">
        <f t="shared" si="5"/>
        <v>2.1356961310365907E-3</v>
      </c>
      <c r="I333" s="73">
        <v>338.61</v>
      </c>
      <c r="J333" s="73">
        <v>339.9</v>
      </c>
      <c r="K333" s="73">
        <v>329.93</v>
      </c>
      <c r="L333" s="73">
        <v>330.4</v>
      </c>
      <c r="M333" s="73">
        <v>1010985</v>
      </c>
      <c r="N333" s="73" t="s">
        <v>401</v>
      </c>
      <c r="O333" s="25">
        <f t="shared" si="6"/>
        <v>2.4848668280871733E-2</v>
      </c>
      <c r="Q333" s="75">
        <v>4.1000000000000029E-2</v>
      </c>
      <c r="R333" s="76">
        <v>3</v>
      </c>
      <c r="T333" s="75">
        <v>3.6000000000000025E-2</v>
      </c>
      <c r="U333" s="1">
        <f t="shared" si="4"/>
        <v>1.3581861220298541</v>
      </c>
    </row>
    <row r="334" spans="1:21" ht="15">
      <c r="A334" s="74">
        <v>568.03</v>
      </c>
      <c r="B334" s="74">
        <v>569.15</v>
      </c>
      <c r="C334" s="74">
        <v>565.375</v>
      </c>
      <c r="D334" s="74">
        <v>567.5</v>
      </c>
      <c r="E334" s="74">
        <v>5719188</v>
      </c>
      <c r="F334" s="74" t="s">
        <v>402</v>
      </c>
      <c r="G334" s="25">
        <f t="shared" si="5"/>
        <v>9.3392070484576983E-4</v>
      </c>
      <c r="I334" s="73">
        <v>332.17</v>
      </c>
      <c r="J334" s="73">
        <v>332.68</v>
      </c>
      <c r="K334" s="73">
        <v>328.70499999999998</v>
      </c>
      <c r="L334" s="73">
        <v>331.34</v>
      </c>
      <c r="M334" s="73">
        <v>693579</v>
      </c>
      <c r="N334" s="73" t="s">
        <v>402</v>
      </c>
      <c r="O334" s="25">
        <f t="shared" si="6"/>
        <v>2.5049797790790418E-3</v>
      </c>
      <c r="Q334" s="75">
        <v>4.200000000000003E-2</v>
      </c>
      <c r="R334" s="76">
        <v>1</v>
      </c>
      <c r="T334" s="75">
        <v>3.7000000000000026E-2</v>
      </c>
      <c r="U334" s="1">
        <f t="shared" si="4"/>
        <v>1.1450566587872333</v>
      </c>
    </row>
    <row r="335" spans="1:21" ht="15">
      <c r="A335" s="74">
        <v>566.95000000000005</v>
      </c>
      <c r="B335" s="74">
        <v>568.33000000000004</v>
      </c>
      <c r="C335" s="74">
        <v>563.21</v>
      </c>
      <c r="D335" s="74">
        <v>565.11</v>
      </c>
      <c r="E335" s="74">
        <v>6056524</v>
      </c>
      <c r="F335" s="74" t="s">
        <v>403</v>
      </c>
      <c r="G335" s="25">
        <f t="shared" si="5"/>
        <v>3.2560032560033925E-3</v>
      </c>
      <c r="I335" s="73">
        <v>329.95</v>
      </c>
      <c r="J335" s="73">
        <v>331.27</v>
      </c>
      <c r="K335" s="73">
        <v>326.44</v>
      </c>
      <c r="L335" s="73">
        <v>329</v>
      </c>
      <c r="M335" s="73">
        <v>940358</v>
      </c>
      <c r="N335" s="73" t="s">
        <v>403</v>
      </c>
      <c r="O335" s="25">
        <f t="shared" si="6"/>
        <v>2.8875379939208301E-3</v>
      </c>
      <c r="Q335" s="75">
        <v>4.3000000000000031E-2</v>
      </c>
      <c r="R335" s="76">
        <v>0</v>
      </c>
      <c r="T335" s="75">
        <v>3.8000000000000027E-2</v>
      </c>
      <c r="U335" s="1">
        <f t="shared" si="4"/>
        <v>0.96082976283058952</v>
      </c>
    </row>
    <row r="336" spans="1:21" ht="15">
      <c r="A336" s="74">
        <v>564.15</v>
      </c>
      <c r="B336" s="74">
        <v>564.54999999999995</v>
      </c>
      <c r="C336" s="74">
        <v>560.96</v>
      </c>
      <c r="D336" s="74">
        <v>561.52</v>
      </c>
      <c r="E336" s="74">
        <v>6081444</v>
      </c>
      <c r="F336" s="74" t="s">
        <v>404</v>
      </c>
      <c r="G336" s="25">
        <f t="shared" si="5"/>
        <v>4.6837156290069348E-3</v>
      </c>
      <c r="I336" s="73">
        <v>326.20999999999998</v>
      </c>
      <c r="J336" s="73">
        <v>326.83</v>
      </c>
      <c r="K336" s="73">
        <v>323.32</v>
      </c>
      <c r="L336" s="73">
        <v>323.93</v>
      </c>
      <c r="M336" s="73">
        <v>1098612</v>
      </c>
      <c r="N336" s="73" t="s">
        <v>404</v>
      </c>
      <c r="O336" s="25">
        <f t="shared" si="6"/>
        <v>7.0385577130860355E-3</v>
      </c>
      <c r="Q336" s="75">
        <v>4.4000000000000032E-2</v>
      </c>
      <c r="R336" s="76">
        <v>0</v>
      </c>
      <c r="T336" s="75">
        <v>3.9000000000000028E-2</v>
      </c>
      <c r="U336" s="1">
        <f t="shared" si="4"/>
        <v>0.80244948157287077</v>
      </c>
    </row>
    <row r="337" spans="1:21" ht="15">
      <c r="A337" s="74">
        <v>559.72</v>
      </c>
      <c r="B337" s="74">
        <v>561.02</v>
      </c>
      <c r="C337" s="74">
        <v>558.34</v>
      </c>
      <c r="D337" s="74">
        <v>560.52</v>
      </c>
      <c r="E337" s="74">
        <v>16472305</v>
      </c>
      <c r="F337" s="74" t="s">
        <v>405</v>
      </c>
      <c r="G337" s="25">
        <f t="shared" si="5"/>
        <v>-1.4272461285947946E-3</v>
      </c>
      <c r="I337" s="73">
        <v>322.47000000000003</v>
      </c>
      <c r="J337" s="73">
        <v>325.96499999999997</v>
      </c>
      <c r="K337" s="73">
        <v>321.94</v>
      </c>
      <c r="L337" s="73">
        <v>325.91000000000003</v>
      </c>
      <c r="M337" s="73">
        <v>646321</v>
      </c>
      <c r="N337" s="73" t="s">
        <v>405</v>
      </c>
      <c r="O337" s="25">
        <f t="shared" si="6"/>
        <v>-1.0555061213218364E-2</v>
      </c>
      <c r="Q337" s="75">
        <v>4.5000000000000033E-2</v>
      </c>
      <c r="R337" s="76">
        <v>0</v>
      </c>
      <c r="T337" s="75">
        <v>4.0000000000000029E-2</v>
      </c>
      <c r="U337" s="1">
        <f t="shared" si="4"/>
        <v>0.66702288875080773</v>
      </c>
    </row>
    <row r="338" spans="1:21" ht="15.75" thickBot="1">
      <c r="A338" s="74">
        <v>559.44000000000005</v>
      </c>
      <c r="B338" s="74">
        <v>560.42999999999995</v>
      </c>
      <c r="C338" s="74">
        <v>556.37</v>
      </c>
      <c r="D338" s="74">
        <v>557.17999999999995</v>
      </c>
      <c r="E338" s="74">
        <v>6770036</v>
      </c>
      <c r="F338" s="74" t="s">
        <v>406</v>
      </c>
      <c r="G338" s="25">
        <f t="shared" si="5"/>
        <v>4.0561398470873034E-3</v>
      </c>
      <c r="I338" s="73">
        <v>325.95</v>
      </c>
      <c r="J338" s="73">
        <v>327.96469999999999</v>
      </c>
      <c r="K338" s="73">
        <v>324.35000000000002</v>
      </c>
      <c r="L338" s="73">
        <v>327.08</v>
      </c>
      <c r="M338" s="73">
        <v>787468</v>
      </c>
      <c r="N338" s="73" t="s">
        <v>406</v>
      </c>
      <c r="O338" s="25">
        <f t="shared" si="6"/>
        <v>-3.4548122783416568E-3</v>
      </c>
      <c r="Q338" s="77" t="s">
        <v>1046</v>
      </c>
      <c r="R338" s="77">
        <v>1</v>
      </c>
      <c r="T338" s="75">
        <v>4.1000000000000029E-2</v>
      </c>
      <c r="U338" s="1">
        <f t="shared" si="4"/>
        <v>0.55184302242611227</v>
      </c>
    </row>
    <row r="339" spans="1:21" ht="15">
      <c r="A339" s="74">
        <v>553.36</v>
      </c>
      <c r="B339" s="74">
        <v>553.70000000000005</v>
      </c>
      <c r="C339" s="74">
        <v>545.75</v>
      </c>
      <c r="D339" s="74">
        <v>548.66</v>
      </c>
      <c r="E339" s="74">
        <v>9691151</v>
      </c>
      <c r="F339" s="74" t="s">
        <v>407</v>
      </c>
      <c r="G339" s="25">
        <f t="shared" si="5"/>
        <v>8.5663252287391245E-3</v>
      </c>
      <c r="I339" s="73">
        <v>323.81</v>
      </c>
      <c r="J339" s="73">
        <v>323.93</v>
      </c>
      <c r="K339" s="73">
        <v>316.83999999999997</v>
      </c>
      <c r="L339" s="73">
        <v>321.73</v>
      </c>
      <c r="M339" s="73">
        <v>574193</v>
      </c>
      <c r="N339" s="73" t="s">
        <v>407</v>
      </c>
      <c r="O339" s="25">
        <f t="shared" si="6"/>
        <v>6.4650483324526498E-3</v>
      </c>
      <c r="T339" s="75">
        <v>4.200000000000003E-2</v>
      </c>
      <c r="U339" s="1">
        <f t="shared" si="4"/>
        <v>0.45440401188418594</v>
      </c>
    </row>
    <row r="340" spans="1:21" ht="15">
      <c r="A340" s="74">
        <v>547.72</v>
      </c>
      <c r="B340" s="74">
        <v>552.72</v>
      </c>
      <c r="C340" s="74">
        <v>546.62</v>
      </c>
      <c r="D340" s="74">
        <v>551.72</v>
      </c>
      <c r="E340" s="74">
        <v>9942858</v>
      </c>
      <c r="F340" s="74" t="s">
        <v>408</v>
      </c>
      <c r="G340" s="25">
        <f t="shared" si="5"/>
        <v>-7.2500543754078217E-3</v>
      </c>
      <c r="I340" s="73">
        <v>321.39</v>
      </c>
      <c r="J340" s="73">
        <v>326</v>
      </c>
      <c r="K340" s="73">
        <v>318.69</v>
      </c>
      <c r="L340" s="73">
        <v>324.72000000000003</v>
      </c>
      <c r="M340" s="73">
        <v>1075578</v>
      </c>
      <c r="N340" s="73" t="s">
        <v>408</v>
      </c>
      <c r="O340" s="25">
        <f t="shared" si="6"/>
        <v>-1.0254988913525609E-2</v>
      </c>
      <c r="T340" s="75">
        <v>4.3000000000000031E-2</v>
      </c>
      <c r="U340" s="1">
        <f t="shared" si="4"/>
        <v>0.37240931994627902</v>
      </c>
    </row>
    <row r="341" spans="1:21" ht="15">
      <c r="A341" s="74">
        <v>549.24</v>
      </c>
      <c r="B341" s="74">
        <v>552.71</v>
      </c>
      <c r="C341" s="74">
        <v>548.39</v>
      </c>
      <c r="D341" s="74">
        <v>550.16</v>
      </c>
      <c r="E341" s="74">
        <v>4602329</v>
      </c>
      <c r="F341" s="74" t="s">
        <v>409</v>
      </c>
      <c r="G341" s="25">
        <f t="shared" si="5"/>
        <v>-1.6722408026754731E-3</v>
      </c>
      <c r="I341" s="73">
        <v>321.8</v>
      </c>
      <c r="J341" s="73">
        <v>324.83999999999997</v>
      </c>
      <c r="K341" s="73">
        <v>319.58109999999999</v>
      </c>
      <c r="L341" s="73">
        <v>320.10000000000002</v>
      </c>
      <c r="M341" s="73">
        <v>662332</v>
      </c>
      <c r="N341" s="73" t="s">
        <v>409</v>
      </c>
      <c r="O341" s="25">
        <f t="shared" si="6"/>
        <v>5.3108403623867151E-3</v>
      </c>
      <c r="T341" s="75">
        <v>4.4000000000000032E-2</v>
      </c>
      <c r="U341" s="1">
        <f t="shared" si="4"/>
        <v>0.30377407553986757</v>
      </c>
    </row>
    <row r="342" spans="1:21" ht="15">
      <c r="A342" s="74">
        <v>549.35</v>
      </c>
      <c r="B342" s="74">
        <v>553.16</v>
      </c>
      <c r="C342" s="74">
        <v>548.63499999999999</v>
      </c>
      <c r="D342" s="74">
        <v>551.79</v>
      </c>
      <c r="E342" s="74">
        <v>4753344</v>
      </c>
      <c r="F342" s="74" t="s">
        <v>410</v>
      </c>
      <c r="G342" s="25">
        <f t="shared" si="5"/>
        <v>-4.4219721270771783E-3</v>
      </c>
      <c r="I342" s="73">
        <v>320.41000000000003</v>
      </c>
      <c r="J342" s="73">
        <v>324.19</v>
      </c>
      <c r="K342" s="73">
        <v>319.75</v>
      </c>
      <c r="L342" s="73">
        <v>320.93</v>
      </c>
      <c r="M342" s="73">
        <v>559864</v>
      </c>
      <c r="N342" s="73" t="s">
        <v>410</v>
      </c>
      <c r="O342" s="25">
        <f t="shared" si="6"/>
        <v>-1.6202910291963635E-3</v>
      </c>
      <c r="T342" s="75">
        <v>4.5000000000000033E-2</v>
      </c>
      <c r="U342" s="1">
        <f t="shared" si="4"/>
        <v>0.24662247808773385</v>
      </c>
    </row>
    <row r="343" spans="1:21" ht="15">
      <c r="A343" s="74">
        <v>554.07000000000005</v>
      </c>
      <c r="B343" s="74">
        <v>555.69000000000005</v>
      </c>
      <c r="C343" s="74">
        <v>551.87</v>
      </c>
      <c r="D343" s="74">
        <v>551.94000000000005</v>
      </c>
      <c r="E343" s="74">
        <v>7421327</v>
      </c>
      <c r="F343" s="74" t="s">
        <v>411</v>
      </c>
      <c r="G343" s="25">
        <f t="shared" si="5"/>
        <v>3.8591151212088448E-3</v>
      </c>
      <c r="I343" s="73">
        <v>324.3</v>
      </c>
      <c r="J343" s="73">
        <v>325.83</v>
      </c>
      <c r="K343" s="73">
        <v>320.89</v>
      </c>
      <c r="L343" s="73">
        <v>322.58</v>
      </c>
      <c r="M343" s="73">
        <v>669465</v>
      </c>
      <c r="N343" s="73" t="s">
        <v>411</v>
      </c>
      <c r="O343" s="25">
        <f t="shared" si="6"/>
        <v>5.3320106640213361E-3</v>
      </c>
      <c r="T343" s="75">
        <v>4.5999999999999999E-2</v>
      </c>
      <c r="U343" s="1">
        <f t="shared" si="4"/>
        <v>0.19928122736470116</v>
      </c>
    </row>
    <row r="344" spans="1:21" ht="15">
      <c r="A344" s="74">
        <v>548.77</v>
      </c>
      <c r="B344" s="74">
        <v>553.245</v>
      </c>
      <c r="C344" s="74">
        <v>547.41</v>
      </c>
      <c r="D344" s="74">
        <v>550.24</v>
      </c>
      <c r="E344" s="74">
        <v>7062316</v>
      </c>
      <c r="F344" s="74" t="s">
        <v>412</v>
      </c>
      <c r="G344" s="25">
        <f t="shared" si="5"/>
        <v>-2.671561500436237E-3</v>
      </c>
      <c r="I344" s="73">
        <v>317.85000000000002</v>
      </c>
      <c r="J344" s="73">
        <v>323.52999999999997</v>
      </c>
      <c r="K344" s="73">
        <v>317.02999999999997</v>
      </c>
      <c r="L344" s="73">
        <v>321.38</v>
      </c>
      <c r="M344" s="73">
        <v>682656</v>
      </c>
      <c r="N344" s="73" t="s">
        <v>412</v>
      </c>
      <c r="O344" s="25">
        <f t="shared" si="6"/>
        <v>-1.0983882008836821E-2</v>
      </c>
      <c r="T344" s="75">
        <v>4.7E-2</v>
      </c>
      <c r="U344" s="1">
        <f t="shared" ref="U344:U347" si="7">_xlfn.NORM.DIST(T344,$S$238,$S$240,FALSE)</f>
        <v>0.16026987716171545</v>
      </c>
    </row>
    <row r="345" spans="1:21" ht="15">
      <c r="A345" s="74">
        <v>554.95000000000005</v>
      </c>
      <c r="B345" s="74">
        <v>555</v>
      </c>
      <c r="C345" s="74">
        <v>551.13220000000001</v>
      </c>
      <c r="D345" s="74">
        <v>551.6</v>
      </c>
      <c r="E345" s="74">
        <v>8422943</v>
      </c>
      <c r="F345" s="74" t="s">
        <v>413</v>
      </c>
      <c r="G345" s="25">
        <f t="shared" si="5"/>
        <v>6.0732414793329692E-3</v>
      </c>
      <c r="I345" s="73">
        <v>325.14</v>
      </c>
      <c r="J345" s="73">
        <v>325.14</v>
      </c>
      <c r="K345" s="73">
        <v>320.81</v>
      </c>
      <c r="L345" s="73">
        <v>323</v>
      </c>
      <c r="M345" s="73">
        <v>598399</v>
      </c>
      <c r="N345" s="73" t="s">
        <v>413</v>
      </c>
      <c r="O345" s="25">
        <f t="shared" si="6"/>
        <v>6.6253869969039592E-3</v>
      </c>
      <c r="T345" s="75">
        <v>4.8000000000000001E-2</v>
      </c>
      <c r="U345" s="1">
        <f t="shared" si="7"/>
        <v>0.12828893548204315</v>
      </c>
    </row>
    <row r="346" spans="1:21" ht="15">
      <c r="A346" s="74">
        <v>552.86</v>
      </c>
      <c r="B346" s="74">
        <v>556.22500000000002</v>
      </c>
      <c r="C346" s="74">
        <v>550.91</v>
      </c>
      <c r="D346" s="74">
        <v>555.41</v>
      </c>
      <c r="E346" s="74">
        <v>20800557</v>
      </c>
      <c r="F346" s="74" t="s">
        <v>414</v>
      </c>
      <c r="G346" s="25">
        <f t="shared" si="5"/>
        <v>-4.5912028951584638E-3</v>
      </c>
      <c r="I346" s="73">
        <v>325.04000000000002</v>
      </c>
      <c r="J346" s="73">
        <v>326.77999999999997</v>
      </c>
      <c r="K346" s="73">
        <v>323.27</v>
      </c>
      <c r="L346" s="73">
        <v>325.35000000000002</v>
      </c>
      <c r="M346" s="73">
        <v>725556</v>
      </c>
      <c r="N346" s="73" t="s">
        <v>414</v>
      </c>
      <c r="O346" s="25">
        <f t="shared" si="6"/>
        <v>-9.5282003995700304E-4</v>
      </c>
      <c r="T346" s="75">
        <v>4.9000000000000002E-2</v>
      </c>
      <c r="U346" s="1">
        <f t="shared" si="7"/>
        <v>0.10220644472292179</v>
      </c>
    </row>
    <row r="347" spans="1:21" ht="15">
      <c r="A347" s="74">
        <v>554.39</v>
      </c>
      <c r="B347" s="74">
        <v>554.74</v>
      </c>
      <c r="C347" s="74">
        <v>550.74</v>
      </c>
      <c r="D347" s="74">
        <v>551.78</v>
      </c>
      <c r="E347" s="74">
        <v>5951290</v>
      </c>
      <c r="F347" s="74" t="s">
        <v>415</v>
      </c>
      <c r="G347" s="25">
        <f t="shared" si="5"/>
        <v>4.7301460727102729E-3</v>
      </c>
      <c r="I347" s="73">
        <v>325.22000000000003</v>
      </c>
      <c r="J347" s="73">
        <v>328.9</v>
      </c>
      <c r="K347" s="73">
        <v>321.61</v>
      </c>
      <c r="L347" s="73">
        <v>325.39999999999998</v>
      </c>
      <c r="M347" s="73">
        <v>1020330</v>
      </c>
      <c r="N347" s="73" t="s">
        <v>415</v>
      </c>
      <c r="O347" s="25">
        <f t="shared" si="6"/>
        <v>-5.5316533497218323E-4</v>
      </c>
      <c r="T347" s="75">
        <v>0.05</v>
      </c>
      <c r="U347" s="1">
        <f t="shared" si="7"/>
        <v>8.1043678347824194E-2</v>
      </c>
    </row>
    <row r="348" spans="1:21">
      <c r="A348" s="74">
        <v>551.25</v>
      </c>
      <c r="B348" s="74">
        <v>552.70000000000005</v>
      </c>
      <c r="C348" s="74">
        <v>550.20000000000005</v>
      </c>
      <c r="D348" s="74">
        <v>551.29999999999995</v>
      </c>
      <c r="E348" s="74">
        <v>4482378</v>
      </c>
      <c r="F348" s="74" t="s">
        <v>416</v>
      </c>
      <c r="G348" s="25">
        <f t="shared" si="5"/>
        <v>-9.0694721567086134E-5</v>
      </c>
      <c r="I348" s="73">
        <v>324.35000000000002</v>
      </c>
      <c r="J348" s="73">
        <v>328.47</v>
      </c>
      <c r="K348" s="73">
        <v>323.875</v>
      </c>
      <c r="L348" s="73">
        <v>325.54000000000002</v>
      </c>
      <c r="M348" s="73">
        <v>960987</v>
      </c>
      <c r="N348" s="73" t="s">
        <v>416</v>
      </c>
      <c r="O348" s="25">
        <f t="shared" si="6"/>
        <v>-3.6554647662345729E-3</v>
      </c>
    </row>
    <row r="349" spans="1:21">
      <c r="A349" s="74">
        <v>550.66</v>
      </c>
      <c r="B349" s="74">
        <v>552.32000000000005</v>
      </c>
      <c r="C349" s="74">
        <v>548.69989999999996</v>
      </c>
      <c r="D349" s="74">
        <v>550.29999999999995</v>
      </c>
      <c r="E349" s="74">
        <v>4712599</v>
      </c>
      <c r="F349" s="74" t="s">
        <v>417</v>
      </c>
      <c r="G349" s="25">
        <f t="shared" si="5"/>
        <v>6.5418862438670899E-4</v>
      </c>
      <c r="I349" s="73">
        <v>324.33</v>
      </c>
      <c r="J349" s="73">
        <v>324.79500000000002</v>
      </c>
      <c r="K349" s="73">
        <v>320.94</v>
      </c>
      <c r="L349" s="73">
        <v>323.5</v>
      </c>
      <c r="M349" s="73">
        <v>750546</v>
      </c>
      <c r="N349" s="73" t="s">
        <v>417</v>
      </c>
      <c r="O349" s="25">
        <f t="shared" si="6"/>
        <v>2.5656877897990427E-3</v>
      </c>
    </row>
    <row r="350" spans="1:21">
      <c r="A350" s="74">
        <v>545.09</v>
      </c>
      <c r="B350" s="74">
        <v>550.63</v>
      </c>
      <c r="C350" s="74">
        <v>543.33749999999998</v>
      </c>
      <c r="D350" s="74">
        <v>549.48</v>
      </c>
      <c r="E350" s="74">
        <v>6334538</v>
      </c>
      <c r="F350" s="74" t="s">
        <v>418</v>
      </c>
      <c r="G350" s="25">
        <f t="shared" si="5"/>
        <v>-7.9893717696730704E-3</v>
      </c>
      <c r="I350" s="73">
        <v>320.5</v>
      </c>
      <c r="J350" s="73">
        <v>323.14999999999998</v>
      </c>
      <c r="K350" s="73">
        <v>319.67</v>
      </c>
      <c r="L350" s="73">
        <v>321</v>
      </c>
      <c r="M350" s="73">
        <v>861850</v>
      </c>
      <c r="N350" s="73" t="s">
        <v>418</v>
      </c>
      <c r="O350" s="25">
        <f t="shared" si="6"/>
        <v>-1.5576323987538387E-3</v>
      </c>
    </row>
    <row r="351" spans="1:21">
      <c r="A351" s="74">
        <v>547.65</v>
      </c>
      <c r="B351" s="74">
        <v>549.65</v>
      </c>
      <c r="C351" s="74">
        <v>547.44259999999997</v>
      </c>
      <c r="D351" s="74">
        <v>548.75</v>
      </c>
      <c r="E351" s="74">
        <v>4510272</v>
      </c>
      <c r="F351" s="74" t="s">
        <v>419</v>
      </c>
      <c r="G351" s="25">
        <f t="shared" si="5"/>
        <v>-2.0045558086561055E-3</v>
      </c>
      <c r="I351" s="73">
        <v>318.89</v>
      </c>
      <c r="J351" s="73">
        <v>320.32</v>
      </c>
      <c r="K351" s="73">
        <v>316.08999999999997</v>
      </c>
      <c r="L351" s="73">
        <v>319.38</v>
      </c>
      <c r="M351" s="73">
        <v>872382</v>
      </c>
      <c r="N351" s="73" t="s">
        <v>419</v>
      </c>
      <c r="O351" s="25">
        <f t="shared" si="6"/>
        <v>-1.5342225562027245E-3</v>
      </c>
    </row>
    <row r="352" spans="1:21">
      <c r="A352" s="74">
        <v>548</v>
      </c>
      <c r="B352" s="74">
        <v>548.87</v>
      </c>
      <c r="C352" s="74">
        <v>544.09</v>
      </c>
      <c r="D352" s="74">
        <v>544.53</v>
      </c>
      <c r="E352" s="74">
        <v>4968649</v>
      </c>
      <c r="F352" s="74" t="s">
        <v>420</v>
      </c>
      <c r="G352" s="25">
        <f t="shared" ref="G352:G415" si="8">A352/D352-1</f>
        <v>6.3724679999266343E-3</v>
      </c>
      <c r="I352" s="73">
        <v>316.62</v>
      </c>
      <c r="J352" s="73">
        <v>319.27999999999997</v>
      </c>
      <c r="K352" s="73">
        <v>314.31</v>
      </c>
      <c r="L352" s="73">
        <v>317.27999999999997</v>
      </c>
      <c r="M352" s="73">
        <v>1027519</v>
      </c>
      <c r="N352" s="73" t="s">
        <v>420</v>
      </c>
      <c r="O352" s="25">
        <f t="shared" ref="O352:O415" si="9">I352/L352-1</f>
        <v>-2.0801815431163995E-3</v>
      </c>
    </row>
    <row r="353" spans="1:15">
      <c r="A353" s="74">
        <v>544.91</v>
      </c>
      <c r="B353" s="74">
        <v>544.91</v>
      </c>
      <c r="C353" s="74">
        <v>537.79999999999995</v>
      </c>
      <c r="D353" s="74">
        <v>540.25</v>
      </c>
      <c r="E353" s="74">
        <v>5900870</v>
      </c>
      <c r="F353" s="74" t="s">
        <v>421</v>
      </c>
      <c r="G353" s="25">
        <f t="shared" si="8"/>
        <v>8.6256362795000818E-3</v>
      </c>
      <c r="I353" s="73">
        <v>317.27999999999997</v>
      </c>
      <c r="J353" s="73">
        <v>317.83999999999997</v>
      </c>
      <c r="K353" s="73">
        <v>311.17500000000001</v>
      </c>
      <c r="L353" s="73">
        <v>315</v>
      </c>
      <c r="M353" s="73">
        <v>854521</v>
      </c>
      <c r="N353" s="73" t="s">
        <v>421</v>
      </c>
      <c r="O353" s="25">
        <f t="shared" si="9"/>
        <v>7.2380952380950436E-3</v>
      </c>
    </row>
    <row r="354" spans="1:15">
      <c r="A354" s="74">
        <v>541.76</v>
      </c>
      <c r="B354" s="74">
        <v>543.39</v>
      </c>
      <c r="C354" s="74">
        <v>536.16</v>
      </c>
      <c r="D354" s="74">
        <v>541.35</v>
      </c>
      <c r="E354" s="74">
        <v>6160101</v>
      </c>
      <c r="F354" s="74" t="s">
        <v>422</v>
      </c>
      <c r="G354" s="25">
        <f t="shared" si="8"/>
        <v>7.5736584464758394E-4</v>
      </c>
      <c r="I354" s="73">
        <v>315.55</v>
      </c>
      <c r="J354" s="73">
        <v>316.22000000000003</v>
      </c>
      <c r="K354" s="73">
        <v>312.26</v>
      </c>
      <c r="L354" s="73">
        <v>315.22000000000003</v>
      </c>
      <c r="M354" s="73">
        <v>1505133</v>
      </c>
      <c r="N354" s="73" t="s">
        <v>422</v>
      </c>
      <c r="O354" s="25">
        <f t="shared" si="9"/>
        <v>1.0468878878242549E-3</v>
      </c>
    </row>
    <row r="355" spans="1:15">
      <c r="A355" s="74">
        <v>542.32000000000005</v>
      </c>
      <c r="B355" s="74">
        <v>545.28</v>
      </c>
      <c r="C355" s="74">
        <v>538.74</v>
      </c>
      <c r="D355" s="74">
        <v>545.15</v>
      </c>
      <c r="E355" s="74">
        <v>4668939</v>
      </c>
      <c r="F355" s="74" t="s">
        <v>423</v>
      </c>
      <c r="G355" s="25">
        <f t="shared" si="8"/>
        <v>-5.1912317710720579E-3</v>
      </c>
      <c r="I355" s="73">
        <v>314.93</v>
      </c>
      <c r="J355" s="73">
        <v>315.05</v>
      </c>
      <c r="K355" s="73">
        <v>310.24099999999999</v>
      </c>
      <c r="L355" s="73">
        <v>315</v>
      </c>
      <c r="M355" s="73">
        <v>845422</v>
      </c>
      <c r="N355" s="73" t="s">
        <v>423</v>
      </c>
      <c r="O355" s="25">
        <f t="shared" si="9"/>
        <v>-2.2222222222223476E-4</v>
      </c>
    </row>
    <row r="356" spans="1:15">
      <c r="A356" s="74">
        <v>540.24</v>
      </c>
      <c r="B356" s="74">
        <v>544.9</v>
      </c>
      <c r="C356" s="74">
        <v>539.61</v>
      </c>
      <c r="D356" s="74">
        <v>543.79</v>
      </c>
      <c r="E356" s="74">
        <v>4806244</v>
      </c>
      <c r="F356" s="74" t="s">
        <v>424</v>
      </c>
      <c r="G356" s="25">
        <f t="shared" si="8"/>
        <v>-6.5282553927066278E-3</v>
      </c>
      <c r="I356" s="73">
        <v>312.39</v>
      </c>
      <c r="J356" s="73">
        <v>314.94</v>
      </c>
      <c r="K356" s="73">
        <v>311.47000000000003</v>
      </c>
      <c r="L356" s="73">
        <v>313.83</v>
      </c>
      <c r="M356" s="73">
        <v>937846</v>
      </c>
      <c r="N356" s="73" t="s">
        <v>424</v>
      </c>
      <c r="O356" s="25">
        <f t="shared" si="9"/>
        <v>-4.5884714654430558E-3</v>
      </c>
    </row>
    <row r="357" spans="1:15">
      <c r="A357" s="74">
        <v>543.34</v>
      </c>
      <c r="B357" s="74">
        <v>543.52</v>
      </c>
      <c r="C357" s="74">
        <v>537.17999999999995</v>
      </c>
      <c r="D357" s="74">
        <v>538.72</v>
      </c>
      <c r="E357" s="74">
        <v>6086299</v>
      </c>
      <c r="F357" s="74" t="s">
        <v>425</v>
      </c>
      <c r="G357" s="25">
        <f t="shared" si="8"/>
        <v>8.5758835758835694E-3</v>
      </c>
      <c r="I357" s="73">
        <v>313.08999999999997</v>
      </c>
      <c r="J357" s="73">
        <v>313.20999999999998</v>
      </c>
      <c r="K357" s="73">
        <v>306.70999999999998</v>
      </c>
      <c r="L357" s="73">
        <v>309.10000000000002</v>
      </c>
      <c r="M357" s="73">
        <v>943696</v>
      </c>
      <c r="N357" s="73" t="s">
        <v>425</v>
      </c>
      <c r="O357" s="25">
        <f t="shared" si="9"/>
        <v>1.2908443869297903E-2</v>
      </c>
    </row>
    <row r="358" spans="1:15">
      <c r="A358" s="74">
        <v>532.4</v>
      </c>
      <c r="B358" s="74">
        <v>534.80989999999997</v>
      </c>
      <c r="C358" s="74">
        <v>529.11</v>
      </c>
      <c r="D358" s="74">
        <v>529.42999999999995</v>
      </c>
      <c r="E358" s="74">
        <v>6455875</v>
      </c>
      <c r="F358" s="74" t="s">
        <v>426</v>
      </c>
      <c r="G358" s="25">
        <f t="shared" si="8"/>
        <v>5.6098067733223456E-3</v>
      </c>
      <c r="I358" s="73">
        <v>305.54000000000002</v>
      </c>
      <c r="J358" s="73">
        <v>306.92</v>
      </c>
      <c r="K358" s="73">
        <v>301.78500000000003</v>
      </c>
      <c r="L358" s="73">
        <v>301.78500000000003</v>
      </c>
      <c r="M358" s="73">
        <v>481498</v>
      </c>
      <c r="N358" s="73" t="s">
        <v>426</v>
      </c>
      <c r="O358" s="25">
        <f t="shared" si="9"/>
        <v>1.2442633000314673E-2</v>
      </c>
    </row>
    <row r="359" spans="1:15">
      <c r="A359" s="74">
        <v>536.02</v>
      </c>
      <c r="B359" s="74">
        <v>539.22500000000002</v>
      </c>
      <c r="C359" s="74">
        <v>534.44000000000005</v>
      </c>
      <c r="D359" s="74">
        <v>535.6</v>
      </c>
      <c r="E359" s="74">
        <v>5816572</v>
      </c>
      <c r="F359" s="74" t="s">
        <v>427</v>
      </c>
      <c r="G359" s="25">
        <f t="shared" si="8"/>
        <v>7.8416728902164223E-4</v>
      </c>
      <c r="I359" s="73">
        <v>306.3</v>
      </c>
      <c r="J359" s="73">
        <v>308.73</v>
      </c>
      <c r="K359" s="73">
        <v>298.7</v>
      </c>
      <c r="L359" s="73">
        <v>301</v>
      </c>
      <c r="M359" s="73">
        <v>1198159</v>
      </c>
      <c r="N359" s="73" t="s">
        <v>427</v>
      </c>
      <c r="O359" s="25">
        <f t="shared" si="9"/>
        <v>1.7607973421926992E-2</v>
      </c>
    </row>
    <row r="360" spans="1:15">
      <c r="A360" s="74">
        <v>535.77</v>
      </c>
      <c r="B360" s="74">
        <v>544.69050000000004</v>
      </c>
      <c r="C360" s="74">
        <v>534.82000000000005</v>
      </c>
      <c r="D360" s="74">
        <v>540.91</v>
      </c>
      <c r="E360" s="74">
        <v>6339491</v>
      </c>
      <c r="F360" s="74" t="s">
        <v>428</v>
      </c>
      <c r="G360" s="25">
        <f t="shared" si="8"/>
        <v>-9.5025050378065856E-3</v>
      </c>
      <c r="I360" s="73">
        <v>301.77</v>
      </c>
      <c r="J360" s="73">
        <v>309</v>
      </c>
      <c r="K360" s="73">
        <v>301.47000000000003</v>
      </c>
      <c r="L360" s="73">
        <v>304.97000000000003</v>
      </c>
      <c r="M360" s="73">
        <v>713131</v>
      </c>
      <c r="N360" s="73" t="s">
        <v>428</v>
      </c>
      <c r="O360" s="25">
        <f t="shared" si="9"/>
        <v>-1.0492835360855324E-2</v>
      </c>
    </row>
    <row r="361" spans="1:15">
      <c r="A361" s="74">
        <v>544.88</v>
      </c>
      <c r="B361" s="74">
        <v>546.05999999999995</v>
      </c>
      <c r="C361" s="74">
        <v>541.99</v>
      </c>
      <c r="D361" s="74">
        <v>545.22</v>
      </c>
      <c r="E361" s="74">
        <v>7158205</v>
      </c>
      <c r="F361" s="74" t="s">
        <v>429</v>
      </c>
      <c r="G361" s="25">
        <f t="shared" si="8"/>
        <v>-6.2360148197060372E-4</v>
      </c>
      <c r="I361" s="73">
        <v>308.08999999999997</v>
      </c>
      <c r="J361" s="73">
        <v>308.69499999999999</v>
      </c>
      <c r="K361" s="73">
        <v>305.52</v>
      </c>
      <c r="L361" s="73">
        <v>306.83</v>
      </c>
      <c r="M361" s="73">
        <v>947662</v>
      </c>
      <c r="N361" s="73" t="s">
        <v>429</v>
      </c>
      <c r="O361" s="25">
        <f t="shared" si="9"/>
        <v>4.1065084900433479E-3</v>
      </c>
    </row>
    <row r="362" spans="1:15">
      <c r="A362" s="74">
        <v>546.82000000000005</v>
      </c>
      <c r="B362" s="74">
        <v>547.45000000000005</v>
      </c>
      <c r="C362" s="74">
        <v>540.58000000000004</v>
      </c>
      <c r="D362" s="74">
        <v>540.63</v>
      </c>
      <c r="E362" s="74">
        <v>7766058</v>
      </c>
      <c r="F362" s="74" t="s">
        <v>430</v>
      </c>
      <c r="G362" s="25">
        <f t="shared" si="8"/>
        <v>1.144960509035764E-2</v>
      </c>
      <c r="I362" s="73">
        <v>308.2</v>
      </c>
      <c r="J362" s="73">
        <v>309.19</v>
      </c>
      <c r="K362" s="73">
        <v>302.08999999999997</v>
      </c>
      <c r="L362" s="73">
        <v>303.67</v>
      </c>
      <c r="M362" s="73">
        <v>789593</v>
      </c>
      <c r="N362" s="73" t="s">
        <v>430</v>
      </c>
      <c r="O362" s="25">
        <f t="shared" si="9"/>
        <v>1.4917509138209217E-2</v>
      </c>
    </row>
    <row r="363" spans="1:15">
      <c r="A363" s="74">
        <v>546.26</v>
      </c>
      <c r="B363" s="74">
        <v>546.47</v>
      </c>
      <c r="C363" s="74">
        <v>541.70000000000005</v>
      </c>
      <c r="D363" s="74">
        <v>543.47</v>
      </c>
      <c r="E363" s="74">
        <v>7255342</v>
      </c>
      <c r="F363" s="74" t="s">
        <v>431</v>
      </c>
      <c r="G363" s="25">
        <f t="shared" si="8"/>
        <v>5.1336780319060082E-3</v>
      </c>
      <c r="I363" s="73">
        <v>307.74000000000018</v>
      </c>
      <c r="J363" s="73">
        <v>307.74000000000018</v>
      </c>
      <c r="K363" s="73">
        <v>304.5137337000487</v>
      </c>
      <c r="L363" s="73">
        <v>306.98322148519674</v>
      </c>
      <c r="M363" s="73">
        <v>667439.13855852315</v>
      </c>
      <c r="N363" s="73" t="s">
        <v>431</v>
      </c>
      <c r="O363" s="25">
        <f t="shared" si="9"/>
        <v>2.4652113269973963E-3</v>
      </c>
    </row>
    <row r="364" spans="1:15">
      <c r="A364" s="74">
        <v>542.76</v>
      </c>
      <c r="B364" s="74">
        <v>543.24890000000005</v>
      </c>
      <c r="C364" s="74">
        <v>537.84</v>
      </c>
      <c r="D364" s="74">
        <v>538.26</v>
      </c>
      <c r="E364" s="74">
        <v>7362193</v>
      </c>
      <c r="F364" s="74" t="s">
        <v>432</v>
      </c>
      <c r="G364" s="25">
        <f t="shared" si="8"/>
        <v>8.360271987515322E-3</v>
      </c>
      <c r="I364" s="73">
        <v>306.55504416761056</v>
      </c>
      <c r="J364" s="73">
        <v>308.32749911017646</v>
      </c>
      <c r="K364" s="73">
        <v>304.60335220838067</v>
      </c>
      <c r="L364" s="73">
        <v>304.70292832874952</v>
      </c>
      <c r="M364" s="73">
        <v>670859.63735620945</v>
      </c>
      <c r="N364" s="73" t="s">
        <v>432</v>
      </c>
      <c r="O364" s="25">
        <f t="shared" si="9"/>
        <v>6.0784313725490424E-3</v>
      </c>
    </row>
    <row r="365" spans="1:15">
      <c r="A365" s="74">
        <v>540.11</v>
      </c>
      <c r="B365" s="74">
        <v>541.41999999999996</v>
      </c>
      <c r="C365" s="74">
        <v>538.24</v>
      </c>
      <c r="D365" s="74">
        <v>540.37</v>
      </c>
      <c r="E365" s="74">
        <v>5031301</v>
      </c>
      <c r="F365" s="74" t="s">
        <v>433</v>
      </c>
      <c r="G365" s="25">
        <f t="shared" si="8"/>
        <v>-4.8115180339391994E-4</v>
      </c>
      <c r="I365" s="73">
        <v>306.23640058243018</v>
      </c>
      <c r="J365" s="73">
        <v>307.78978806018461</v>
      </c>
      <c r="K365" s="73">
        <v>303.70716712506083</v>
      </c>
      <c r="L365" s="73">
        <v>306.69445073612701</v>
      </c>
      <c r="M365" s="73">
        <v>877397.10762331798</v>
      </c>
      <c r="N365" s="73" t="s">
        <v>433</v>
      </c>
      <c r="O365" s="25">
        <f t="shared" si="9"/>
        <v>-1.4935064935065467E-3</v>
      </c>
    </row>
    <row r="366" spans="1:15">
      <c r="A366" s="74">
        <v>539.44000000000005</v>
      </c>
      <c r="B366" s="74">
        <v>541.48</v>
      </c>
      <c r="C366" s="74">
        <v>535.78</v>
      </c>
      <c r="D366" s="74">
        <v>536.33000000000004</v>
      </c>
      <c r="E366" s="74">
        <v>7356804</v>
      </c>
      <c r="F366" s="74" t="s">
        <v>434</v>
      </c>
      <c r="G366" s="25">
        <f t="shared" si="8"/>
        <v>5.7986687300728423E-3</v>
      </c>
      <c r="I366" s="73">
        <v>307.20228895000821</v>
      </c>
      <c r="J366" s="73">
        <v>309.4626668823816</v>
      </c>
      <c r="K366" s="73">
        <v>298.76819155476477</v>
      </c>
      <c r="L366" s="73">
        <v>300.71988351399466</v>
      </c>
      <c r="M366" s="73">
        <v>1356736.9315006167</v>
      </c>
      <c r="N366" s="73" t="s">
        <v>434</v>
      </c>
      <c r="O366" s="25">
        <f t="shared" si="9"/>
        <v>2.1556291390728344E-2</v>
      </c>
    </row>
    <row r="367" spans="1:15">
      <c r="A367" s="74">
        <v>535.91999999999996</v>
      </c>
      <c r="B367" s="74">
        <v>535.91999999999996</v>
      </c>
      <c r="C367" s="74">
        <v>530.39</v>
      </c>
      <c r="D367" s="74">
        <v>534.5</v>
      </c>
      <c r="E367" s="74">
        <v>7793576</v>
      </c>
      <c r="F367" s="74" t="s">
        <v>435</v>
      </c>
      <c r="G367" s="25">
        <f t="shared" si="8"/>
        <v>2.6566884939194235E-3</v>
      </c>
      <c r="I367" s="73">
        <v>298.50929364180564</v>
      </c>
      <c r="J367" s="73">
        <v>304.23989936903433</v>
      </c>
      <c r="K367" s="73">
        <v>297.96660378579531</v>
      </c>
      <c r="L367" s="73">
        <v>303.15949846303204</v>
      </c>
      <c r="M367" s="73">
        <v>1876750.1616624414</v>
      </c>
      <c r="N367" s="73" t="s">
        <v>435</v>
      </c>
      <c r="O367" s="25">
        <f t="shared" si="9"/>
        <v>-1.5339136147150767E-2</v>
      </c>
    </row>
    <row r="368" spans="1:15">
      <c r="A368" s="74">
        <v>518.65</v>
      </c>
      <c r="B368" s="74">
        <v>521.63059999999996</v>
      </c>
      <c r="C368" s="74">
        <v>517.36</v>
      </c>
      <c r="D368" s="74">
        <v>520.69000000000005</v>
      </c>
      <c r="E368" s="74">
        <v>4739506</v>
      </c>
      <c r="F368" s="74" t="s">
        <v>436</v>
      </c>
      <c r="G368" s="25">
        <f t="shared" si="8"/>
        <v>-3.9178782000808265E-3</v>
      </c>
      <c r="I368" s="73">
        <v>293.55040284743586</v>
      </c>
      <c r="J368" s="73">
        <v>294.79510435204674</v>
      </c>
      <c r="K368" s="73">
        <v>288.91015563824635</v>
      </c>
      <c r="L368" s="73">
        <v>292.90315806503816</v>
      </c>
      <c r="M368" s="73">
        <v>1029058.9713719368</v>
      </c>
      <c r="N368" s="73" t="s">
        <v>436</v>
      </c>
      <c r="O368" s="25">
        <f t="shared" si="9"/>
        <v>2.2097569267380823E-3</v>
      </c>
    </row>
    <row r="369" spans="1:15">
      <c r="A369" s="74">
        <v>519.34</v>
      </c>
      <c r="B369" s="74">
        <v>524.23</v>
      </c>
      <c r="C369" s="74">
        <v>516.34500000000003</v>
      </c>
      <c r="D369" s="74">
        <v>519.54</v>
      </c>
      <c r="E369" s="74">
        <v>5088200</v>
      </c>
      <c r="F369" s="74" t="s">
        <v>437</v>
      </c>
      <c r="G369" s="25">
        <f t="shared" si="8"/>
        <v>-3.8495592254672584E-4</v>
      </c>
      <c r="I369" s="73">
        <v>290.005492962304</v>
      </c>
      <c r="J369" s="73">
        <v>293.02264940948078</v>
      </c>
      <c r="K369" s="73">
        <v>284.7329373887722</v>
      </c>
      <c r="L369" s="73">
        <v>287.03314576929313</v>
      </c>
      <c r="M369" s="73">
        <v>1575526.3352180405</v>
      </c>
      <c r="N369" s="73" t="s">
        <v>437</v>
      </c>
      <c r="O369" s="25">
        <f t="shared" si="9"/>
        <v>1.0355414476765468E-2</v>
      </c>
    </row>
    <row r="370" spans="1:15">
      <c r="A370" s="74">
        <v>515.9</v>
      </c>
      <c r="B370" s="74">
        <v>518.17999999999995</v>
      </c>
      <c r="C370" s="74">
        <v>511.1</v>
      </c>
      <c r="D370" s="74">
        <v>514.91999999999996</v>
      </c>
      <c r="E370" s="74">
        <v>5467344</v>
      </c>
      <c r="F370" s="74" t="s">
        <v>438</v>
      </c>
      <c r="G370" s="25">
        <f t="shared" si="8"/>
        <v>1.9032082653616111E-3</v>
      </c>
      <c r="I370" s="73">
        <v>281.96970004853597</v>
      </c>
      <c r="J370" s="73">
        <v>285.28548528069911</v>
      </c>
      <c r="K370" s="73">
        <v>276.48305581621111</v>
      </c>
      <c r="L370" s="73">
        <v>278.81313703284275</v>
      </c>
      <c r="M370" s="73">
        <v>2285385.2827061792</v>
      </c>
      <c r="N370" s="73" t="s">
        <v>438</v>
      </c>
      <c r="O370" s="25">
        <f t="shared" si="9"/>
        <v>1.1321428571428482E-2</v>
      </c>
    </row>
    <row r="371" spans="1:15">
      <c r="A371" s="74">
        <v>513.58000000000004</v>
      </c>
      <c r="B371" s="74">
        <v>517.82500000000005</v>
      </c>
      <c r="C371" s="74">
        <v>511.94</v>
      </c>
      <c r="D371" s="74">
        <v>512.89</v>
      </c>
      <c r="E371" s="74">
        <v>4694270</v>
      </c>
      <c r="F371" s="74" t="s">
        <v>439</v>
      </c>
      <c r="G371" s="25">
        <f t="shared" si="8"/>
        <v>1.3453177094504554E-3</v>
      </c>
      <c r="I371" s="73">
        <v>251.97737259343162</v>
      </c>
      <c r="J371" s="73">
        <v>253.83944604432952</v>
      </c>
      <c r="K371" s="73">
        <v>249.25396570134293</v>
      </c>
      <c r="L371" s="73">
        <v>249.5676304805049</v>
      </c>
      <c r="M371" s="73">
        <v>1153491.4151556503</v>
      </c>
      <c r="N371" s="73" t="s">
        <v>439</v>
      </c>
      <c r="O371" s="25">
        <f t="shared" si="9"/>
        <v>9.6556677173522676E-3</v>
      </c>
    </row>
    <row r="372" spans="1:15">
      <c r="A372" s="74">
        <v>517.99</v>
      </c>
      <c r="B372" s="74">
        <v>520.85</v>
      </c>
      <c r="C372" s="74">
        <v>516.27</v>
      </c>
      <c r="D372" s="74">
        <v>517.08000000000004</v>
      </c>
      <c r="E372" s="74">
        <v>4793497</v>
      </c>
      <c r="F372" s="74" t="s">
        <v>440</v>
      </c>
      <c r="G372" s="25">
        <f t="shared" si="8"/>
        <v>1.7598824166473737E-3</v>
      </c>
      <c r="I372" s="73">
        <v>252.76402394434569</v>
      </c>
      <c r="J372" s="73">
        <v>255.46731646011986</v>
      </c>
      <c r="K372" s="73">
        <v>250.13521436660747</v>
      </c>
      <c r="L372" s="73">
        <v>250.13521436660747</v>
      </c>
      <c r="M372" s="73">
        <v>986804.86482095229</v>
      </c>
      <c r="N372" s="73" t="s">
        <v>440</v>
      </c>
      <c r="O372" s="25">
        <f t="shared" si="9"/>
        <v>1.0509554140127442E-2</v>
      </c>
    </row>
    <row r="373" spans="1:15">
      <c r="A373" s="74">
        <v>520.71</v>
      </c>
      <c r="B373" s="74">
        <v>522.41</v>
      </c>
      <c r="C373" s="74">
        <v>516.89</v>
      </c>
      <c r="D373" s="74">
        <v>519.12</v>
      </c>
      <c r="E373" s="74">
        <v>6285390</v>
      </c>
      <c r="F373" s="74" t="s">
        <v>441</v>
      </c>
      <c r="G373" s="25">
        <f t="shared" si="8"/>
        <v>3.0628756356911868E-3</v>
      </c>
      <c r="I373" s="73">
        <v>252.57482931564485</v>
      </c>
      <c r="J373" s="73">
        <v>256.17450606697957</v>
      </c>
      <c r="K373" s="73">
        <v>251.51085846950346</v>
      </c>
      <c r="L373" s="73">
        <v>252.52504125546039</v>
      </c>
      <c r="M373" s="73">
        <v>944629.09030350251</v>
      </c>
      <c r="N373" s="73" t="s">
        <v>441</v>
      </c>
      <c r="O373" s="25">
        <f t="shared" si="9"/>
        <v>1.9716088328092241E-4</v>
      </c>
    </row>
    <row r="374" spans="1:15">
      <c r="A374" s="74">
        <v>513.35</v>
      </c>
      <c r="B374" s="74">
        <v>518.44000000000005</v>
      </c>
      <c r="C374" s="74">
        <v>512.77</v>
      </c>
      <c r="D374" s="74">
        <v>515.13</v>
      </c>
      <c r="E374" s="74">
        <v>5784483</v>
      </c>
      <c r="F374" s="74" t="s">
        <v>442</v>
      </c>
      <c r="G374" s="25">
        <f t="shared" si="8"/>
        <v>-3.4554384330168775E-3</v>
      </c>
      <c r="I374" s="73">
        <v>248.12377673515624</v>
      </c>
      <c r="J374" s="73">
        <v>251.79813557676763</v>
      </c>
      <c r="K374" s="73">
        <v>245.93310208704105</v>
      </c>
      <c r="L374" s="73">
        <v>247.99432777867673</v>
      </c>
      <c r="M374" s="73">
        <v>784691.14593487966</v>
      </c>
      <c r="N374" s="73" t="s">
        <v>442</v>
      </c>
      <c r="O374" s="25">
        <f t="shared" si="9"/>
        <v>5.2198353744214998E-4</v>
      </c>
    </row>
    <row r="375" spans="1:15">
      <c r="A375" s="74">
        <v>509.74</v>
      </c>
      <c r="B375" s="74">
        <v>511.5</v>
      </c>
      <c r="C375" s="74">
        <v>497.76</v>
      </c>
      <c r="D375" s="74">
        <v>503.26</v>
      </c>
      <c r="E375" s="74">
        <v>7873686</v>
      </c>
      <c r="F375" s="74" t="s">
        <v>443</v>
      </c>
      <c r="G375" s="25">
        <f t="shared" si="8"/>
        <v>1.2876048165957998E-2</v>
      </c>
      <c r="I375" s="73">
        <v>246.63013492962318</v>
      </c>
      <c r="J375" s="73">
        <v>246.69983821388138</v>
      </c>
      <c r="K375" s="73">
        <v>239.11213784177329</v>
      </c>
      <c r="L375" s="73">
        <v>243.31425012133971</v>
      </c>
      <c r="M375" s="73">
        <v>1023137.873042178</v>
      </c>
      <c r="N375" s="73" t="s">
        <v>443</v>
      </c>
      <c r="O375" s="25">
        <f t="shared" si="9"/>
        <v>1.362799263351766E-2</v>
      </c>
    </row>
    <row r="376" spans="1:15">
      <c r="A376" s="74">
        <v>509.49</v>
      </c>
      <c r="B376" s="74">
        <v>510.54969999999997</v>
      </c>
      <c r="C376" s="74">
        <v>504.26</v>
      </c>
      <c r="D376" s="74">
        <v>504.54</v>
      </c>
      <c r="E376" s="74">
        <v>6525457</v>
      </c>
      <c r="F376" s="74" t="s">
        <v>444</v>
      </c>
      <c r="G376" s="25">
        <f t="shared" si="8"/>
        <v>9.810916874777087E-3</v>
      </c>
      <c r="I376" s="73">
        <v>246.6002620935125</v>
      </c>
      <c r="J376" s="73">
        <v>247.98437016663982</v>
      </c>
      <c r="K376" s="73">
        <v>243.73246982688897</v>
      </c>
      <c r="L376" s="73">
        <v>244.59878207409815</v>
      </c>
      <c r="M376" s="73">
        <v>587852.78823032405</v>
      </c>
      <c r="N376" s="73" t="s">
        <v>444</v>
      </c>
      <c r="O376" s="25">
        <f t="shared" si="9"/>
        <v>8.1827063996091631E-3</v>
      </c>
    </row>
    <row r="377" spans="1:15">
      <c r="A377" s="74">
        <v>506.42</v>
      </c>
      <c r="B377" s="74">
        <v>508.74</v>
      </c>
      <c r="C377" s="74">
        <v>500.96</v>
      </c>
      <c r="D377" s="74">
        <v>506.81</v>
      </c>
      <c r="E377" s="74">
        <v>4210016</v>
      </c>
      <c r="F377" s="74" t="s">
        <v>445</v>
      </c>
      <c r="G377" s="25">
        <f t="shared" si="8"/>
        <v>-7.6951914918799158E-4</v>
      </c>
      <c r="I377" s="73">
        <v>245.49496715741802</v>
      </c>
      <c r="J377" s="73">
        <v>250.32440899530832</v>
      </c>
      <c r="K377" s="73">
        <v>243.11509788060198</v>
      </c>
      <c r="L377" s="73">
        <v>247.66572658145944</v>
      </c>
      <c r="M377" s="73">
        <v>760614.08819132997</v>
      </c>
      <c r="N377" s="73" t="s">
        <v>445</v>
      </c>
      <c r="O377" s="25">
        <f t="shared" si="9"/>
        <v>-8.7648761659697705E-3</v>
      </c>
    </row>
    <row r="378" spans="1:15">
      <c r="A378" s="74">
        <v>506.11</v>
      </c>
      <c r="B378" s="74">
        <v>506.52</v>
      </c>
      <c r="C378" s="74">
        <v>499.75</v>
      </c>
      <c r="D378" s="74">
        <v>502.44</v>
      </c>
      <c r="E378" s="74">
        <v>6933423</v>
      </c>
      <c r="F378" s="74" t="s">
        <v>446</v>
      </c>
      <c r="G378" s="25">
        <f t="shared" si="8"/>
        <v>7.3043547488258476E-3</v>
      </c>
      <c r="I378" s="73">
        <v>247.32716777220526</v>
      </c>
      <c r="J378" s="73">
        <v>249.29877495550895</v>
      </c>
      <c r="K378" s="73">
        <v>245.95301731111482</v>
      </c>
      <c r="L378" s="73">
        <v>246.15216955185255</v>
      </c>
      <c r="M378" s="73">
        <v>513654.27584974305</v>
      </c>
      <c r="N378" s="73" t="s">
        <v>446</v>
      </c>
      <c r="O378" s="25">
        <f t="shared" si="9"/>
        <v>4.7734627831714782E-3</v>
      </c>
    </row>
    <row r="379" spans="1:15">
      <c r="A379" s="74">
        <v>502.41</v>
      </c>
      <c r="B379" s="74">
        <v>503</v>
      </c>
      <c r="C379" s="74">
        <v>492.22309999999999</v>
      </c>
      <c r="D379" s="74">
        <v>493.26</v>
      </c>
      <c r="E379" s="74">
        <v>6184333</v>
      </c>
      <c r="F379" s="74" t="s">
        <v>447</v>
      </c>
      <c r="G379" s="25">
        <f t="shared" si="8"/>
        <v>1.8550054737866528E-2</v>
      </c>
      <c r="I379" s="73">
        <v>247.48648956479545</v>
      </c>
      <c r="J379" s="73">
        <v>247.90470927034474</v>
      </c>
      <c r="K379" s="73">
        <v>238.55451156770761</v>
      </c>
      <c r="L379" s="73">
        <v>239.85895874453985</v>
      </c>
      <c r="M379" s="73">
        <v>695718.00692142686</v>
      </c>
      <c r="N379" s="73" t="s">
        <v>447</v>
      </c>
      <c r="O379" s="25">
        <f t="shared" si="9"/>
        <v>3.1800066423115059E-2</v>
      </c>
    </row>
    <row r="380" spans="1:15">
      <c r="A380" s="74">
        <v>492.07</v>
      </c>
      <c r="B380" s="74">
        <v>501.18</v>
      </c>
      <c r="C380" s="74">
        <v>490.7</v>
      </c>
      <c r="D380" s="74">
        <v>496.69</v>
      </c>
      <c r="E380" s="74">
        <v>8047601</v>
      </c>
      <c r="F380" s="74" t="s">
        <v>448</v>
      </c>
      <c r="G380" s="25">
        <f t="shared" si="8"/>
        <v>-9.3015764360063757E-3</v>
      </c>
      <c r="I380" s="73">
        <v>238.81340948066668</v>
      </c>
      <c r="J380" s="73">
        <v>248.82080957773834</v>
      </c>
      <c r="K380" s="73">
        <v>238.12633425012143</v>
      </c>
      <c r="L380" s="73">
        <v>242.73670862320026</v>
      </c>
      <c r="M380" s="73">
        <v>928197.43988431746</v>
      </c>
      <c r="N380" s="73" t="s">
        <v>448</v>
      </c>
      <c r="O380" s="25">
        <f t="shared" si="9"/>
        <v>-1.6162776387578459E-2</v>
      </c>
    </row>
    <row r="381" spans="1:15">
      <c r="A381" s="74">
        <v>484.29</v>
      </c>
      <c r="B381" s="74">
        <v>486.48</v>
      </c>
      <c r="C381" s="74">
        <v>477.19</v>
      </c>
      <c r="D381" s="74">
        <v>478.07</v>
      </c>
      <c r="E381" s="74">
        <v>6236319</v>
      </c>
      <c r="F381" s="74" t="s">
        <v>449</v>
      </c>
      <c r="G381" s="25">
        <f t="shared" si="8"/>
        <v>1.301064697638421E-2</v>
      </c>
      <c r="I381" s="73">
        <v>233.42634136871067</v>
      </c>
      <c r="J381" s="73">
        <v>233.49604465296889</v>
      </c>
      <c r="K381" s="73">
        <v>226.67508040770113</v>
      </c>
      <c r="L381" s="73">
        <v>229.36363565766069</v>
      </c>
      <c r="M381" s="73">
        <v>1260053.1084681868</v>
      </c>
      <c r="N381" s="73" t="s">
        <v>449</v>
      </c>
      <c r="O381" s="25">
        <f t="shared" si="9"/>
        <v>1.7712946079708081E-2</v>
      </c>
    </row>
    <row r="382" spans="1:15">
      <c r="A382" s="74">
        <v>472.37</v>
      </c>
      <c r="B382" s="74">
        <v>479.49</v>
      </c>
      <c r="C382" s="74">
        <v>467.33</v>
      </c>
      <c r="D382" s="74">
        <v>479.02</v>
      </c>
      <c r="E382" s="74">
        <v>7762501</v>
      </c>
      <c r="F382" s="74" t="s">
        <v>450</v>
      </c>
      <c r="G382" s="25">
        <f t="shared" si="8"/>
        <v>-1.388251012483821E-2</v>
      </c>
      <c r="I382" s="73">
        <v>225.96808995308214</v>
      </c>
      <c r="J382" s="73">
        <v>230.4838670118105</v>
      </c>
      <c r="K382" s="73">
        <v>221.11873289111804</v>
      </c>
      <c r="L382" s="73">
        <v>227.90982430027515</v>
      </c>
      <c r="M382" s="73">
        <v>1202409.7700981342</v>
      </c>
      <c r="N382" s="73" t="s">
        <v>450</v>
      </c>
      <c r="O382" s="25">
        <f t="shared" si="9"/>
        <v>-8.5197483397413398E-3</v>
      </c>
    </row>
    <row r="383" spans="1:15">
      <c r="A383" s="74">
        <v>483.9</v>
      </c>
      <c r="B383" s="74">
        <v>488.16</v>
      </c>
      <c r="C383" s="74">
        <v>481.5</v>
      </c>
      <c r="D383" s="74">
        <v>484.79</v>
      </c>
      <c r="E383" s="74">
        <v>5638939</v>
      </c>
      <c r="F383" s="74" t="s">
        <v>451</v>
      </c>
      <c r="G383" s="25">
        <f t="shared" si="8"/>
        <v>-1.8358464489780513E-3</v>
      </c>
      <c r="I383" s="73">
        <v>231.3053700048537</v>
      </c>
      <c r="J383" s="73">
        <v>235.79625303348985</v>
      </c>
      <c r="K383" s="73">
        <v>229.02507684840651</v>
      </c>
      <c r="L383" s="73">
        <v>229.02507684840651</v>
      </c>
      <c r="M383" s="73">
        <v>1453497.078052901</v>
      </c>
      <c r="N383" s="73" t="s">
        <v>451</v>
      </c>
      <c r="O383" s="25">
        <f t="shared" si="9"/>
        <v>9.9565217391304195E-3</v>
      </c>
    </row>
    <row r="384" spans="1:15">
      <c r="A384" s="74">
        <v>483.23</v>
      </c>
      <c r="B384" s="74">
        <v>491.76499999999999</v>
      </c>
      <c r="C384" s="74">
        <v>478.23</v>
      </c>
      <c r="D384" s="74">
        <v>488.65</v>
      </c>
      <c r="E384" s="74">
        <v>6374869</v>
      </c>
      <c r="F384" s="74" t="s">
        <v>452</v>
      </c>
      <c r="G384" s="25">
        <f t="shared" si="8"/>
        <v>-1.1091783485111972E-2</v>
      </c>
      <c r="I384" s="73">
        <v>227.14308817343485</v>
      </c>
      <c r="J384" s="73">
        <v>231.25558194466927</v>
      </c>
      <c r="K384" s="73">
        <v>224.15580456236867</v>
      </c>
      <c r="L384" s="73">
        <v>228.92550072803766</v>
      </c>
      <c r="M384" s="73">
        <v>800476.05494898255</v>
      </c>
      <c r="N384" s="73" t="s">
        <v>452</v>
      </c>
      <c r="O384" s="25">
        <f t="shared" si="9"/>
        <v>-7.7859939103958054E-3</v>
      </c>
    </row>
    <row r="385" spans="1:15">
      <c r="A385" s="74">
        <v>494.09</v>
      </c>
      <c r="B385" s="74">
        <v>499.27</v>
      </c>
      <c r="C385" s="74">
        <v>493.42</v>
      </c>
      <c r="D385" s="74">
        <v>496.03</v>
      </c>
      <c r="E385" s="74">
        <v>8200583</v>
      </c>
      <c r="F385" s="74" t="s">
        <v>453</v>
      </c>
      <c r="G385" s="25">
        <f t="shared" si="8"/>
        <v>-3.911053766909256E-3</v>
      </c>
      <c r="I385" s="73">
        <v>232.06214851965714</v>
      </c>
      <c r="J385" s="73">
        <v>237.15546707652496</v>
      </c>
      <c r="K385" s="73">
        <v>230.61719943698441</v>
      </c>
      <c r="L385" s="73">
        <v>232.04223329558334</v>
      </c>
      <c r="M385" s="73">
        <v>814051.59891466785</v>
      </c>
      <c r="N385" s="73" t="s">
        <v>453</v>
      </c>
      <c r="O385" s="25">
        <f t="shared" si="9"/>
        <v>8.5825859331478682E-5</v>
      </c>
    </row>
    <row r="386" spans="1:15">
      <c r="A386" s="74">
        <v>495.48</v>
      </c>
      <c r="B386" s="74">
        <v>500.26</v>
      </c>
      <c r="C386" s="74">
        <v>490.69</v>
      </c>
      <c r="D386" s="74">
        <v>500.05</v>
      </c>
      <c r="E386" s="74">
        <v>7701488</v>
      </c>
      <c r="F386" s="74" t="s">
        <v>454</v>
      </c>
      <c r="G386" s="25">
        <f t="shared" si="8"/>
        <v>-9.1390860913908023E-3</v>
      </c>
      <c r="I386" s="73">
        <v>232.43058016502195</v>
      </c>
      <c r="J386" s="73">
        <v>235.06934735479706</v>
      </c>
      <c r="K386" s="73">
        <v>227.89986668823826</v>
      </c>
      <c r="L386" s="73">
        <v>232.75918136223925</v>
      </c>
      <c r="M386" s="73">
        <v>1107096.7576525633</v>
      </c>
      <c r="N386" s="73" t="s">
        <v>454</v>
      </c>
      <c r="O386" s="25">
        <f t="shared" si="9"/>
        <v>-1.4117647058824456E-3</v>
      </c>
    </row>
    <row r="387" spans="1:15">
      <c r="A387" s="74">
        <v>490.55</v>
      </c>
      <c r="B387" s="74">
        <v>493</v>
      </c>
      <c r="C387" s="74">
        <v>478</v>
      </c>
      <c r="D387" s="74">
        <v>480.69</v>
      </c>
      <c r="E387" s="74">
        <v>11541195</v>
      </c>
      <c r="F387" s="74" t="s">
        <v>455</v>
      </c>
      <c r="G387" s="25">
        <f t="shared" si="8"/>
        <v>2.051218040733116E-2</v>
      </c>
      <c r="I387" s="73">
        <v>228.40770490211952</v>
      </c>
      <c r="J387" s="73">
        <v>231.15600582430037</v>
      </c>
      <c r="K387" s="73">
        <v>221.34775796796646</v>
      </c>
      <c r="L387" s="73">
        <v>228.19859504934487</v>
      </c>
      <c r="M387" s="73">
        <v>1543045.6562357827</v>
      </c>
      <c r="N387" s="73" t="s">
        <v>455</v>
      </c>
      <c r="O387" s="25">
        <f t="shared" si="9"/>
        <v>9.1635030763193015E-4</v>
      </c>
    </row>
    <row r="388" spans="1:15">
      <c r="A388" s="74">
        <v>482.06</v>
      </c>
      <c r="B388" s="74">
        <v>490.3</v>
      </c>
      <c r="C388" s="74">
        <v>468.33</v>
      </c>
      <c r="D388" s="74">
        <v>489.15</v>
      </c>
      <c r="E388" s="74">
        <v>16651303</v>
      </c>
      <c r="F388" s="74" t="s">
        <v>456</v>
      </c>
      <c r="G388" s="25">
        <f t="shared" si="8"/>
        <v>-1.4494531329857896E-2</v>
      </c>
      <c r="I388" s="73">
        <v>229.1843986409967</v>
      </c>
      <c r="J388" s="73">
        <v>235.48248867820755</v>
      </c>
      <c r="K388" s="73">
        <v>223.27953470312258</v>
      </c>
      <c r="L388" s="73">
        <v>235.31828765571925</v>
      </c>
      <c r="M388" s="73">
        <v>1502649.4248391492</v>
      </c>
      <c r="N388" s="73" t="s">
        <v>456</v>
      </c>
      <c r="O388" s="25">
        <f t="shared" si="9"/>
        <v>-2.6066350710900466E-2</v>
      </c>
    </row>
    <row r="389" spans="1:15">
      <c r="A389" s="74">
        <v>499.1</v>
      </c>
      <c r="B389" s="74">
        <v>502.06119999999999</v>
      </c>
      <c r="C389" s="74">
        <v>453.16</v>
      </c>
      <c r="D389" s="74">
        <v>453.49</v>
      </c>
      <c r="E389" s="74">
        <v>29286594</v>
      </c>
      <c r="F389" s="74" t="s">
        <v>457</v>
      </c>
      <c r="G389" s="25">
        <f t="shared" si="8"/>
        <v>0.10057553639551031</v>
      </c>
      <c r="I389" s="73">
        <v>241.40238861025736</v>
      </c>
      <c r="J389" s="73">
        <v>243.14994952273108</v>
      </c>
      <c r="K389" s="73">
        <v>214.08865879307567</v>
      </c>
      <c r="L389" s="73">
        <v>215.95073224397359</v>
      </c>
      <c r="M389" s="73">
        <v>1955322.2125820487</v>
      </c>
      <c r="N389" s="73" t="s">
        <v>457</v>
      </c>
      <c r="O389" s="25">
        <f t="shared" si="9"/>
        <v>0.11785862498270849</v>
      </c>
    </row>
    <row r="390" spans="1:15">
      <c r="A390" s="74">
        <v>456.74</v>
      </c>
      <c r="B390" s="74">
        <v>482.49</v>
      </c>
      <c r="C390" s="74">
        <v>449.6</v>
      </c>
      <c r="D390" s="74">
        <v>479.68</v>
      </c>
      <c r="E390" s="74">
        <v>19002684</v>
      </c>
      <c r="F390" s="74" t="s">
        <v>458</v>
      </c>
      <c r="G390" s="25">
        <f t="shared" si="8"/>
        <v>-4.7823549032688484E-2</v>
      </c>
      <c r="I390" s="73">
        <v>218.0418307717199</v>
      </c>
      <c r="J390" s="73">
        <v>233.24750265652818</v>
      </c>
      <c r="K390" s="73">
        <v>214.37742954214539</v>
      </c>
      <c r="L390" s="73">
        <v>232.12189419187845</v>
      </c>
      <c r="M390" s="73">
        <v>1263653.3692402672</v>
      </c>
      <c r="N390" s="73" t="s">
        <v>458</v>
      </c>
      <c r="O390" s="25">
        <f t="shared" si="9"/>
        <v>-6.0658058427351835E-2</v>
      </c>
    </row>
    <row r="391" spans="1:15">
      <c r="A391" s="74">
        <v>463.56</v>
      </c>
      <c r="B391" s="74">
        <v>480.76</v>
      </c>
      <c r="C391" s="74">
        <v>442.8</v>
      </c>
      <c r="D391" s="74">
        <v>449.54</v>
      </c>
      <c r="E391" s="74">
        <v>31285267</v>
      </c>
      <c r="F391" s="74" t="s">
        <v>459</v>
      </c>
      <c r="G391" s="25">
        <f t="shared" si="8"/>
        <v>3.1187436045735595E-2</v>
      </c>
      <c r="I391" s="73">
        <v>226.65516518362736</v>
      </c>
      <c r="J391" s="73">
        <v>237.53385633392665</v>
      </c>
      <c r="K391" s="73">
        <v>214.79455391037061</v>
      </c>
      <c r="L391" s="73">
        <v>219.2865322763308</v>
      </c>
      <c r="M391" s="73">
        <v>1931022.2098199769</v>
      </c>
      <c r="N391" s="73" t="s">
        <v>459</v>
      </c>
      <c r="O391" s="25">
        <f t="shared" si="9"/>
        <v>3.360276087548808E-2</v>
      </c>
    </row>
    <row r="392" spans="1:15">
      <c r="A392" s="74">
        <v>465.52</v>
      </c>
      <c r="B392" s="74">
        <v>483.3</v>
      </c>
      <c r="C392" s="74">
        <v>464.24</v>
      </c>
      <c r="D392" s="74">
        <v>481.28</v>
      </c>
      <c r="E392" s="74">
        <v>30966508</v>
      </c>
      <c r="F392" s="74" t="s">
        <v>460</v>
      </c>
      <c r="G392" s="25">
        <f t="shared" si="8"/>
        <v>-3.2746010638297851E-2</v>
      </c>
      <c r="I392" s="73">
        <v>226.14732696974613</v>
      </c>
      <c r="J392" s="73">
        <v>231.11119657013441</v>
      </c>
      <c r="K392" s="73">
        <v>217.55390778191241</v>
      </c>
      <c r="L392" s="73">
        <v>231.11119657013441</v>
      </c>
      <c r="M392" s="73">
        <v>1592133.7305842587</v>
      </c>
      <c r="N392" s="73" t="s">
        <v>460</v>
      </c>
      <c r="O392" s="25">
        <f t="shared" si="9"/>
        <v>-2.1478273982636353E-2</v>
      </c>
    </row>
    <row r="393" spans="1:15">
      <c r="A393" s="74">
        <v>494.16</v>
      </c>
      <c r="B393" s="74">
        <v>503.66</v>
      </c>
      <c r="C393" s="74">
        <v>493.5</v>
      </c>
      <c r="D393" s="74">
        <v>501</v>
      </c>
      <c r="E393" s="74">
        <v>16226023</v>
      </c>
      <c r="F393" s="74" t="s">
        <v>461</v>
      </c>
      <c r="G393" s="25">
        <f t="shared" si="8"/>
        <v>-1.3652694610778449E-2</v>
      </c>
      <c r="I393" s="73">
        <v>238.14624947419523</v>
      </c>
      <c r="J393" s="73">
        <v>249.41826629995157</v>
      </c>
      <c r="K393" s="73">
        <v>236.49328587607195</v>
      </c>
      <c r="L393" s="73">
        <v>249.36847823976717</v>
      </c>
      <c r="M393" s="73">
        <v>1438753.583382075</v>
      </c>
      <c r="N393" s="73" t="s">
        <v>461</v>
      </c>
      <c r="O393" s="25">
        <f t="shared" si="9"/>
        <v>-4.5002595535678758E-2</v>
      </c>
    </row>
    <row r="394" spans="1:15">
      <c r="A394" s="74">
        <v>518.91</v>
      </c>
      <c r="B394" s="74">
        <v>521.49</v>
      </c>
      <c r="C394" s="74">
        <v>509.9298</v>
      </c>
      <c r="D394" s="74">
        <v>510.14</v>
      </c>
      <c r="E394" s="74">
        <v>6308643</v>
      </c>
      <c r="F394" s="74" t="s">
        <v>462</v>
      </c>
      <c r="G394" s="25">
        <f t="shared" si="8"/>
        <v>1.7191359234719927E-2</v>
      </c>
      <c r="I394" s="73">
        <v>259.75426759424056</v>
      </c>
      <c r="J394" s="73">
        <v>261.50680731273269</v>
      </c>
      <c r="K394" s="73">
        <v>252.71423588416127</v>
      </c>
      <c r="L394" s="73">
        <v>254.19792007765747</v>
      </c>
      <c r="M394" s="73">
        <v>1147227.8652433867</v>
      </c>
      <c r="N394" s="73" t="s">
        <v>462</v>
      </c>
      <c r="O394" s="25">
        <f t="shared" si="9"/>
        <v>2.185835161391414E-2</v>
      </c>
    </row>
    <row r="395" spans="1:15">
      <c r="A395" s="74">
        <v>515.79999999999995</v>
      </c>
      <c r="B395" s="74">
        <v>517.35</v>
      </c>
      <c r="C395" s="74">
        <v>508.88</v>
      </c>
      <c r="D395" s="74">
        <v>512.36</v>
      </c>
      <c r="E395" s="74">
        <v>7697017</v>
      </c>
      <c r="F395" s="74" t="s">
        <v>463</v>
      </c>
      <c r="G395" s="25">
        <f t="shared" si="8"/>
        <v>6.7140291982199507E-3</v>
      </c>
      <c r="I395" s="73">
        <v>257.64325384242045</v>
      </c>
      <c r="J395" s="73">
        <v>258.85808251092067</v>
      </c>
      <c r="K395" s="73">
        <v>252.92334573693589</v>
      </c>
      <c r="L395" s="73">
        <v>256.48817084614149</v>
      </c>
      <c r="M395" s="73">
        <v>843192.11964645435</v>
      </c>
      <c r="N395" s="73" t="s">
        <v>463</v>
      </c>
      <c r="O395" s="25">
        <f t="shared" si="9"/>
        <v>4.5034552372080761E-3</v>
      </c>
    </row>
    <row r="396" spans="1:15">
      <c r="A396" s="74">
        <v>513.91</v>
      </c>
      <c r="B396" s="74">
        <v>515.33000000000004</v>
      </c>
      <c r="C396" s="74">
        <v>502.64</v>
      </c>
      <c r="D396" s="74">
        <v>505.31</v>
      </c>
      <c r="E396" s="74">
        <v>8196668</v>
      </c>
      <c r="F396" s="74" t="s">
        <v>464</v>
      </c>
      <c r="G396" s="25">
        <f t="shared" si="8"/>
        <v>1.7019255506520725E-2</v>
      </c>
      <c r="I396" s="73">
        <v>257.28477980909253</v>
      </c>
      <c r="J396" s="73">
        <v>258.4597780294452</v>
      </c>
      <c r="K396" s="73">
        <v>247.99432777867673</v>
      </c>
      <c r="L396" s="73">
        <v>254.04855589710414</v>
      </c>
      <c r="M396" s="73">
        <v>1065011.3662507306</v>
      </c>
      <c r="N396" s="73" t="s">
        <v>464</v>
      </c>
      <c r="O396" s="25">
        <f t="shared" si="9"/>
        <v>1.273860384901826E-2</v>
      </c>
    </row>
    <row r="397" spans="1:15">
      <c r="A397" s="74">
        <v>510.8</v>
      </c>
      <c r="B397" s="74">
        <v>520.46</v>
      </c>
      <c r="C397" s="74">
        <v>510.16</v>
      </c>
      <c r="D397" s="74">
        <v>519.76</v>
      </c>
      <c r="E397" s="74">
        <v>5831793</v>
      </c>
      <c r="F397" s="74" t="s">
        <v>465</v>
      </c>
      <c r="G397" s="25">
        <f t="shared" si="8"/>
        <v>-1.7238725565645652E-2</v>
      </c>
      <c r="I397" s="73">
        <v>257.53372011001471</v>
      </c>
      <c r="J397" s="73">
        <v>265.16125093027034</v>
      </c>
      <c r="K397" s="73">
        <v>256.36399942404159</v>
      </c>
      <c r="L397" s="73">
        <v>264.61358226824154</v>
      </c>
      <c r="M397" s="73">
        <v>992100.31113927288</v>
      </c>
      <c r="N397" s="73" t="s">
        <v>465</v>
      </c>
      <c r="O397" s="25">
        <f t="shared" si="9"/>
        <v>-2.6755475276586171E-2</v>
      </c>
    </row>
    <row r="398" spans="1:15">
      <c r="A398" s="74">
        <v>521.21</v>
      </c>
      <c r="B398" s="74">
        <v>524.678</v>
      </c>
      <c r="C398" s="74">
        <v>519.23</v>
      </c>
      <c r="D398" s="74">
        <v>521.29</v>
      </c>
      <c r="E398" s="74">
        <v>5534928</v>
      </c>
      <c r="F398" s="74" t="s">
        <v>466</v>
      </c>
      <c r="G398" s="25">
        <f t="shared" si="8"/>
        <v>-1.5346544150074415E-4</v>
      </c>
      <c r="I398" s="73">
        <v>266.94366348487313</v>
      </c>
      <c r="J398" s="73">
        <v>269.94090470797619</v>
      </c>
      <c r="K398" s="73">
        <v>263.97131629186231</v>
      </c>
      <c r="L398" s="73">
        <v>266.19684258210657</v>
      </c>
      <c r="M398" s="73">
        <v>1029421.5080912453</v>
      </c>
      <c r="N398" s="73" t="s">
        <v>466</v>
      </c>
      <c r="O398" s="25">
        <f t="shared" si="9"/>
        <v>2.8055212658513184E-3</v>
      </c>
    </row>
    <row r="399" spans="1:15">
      <c r="A399" s="74">
        <v>522.64789999999982</v>
      </c>
      <c r="B399" s="74">
        <v>529.57388654806823</v>
      </c>
      <c r="C399" s="74">
        <v>521.2925990351979</v>
      </c>
      <c r="D399" s="74">
        <v>528.72682344506711</v>
      </c>
      <c r="E399" s="74">
        <v>4444984.1890879134</v>
      </c>
      <c r="F399" s="74" t="s">
        <v>467</v>
      </c>
      <c r="G399" s="25">
        <f t="shared" si="8"/>
        <v>-1.1497285886610364E-2</v>
      </c>
      <c r="I399" s="73">
        <v>268.13857692929957</v>
      </c>
      <c r="J399" s="73">
        <v>273.33645041255471</v>
      </c>
      <c r="K399" s="73">
        <v>266.4159100469181</v>
      </c>
      <c r="L399" s="73">
        <v>270.56823426630012</v>
      </c>
      <c r="M399" s="73">
        <v>772486.41255605337</v>
      </c>
      <c r="N399" s="73" t="s">
        <v>467</v>
      </c>
      <c r="O399" s="25">
        <f t="shared" si="9"/>
        <v>-8.9798321801857206E-3</v>
      </c>
    </row>
    <row r="400" spans="1:15">
      <c r="A400" s="74">
        <v>528.81651247950253</v>
      </c>
      <c r="B400" s="74">
        <v>529.76323006520977</v>
      </c>
      <c r="C400" s="74">
        <v>527.28183344582988</v>
      </c>
      <c r="D400" s="74">
        <v>528.75671978987896</v>
      </c>
      <c r="E400" s="74">
        <v>6281904.064935497</v>
      </c>
      <c r="F400" s="74" t="s">
        <v>468</v>
      </c>
      <c r="G400" s="25">
        <f t="shared" si="8"/>
        <v>1.1308166380818996E-4</v>
      </c>
      <c r="I400" s="73">
        <v>271.69344442646837</v>
      </c>
      <c r="J400" s="73">
        <v>273.01362463031882</v>
      </c>
      <c r="K400" s="73">
        <v>266.51050736126854</v>
      </c>
      <c r="L400" s="73">
        <v>267.41167125060684</v>
      </c>
      <c r="M400" s="73">
        <v>1024657.3136413851</v>
      </c>
      <c r="N400" s="73" t="s">
        <v>468</v>
      </c>
      <c r="O400" s="25">
        <f t="shared" si="9"/>
        <v>1.6011915844349245E-2</v>
      </c>
    </row>
    <row r="401" spans="1:15">
      <c r="A401" s="74">
        <v>527.56086599740661</v>
      </c>
      <c r="B401" s="74">
        <v>528.55741082446684</v>
      </c>
      <c r="C401" s="74">
        <v>524.06299365442533</v>
      </c>
      <c r="D401" s="74">
        <v>524.66092055066144</v>
      </c>
      <c r="E401" s="74">
        <v>22453848.931221198</v>
      </c>
      <c r="F401" s="74" t="s">
        <v>469</v>
      </c>
      <c r="G401" s="25">
        <f t="shared" si="8"/>
        <v>5.5272754900470566E-3</v>
      </c>
      <c r="I401" s="73">
        <v>266.82417214043045</v>
      </c>
      <c r="J401" s="73">
        <v>267.21251900986908</v>
      </c>
      <c r="K401" s="73">
        <v>261.49913995146431</v>
      </c>
      <c r="L401" s="73">
        <v>261.80553567383936</v>
      </c>
      <c r="M401" s="73">
        <v>1291662.0925131598</v>
      </c>
      <c r="N401" s="73" t="s">
        <v>469</v>
      </c>
      <c r="O401" s="25">
        <f t="shared" si="9"/>
        <v>1.9169329073482233E-2</v>
      </c>
    </row>
    <row r="402" spans="1:15">
      <c r="A402" s="74">
        <v>518.46241172634689</v>
      </c>
      <c r="B402" s="74">
        <v>519.15002765701854</v>
      </c>
      <c r="C402" s="74">
        <v>512.87677797067442</v>
      </c>
      <c r="D402" s="74">
        <v>514.00785634938768</v>
      </c>
      <c r="E402" s="74">
        <v>5076551.3628965141</v>
      </c>
      <c r="F402" s="74" t="s">
        <v>470</v>
      </c>
      <c r="G402" s="25">
        <f t="shared" si="8"/>
        <v>8.666317687431091E-3</v>
      </c>
      <c r="I402" s="73">
        <v>257.69304190260493</v>
      </c>
      <c r="J402" s="73">
        <v>257.79261802297373</v>
      </c>
      <c r="K402" s="73">
        <v>251.66868662028813</v>
      </c>
      <c r="L402" s="73">
        <v>253.86931888044018</v>
      </c>
      <c r="M402" s="73">
        <v>1202538.3149736784</v>
      </c>
      <c r="N402" s="73" t="s">
        <v>470</v>
      </c>
      <c r="O402" s="25">
        <f t="shared" si="9"/>
        <v>1.506177681898424E-2</v>
      </c>
    </row>
    <row r="403" spans="1:15">
      <c r="A403" s="74">
        <v>518.33286089882904</v>
      </c>
      <c r="B403" s="74">
        <v>522.80236444819411</v>
      </c>
      <c r="C403" s="74">
        <v>515.53256993478999</v>
      </c>
      <c r="D403" s="74">
        <v>516.17035862410842</v>
      </c>
      <c r="E403" s="74">
        <v>6050643.0180241829</v>
      </c>
      <c r="F403" s="74" t="s">
        <v>471</v>
      </c>
      <c r="G403" s="25">
        <f t="shared" si="8"/>
        <v>4.1895127036835067E-3</v>
      </c>
      <c r="I403" s="73">
        <v>256.99600906002274</v>
      </c>
      <c r="J403" s="73">
        <v>260.14261446367914</v>
      </c>
      <c r="K403" s="73">
        <v>255.30321501375192</v>
      </c>
      <c r="L403" s="73">
        <v>256.05003591651848</v>
      </c>
      <c r="M403" s="73">
        <v>764797.82218756049</v>
      </c>
      <c r="N403" s="73" t="s">
        <v>471</v>
      </c>
      <c r="O403" s="25">
        <f t="shared" si="9"/>
        <v>3.694485494283084E-3</v>
      </c>
    </row>
    <row r="404" spans="1:15">
      <c r="A404" s="74">
        <v>519.52871469130139</v>
      </c>
      <c r="B404" s="74">
        <v>523.14617241352994</v>
      </c>
      <c r="C404" s="74">
        <v>514.63478270009125</v>
      </c>
      <c r="D404" s="74">
        <v>515.75180979674315</v>
      </c>
      <c r="E404" s="74">
        <v>5392581.3009867659</v>
      </c>
      <c r="F404" s="74" t="s">
        <v>472</v>
      </c>
      <c r="G404" s="25">
        <f t="shared" si="8"/>
        <v>7.3231054604474544E-3</v>
      </c>
      <c r="I404" s="73">
        <v>258.92778579517886</v>
      </c>
      <c r="J404" s="73">
        <v>261.72587477754422</v>
      </c>
      <c r="K404" s="73">
        <v>257.16528846464985</v>
      </c>
      <c r="L404" s="73">
        <v>257.4341439896458</v>
      </c>
      <c r="M404" s="73">
        <v>777527.78189380607</v>
      </c>
      <c r="N404" s="73" t="s">
        <v>472</v>
      </c>
      <c r="O404" s="25">
        <f t="shared" si="9"/>
        <v>5.8020345801259587E-3</v>
      </c>
    </row>
    <row r="405" spans="1:15">
      <c r="A405" s="74">
        <v>514.12744172863495</v>
      </c>
      <c r="B405" s="74">
        <v>517.72496855432234</v>
      </c>
      <c r="C405" s="74">
        <v>512.29459648270586</v>
      </c>
      <c r="D405" s="74">
        <v>517.52565958891034</v>
      </c>
      <c r="E405" s="74">
        <v>6031437.6601914996</v>
      </c>
      <c r="F405" s="74" t="s">
        <v>473</v>
      </c>
      <c r="G405" s="25">
        <f t="shared" si="8"/>
        <v>-6.5662789802050092E-3</v>
      </c>
      <c r="I405" s="73">
        <v>257.03583950817034</v>
      </c>
      <c r="J405" s="73">
        <v>260.21231774793733</v>
      </c>
      <c r="K405" s="73">
        <v>254.80533441190758</v>
      </c>
      <c r="L405" s="73">
        <v>259.89367416275695</v>
      </c>
      <c r="M405" s="73">
        <v>779148.65243387234</v>
      </c>
      <c r="N405" s="73" t="s">
        <v>473</v>
      </c>
      <c r="O405" s="25">
        <f t="shared" si="9"/>
        <v>-1.0996168582375399E-2</v>
      </c>
    </row>
    <row r="406" spans="1:15">
      <c r="A406" s="74">
        <v>519.60843827746612</v>
      </c>
      <c r="B406" s="74">
        <v>522.03004220722255</v>
      </c>
      <c r="C406" s="74">
        <v>515.29339917629545</v>
      </c>
      <c r="D406" s="74">
        <v>515.66212076230772</v>
      </c>
      <c r="E406" s="74">
        <v>6291581.5021547033</v>
      </c>
      <c r="F406" s="74" t="s">
        <v>474</v>
      </c>
      <c r="G406" s="25">
        <f t="shared" si="8"/>
        <v>7.6529133249587655E-3</v>
      </c>
      <c r="I406" s="73">
        <v>260.87947775440881</v>
      </c>
      <c r="J406" s="73">
        <v>262.71665717521449</v>
      </c>
      <c r="K406" s="73">
        <v>257.24494936094493</v>
      </c>
      <c r="L406" s="73">
        <v>257.55363533408843</v>
      </c>
      <c r="M406" s="73">
        <v>691153.65958276438</v>
      </c>
      <c r="N406" s="73" t="s">
        <v>474</v>
      </c>
      <c r="O406" s="25">
        <f t="shared" si="9"/>
        <v>1.2913203170307641E-2</v>
      </c>
    </row>
    <row r="407" spans="1:15">
      <c r="A407" s="74">
        <v>515.6720862105783</v>
      </c>
      <c r="B407" s="74">
        <v>516.62876924455611</v>
      </c>
      <c r="C407" s="74">
        <v>509.07495945543968</v>
      </c>
      <c r="D407" s="74">
        <v>509.51343917934616</v>
      </c>
      <c r="E407" s="74">
        <v>7437960.4396382375</v>
      </c>
      <c r="F407" s="74" t="s">
        <v>475</v>
      </c>
      <c r="G407" s="25">
        <f t="shared" si="8"/>
        <v>1.2087310280081365E-2</v>
      </c>
      <c r="I407" s="73">
        <v>259.08710758776908</v>
      </c>
      <c r="J407" s="73">
        <v>259.73435237016673</v>
      </c>
      <c r="K407" s="73">
        <v>254.36719948228455</v>
      </c>
      <c r="L407" s="73">
        <v>258.27058340074433</v>
      </c>
      <c r="M407" s="73">
        <v>795815.29895366181</v>
      </c>
      <c r="N407" s="73" t="s">
        <v>475</v>
      </c>
      <c r="O407" s="25">
        <f t="shared" si="9"/>
        <v>3.1615067278405462E-3</v>
      </c>
    </row>
    <row r="408" spans="1:15">
      <c r="A408" s="74">
        <v>505.2980545608815</v>
      </c>
      <c r="B408" s="74">
        <v>512.28383379857348</v>
      </c>
      <c r="C408" s="74">
        <v>503.67368649277336</v>
      </c>
      <c r="D408" s="74">
        <v>511.73573414369048</v>
      </c>
      <c r="E408" s="74">
        <v>21725060.842337649</v>
      </c>
      <c r="F408" s="74" t="s">
        <v>476</v>
      </c>
      <c r="G408" s="25">
        <f t="shared" si="8"/>
        <v>-1.2580086074273189E-2</v>
      </c>
      <c r="I408" s="73">
        <v>254.20787768969436</v>
      </c>
      <c r="J408" s="73">
        <v>259.82397087849876</v>
      </c>
      <c r="K408" s="73">
        <v>253.90914932858774</v>
      </c>
      <c r="L408" s="73">
        <v>259.41570878498635</v>
      </c>
      <c r="M408" s="73">
        <v>602006.78413595865</v>
      </c>
      <c r="N408" s="73" t="s">
        <v>476</v>
      </c>
      <c r="O408" s="25">
        <f t="shared" si="9"/>
        <v>-2.0075234147090337E-2</v>
      </c>
    </row>
    <row r="409" spans="1:15">
      <c r="A409" s="74">
        <v>511.98487035045554</v>
      </c>
      <c r="B409" s="74">
        <v>515.95111876215515</v>
      </c>
      <c r="C409" s="74">
        <v>507.34097145635496</v>
      </c>
      <c r="D409" s="74">
        <v>515.10405565915403</v>
      </c>
      <c r="E409" s="74">
        <v>8620339.7646867074</v>
      </c>
      <c r="F409" s="74" t="s">
        <v>477</v>
      </c>
      <c r="G409" s="25">
        <f t="shared" si="8"/>
        <v>-6.0554470003288952E-3</v>
      </c>
      <c r="I409" s="73">
        <v>260.86952014237193</v>
      </c>
      <c r="J409" s="73">
        <v>267.5112473709757</v>
      </c>
      <c r="K409" s="73">
        <v>257.47397443779334</v>
      </c>
      <c r="L409" s="73">
        <v>266.67480795987717</v>
      </c>
      <c r="M409" s="73">
        <v>852298.7206732952</v>
      </c>
      <c r="N409" s="73" t="s">
        <v>477</v>
      </c>
      <c r="O409" s="25">
        <f t="shared" si="9"/>
        <v>-2.176916470632162E-2</v>
      </c>
    </row>
    <row r="410" spans="1:15">
      <c r="A410" s="74">
        <v>509.51343917934616</v>
      </c>
      <c r="B410" s="74">
        <v>515.74174469398986</v>
      </c>
      <c r="C410" s="74">
        <v>505.77639607787034</v>
      </c>
      <c r="D410" s="74">
        <v>512.55290090187987</v>
      </c>
      <c r="E410" s="74">
        <v>11247777.014774196</v>
      </c>
      <c r="F410" s="74" t="s">
        <v>478</v>
      </c>
      <c r="G410" s="25">
        <f t="shared" si="8"/>
        <v>-5.9300449127992483E-3</v>
      </c>
      <c r="I410" s="73">
        <v>264.02608315806515</v>
      </c>
      <c r="J410" s="73">
        <v>269.28788451059711</v>
      </c>
      <c r="K410" s="73">
        <v>261.84038731596843</v>
      </c>
      <c r="L410" s="73">
        <v>267.48137453486504</v>
      </c>
      <c r="M410" s="73">
        <v>723160.32933645253</v>
      </c>
      <c r="N410" s="73" t="s">
        <v>478</v>
      </c>
      <c r="O410" s="25">
        <f t="shared" si="9"/>
        <v>-1.291787655424026E-2</v>
      </c>
    </row>
    <row r="411" spans="1:15">
      <c r="A411" s="74">
        <v>513.72882379781095</v>
      </c>
      <c r="B411" s="74">
        <v>521.89052593143413</v>
      </c>
      <c r="C411" s="74">
        <v>509.0649940071691</v>
      </c>
      <c r="D411" s="74">
        <v>520.09674524272566</v>
      </c>
      <c r="E411" s="74">
        <v>11215642.986148039</v>
      </c>
      <c r="F411" s="74" t="s">
        <v>479</v>
      </c>
      <c r="G411" s="25">
        <f t="shared" si="8"/>
        <v>-1.2243724851504045E-2</v>
      </c>
      <c r="I411" s="73">
        <v>269.22395664132034</v>
      </c>
      <c r="J411" s="73">
        <v>274.85996505419848</v>
      </c>
      <c r="K411" s="73">
        <v>267.89959424041433</v>
      </c>
      <c r="L411" s="73">
        <v>270.83708979129602</v>
      </c>
      <c r="M411" s="73">
        <v>860221.30288555229</v>
      </c>
      <c r="N411" s="73" t="s">
        <v>479</v>
      </c>
      <c r="O411" s="25">
        <f t="shared" si="9"/>
        <v>-5.9561013272544372E-3</v>
      </c>
    </row>
    <row r="412" spans="1:15">
      <c r="A412" s="74">
        <v>527.68045137665388</v>
      </c>
      <c r="B412" s="74">
        <v>529.04571778972638</v>
      </c>
      <c r="C412" s="74">
        <v>518.33286089882904</v>
      </c>
      <c r="D412" s="74">
        <v>523.08637972390625</v>
      </c>
      <c r="E412" s="74">
        <v>7333618.9216487836</v>
      </c>
      <c r="F412" s="74" t="s">
        <v>480</v>
      </c>
      <c r="G412" s="25">
        <f t="shared" si="8"/>
        <v>8.782625261954724E-3</v>
      </c>
      <c r="I412" s="73">
        <v>275.36780326807974</v>
      </c>
      <c r="J412" s="73">
        <v>276.04989969260652</v>
      </c>
      <c r="K412" s="73">
        <v>265.57947063581958</v>
      </c>
      <c r="L412" s="73">
        <v>267.96929752467253</v>
      </c>
      <c r="M412" s="73">
        <v>1083195.4448560467</v>
      </c>
      <c r="N412" s="73" t="s">
        <v>480</v>
      </c>
      <c r="O412" s="25">
        <f t="shared" si="9"/>
        <v>2.7609527702426417E-2</v>
      </c>
    </row>
    <row r="413" spans="1:15">
      <c r="A413" s="74">
        <v>524.85026406780287</v>
      </c>
      <c r="B413" s="74">
        <v>531.58690709872985</v>
      </c>
      <c r="C413" s="74">
        <v>522.4087292415054</v>
      </c>
      <c r="D413" s="74">
        <v>527.36155703199472</v>
      </c>
      <c r="E413" s="74">
        <v>7253989.7892252151</v>
      </c>
      <c r="F413" s="74" t="s">
        <v>481</v>
      </c>
      <c r="G413" s="25">
        <f t="shared" si="8"/>
        <v>-4.7619947466885915E-3</v>
      </c>
      <c r="I413" s="73">
        <v>270.66781038666898</v>
      </c>
      <c r="J413" s="73">
        <v>272.40043488108734</v>
      </c>
      <c r="K413" s="73">
        <v>266.98349393302067</v>
      </c>
      <c r="L413" s="73">
        <v>268.44726290244307</v>
      </c>
      <c r="M413" s="73">
        <v>1112120.0503671926</v>
      </c>
      <c r="N413" s="73" t="s">
        <v>481</v>
      </c>
      <c r="O413" s="25">
        <f t="shared" si="9"/>
        <v>8.2718201713716244E-3</v>
      </c>
    </row>
    <row r="414" spans="1:15">
      <c r="A414" s="74">
        <v>534.54664523509871</v>
      </c>
      <c r="B414" s="74">
        <v>535.93194219919519</v>
      </c>
      <c r="C414" s="74">
        <v>525.10936572283845</v>
      </c>
      <c r="D414" s="74">
        <v>528.41789454867842</v>
      </c>
      <c r="E414" s="74">
        <v>6243316.7390512833</v>
      </c>
      <c r="F414" s="74" t="s">
        <v>482</v>
      </c>
      <c r="G414" s="25">
        <f t="shared" si="8"/>
        <v>1.1598302687411577E-2</v>
      </c>
      <c r="I414" s="73">
        <v>272.50001100145624</v>
      </c>
      <c r="J414" s="73">
        <v>273.54556026532936</v>
      </c>
      <c r="K414" s="73">
        <v>265.34048794693433</v>
      </c>
      <c r="L414" s="73">
        <v>267.96929752467253</v>
      </c>
      <c r="M414" s="73">
        <v>747307.68505881552</v>
      </c>
      <c r="N414" s="73" t="s">
        <v>482</v>
      </c>
      <c r="O414" s="25">
        <f t="shared" si="9"/>
        <v>1.6907584259225006E-2</v>
      </c>
    </row>
    <row r="415" spans="1:15">
      <c r="A415" s="74">
        <v>528.61720351409053</v>
      </c>
      <c r="B415" s="74">
        <v>536.42004985548931</v>
      </c>
      <c r="C415" s="74">
        <v>524.34202620600217</v>
      </c>
      <c r="D415" s="74">
        <v>531.21818551271758</v>
      </c>
      <c r="E415" s="74">
        <v>10513761.865493005</v>
      </c>
      <c r="F415" s="74" t="s">
        <v>483</v>
      </c>
      <c r="G415" s="25">
        <f t="shared" si="8"/>
        <v>-4.8962593329079374E-3</v>
      </c>
      <c r="I415" s="73">
        <v>266.73455363209848</v>
      </c>
      <c r="J415" s="73">
        <v>272.24111308849712</v>
      </c>
      <c r="K415" s="73">
        <v>262.49261090438455</v>
      </c>
      <c r="L415" s="73">
        <v>270.68274680472427</v>
      </c>
      <c r="M415" s="73">
        <v>1023044.4771560403</v>
      </c>
      <c r="N415" s="73" t="s">
        <v>483</v>
      </c>
      <c r="O415" s="25">
        <f t="shared" si="9"/>
        <v>-1.4586054040134688E-2</v>
      </c>
    </row>
    <row r="416" spans="1:15">
      <c r="A416" s="74">
        <v>535.06484854517009</v>
      </c>
      <c r="B416" s="74">
        <v>547.39210805590494</v>
      </c>
      <c r="C416" s="74">
        <v>531.40852557468611</v>
      </c>
      <c r="D416" s="74">
        <v>546.3058741944094</v>
      </c>
      <c r="E416" s="74">
        <v>7315273.535165838</v>
      </c>
      <c r="F416" s="74" t="s">
        <v>484</v>
      </c>
      <c r="G416" s="25">
        <f t="shared" ref="G416:G479" si="10">A416/D416-1</f>
        <v>-2.0576431959139163E-2</v>
      </c>
      <c r="I416" s="73">
        <v>277.44894418378914</v>
      </c>
      <c r="J416" s="73">
        <v>290.92657207571608</v>
      </c>
      <c r="K416" s="73">
        <v>276.66727163889357</v>
      </c>
      <c r="L416" s="73">
        <v>288.73091862158242</v>
      </c>
      <c r="M416" s="73">
        <v>786925.61740430188</v>
      </c>
      <c r="N416" s="73" t="s">
        <v>484</v>
      </c>
      <c r="O416" s="25">
        <f t="shared" ref="O416:O479" si="11">I416/L416-1</f>
        <v>-3.9074355083459911E-2</v>
      </c>
    </row>
    <row r="417" spans="1:15">
      <c r="A417" s="74">
        <v>544.44233536780678</v>
      </c>
      <c r="B417" s="74">
        <v>545.00040047096036</v>
      </c>
      <c r="C417" s="74">
        <v>533.72947847690943</v>
      </c>
      <c r="D417" s="74">
        <v>536.55966578576033</v>
      </c>
      <c r="E417" s="74">
        <v>7353458.470721879</v>
      </c>
      <c r="F417" s="74" t="s">
        <v>485</v>
      </c>
      <c r="G417" s="25">
        <f t="shared" si="10"/>
        <v>1.4691133315998917E-2</v>
      </c>
      <c r="I417" s="73">
        <v>285.93282963921706</v>
      </c>
      <c r="J417" s="73">
        <v>286.37096456884012</v>
      </c>
      <c r="K417" s="73">
        <v>280.01800808930608</v>
      </c>
      <c r="L417" s="73">
        <v>284.12054424850362</v>
      </c>
      <c r="M417" s="73">
        <v>838365.66127250239</v>
      </c>
      <c r="N417" s="73" t="s">
        <v>485</v>
      </c>
      <c r="O417" s="25">
        <f t="shared" si="11"/>
        <v>6.3785791890091925E-3</v>
      </c>
    </row>
    <row r="418" spans="1:15">
      <c r="A418" s="74">
        <v>536.11122061358333</v>
      </c>
      <c r="B418" s="74">
        <v>547.98006950387048</v>
      </c>
      <c r="C418" s="74">
        <v>535.74249902757106</v>
      </c>
      <c r="D418" s="74">
        <v>546.93369743545725</v>
      </c>
      <c r="E418" s="74">
        <v>5540494.3662071563</v>
      </c>
      <c r="F418" s="74" t="s">
        <v>486</v>
      </c>
      <c r="G418" s="25">
        <f t="shared" si="10"/>
        <v>-1.9787548056775295E-2</v>
      </c>
      <c r="I418" s="73">
        <v>283.12478304481488</v>
      </c>
      <c r="J418" s="73">
        <v>292.02688820579209</v>
      </c>
      <c r="K418" s="73">
        <v>282.84596990778209</v>
      </c>
      <c r="L418" s="73">
        <v>287.14765830771734</v>
      </c>
      <c r="M418" s="73">
        <v>605666.2960616101</v>
      </c>
      <c r="N418" s="73" t="s">
        <v>486</v>
      </c>
      <c r="O418" s="25">
        <f t="shared" si="11"/>
        <v>-1.4009779103235531E-2</v>
      </c>
    </row>
    <row r="419" spans="1:15">
      <c r="A419" s="74">
        <v>544.86088419517193</v>
      </c>
      <c r="B419" s="74">
        <v>549.4400076755137</v>
      </c>
      <c r="C419" s="74">
        <v>542.36952212752146</v>
      </c>
      <c r="D419" s="74">
        <v>546.11653067726786</v>
      </c>
      <c r="E419" s="74">
        <v>4195298.4817886017</v>
      </c>
      <c r="F419" s="74" t="s">
        <v>487</v>
      </c>
      <c r="G419" s="25">
        <f t="shared" si="10"/>
        <v>-2.2992281162753647E-3</v>
      </c>
      <c r="I419" s="73">
        <v>285.87308396699575</v>
      </c>
      <c r="J419" s="73">
        <v>289.81629833360313</v>
      </c>
      <c r="K419" s="73">
        <v>285.61916486005515</v>
      </c>
      <c r="L419" s="73">
        <v>289.54744280860712</v>
      </c>
      <c r="M419" s="73">
        <v>714175.24338727456</v>
      </c>
      <c r="N419" s="73" t="s">
        <v>487</v>
      </c>
      <c r="O419" s="25">
        <f t="shared" si="11"/>
        <v>-1.269000619024685E-2</v>
      </c>
    </row>
    <row r="420" spans="1:15">
      <c r="A420" s="74">
        <v>544.52205895397151</v>
      </c>
      <c r="B420" s="74">
        <v>547.87044957289379</v>
      </c>
      <c r="C420" s="74">
        <v>540.2951144155129</v>
      </c>
      <c r="D420" s="74">
        <v>547.28248812492825</v>
      </c>
      <c r="E420" s="74">
        <v>5510533.8474334273</v>
      </c>
      <c r="F420" s="74" t="s">
        <v>488</v>
      </c>
      <c r="G420" s="25">
        <f t="shared" si="10"/>
        <v>-5.0438836082886684E-3</v>
      </c>
      <c r="I420" s="73">
        <v>287.52604756511903</v>
      </c>
      <c r="J420" s="73">
        <v>293.12222552984969</v>
      </c>
      <c r="K420" s="73">
        <v>286.40083740495078</v>
      </c>
      <c r="L420" s="73">
        <v>289.54744280860712</v>
      </c>
      <c r="M420" s="73">
        <v>621102.72795216716</v>
      </c>
      <c r="N420" s="73" t="s">
        <v>488</v>
      </c>
      <c r="O420" s="25">
        <f t="shared" si="11"/>
        <v>-6.9812229176696716E-3</v>
      </c>
    </row>
    <row r="421" spans="1:15">
      <c r="A421" s="74">
        <v>547.24262633184594</v>
      </c>
      <c r="B421" s="74">
        <v>552.59407205315927</v>
      </c>
      <c r="C421" s="74">
        <v>546.61809168872719</v>
      </c>
      <c r="D421" s="74">
        <v>551.69718170880503</v>
      </c>
      <c r="E421" s="74">
        <v>4788801.1360994671</v>
      </c>
      <c r="F421" s="74" t="s">
        <v>489</v>
      </c>
      <c r="G421" s="25">
        <f t="shared" si="10"/>
        <v>-8.0742761149544817E-3</v>
      </c>
      <c r="I421" s="73">
        <v>291.38960103543133</v>
      </c>
      <c r="J421" s="73">
        <v>295.11872674324559</v>
      </c>
      <c r="K421" s="73">
        <v>289.56735803268094</v>
      </c>
      <c r="L421" s="73">
        <v>294.83493480019428</v>
      </c>
      <c r="M421" s="73">
        <v>811708.66770650505</v>
      </c>
      <c r="N421" s="73" t="s">
        <v>489</v>
      </c>
      <c r="O421" s="25">
        <f t="shared" si="11"/>
        <v>-1.16856361241513E-2</v>
      </c>
    </row>
    <row r="422" spans="1:15">
      <c r="A422" s="74">
        <v>549.8436083304731</v>
      </c>
      <c r="B422" s="74">
        <v>559.2609569461921</v>
      </c>
      <c r="C422" s="74">
        <v>549.36028408934885</v>
      </c>
      <c r="D422" s="74">
        <v>559.16130246348609</v>
      </c>
      <c r="E422" s="74">
        <v>6170012.4600902461</v>
      </c>
      <c r="F422" s="74" t="s">
        <v>490</v>
      </c>
      <c r="G422" s="25">
        <f t="shared" si="10"/>
        <v>-1.6663696310817988E-2</v>
      </c>
      <c r="I422" s="73">
        <v>293.96862255298515</v>
      </c>
      <c r="J422" s="73">
        <v>302.76119398155657</v>
      </c>
      <c r="K422" s="73">
        <v>293.4209538909563</v>
      </c>
      <c r="L422" s="73">
        <v>302.76119398155657</v>
      </c>
      <c r="M422" s="73">
        <v>1118778.2732176506</v>
      </c>
      <c r="N422" s="73" t="s">
        <v>490</v>
      </c>
      <c r="O422" s="25">
        <f t="shared" si="11"/>
        <v>-2.9041276105903568E-2</v>
      </c>
    </row>
    <row r="423" spans="1:15">
      <c r="A423" s="74">
        <v>559.3606114288981</v>
      </c>
      <c r="B423" s="74">
        <v>560.54101877655091</v>
      </c>
      <c r="C423" s="74">
        <v>556.29125336155266</v>
      </c>
      <c r="D423" s="74">
        <v>560.44684529039375</v>
      </c>
      <c r="E423" s="74">
        <v>4462199.6715570865</v>
      </c>
      <c r="F423" s="74" t="s">
        <v>491</v>
      </c>
      <c r="G423" s="25">
        <f t="shared" si="10"/>
        <v>-1.9381567951066714E-3</v>
      </c>
      <c r="I423" s="73">
        <v>301.89488173434734</v>
      </c>
      <c r="J423" s="73">
        <v>302.29816502184127</v>
      </c>
      <c r="K423" s="73">
        <v>294.12794434557532</v>
      </c>
      <c r="L423" s="73">
        <v>297.90187930755559</v>
      </c>
      <c r="M423" s="73">
        <v>908505.97176187648</v>
      </c>
      <c r="N423" s="73" t="s">
        <v>491</v>
      </c>
      <c r="O423" s="25">
        <f t="shared" si="11"/>
        <v>1.3403750376040247E-2</v>
      </c>
    </row>
    <row r="424" spans="1:15">
      <c r="A424" s="74">
        <v>561.72242266903072</v>
      </c>
      <c r="B424" s="74">
        <v>561.97155887579584</v>
      </c>
      <c r="C424" s="74">
        <v>558.5942684568887</v>
      </c>
      <c r="D424" s="74">
        <v>559.08157887732125</v>
      </c>
      <c r="E424" s="74">
        <v>3870935.7524635624</v>
      </c>
      <c r="F424" s="74" t="s">
        <v>492</v>
      </c>
      <c r="G424" s="25">
        <f t="shared" si="10"/>
        <v>4.7235392677620336E-3</v>
      </c>
      <c r="I424" s="73">
        <v>298.07115871218264</v>
      </c>
      <c r="J424" s="73">
        <v>300.69996828992089</v>
      </c>
      <c r="K424" s="73">
        <v>297.244676913121</v>
      </c>
      <c r="L424" s="73">
        <v>300.69996828992089</v>
      </c>
      <c r="M424" s="73">
        <v>664873.26233183825</v>
      </c>
      <c r="N424" s="73" t="s">
        <v>492</v>
      </c>
      <c r="O424" s="25">
        <f t="shared" si="11"/>
        <v>-8.7423008146235714E-3</v>
      </c>
    </row>
    <row r="425" spans="1:15">
      <c r="A425" s="74">
        <v>560.36712170422891</v>
      </c>
      <c r="B425" s="74">
        <v>560.36712170422891</v>
      </c>
      <c r="C425" s="74">
        <v>557.55686529191917</v>
      </c>
      <c r="D425" s="74">
        <v>559.85888384242821</v>
      </c>
      <c r="E425" s="74">
        <v>3858235.8721808712</v>
      </c>
      <c r="F425" s="74" t="s">
        <v>493</v>
      </c>
      <c r="G425" s="25">
        <f t="shared" si="10"/>
        <v>9.077963688144397E-4</v>
      </c>
      <c r="I425" s="73">
        <v>299.87348649085919</v>
      </c>
      <c r="J425" s="73">
        <v>299.95314738715433</v>
      </c>
      <c r="K425" s="73">
        <v>291.43441028959734</v>
      </c>
      <c r="L425" s="73">
        <v>294.11798673353843</v>
      </c>
      <c r="M425" s="73">
        <v>741093.34373172116</v>
      </c>
      <c r="N425" s="73" t="s">
        <v>493</v>
      </c>
      <c r="O425" s="25">
        <f t="shared" si="11"/>
        <v>1.9568676575142829E-2</v>
      </c>
    </row>
    <row r="426" spans="1:15">
      <c r="A426" s="74">
        <v>558.7527190843914</v>
      </c>
      <c r="B426" s="74">
        <v>559.91867653205179</v>
      </c>
      <c r="C426" s="74">
        <v>558.13486129161413</v>
      </c>
      <c r="D426" s="74">
        <v>558.96199349807398</v>
      </c>
      <c r="E426" s="74">
        <v>3392290.9519008892</v>
      </c>
      <c r="F426" s="74" t="s">
        <v>494</v>
      </c>
      <c r="G426" s="25">
        <f t="shared" si="10"/>
        <v>-3.7439828846486112E-4</v>
      </c>
      <c r="I426" s="73">
        <v>291.84765118912799</v>
      </c>
      <c r="J426" s="73">
        <v>297.51806071630807</v>
      </c>
      <c r="K426" s="73">
        <v>290.95049723421579</v>
      </c>
      <c r="L426" s="73">
        <v>297.51806071630807</v>
      </c>
      <c r="M426" s="73">
        <v>889649.96546003479</v>
      </c>
      <c r="N426" s="73" t="s">
        <v>494</v>
      </c>
      <c r="O426" s="25">
        <f t="shared" si="11"/>
        <v>-1.9059043049446944E-2</v>
      </c>
    </row>
    <row r="427" spans="1:15">
      <c r="A427" s="74">
        <v>558.73278818785013</v>
      </c>
      <c r="B427" s="74">
        <v>558.94206260153283</v>
      </c>
      <c r="C427" s="74">
        <v>552.7784328461654</v>
      </c>
      <c r="D427" s="74">
        <v>553.94937301796119</v>
      </c>
      <c r="E427" s="74">
        <v>3400246.4394863169</v>
      </c>
      <c r="F427" s="74" t="s">
        <v>495</v>
      </c>
      <c r="G427" s="25">
        <f t="shared" si="10"/>
        <v>8.6351125263099959E-3</v>
      </c>
      <c r="I427" s="73">
        <v>296.07071842440547</v>
      </c>
      <c r="J427" s="73">
        <v>298.79638118576588</v>
      </c>
      <c r="K427" s="73">
        <v>295.03477822232452</v>
      </c>
      <c r="L427" s="73">
        <v>298.62339404197343</v>
      </c>
      <c r="M427" s="73">
        <v>1040342.4182545232</v>
      </c>
      <c r="N427" s="73" t="s">
        <v>495</v>
      </c>
      <c r="O427" s="25">
        <f t="shared" si="11"/>
        <v>-8.5481434760237285E-3</v>
      </c>
    </row>
    <row r="428" spans="1:15">
      <c r="A428" s="74">
        <v>552.89303550127727</v>
      </c>
      <c r="B428" s="74">
        <v>553.99421753517879</v>
      </c>
      <c r="C428" s="74">
        <v>548.48830736567118</v>
      </c>
      <c r="D428" s="74">
        <v>549.09619971017787</v>
      </c>
      <c r="E428" s="74">
        <v>3591893.6136163576</v>
      </c>
      <c r="F428" s="74" t="s">
        <v>496</v>
      </c>
      <c r="G428" s="25">
        <f t="shared" si="10"/>
        <v>6.9147005444645249E-3</v>
      </c>
      <c r="I428" s="73">
        <v>299.3321952328709</v>
      </c>
      <c r="J428" s="73">
        <v>300.6704911877124</v>
      </c>
      <c r="K428" s="73">
        <v>296.20950467157422</v>
      </c>
      <c r="L428" s="73">
        <v>298.86626997451873</v>
      </c>
      <c r="M428" s="73">
        <v>953170.66855449439</v>
      </c>
      <c r="N428" s="73" t="s">
        <v>496</v>
      </c>
      <c r="O428" s="25">
        <f t="shared" si="11"/>
        <v>1.5589757197822518E-3</v>
      </c>
    </row>
    <row r="429" spans="1:15">
      <c r="A429" s="74">
        <v>554.72667798306804</v>
      </c>
      <c r="B429" s="74">
        <v>555.19007132765114</v>
      </c>
      <c r="C429" s="74">
        <v>552.07586874308799</v>
      </c>
      <c r="D429" s="74">
        <v>552.18548867406457</v>
      </c>
      <c r="E429" s="74">
        <v>2762467.8040034226</v>
      </c>
      <c r="F429" s="74" t="s">
        <v>497</v>
      </c>
      <c r="G429" s="25">
        <f t="shared" si="10"/>
        <v>4.6020573903626794E-3</v>
      </c>
      <c r="I429" s="73">
        <v>301.1165898393262</v>
      </c>
      <c r="J429" s="73">
        <v>304.33841343431487</v>
      </c>
      <c r="K429" s="73">
        <v>297.12152858154025</v>
      </c>
      <c r="L429" s="73">
        <v>302.34583945710648</v>
      </c>
      <c r="M429" s="73">
        <v>1283287.6717493073</v>
      </c>
      <c r="N429" s="73" t="s">
        <v>497</v>
      </c>
      <c r="O429" s="25">
        <f t="shared" si="11"/>
        <v>-4.0657070723629785E-3</v>
      </c>
    </row>
    <row r="430" spans="1:15">
      <c r="A430" s="74">
        <v>554.22840556953793</v>
      </c>
      <c r="B430" s="74">
        <v>554.85174435886415</v>
      </c>
      <c r="C430" s="74">
        <v>552.325004949853</v>
      </c>
      <c r="D430" s="74">
        <v>553.52085874232534</v>
      </c>
      <c r="E430" s="74">
        <v>3529747.8893916928</v>
      </c>
      <c r="F430" s="74" t="s">
        <v>498</v>
      </c>
      <c r="G430" s="25">
        <f t="shared" si="10"/>
        <v>1.2782658793026869E-3</v>
      </c>
      <c r="I430" s="73">
        <v>299.71881406426951</v>
      </c>
      <c r="J430" s="73">
        <v>306.01871835539356</v>
      </c>
      <c r="K430" s="73">
        <v>282.03348085362404</v>
      </c>
      <c r="L430" s="73">
        <v>288.14998903241792</v>
      </c>
      <c r="M430" s="73">
        <v>2962092.3426236021</v>
      </c>
      <c r="N430" s="73" t="s">
        <v>498</v>
      </c>
      <c r="O430" s="25">
        <f t="shared" si="11"/>
        <v>4.0148622148828306E-2</v>
      </c>
    </row>
    <row r="431" spans="1:15">
      <c r="A431" s="74">
        <v>550.29205350265022</v>
      </c>
      <c r="B431" s="74">
        <v>557.26786729207174</v>
      </c>
      <c r="C431" s="74">
        <v>549.8884528476907</v>
      </c>
      <c r="D431" s="74">
        <v>556.17166798230539</v>
      </c>
      <c r="E431" s="74">
        <v>10196785.657877898</v>
      </c>
      <c r="F431" s="74" t="s">
        <v>499</v>
      </c>
      <c r="G431" s="25">
        <f t="shared" si="10"/>
        <v>-1.057158215373577E-2</v>
      </c>
      <c r="I431" s="73">
        <v>266.07306242921857</v>
      </c>
      <c r="J431" s="73">
        <v>269.47332548485281</v>
      </c>
      <c r="K431" s="73">
        <v>264.43736737330124</v>
      </c>
      <c r="L431" s="73">
        <v>269.08670665345414</v>
      </c>
      <c r="M431" s="73">
        <v>1633242.6636221516</v>
      </c>
      <c r="N431" s="73" t="s">
        <v>499</v>
      </c>
      <c r="O431" s="25">
        <f t="shared" si="11"/>
        <v>-1.1199528440907769E-2</v>
      </c>
    </row>
    <row r="432" spans="1:15">
      <c r="A432" s="74">
        <v>555.69332646531655</v>
      </c>
      <c r="B432" s="74">
        <v>555.72322281012828</v>
      </c>
      <c r="C432" s="74">
        <v>552.2751777085</v>
      </c>
      <c r="D432" s="74">
        <v>555.36446667238658</v>
      </c>
      <c r="E432" s="74">
        <v>3618802.5887791775</v>
      </c>
      <c r="F432" s="74" t="s">
        <v>500</v>
      </c>
      <c r="G432" s="25">
        <f t="shared" si="10"/>
        <v>5.9215130363021728E-4</v>
      </c>
      <c r="I432" s="73">
        <v>266.39028813703288</v>
      </c>
      <c r="J432" s="73">
        <v>271.11893384413935</v>
      </c>
      <c r="K432" s="73">
        <v>264.08048845201023</v>
      </c>
      <c r="L432" s="73">
        <v>269.96899065331257</v>
      </c>
      <c r="M432" s="73">
        <v>1176003.5545997415</v>
      </c>
      <c r="N432" s="73" t="s">
        <v>500</v>
      </c>
      <c r="O432" s="25">
        <f t="shared" si="11"/>
        <v>-1.3255976205339026E-2</v>
      </c>
    </row>
    <row r="433" spans="1:15">
      <c r="A433" s="74">
        <v>553.70023681119608</v>
      </c>
      <c r="B433" s="74">
        <v>553.80985674217277</v>
      </c>
      <c r="C433" s="74">
        <v>548.50823826221233</v>
      </c>
      <c r="D433" s="74">
        <v>550.43156977843864</v>
      </c>
      <c r="E433" s="74">
        <v>3436056.1682922682</v>
      </c>
      <c r="F433" s="74" t="s">
        <v>501</v>
      </c>
      <c r="G433" s="25">
        <f t="shared" si="10"/>
        <v>5.9383712930440868E-3</v>
      </c>
      <c r="I433" s="73">
        <v>268.21433595696493</v>
      </c>
      <c r="J433" s="73">
        <v>269.59724177696773</v>
      </c>
      <c r="K433" s="73">
        <v>265.51791744054361</v>
      </c>
      <c r="L433" s="73">
        <v>269.51297869832956</v>
      </c>
      <c r="M433" s="73">
        <v>779677.54159700649</v>
      </c>
      <c r="N433" s="73" t="s">
        <v>501</v>
      </c>
      <c r="O433" s="25">
        <f t="shared" si="11"/>
        <v>-4.8184794203109949E-3</v>
      </c>
    </row>
    <row r="434" spans="1:15">
      <c r="A434" s="74">
        <v>551.43808005376945</v>
      </c>
      <c r="B434" s="74">
        <v>551.9164215707583</v>
      </c>
      <c r="C434" s="74">
        <v>547.33231536628136</v>
      </c>
      <c r="D434" s="74">
        <v>547.80069143499964</v>
      </c>
      <c r="E434" s="74">
        <v>4195910.5967516582</v>
      </c>
      <c r="F434" s="74" t="s">
        <v>502</v>
      </c>
      <c r="G434" s="25">
        <f t="shared" si="10"/>
        <v>6.6399854466072661E-3</v>
      </c>
      <c r="I434" s="73">
        <v>267.99624328284256</v>
      </c>
      <c r="J434" s="73">
        <v>272.3283568551812</v>
      </c>
      <c r="K434" s="73">
        <v>267.61953775481317</v>
      </c>
      <c r="L434" s="73">
        <v>270.54396224872596</v>
      </c>
      <c r="M434" s="73">
        <v>637505.96190143668</v>
      </c>
      <c r="N434" s="73" t="s">
        <v>502</v>
      </c>
      <c r="O434" s="25">
        <f t="shared" si="11"/>
        <v>-9.4170239273022593E-3</v>
      </c>
    </row>
    <row r="435" spans="1:15">
      <c r="A435" s="74">
        <v>547.80069143499964</v>
      </c>
      <c r="B435" s="74">
        <v>550.05278308967297</v>
      </c>
      <c r="C435" s="74">
        <v>541.10391019715496</v>
      </c>
      <c r="D435" s="74">
        <v>543.106965299546</v>
      </c>
      <c r="E435" s="74">
        <v>7851164.1298472667</v>
      </c>
      <c r="F435" s="74" t="s">
        <v>503</v>
      </c>
      <c r="G435" s="25">
        <f t="shared" si="10"/>
        <v>8.6423604102827678E-3</v>
      </c>
      <c r="I435" s="73">
        <v>268.70008782205554</v>
      </c>
      <c r="J435" s="73">
        <v>271.17841366435448</v>
      </c>
      <c r="K435" s="73">
        <v>263.86239577788791</v>
      </c>
      <c r="L435" s="73">
        <v>269.7112447657135</v>
      </c>
      <c r="M435" s="73">
        <v>868799.19631659379</v>
      </c>
      <c r="N435" s="73" t="s">
        <v>503</v>
      </c>
      <c r="O435" s="25">
        <f t="shared" si="11"/>
        <v>-3.7490351747710982E-3</v>
      </c>
    </row>
    <row r="436" spans="1:15">
      <c r="A436" s="74">
        <v>551.41814915722819</v>
      </c>
      <c r="B436" s="74">
        <v>558.9520280498034</v>
      </c>
      <c r="C436" s="74">
        <v>550.80029136445091</v>
      </c>
      <c r="D436" s="74">
        <v>556.68987129237678</v>
      </c>
      <c r="E436" s="74">
        <v>6264968.5498018861</v>
      </c>
      <c r="F436" s="74" t="s">
        <v>504</v>
      </c>
      <c r="G436" s="25">
        <f t="shared" si="10"/>
        <v>-9.4697647774875104E-3</v>
      </c>
      <c r="I436" s="73">
        <v>276.0161057085221</v>
      </c>
      <c r="J436" s="73">
        <v>278.48451824745189</v>
      </c>
      <c r="K436" s="73">
        <v>274.16231797848246</v>
      </c>
      <c r="L436" s="73">
        <v>277.52292782063989</v>
      </c>
      <c r="M436" s="73">
        <v>880922.29953700374</v>
      </c>
      <c r="N436" s="73" t="s">
        <v>504</v>
      </c>
      <c r="O436" s="25">
        <f t="shared" si="11"/>
        <v>-5.4295409894624669E-3</v>
      </c>
    </row>
    <row r="437" spans="1:15">
      <c r="A437" s="74">
        <v>554.37788729359704</v>
      </c>
      <c r="B437" s="74">
        <v>555.85277363764612</v>
      </c>
      <c r="C437" s="74">
        <v>550.47143157152095</v>
      </c>
      <c r="D437" s="74">
        <v>553.45110060443108</v>
      </c>
      <c r="E437" s="74">
        <v>4311434.7526891446</v>
      </c>
      <c r="F437" s="74" t="s">
        <v>505</v>
      </c>
      <c r="G437" s="25">
        <f t="shared" si="10"/>
        <v>1.6745593028071326E-3</v>
      </c>
      <c r="I437" s="73">
        <v>276.58116400056628</v>
      </c>
      <c r="J437" s="73">
        <v>278.51425815755948</v>
      </c>
      <c r="K437" s="73">
        <v>272.07061096758213</v>
      </c>
      <c r="L437" s="73">
        <v>274.91572903454136</v>
      </c>
      <c r="M437" s="73">
        <v>852776.28305706708</v>
      </c>
      <c r="N437" s="73" t="s">
        <v>505</v>
      </c>
      <c r="O437" s="25">
        <f t="shared" si="11"/>
        <v>6.0579835569016804E-3</v>
      </c>
    </row>
    <row r="438" spans="1:15">
      <c r="A438" s="74">
        <v>551.49787274339303</v>
      </c>
      <c r="B438" s="74">
        <v>553.58065143194881</v>
      </c>
      <c r="C438" s="74">
        <v>549.06640301984885</v>
      </c>
      <c r="D438" s="74">
        <v>553.25179163901896</v>
      </c>
      <c r="E438" s="74">
        <v>4188944.5277786455</v>
      </c>
      <c r="F438" s="74" t="s">
        <v>506</v>
      </c>
      <c r="G438" s="25">
        <f t="shared" si="10"/>
        <v>-3.1702001188824713E-3</v>
      </c>
      <c r="I438" s="73">
        <v>276.48203096687428</v>
      </c>
      <c r="J438" s="73">
        <v>280.07064678652324</v>
      </c>
      <c r="K438" s="73">
        <v>276.2540249893828</v>
      </c>
      <c r="L438" s="73">
        <v>278.23668566322203</v>
      </c>
      <c r="M438" s="73">
        <v>404701.62675203301</v>
      </c>
      <c r="N438" s="73" t="s">
        <v>506</v>
      </c>
      <c r="O438" s="25">
        <f t="shared" si="11"/>
        <v>-6.306338404532319E-3</v>
      </c>
    </row>
    <row r="439" spans="1:15">
      <c r="A439" s="74">
        <v>553.92944212141992</v>
      </c>
      <c r="B439" s="74">
        <v>554.72667798306804</v>
      </c>
      <c r="C439" s="74">
        <v>547.32234991801079</v>
      </c>
      <c r="D439" s="74">
        <v>550.39170798535611</v>
      </c>
      <c r="E439" s="74">
        <v>4179113.5600850987</v>
      </c>
      <c r="F439" s="74" t="s">
        <v>507</v>
      </c>
      <c r="G439" s="25">
        <f t="shared" si="10"/>
        <v>6.4276661234836663E-3</v>
      </c>
      <c r="I439" s="73">
        <v>279.79307429218574</v>
      </c>
      <c r="J439" s="73">
        <v>281.59729550537941</v>
      </c>
      <c r="K439" s="73">
        <v>275.58983366364669</v>
      </c>
      <c r="L439" s="73">
        <v>280.20943303369199</v>
      </c>
      <c r="M439" s="73">
        <v>786994.98133413866</v>
      </c>
      <c r="N439" s="73" t="s">
        <v>507</v>
      </c>
      <c r="O439" s="25">
        <f t="shared" si="11"/>
        <v>-1.4858841010402246E-3</v>
      </c>
    </row>
    <row r="440" spans="1:15">
      <c r="A440" s="74">
        <v>549.32540502040172</v>
      </c>
      <c r="B440" s="74">
        <v>549.48485219273141</v>
      </c>
      <c r="C440" s="74">
        <v>544.94060778133689</v>
      </c>
      <c r="D440" s="74">
        <v>545.04026226404278</v>
      </c>
      <c r="E440" s="74">
        <v>7643795.6358382031</v>
      </c>
      <c r="F440" s="74" t="s">
        <v>508</v>
      </c>
      <c r="G440" s="25">
        <f t="shared" si="10"/>
        <v>7.8620664436033216E-3</v>
      </c>
      <c r="I440" s="73">
        <v>281.75590835928659</v>
      </c>
      <c r="J440" s="73">
        <v>287.19335525729048</v>
      </c>
      <c r="K440" s="73">
        <v>279.27758251698759</v>
      </c>
      <c r="L440" s="73">
        <v>285.57253015642698</v>
      </c>
      <c r="M440" s="73">
        <v>724579.86328956834</v>
      </c>
      <c r="N440" s="73" t="s">
        <v>508</v>
      </c>
      <c r="O440" s="25">
        <f t="shared" si="11"/>
        <v>-1.3364807164925052E-2</v>
      </c>
    </row>
    <row r="441" spans="1:15">
      <c r="A441" s="74">
        <v>557.0785237749302</v>
      </c>
      <c r="B441" s="74">
        <v>559.71936756663979</v>
      </c>
      <c r="C441" s="74">
        <v>556.09194439614055</v>
      </c>
      <c r="D441" s="74">
        <v>558.82247722228556</v>
      </c>
      <c r="E441" s="74">
        <v>3624664.8438843829</v>
      </c>
      <c r="F441" s="74" t="s">
        <v>509</v>
      </c>
      <c r="G441" s="25">
        <f t="shared" si="10"/>
        <v>-3.1207646765104569E-3</v>
      </c>
      <c r="I441" s="73">
        <v>285.92940907771805</v>
      </c>
      <c r="J441" s="73">
        <v>289.23053909966029</v>
      </c>
      <c r="K441" s="73">
        <v>284.81118845767276</v>
      </c>
      <c r="L441" s="73">
        <v>288.1698156391563</v>
      </c>
      <c r="M441" s="73">
        <v>726608.45045683789</v>
      </c>
      <c r="N441" s="73" t="s">
        <v>509</v>
      </c>
      <c r="O441" s="25">
        <f t="shared" si="11"/>
        <v>-7.7746052495785145E-3</v>
      </c>
    </row>
    <row r="442" spans="1:15">
      <c r="A442" s="74">
        <v>558.76268453266198</v>
      </c>
      <c r="B442" s="74">
        <v>558.76268453266198</v>
      </c>
      <c r="C442" s="74">
        <v>554.87615970712704</v>
      </c>
      <c r="D442" s="74">
        <v>555.11533046562158</v>
      </c>
      <c r="E442" s="74">
        <v>6239436.3315723669</v>
      </c>
      <c r="F442" s="74" t="s">
        <v>510</v>
      </c>
      <c r="G442" s="25">
        <f t="shared" si="10"/>
        <v>6.5704437742353239E-3</v>
      </c>
      <c r="I442" s="73">
        <v>288.17972894252551</v>
      </c>
      <c r="J442" s="73">
        <v>288.49051100314983</v>
      </c>
      <c r="K442" s="73">
        <v>283.73400891357591</v>
      </c>
      <c r="L442" s="73">
        <v>285.9988022013024</v>
      </c>
      <c r="M442" s="73">
        <v>665072.95847385831</v>
      </c>
      <c r="N442" s="73" t="s">
        <v>510</v>
      </c>
      <c r="O442" s="25">
        <f t="shared" si="11"/>
        <v>7.6256499133449118E-3</v>
      </c>
    </row>
    <row r="443" spans="1:15">
      <c r="A443" s="74">
        <v>555.68336101704597</v>
      </c>
      <c r="B443" s="74">
        <v>556.99870053428265</v>
      </c>
      <c r="C443" s="74">
        <v>554.80640156923289</v>
      </c>
      <c r="D443" s="74">
        <v>555.2648121896807</v>
      </c>
      <c r="E443" s="74">
        <v>4796609.1140134707</v>
      </c>
      <c r="F443" s="74" t="s">
        <v>511</v>
      </c>
      <c r="G443" s="25">
        <f t="shared" si="10"/>
        <v>7.5378237226075839E-4</v>
      </c>
      <c r="I443" s="73">
        <v>286.44490085291619</v>
      </c>
      <c r="J443" s="73">
        <v>290.40030889722539</v>
      </c>
      <c r="K443" s="73">
        <v>286.03845541477921</v>
      </c>
      <c r="L443" s="73">
        <v>290.40030889722539</v>
      </c>
      <c r="M443" s="73">
        <v>685956.00747277052</v>
      </c>
      <c r="N443" s="73" t="s">
        <v>511</v>
      </c>
      <c r="O443" s="25">
        <f t="shared" si="11"/>
        <v>-1.3620536628661251E-2</v>
      </c>
    </row>
    <row r="444" spans="1:15">
      <c r="A444" s="74">
        <v>552.54424481180627</v>
      </c>
      <c r="B444" s="74">
        <v>552.54424481180627</v>
      </c>
      <c r="C444" s="74">
        <v>548.59792729664775</v>
      </c>
      <c r="D444" s="74">
        <v>550.41163888189737</v>
      </c>
      <c r="E444" s="74">
        <v>5320059.7264047191</v>
      </c>
      <c r="F444" s="74" t="s">
        <v>512</v>
      </c>
      <c r="G444" s="25">
        <f t="shared" si="10"/>
        <v>3.8745654692933229E-3</v>
      </c>
      <c r="I444" s="73">
        <v>288.24912206610986</v>
      </c>
      <c r="J444" s="73">
        <v>290.4399621107022</v>
      </c>
      <c r="K444" s="73">
        <v>286.61838366187715</v>
      </c>
      <c r="L444" s="73">
        <v>286.64316692030013</v>
      </c>
      <c r="M444" s="73">
        <v>757726.23113109369</v>
      </c>
      <c r="N444" s="73" t="s">
        <v>512</v>
      </c>
      <c r="O444" s="25">
        <f t="shared" si="11"/>
        <v>5.6026283935672883E-3</v>
      </c>
    </row>
    <row r="445" spans="1:15">
      <c r="A445" s="74">
        <v>547.56152067650521</v>
      </c>
      <c r="B445" s="74">
        <v>549.21578508942514</v>
      </c>
      <c r="C445" s="74">
        <v>545.7876708843379</v>
      </c>
      <c r="D445" s="74">
        <v>547.02338646989256</v>
      </c>
      <c r="E445" s="74">
        <v>6581390.843548785</v>
      </c>
      <c r="F445" s="74" t="s">
        <v>513</v>
      </c>
      <c r="G445" s="25">
        <f t="shared" si="10"/>
        <v>9.83749908912257E-4</v>
      </c>
      <c r="I445" s="73">
        <v>284.11527456115522</v>
      </c>
      <c r="J445" s="73">
        <v>284.98764525764443</v>
      </c>
      <c r="K445" s="73">
        <v>279.16853617992643</v>
      </c>
      <c r="L445" s="73">
        <v>281.28006979756515</v>
      </c>
      <c r="M445" s="73">
        <v>950355.25991011388</v>
      </c>
      <c r="N445" s="73" t="s">
        <v>513</v>
      </c>
      <c r="O445" s="25">
        <f t="shared" si="11"/>
        <v>1.0079650384154704E-2</v>
      </c>
    </row>
    <row r="446" spans="1:15">
      <c r="A446" s="74">
        <v>542.35955667925089</v>
      </c>
      <c r="B446" s="74">
        <v>544.62171343667751</v>
      </c>
      <c r="C446" s="74">
        <v>541.51249357624965</v>
      </c>
      <c r="D446" s="74">
        <v>544.46226626434793</v>
      </c>
      <c r="E446" s="74">
        <v>3645347.3053656211</v>
      </c>
      <c r="F446" s="74" t="s">
        <v>514</v>
      </c>
      <c r="G446" s="25">
        <f t="shared" si="10"/>
        <v>-3.8619932277843549E-3</v>
      </c>
      <c r="I446" s="73">
        <v>278.52417146092864</v>
      </c>
      <c r="J446" s="73">
        <v>279.81290089892411</v>
      </c>
      <c r="K446" s="73">
        <v>274.25153770880519</v>
      </c>
      <c r="L446" s="73">
        <v>277.05700256228772</v>
      </c>
      <c r="M446" s="73">
        <v>831956.78502361383</v>
      </c>
      <c r="N446" s="73" t="s">
        <v>514</v>
      </c>
      <c r="O446" s="25">
        <f t="shared" si="11"/>
        <v>5.2955488764845349E-3</v>
      </c>
    </row>
    <row r="447" spans="1:15">
      <c r="A447" s="74">
        <v>543.16675798916958</v>
      </c>
      <c r="B447" s="74">
        <v>544.24302640239466</v>
      </c>
      <c r="C447" s="74">
        <v>539.88812550814146</v>
      </c>
      <c r="D447" s="74">
        <v>540.96439392136654</v>
      </c>
      <c r="E447" s="74">
        <v>5325719.2811451089</v>
      </c>
      <c r="F447" s="74" t="s">
        <v>515</v>
      </c>
      <c r="G447" s="25">
        <f t="shared" si="10"/>
        <v>4.0711811951956722E-3</v>
      </c>
      <c r="I447" s="73">
        <v>273.71621932686867</v>
      </c>
      <c r="J447" s="73">
        <v>280.50187548308327</v>
      </c>
      <c r="K447" s="73">
        <v>272.16984313430777</v>
      </c>
      <c r="L447" s="73">
        <v>279.62454813490939</v>
      </c>
      <c r="M447" s="73">
        <v>718587.91511772317</v>
      </c>
      <c r="N447" s="73" t="s">
        <v>515</v>
      </c>
      <c r="O447" s="25">
        <f t="shared" si="11"/>
        <v>-2.1129506859999148E-2</v>
      </c>
    </row>
    <row r="448" spans="1:15">
      <c r="A448" s="74">
        <v>533.41058413225016</v>
      </c>
      <c r="B448" s="74">
        <v>536.04784036258229</v>
      </c>
      <c r="C448" s="74">
        <v>529.97738754854493</v>
      </c>
      <c r="D448" s="74">
        <v>535.46346647599421</v>
      </c>
      <c r="E448" s="74">
        <v>8850583.2959053349</v>
      </c>
      <c r="F448" s="74" t="s">
        <v>516</v>
      </c>
      <c r="G448" s="25">
        <f t="shared" si="10"/>
        <v>-3.8338420308196008E-3</v>
      </c>
      <c r="I448" s="73">
        <v>274.57867671998872</v>
      </c>
      <c r="J448" s="73">
        <v>275.88723276472257</v>
      </c>
      <c r="K448" s="73">
        <v>272.01113114736694</v>
      </c>
      <c r="L448" s="73">
        <v>274.31101752902038</v>
      </c>
      <c r="M448" s="73">
        <v>524939.04465490906</v>
      </c>
      <c r="N448" s="73" t="s">
        <v>516</v>
      </c>
      <c r="O448" s="25">
        <f t="shared" si="11"/>
        <v>9.7575078602174514E-4</v>
      </c>
    </row>
    <row r="449" spans="1:15">
      <c r="A449" s="74">
        <v>532.7329336498492</v>
      </c>
      <c r="B449" s="74">
        <v>533.06179344277905</v>
      </c>
      <c r="C449" s="74">
        <v>527.19214441139434</v>
      </c>
      <c r="D449" s="74">
        <v>527.5708314456773</v>
      </c>
      <c r="E449" s="74">
        <v>5640499.9026304344</v>
      </c>
      <c r="F449" s="74" t="s">
        <v>517</v>
      </c>
      <c r="G449" s="25">
        <f t="shared" si="10"/>
        <v>9.7846618813750563E-3</v>
      </c>
      <c r="I449" s="73">
        <v>273.14124773145528</v>
      </c>
      <c r="J449" s="73">
        <v>273.87483218077574</v>
      </c>
      <c r="K449" s="73">
        <v>267.19822236162236</v>
      </c>
      <c r="L449" s="73">
        <v>267.65919096828992</v>
      </c>
      <c r="M449" s="73">
        <v>661708.79228646704</v>
      </c>
      <c r="N449" s="73" t="s">
        <v>517</v>
      </c>
      <c r="O449" s="25">
        <f t="shared" si="11"/>
        <v>2.0481481481481545E-2</v>
      </c>
    </row>
    <row r="450" spans="1:15">
      <c r="A450" s="74">
        <v>532.04531771917766</v>
      </c>
      <c r="B450" s="74">
        <v>536.88852557869029</v>
      </c>
      <c r="C450" s="74">
        <v>530.16184799603388</v>
      </c>
      <c r="D450" s="74">
        <v>536.84866378560787</v>
      </c>
      <c r="E450" s="74">
        <v>7962714.5558606498</v>
      </c>
      <c r="F450" s="74" t="s">
        <v>518</v>
      </c>
      <c r="G450" s="25">
        <f t="shared" si="10"/>
        <v>-8.9473000315568596E-3</v>
      </c>
      <c r="I450" s="73">
        <v>271.02971411381651</v>
      </c>
      <c r="J450" s="73">
        <v>275.7385332141846</v>
      </c>
      <c r="K450" s="73">
        <v>269.72115806908266</v>
      </c>
      <c r="L450" s="73">
        <v>272.00121784399778</v>
      </c>
      <c r="M450" s="73">
        <v>844445.05410904193</v>
      </c>
      <c r="N450" s="73" t="s">
        <v>518</v>
      </c>
      <c r="O450" s="25">
        <f t="shared" si="11"/>
        <v>-3.5716888986080386E-3</v>
      </c>
    </row>
    <row r="451" spans="1:15">
      <c r="A451" s="74">
        <v>540.26681254242442</v>
      </c>
      <c r="B451" s="74">
        <v>541.12384109369623</v>
      </c>
      <c r="C451" s="74">
        <v>536.22084054456002</v>
      </c>
      <c r="D451" s="74">
        <v>539.44964578423503</v>
      </c>
      <c r="E451" s="74">
        <v>4331966.6940975003</v>
      </c>
      <c r="F451" s="74" t="s">
        <v>519</v>
      </c>
      <c r="G451" s="25">
        <f t="shared" si="10"/>
        <v>1.5148156358530951E-3</v>
      </c>
      <c r="I451" s="73">
        <v>277.13630898924123</v>
      </c>
      <c r="J451" s="73">
        <v>278.64313110135902</v>
      </c>
      <c r="K451" s="73">
        <v>274.12762141669026</v>
      </c>
      <c r="L451" s="73">
        <v>275.33208777604762</v>
      </c>
      <c r="M451" s="73">
        <v>489525.01696653065</v>
      </c>
      <c r="N451" s="73" t="s">
        <v>519</v>
      </c>
      <c r="O451" s="25">
        <f t="shared" si="11"/>
        <v>6.5528911932020151E-3</v>
      </c>
    </row>
    <row r="452" spans="1:15">
      <c r="A452" s="74">
        <v>539.53933481867045</v>
      </c>
      <c r="B452" s="74">
        <v>547.70103695229363</v>
      </c>
      <c r="C452" s="74">
        <v>537.69572688860899</v>
      </c>
      <c r="D452" s="74">
        <v>547.42200440071679</v>
      </c>
      <c r="E452" s="74">
        <v>5401899.496965358</v>
      </c>
      <c r="F452" s="74" t="s">
        <v>520</v>
      </c>
      <c r="G452" s="25">
        <f t="shared" si="10"/>
        <v>-1.439962135003281E-2</v>
      </c>
      <c r="I452" s="73">
        <v>278.87113707885055</v>
      </c>
      <c r="J452" s="73">
        <v>282.21192031426955</v>
      </c>
      <c r="K452" s="73">
        <v>277.2552686296716</v>
      </c>
      <c r="L452" s="73">
        <v>279.62454813490939</v>
      </c>
      <c r="M452" s="73">
        <v>562768.00903072825</v>
      </c>
      <c r="N452" s="73" t="s">
        <v>520</v>
      </c>
      <c r="O452" s="25">
        <f t="shared" si="11"/>
        <v>-2.6943666465768512E-3</v>
      </c>
    </row>
    <row r="453" spans="1:15">
      <c r="A453" s="74">
        <v>545.67805095336143</v>
      </c>
      <c r="B453" s="74">
        <v>549.52471398581372</v>
      </c>
      <c r="C453" s="74">
        <v>543.93409750600608</v>
      </c>
      <c r="D453" s="74">
        <v>546.38559778057413</v>
      </c>
      <c r="E453" s="74">
        <v>6004180.4819267448</v>
      </c>
      <c r="F453" s="74" t="s">
        <v>521</v>
      </c>
      <c r="G453" s="25">
        <f t="shared" si="10"/>
        <v>-1.2949587801851514E-3</v>
      </c>
      <c r="I453" s="73">
        <v>279.01983662938846</v>
      </c>
      <c r="J453" s="73">
        <v>284.98764525764443</v>
      </c>
      <c r="K453" s="73">
        <v>278.59356458451305</v>
      </c>
      <c r="L453" s="73">
        <v>282.91576485348247</v>
      </c>
      <c r="M453" s="73">
        <v>569086.79073921952</v>
      </c>
      <c r="N453" s="73" t="s">
        <v>521</v>
      </c>
      <c r="O453" s="25">
        <f t="shared" si="11"/>
        <v>-1.3770629664669465E-2</v>
      </c>
    </row>
    <row r="454" spans="1:15">
      <c r="A454" s="74">
        <v>542.51900385158046</v>
      </c>
      <c r="B454" s="74">
        <v>542.99734536856943</v>
      </c>
      <c r="C454" s="74">
        <v>537.33697075086741</v>
      </c>
      <c r="D454" s="74">
        <v>538.32355012965706</v>
      </c>
      <c r="E454" s="74">
        <v>6441920.9509499632</v>
      </c>
      <c r="F454" s="74" t="s">
        <v>522</v>
      </c>
      <c r="G454" s="25">
        <f t="shared" si="10"/>
        <v>7.7935541198466129E-3</v>
      </c>
      <c r="I454" s="73">
        <v>280.33830597749153</v>
      </c>
      <c r="J454" s="73">
        <v>281.40894274136468</v>
      </c>
      <c r="K454" s="73">
        <v>276.60099060730465</v>
      </c>
      <c r="L454" s="73">
        <v>278.45477833734429</v>
      </c>
      <c r="M454" s="73">
        <v>600778.54759357288</v>
      </c>
      <c r="N454" s="73" t="s">
        <v>522</v>
      </c>
      <c r="O454" s="25">
        <f t="shared" si="11"/>
        <v>6.7642137491545906E-3</v>
      </c>
    </row>
    <row r="455" spans="1:15">
      <c r="A455" s="74">
        <v>535.60298275178263</v>
      </c>
      <c r="B455" s="74">
        <v>541.66187564582594</v>
      </c>
      <c r="C455" s="74">
        <v>531.95064596060683</v>
      </c>
      <c r="D455" s="74">
        <v>540.14722716317715</v>
      </c>
      <c r="E455" s="74">
        <v>7167462.8235950079</v>
      </c>
      <c r="F455" s="74" t="s">
        <v>523</v>
      </c>
      <c r="G455" s="25">
        <f t="shared" si="10"/>
        <v>-8.4129736910075748E-3</v>
      </c>
      <c r="I455" s="73">
        <v>278.45477833734429</v>
      </c>
      <c r="J455" s="73">
        <v>285.93932238108721</v>
      </c>
      <c r="K455" s="73">
        <v>277.5625810341167</v>
      </c>
      <c r="L455" s="73">
        <v>284.47215348244623</v>
      </c>
      <c r="M455" s="73">
        <v>535714.46390939562</v>
      </c>
      <c r="N455" s="73" t="s">
        <v>523</v>
      </c>
      <c r="O455" s="25">
        <f t="shared" si="11"/>
        <v>-2.1152773905770861E-2</v>
      </c>
    </row>
    <row r="456" spans="1:15">
      <c r="A456" s="74">
        <v>536.94831826831387</v>
      </c>
      <c r="B456" s="74">
        <v>541.1887161619378</v>
      </c>
      <c r="C456" s="74">
        <v>535.54328971664165</v>
      </c>
      <c r="D456" s="74">
        <v>540.57574143881311</v>
      </c>
      <c r="E456" s="74">
        <v>6061694.2017752314</v>
      </c>
      <c r="F456" s="74" t="s">
        <v>524</v>
      </c>
      <c r="G456" s="25">
        <f t="shared" si="10"/>
        <v>-6.7102958798046508E-3</v>
      </c>
      <c r="I456" s="73">
        <v>283.31229698825035</v>
      </c>
      <c r="J456" s="73">
        <v>285.31478426882791</v>
      </c>
      <c r="K456" s="73">
        <v>282.48909627647231</v>
      </c>
      <c r="L456" s="73">
        <v>284.16484107800113</v>
      </c>
      <c r="M456" s="73">
        <v>378370.34339686896</v>
      </c>
      <c r="N456" s="73" t="s">
        <v>524</v>
      </c>
      <c r="O456" s="25">
        <f t="shared" si="11"/>
        <v>-3.0001744287455612E-3</v>
      </c>
    </row>
    <row r="457" spans="1:15">
      <c r="A457" s="74">
        <v>539.12078599130518</v>
      </c>
      <c r="B457" s="74">
        <v>542.21007495519189</v>
      </c>
      <c r="C457" s="74">
        <v>535.54319006215894</v>
      </c>
      <c r="D457" s="74">
        <v>538.69227171566922</v>
      </c>
      <c r="E457" s="74">
        <v>6527643.1359238243</v>
      </c>
      <c r="F457" s="74" t="s">
        <v>525</v>
      </c>
      <c r="G457" s="25">
        <f t="shared" si="10"/>
        <v>7.9547136303115273E-4</v>
      </c>
      <c r="I457" s="73">
        <v>283.16359743771233</v>
      </c>
      <c r="J457" s="73">
        <v>285.32469757219707</v>
      </c>
      <c r="K457" s="73">
        <v>280.50683213476782</v>
      </c>
      <c r="L457" s="73">
        <v>284.50189339255382</v>
      </c>
      <c r="M457" s="73">
        <v>543704.73688400595</v>
      </c>
      <c r="N457" s="73" t="s">
        <v>525</v>
      </c>
      <c r="O457" s="25">
        <f t="shared" si="11"/>
        <v>-4.7039966549359269E-3</v>
      </c>
    </row>
    <row r="458" spans="1:15">
      <c r="A458" s="74">
        <v>545.1897439881019</v>
      </c>
      <c r="B458" s="74">
        <v>547.72096784883479</v>
      </c>
      <c r="C458" s="74">
        <v>541.32324971359094</v>
      </c>
      <c r="D458" s="74">
        <v>547.47183164206979</v>
      </c>
      <c r="E458" s="74">
        <v>7101672.5066722762</v>
      </c>
      <c r="F458" s="74" t="s">
        <v>526</v>
      </c>
      <c r="G458" s="25">
        <f t="shared" si="10"/>
        <v>-4.1684110890656267E-3</v>
      </c>
      <c r="I458" s="73">
        <v>287.98146287514157</v>
      </c>
      <c r="J458" s="73">
        <v>292.15496359357303</v>
      </c>
      <c r="K458" s="73">
        <v>286.5489905382928</v>
      </c>
      <c r="L458" s="73">
        <v>289.38915195356742</v>
      </c>
      <c r="M458" s="73">
        <v>385619.18844112474</v>
      </c>
      <c r="N458" s="73" t="s">
        <v>526</v>
      </c>
      <c r="O458" s="25">
        <f t="shared" si="11"/>
        <v>-4.8643463962730893E-3</v>
      </c>
    </row>
    <row r="459" spans="1:15">
      <c r="A459" s="74">
        <v>550.8999458471568</v>
      </c>
      <c r="B459" s="74">
        <v>552.05593784654673</v>
      </c>
      <c r="C459" s="74">
        <v>548.02003095143561</v>
      </c>
      <c r="D459" s="74">
        <v>549.29550867558999</v>
      </c>
      <c r="E459" s="74">
        <v>4511857.2470682478</v>
      </c>
      <c r="F459" s="74" t="s">
        <v>527</v>
      </c>
      <c r="G459" s="25">
        <f t="shared" si="10"/>
        <v>2.9208998548619913E-3</v>
      </c>
      <c r="I459" s="73">
        <v>291.33215941392979</v>
      </c>
      <c r="J459" s="73">
        <v>291.80353698913507</v>
      </c>
      <c r="K459" s="73">
        <v>286.95047932474517</v>
      </c>
      <c r="L459" s="73">
        <v>288.08059590883357</v>
      </c>
      <c r="M459" s="73">
        <v>374490.70826742175</v>
      </c>
      <c r="N459" s="73" t="s">
        <v>527</v>
      </c>
      <c r="O459" s="25">
        <f t="shared" si="11"/>
        <v>1.1286992429456078E-2</v>
      </c>
    </row>
    <row r="460" spans="1:15">
      <c r="A460" s="74">
        <v>550.90991129542749</v>
      </c>
      <c r="B460" s="74">
        <v>550.98963488159222</v>
      </c>
      <c r="C460" s="74">
        <v>545.64815460854948</v>
      </c>
      <c r="D460" s="74">
        <v>546.16635791862086</v>
      </c>
      <c r="E460" s="74">
        <v>3451174.4044126086</v>
      </c>
      <c r="F460" s="74" t="s">
        <v>528</v>
      </c>
      <c r="G460" s="25">
        <f t="shared" si="10"/>
        <v>8.6851804546947964E-3</v>
      </c>
      <c r="I460" s="73">
        <v>289.66672444790487</v>
      </c>
      <c r="J460" s="73">
        <v>289.94429694224237</v>
      </c>
      <c r="K460" s="73">
        <v>284.97773195427527</v>
      </c>
      <c r="L460" s="73">
        <v>286.47464076302384</v>
      </c>
      <c r="M460" s="73">
        <v>282892.58338590187</v>
      </c>
      <c r="N460" s="73" t="s">
        <v>528</v>
      </c>
      <c r="O460" s="25">
        <f t="shared" si="11"/>
        <v>1.1142639629039941E-2</v>
      </c>
    </row>
    <row r="461" spans="1:15">
      <c r="A461" s="74">
        <v>545.29936391907859</v>
      </c>
      <c r="B461" s="74">
        <v>545.46877653967874</v>
      </c>
      <c r="C461" s="74">
        <v>538.45310095717491</v>
      </c>
      <c r="D461" s="74">
        <v>541.43276999008481</v>
      </c>
      <c r="E461" s="74">
        <v>7087844.7293101177</v>
      </c>
      <c r="F461" s="74" t="s">
        <v>529</v>
      </c>
      <c r="G461" s="25">
        <f t="shared" si="10"/>
        <v>7.1414109808398685E-3</v>
      </c>
      <c r="I461" s="73">
        <v>286.70264674051532</v>
      </c>
      <c r="J461" s="73">
        <v>287.43623118983578</v>
      </c>
      <c r="K461" s="73">
        <v>282.68775887599099</v>
      </c>
      <c r="L461" s="73">
        <v>285.95914898782559</v>
      </c>
      <c r="M461" s="73">
        <v>570787.53562435939</v>
      </c>
      <c r="N461" s="73" t="s">
        <v>529</v>
      </c>
      <c r="O461" s="25">
        <f t="shared" si="11"/>
        <v>2.6000138667408024E-3</v>
      </c>
    </row>
    <row r="462" spans="1:15">
      <c r="A462" s="74">
        <v>541.42429935905466</v>
      </c>
      <c r="B462" s="74">
        <v>545.89444714108117</v>
      </c>
      <c r="C462" s="74">
        <v>532.29526422198273</v>
      </c>
      <c r="D462" s="74">
        <v>533.05022251405831</v>
      </c>
      <c r="E462" s="74">
        <v>9452116.6995613053</v>
      </c>
      <c r="F462" s="74" t="s">
        <v>530</v>
      </c>
      <c r="G462" s="25">
        <f t="shared" si="10"/>
        <v>1.5709733325879105E-2</v>
      </c>
      <c r="I462" s="73">
        <v>287.27761833592871</v>
      </c>
      <c r="J462" s="73">
        <v>289.84516390855043</v>
      </c>
      <c r="K462" s="73">
        <v>280.1796931235844</v>
      </c>
      <c r="L462" s="73">
        <v>281.92443451656288</v>
      </c>
      <c r="M462" s="73">
        <v>3008611.6493395637</v>
      </c>
      <c r="N462" s="73" t="s">
        <v>530</v>
      </c>
      <c r="O462" s="25">
        <f t="shared" si="11"/>
        <v>1.8988009423678731E-2</v>
      </c>
    </row>
    <row r="463" spans="1:15">
      <c r="A463" s="74">
        <v>535.36476569897434</v>
      </c>
      <c r="B463" s="74">
        <v>541.48390132948168</v>
      </c>
      <c r="C463" s="74">
        <v>535.07668950857703</v>
      </c>
      <c r="D463" s="74">
        <v>540.08325502444677</v>
      </c>
      <c r="E463" s="74">
        <v>16904264.956033021</v>
      </c>
      <c r="F463" s="74" t="s">
        <v>531</v>
      </c>
      <c r="G463" s="25">
        <f t="shared" si="10"/>
        <v>-8.7365962221117588E-3</v>
      </c>
      <c r="I463" s="73">
        <v>283.5204763590034</v>
      </c>
      <c r="J463" s="73">
        <v>291.25285298697628</v>
      </c>
      <c r="K463" s="73">
        <v>277.43370809031711</v>
      </c>
      <c r="L463" s="73">
        <v>288.00128948187995</v>
      </c>
      <c r="M463" s="73">
        <v>1348952.9677416359</v>
      </c>
      <c r="N463" s="73" t="s">
        <v>531</v>
      </c>
      <c r="O463" s="25">
        <f t="shared" si="11"/>
        <v>-1.5558309238606682E-2</v>
      </c>
    </row>
    <row r="464" spans="1:15">
      <c r="A464" s="74">
        <v>535.56343893373094</v>
      </c>
      <c r="B464" s="74">
        <v>553.83144286961283</v>
      </c>
      <c r="C464" s="74">
        <v>534.95748556772298</v>
      </c>
      <c r="D464" s="74">
        <v>551.61623630207521</v>
      </c>
      <c r="E464" s="74">
        <v>24749111.303395186</v>
      </c>
      <c r="F464" s="74" t="s">
        <v>532</v>
      </c>
      <c r="G464" s="25">
        <f t="shared" si="10"/>
        <v>-2.9101386637853555E-2</v>
      </c>
      <c r="I464" s="73">
        <v>285.19582462839753</v>
      </c>
      <c r="J464" s="73">
        <v>293.90466163823618</v>
      </c>
      <c r="K464" s="73">
        <v>284.7596392801529</v>
      </c>
      <c r="L464" s="73">
        <v>291.29250620045298</v>
      </c>
      <c r="M464" s="73">
        <v>1490768.460281539</v>
      </c>
      <c r="N464" s="73" t="s">
        <v>532</v>
      </c>
      <c r="O464" s="25">
        <f t="shared" si="11"/>
        <v>-2.0929757691260376E-2</v>
      </c>
    </row>
    <row r="465" spans="1:15">
      <c r="A465" s="74">
        <v>551.76524122814283</v>
      </c>
      <c r="B465" s="74">
        <v>552.69403860063051</v>
      </c>
      <c r="C465" s="74">
        <v>550.61293646655361</v>
      </c>
      <c r="D465" s="74">
        <v>551.78510855161846</v>
      </c>
      <c r="E465" s="74">
        <v>6151689.2373373276</v>
      </c>
      <c r="F465" s="74" t="s">
        <v>533</v>
      </c>
      <c r="G465" s="25">
        <f t="shared" si="10"/>
        <v>-3.6005544853834337E-5</v>
      </c>
      <c r="I465" s="73">
        <v>290.94554058253118</v>
      </c>
      <c r="J465" s="73">
        <v>293.21568705407702</v>
      </c>
      <c r="K465" s="73">
        <v>287.95172296503404</v>
      </c>
      <c r="L465" s="73">
        <v>292.44244939127975</v>
      </c>
      <c r="M465" s="73">
        <v>1249234.4417181374</v>
      </c>
      <c r="N465" s="73" t="s">
        <v>533</v>
      </c>
      <c r="O465" s="25">
        <f t="shared" si="11"/>
        <v>-5.1186440677966072E-3</v>
      </c>
    </row>
    <row r="466" spans="1:15">
      <c r="A466" s="74">
        <v>554.08971807479656</v>
      </c>
      <c r="B466" s="74">
        <v>555.09132918782268</v>
      </c>
      <c r="C466" s="74">
        <v>552.72383958584396</v>
      </c>
      <c r="D466" s="74">
        <v>553.43409640009929</v>
      </c>
      <c r="E466" s="74">
        <v>22999352.708959177</v>
      </c>
      <c r="F466" s="74" t="s">
        <v>534</v>
      </c>
      <c r="G466" s="25">
        <f t="shared" si="10"/>
        <v>1.1846427225243872E-3</v>
      </c>
      <c r="I466" s="73">
        <v>293.52299945852207</v>
      </c>
      <c r="J466" s="73">
        <v>294.38545685164212</v>
      </c>
      <c r="K466" s="73">
        <v>289.72620426812006</v>
      </c>
      <c r="L466" s="73">
        <v>292.05583055988114</v>
      </c>
      <c r="M466" s="73">
        <v>801439.20791202597</v>
      </c>
      <c r="N466" s="73" t="s">
        <v>534</v>
      </c>
      <c r="O466" s="25">
        <f t="shared" si="11"/>
        <v>5.0235905094868638E-3</v>
      </c>
    </row>
    <row r="467" spans="1:15">
      <c r="A467" s="74">
        <v>551.92417981594815</v>
      </c>
      <c r="B467" s="74">
        <v>554.45726355909653</v>
      </c>
      <c r="C467" s="74">
        <v>550.5279043220778</v>
      </c>
      <c r="D467" s="74">
        <v>553.81157554613708</v>
      </c>
      <c r="E467" s="74">
        <v>4698028.9073304981</v>
      </c>
      <c r="F467" s="74" t="s">
        <v>535</v>
      </c>
      <c r="G467" s="25">
        <f t="shared" si="10"/>
        <v>-3.4080106186434866E-3</v>
      </c>
      <c r="I467" s="73">
        <v>294.62337613250287</v>
      </c>
      <c r="J467" s="73">
        <v>301.65190822126277</v>
      </c>
      <c r="K467" s="73">
        <v>293.63204579558322</v>
      </c>
      <c r="L467" s="73">
        <v>299.02488282842586</v>
      </c>
      <c r="M467" s="73">
        <v>1319276.6843632667</v>
      </c>
      <c r="N467" s="73" t="s">
        <v>535</v>
      </c>
      <c r="O467" s="25">
        <f t="shared" si="11"/>
        <v>-1.4719533218406022E-2</v>
      </c>
    </row>
    <row r="468" spans="1:15">
      <c r="A468" s="74">
        <v>551.96391446289942</v>
      </c>
      <c r="B468" s="74">
        <v>554.49699820604792</v>
      </c>
      <c r="C468" s="74">
        <v>551.93411347768597</v>
      </c>
      <c r="D468" s="74">
        <v>553.97051413394252</v>
      </c>
      <c r="E468" s="74">
        <v>4075639.0813863762</v>
      </c>
      <c r="F468" s="74" t="s">
        <v>536</v>
      </c>
      <c r="G468" s="25">
        <f t="shared" si="10"/>
        <v>-3.6222138540715765E-3</v>
      </c>
      <c r="I468" s="73">
        <v>300.29378565968295</v>
      </c>
      <c r="J468" s="73">
        <v>301.26528938986411</v>
      </c>
      <c r="K468" s="73">
        <v>294.74233577293319</v>
      </c>
      <c r="L468" s="73">
        <v>296.20454801988961</v>
      </c>
      <c r="M468" s="73">
        <v>1344051.473437428</v>
      </c>
      <c r="N468" s="73" t="s">
        <v>536</v>
      </c>
      <c r="O468" s="25">
        <f t="shared" si="11"/>
        <v>1.3805451898458942E-2</v>
      </c>
    </row>
    <row r="469" spans="1:15">
      <c r="A469" s="74">
        <v>554.8248090433965</v>
      </c>
      <c r="B469" s="74">
        <v>555.67910395285048</v>
      </c>
      <c r="C469" s="74">
        <v>552.96721429842103</v>
      </c>
      <c r="D469" s="74">
        <v>553.22548950360476</v>
      </c>
      <c r="E469" s="74">
        <v>3537886.7257114095</v>
      </c>
      <c r="F469" s="74" t="s">
        <v>537</v>
      </c>
      <c r="G469" s="25">
        <f t="shared" si="10"/>
        <v>2.8908999497234689E-3</v>
      </c>
      <c r="I469" s="73">
        <v>294.80181559314838</v>
      </c>
      <c r="J469" s="73">
        <v>297.31979464892419</v>
      </c>
      <c r="K469" s="73">
        <v>293.04220424511612</v>
      </c>
      <c r="L469" s="73">
        <v>295.32722067171579</v>
      </c>
      <c r="M469" s="73">
        <v>811864.59248374647</v>
      </c>
      <c r="N469" s="73" t="s">
        <v>537</v>
      </c>
      <c r="O469" s="25">
        <f t="shared" si="11"/>
        <v>-1.7790607901716493E-3</v>
      </c>
    </row>
    <row r="470" spans="1:15">
      <c r="A470" s="74">
        <v>550.65267111350511</v>
      </c>
      <c r="B470" s="74">
        <v>553.18575485665338</v>
      </c>
      <c r="C470" s="74">
        <v>549.89771282142954</v>
      </c>
      <c r="D470" s="74">
        <v>552.88774500451837</v>
      </c>
      <c r="E470" s="74">
        <v>4137560.8597027324</v>
      </c>
      <c r="F470" s="74" t="s">
        <v>538</v>
      </c>
      <c r="G470" s="25">
        <f t="shared" si="10"/>
        <v>-4.0425455460131321E-3</v>
      </c>
      <c r="I470" s="73">
        <v>291.15371995328428</v>
      </c>
      <c r="J470" s="73">
        <v>296.40777073895811</v>
      </c>
      <c r="K470" s="73">
        <v>290.60848826797849</v>
      </c>
      <c r="L470" s="73">
        <v>294.87120871673272</v>
      </c>
      <c r="M470" s="73">
        <v>908350.08923270577</v>
      </c>
      <c r="N470" s="73" t="s">
        <v>538</v>
      </c>
      <c r="O470" s="25">
        <f t="shared" si="11"/>
        <v>-1.2607160867372569E-2</v>
      </c>
    </row>
    <row r="471" spans="1:15">
      <c r="A471" s="74">
        <v>552.22218966808327</v>
      </c>
      <c r="B471" s="74">
        <v>555.15758671161404</v>
      </c>
      <c r="C471" s="74">
        <v>551.69570559597787</v>
      </c>
      <c r="D471" s="74">
        <v>555.00361495467757</v>
      </c>
      <c r="E471" s="74">
        <v>4441741.7428196585</v>
      </c>
      <c r="F471" s="74" t="s">
        <v>539</v>
      </c>
      <c r="G471" s="25">
        <f t="shared" si="10"/>
        <v>-5.0115444506094731E-3</v>
      </c>
      <c r="I471" s="73">
        <v>296.13019824462066</v>
      </c>
      <c r="J471" s="73">
        <v>300.09551959229901</v>
      </c>
      <c r="K471" s="73">
        <v>294.42511006511893</v>
      </c>
      <c r="L471" s="73">
        <v>295.91210557049834</v>
      </c>
      <c r="M471" s="73">
        <v>913276.80217400065</v>
      </c>
      <c r="N471" s="73" t="s">
        <v>539</v>
      </c>
      <c r="O471" s="25">
        <f t="shared" si="11"/>
        <v>7.370184254607004E-4</v>
      </c>
    </row>
    <row r="472" spans="1:15">
      <c r="A472" s="74">
        <v>555.1128852337938</v>
      </c>
      <c r="B472" s="74">
        <v>556.24532267190716</v>
      </c>
      <c r="C472" s="74">
        <v>554.37779426519387</v>
      </c>
      <c r="D472" s="74">
        <v>554.76520707296947</v>
      </c>
      <c r="E472" s="74">
        <v>5169171.3846481517</v>
      </c>
      <c r="F472" s="74" t="s">
        <v>540</v>
      </c>
      <c r="G472" s="25">
        <f t="shared" si="10"/>
        <v>6.2671226744503983E-4</v>
      </c>
      <c r="I472" s="73">
        <v>292.85880813278601</v>
      </c>
      <c r="J472" s="73">
        <v>297.84519972749155</v>
      </c>
      <c r="K472" s="73">
        <v>290.55892175113257</v>
      </c>
      <c r="L472" s="73">
        <v>296.25907118842019</v>
      </c>
      <c r="M472" s="73">
        <v>658208.4454588067</v>
      </c>
      <c r="N472" s="72" t="s">
        <v>540</v>
      </c>
      <c r="O472" s="25">
        <f t="shared" si="11"/>
        <v>-1.1477329764095656E-2</v>
      </c>
    </row>
    <row r="473" spans="1:15">
      <c r="A473" s="74">
        <v>554.0102487808939</v>
      </c>
      <c r="B473" s="74">
        <v>555.69897127632612</v>
      </c>
      <c r="C473" s="74">
        <v>553.76190723744799</v>
      </c>
      <c r="D473" s="74">
        <v>554.9241456607748</v>
      </c>
      <c r="E473" s="74">
        <v>3041739.3703784416</v>
      </c>
      <c r="F473" s="74" t="s">
        <v>541</v>
      </c>
      <c r="G473" s="25">
        <f t="shared" si="10"/>
        <v>-1.6468861321445871E-3</v>
      </c>
      <c r="I473" s="73">
        <v>294.52424309881093</v>
      </c>
      <c r="J473" s="73">
        <v>300.33333974012601</v>
      </c>
      <c r="K473" s="73">
        <v>293.28508017766143</v>
      </c>
      <c r="L473" s="73">
        <v>295.67418628963759</v>
      </c>
      <c r="M473" s="73">
        <v>1002006.0549005159</v>
      </c>
      <c r="N473" s="73" t="s">
        <v>541</v>
      </c>
      <c r="O473" s="25">
        <f t="shared" si="11"/>
        <v>-3.8892241668341265E-3</v>
      </c>
    </row>
    <row r="474" spans="1:15">
      <c r="A474" s="74">
        <v>554.93407932251262</v>
      </c>
      <c r="B474" s="74">
        <v>555.17248720422072</v>
      </c>
      <c r="C474" s="74">
        <v>552.48145823944083</v>
      </c>
      <c r="D474" s="74">
        <v>553.13608654796428</v>
      </c>
      <c r="E474" s="74">
        <v>5526986.0650556246</v>
      </c>
      <c r="F474" s="74" t="s">
        <v>542</v>
      </c>
      <c r="G474" s="25">
        <f t="shared" si="10"/>
        <v>3.2505432537757173E-3</v>
      </c>
      <c r="I474" s="73">
        <v>291.28259289708382</v>
      </c>
      <c r="J474" s="73">
        <v>291.68903833522086</v>
      </c>
      <c r="K474" s="73">
        <v>288.10537916725656</v>
      </c>
      <c r="L474" s="73">
        <v>289.82533730181206</v>
      </c>
      <c r="M474" s="73">
        <v>580909.28780555364</v>
      </c>
      <c r="N474" s="73" t="s">
        <v>542</v>
      </c>
      <c r="O474" s="25">
        <f t="shared" si="11"/>
        <v>5.0280476125323936E-3</v>
      </c>
    </row>
    <row r="475" spans="1:15">
      <c r="A475" s="74">
        <v>551.45729771426977</v>
      </c>
      <c r="B475" s="74">
        <v>551.74547324128446</v>
      </c>
      <c r="C475" s="74">
        <v>550.11625337966177</v>
      </c>
      <c r="D475" s="74">
        <v>551.11955321518337</v>
      </c>
      <c r="E475" s="74">
        <v>4230973.5432115309</v>
      </c>
      <c r="F475" s="74" t="s">
        <v>543</v>
      </c>
      <c r="G475" s="25">
        <f t="shared" si="10"/>
        <v>6.1283345349671947E-4</v>
      </c>
      <c r="I475" s="73">
        <v>289.03227303227635</v>
      </c>
      <c r="J475" s="73">
        <v>294.42511006511893</v>
      </c>
      <c r="K475" s="73">
        <v>288.30860188632505</v>
      </c>
      <c r="L475" s="73">
        <v>292.9182879530012</v>
      </c>
      <c r="M475" s="73">
        <v>682857.14134753344</v>
      </c>
      <c r="N475" s="73" t="s">
        <v>543</v>
      </c>
      <c r="O475" s="25">
        <f t="shared" si="11"/>
        <v>-1.3266549343441292E-2</v>
      </c>
    </row>
    <row r="476" spans="1:15">
      <c r="A476" s="74">
        <v>551.3281601116779</v>
      </c>
      <c r="B476" s="74">
        <v>551.88444516899688</v>
      </c>
      <c r="C476" s="74">
        <v>550.21558999704018</v>
      </c>
      <c r="D476" s="74">
        <v>550.68247209871856</v>
      </c>
      <c r="E476" s="74">
        <v>5477346.7665760098</v>
      </c>
      <c r="F476" s="74" t="s">
        <v>544</v>
      </c>
      <c r="G476" s="25">
        <f t="shared" si="10"/>
        <v>1.1725232700772192E-3</v>
      </c>
      <c r="I476" s="73">
        <v>294.5440697055493</v>
      </c>
      <c r="J476" s="73">
        <v>296.15993815472825</v>
      </c>
      <c r="K476" s="73">
        <v>291.73860485206689</v>
      </c>
      <c r="L476" s="73">
        <v>292.93811455973957</v>
      </c>
      <c r="M476" s="73">
        <v>730288.35398055683</v>
      </c>
      <c r="N476" s="73" t="s">
        <v>544</v>
      </c>
      <c r="O476" s="25">
        <f t="shared" si="11"/>
        <v>5.4822335025379587E-3</v>
      </c>
    </row>
    <row r="477" spans="1:15">
      <c r="A477" s="74">
        <v>549.77850888057549</v>
      </c>
      <c r="B477" s="74">
        <v>551.02021659780507</v>
      </c>
      <c r="C477" s="74">
        <v>547.41429738697036</v>
      </c>
      <c r="D477" s="74">
        <v>547.6328379452026</v>
      </c>
      <c r="E477" s="74">
        <v>4015364.2284870273</v>
      </c>
      <c r="F477" s="74" t="s">
        <v>545</v>
      </c>
      <c r="G477" s="25">
        <f t="shared" si="10"/>
        <v>3.9180830415936896E-3</v>
      </c>
      <c r="I477" s="73">
        <v>292.5812356384485</v>
      </c>
      <c r="J477" s="73">
        <v>296.13019824462066</v>
      </c>
      <c r="K477" s="73">
        <v>292.05583055988114</v>
      </c>
      <c r="L477" s="73">
        <v>292.93811455973957</v>
      </c>
      <c r="M477" s="73">
        <v>399085.94064552424</v>
      </c>
      <c r="N477" s="73" t="s">
        <v>545</v>
      </c>
      <c r="O477" s="25">
        <f t="shared" si="11"/>
        <v>-1.2182741116751883E-3</v>
      </c>
    </row>
    <row r="478" spans="1:15">
      <c r="A478" s="74">
        <v>546.89774697660266</v>
      </c>
      <c r="B478" s="74">
        <v>548.71560707462686</v>
      </c>
      <c r="C478" s="74">
        <v>545.46729968635429</v>
      </c>
      <c r="D478" s="74">
        <v>548.37786257554035</v>
      </c>
      <c r="E478" s="74">
        <v>3334338.4216355425</v>
      </c>
      <c r="F478" s="74" t="s">
        <v>546</v>
      </c>
      <c r="G478" s="25">
        <f t="shared" si="10"/>
        <v>-2.6990797768278174E-3</v>
      </c>
      <c r="I478" s="73">
        <v>292.39288287443378</v>
      </c>
      <c r="J478" s="73">
        <v>297.34953455903172</v>
      </c>
      <c r="K478" s="73">
        <v>290.32100247027182</v>
      </c>
      <c r="L478" s="73">
        <v>294.15745087415064</v>
      </c>
      <c r="M478" s="73">
        <v>642632.40644845972</v>
      </c>
      <c r="N478" s="73" t="s">
        <v>546</v>
      </c>
      <c r="O478" s="25">
        <f t="shared" si="11"/>
        <v>-5.9987193745154599E-3</v>
      </c>
    </row>
    <row r="479" spans="1:15">
      <c r="A479" s="74">
        <v>548.64607144246202</v>
      </c>
      <c r="B479" s="74">
        <v>549.15258885447429</v>
      </c>
      <c r="C479" s="74">
        <v>546.20239065495423</v>
      </c>
      <c r="D479" s="74">
        <v>546.84807866791357</v>
      </c>
      <c r="E479" s="74">
        <v>4468215.3642233675</v>
      </c>
      <c r="F479" s="74" t="s">
        <v>547</v>
      </c>
      <c r="G479" s="25">
        <f t="shared" si="10"/>
        <v>3.2879200726612101E-3</v>
      </c>
      <c r="I479" s="73">
        <v>293.43377972819934</v>
      </c>
      <c r="J479" s="73">
        <v>295.81297253680634</v>
      </c>
      <c r="K479" s="73">
        <v>290.45978871744057</v>
      </c>
      <c r="L479" s="73">
        <v>293.28508017766143</v>
      </c>
      <c r="M479" s="73">
        <v>1174967.5729882121</v>
      </c>
      <c r="N479" s="73" t="s">
        <v>547</v>
      </c>
      <c r="O479" s="25">
        <f t="shared" si="11"/>
        <v>5.0701368936945101E-4</v>
      </c>
    </row>
    <row r="480" spans="1:15">
      <c r="A480" s="74">
        <v>545.58650362720834</v>
      </c>
      <c r="B480" s="74">
        <v>548.71560707462686</v>
      </c>
      <c r="C480" s="74">
        <v>543.56987095781005</v>
      </c>
      <c r="D480" s="74">
        <v>547.54343498956223</v>
      </c>
      <c r="E480" s="74">
        <v>4333750.3466647081</v>
      </c>
      <c r="F480" s="74" t="s">
        <v>548</v>
      </c>
      <c r="G480" s="25">
        <f t="shared" ref="G480:G543" si="12">A480/D480-1</f>
        <v>-3.5740203193034281E-3</v>
      </c>
      <c r="I480" s="73">
        <v>296.11037163788222</v>
      </c>
      <c r="J480" s="73">
        <v>300.91782810677381</v>
      </c>
      <c r="K480" s="73">
        <v>290.65805478482446</v>
      </c>
      <c r="L480" s="73">
        <v>291.20328647013025</v>
      </c>
      <c r="M480" s="73">
        <v>2254711.5898272931</v>
      </c>
      <c r="N480" s="73" t="s">
        <v>548</v>
      </c>
      <c r="O480" s="25">
        <f t="shared" ref="O480:O543" si="13">I480/L480-1</f>
        <v>1.6851063829787183E-2</v>
      </c>
    </row>
    <row r="481" spans="1:15">
      <c r="A481" s="74">
        <v>543.8381791613491</v>
      </c>
      <c r="B481" s="74">
        <v>544.41393419567407</v>
      </c>
      <c r="C481" s="74">
        <v>541.75211019640335</v>
      </c>
      <c r="D481" s="74">
        <v>542.19912497460598</v>
      </c>
      <c r="E481" s="74">
        <v>5611815.81084718</v>
      </c>
      <c r="F481" s="74" t="s">
        <v>549</v>
      </c>
      <c r="G481" s="25">
        <f t="shared" si="12"/>
        <v>3.0229746070133956E-3</v>
      </c>
      <c r="I481" s="73">
        <v>288.33834179643264</v>
      </c>
      <c r="J481" s="73">
        <v>293.43377972819934</v>
      </c>
      <c r="K481" s="73">
        <v>275.96158253999153</v>
      </c>
      <c r="L481" s="73">
        <v>277.57249433748586</v>
      </c>
      <c r="M481" s="73">
        <v>1858527.8099377279</v>
      </c>
      <c r="N481" s="73" t="s">
        <v>549</v>
      </c>
      <c r="O481" s="25">
        <f t="shared" si="13"/>
        <v>3.8785714285714201E-2</v>
      </c>
    </row>
    <row r="482" spans="1:15">
      <c r="A482" s="74">
        <v>542.02031906332491</v>
      </c>
      <c r="B482" s="74">
        <v>543.44083269183557</v>
      </c>
      <c r="C482" s="74">
        <v>536.45746849013631</v>
      </c>
      <c r="D482" s="74">
        <v>541.96071709289788</v>
      </c>
      <c r="E482" s="74">
        <v>4560875.0524926046</v>
      </c>
      <c r="F482" s="74" t="s">
        <v>550</v>
      </c>
      <c r="G482" s="25">
        <f t="shared" si="12"/>
        <v>1.0997470581775026E-4</v>
      </c>
      <c r="I482" s="73">
        <v>275.88723276472257</v>
      </c>
      <c r="J482" s="73">
        <v>279.34697564057194</v>
      </c>
      <c r="K482" s="73">
        <v>274.53902350651191</v>
      </c>
      <c r="L482" s="73">
        <v>279.34697564057194</v>
      </c>
      <c r="M482" s="73">
        <v>1001059.8516370158</v>
      </c>
      <c r="N482" s="73" t="s">
        <v>550</v>
      </c>
      <c r="O482" s="25">
        <f t="shared" si="13"/>
        <v>-1.238510947868976E-2</v>
      </c>
    </row>
    <row r="483" spans="1:15">
      <c r="A483" s="74">
        <v>539.29849574715763</v>
      </c>
      <c r="B483" s="74">
        <v>539.46736799670089</v>
      </c>
      <c r="C483" s="74">
        <v>533.87471643829883</v>
      </c>
      <c r="D483" s="74">
        <v>539.17929180630358</v>
      </c>
      <c r="E483" s="74">
        <v>3975432.327193358</v>
      </c>
      <c r="F483" s="74" t="s">
        <v>551</v>
      </c>
      <c r="G483" s="25">
        <f t="shared" si="12"/>
        <v>2.2108404878595778E-4</v>
      </c>
      <c r="I483" s="73">
        <v>277.65180076443943</v>
      </c>
      <c r="J483" s="73">
        <v>279.10905635971125</v>
      </c>
      <c r="K483" s="73">
        <v>275.36182768615515</v>
      </c>
      <c r="L483" s="73">
        <v>279.00992332601925</v>
      </c>
      <c r="M483" s="73">
        <v>1004587.43459273</v>
      </c>
      <c r="N483" s="73" t="s">
        <v>551</v>
      </c>
      <c r="O483" s="25">
        <f t="shared" si="13"/>
        <v>-4.867649671344787E-3</v>
      </c>
    </row>
    <row r="484" spans="1:15">
      <c r="A484" s="74">
        <v>539.09982251240092</v>
      </c>
      <c r="B484" s="74">
        <v>539.76537784883601</v>
      </c>
      <c r="C484" s="74">
        <v>533.3382987044555</v>
      </c>
      <c r="D484" s="74">
        <v>533.93431840872574</v>
      </c>
      <c r="E484" s="74">
        <v>7024975.4664181583</v>
      </c>
      <c r="F484" s="74" t="s">
        <v>552</v>
      </c>
      <c r="G484" s="25">
        <f t="shared" si="12"/>
        <v>9.674418604651347E-3</v>
      </c>
      <c r="I484" s="73">
        <v>275.72861991081544</v>
      </c>
      <c r="J484" s="73">
        <v>278.18711914637601</v>
      </c>
      <c r="K484" s="73">
        <v>274.92564233791052</v>
      </c>
      <c r="L484" s="73">
        <v>277.12639568587207</v>
      </c>
      <c r="M484" s="73">
        <v>954015.99726964696</v>
      </c>
      <c r="N484" s="73" t="s">
        <v>552</v>
      </c>
      <c r="O484" s="25">
        <f t="shared" si="13"/>
        <v>-5.0438204256841868E-3</v>
      </c>
    </row>
    <row r="485" spans="1:15">
      <c r="A485" s="74">
        <v>537.14289115004703</v>
      </c>
      <c r="B485" s="74">
        <v>538.33493055858742</v>
      </c>
      <c r="C485" s="74">
        <v>534.57503959081623</v>
      </c>
      <c r="D485" s="74">
        <v>535.34489837549859</v>
      </c>
      <c r="E485" s="74">
        <v>4534325.9302293137</v>
      </c>
      <c r="F485" s="74" t="s">
        <v>553</v>
      </c>
      <c r="G485" s="25">
        <f t="shared" si="12"/>
        <v>3.3585689898314453E-3</v>
      </c>
      <c r="I485" s="73">
        <v>280.67535829204417</v>
      </c>
      <c r="J485" s="73">
        <v>283.57995617921858</v>
      </c>
      <c r="K485" s="73">
        <v>278.59406024968155</v>
      </c>
      <c r="L485" s="73">
        <v>281.627035415487</v>
      </c>
      <c r="M485" s="73">
        <v>961450.45148286223</v>
      </c>
      <c r="N485" s="73" t="s">
        <v>553</v>
      </c>
      <c r="O485" s="25">
        <f t="shared" si="13"/>
        <v>-3.3792108134746979E-3</v>
      </c>
    </row>
    <row r="486" spans="1:15">
      <c r="A486" s="74">
        <v>534.92768458250941</v>
      </c>
      <c r="B486" s="74">
        <v>538.97068490980905</v>
      </c>
      <c r="C486" s="74">
        <v>533.18929377838799</v>
      </c>
      <c r="D486" s="74">
        <v>538.53360379334424</v>
      </c>
      <c r="E486" s="74">
        <v>7409265.7815855956</v>
      </c>
      <c r="F486" s="74" t="s">
        <v>554</v>
      </c>
      <c r="G486" s="25">
        <f t="shared" si="12"/>
        <v>-6.6958109678492139E-3</v>
      </c>
      <c r="I486" s="73">
        <v>282.37053316817679</v>
      </c>
      <c r="J486" s="73">
        <v>287.12687064806715</v>
      </c>
      <c r="K486" s="73">
        <v>280.97915643650765</v>
      </c>
      <c r="L486" s="73">
        <v>282.53828780958372</v>
      </c>
      <c r="M486" s="73">
        <v>1125588.7671207606</v>
      </c>
      <c r="N486" s="73" t="s">
        <v>554</v>
      </c>
      <c r="O486" s="25">
        <f t="shared" si="13"/>
        <v>-5.9374126851075015E-4</v>
      </c>
    </row>
    <row r="487" spans="1:15">
      <c r="A487" s="74">
        <v>541.92098244594649</v>
      </c>
      <c r="B487" s="74">
        <v>545.92424812629474</v>
      </c>
      <c r="C487" s="74">
        <v>541.26536077124933</v>
      </c>
      <c r="D487" s="74">
        <v>545.45736602461648</v>
      </c>
      <c r="E487" s="74">
        <v>3966595.7065879218</v>
      </c>
      <c r="F487" s="74" t="s">
        <v>555</v>
      </c>
      <c r="G487" s="25">
        <f t="shared" si="12"/>
        <v>-6.4833363686033207E-3</v>
      </c>
      <c r="I487" s="73">
        <v>282.64683493049409</v>
      </c>
      <c r="J487" s="73">
        <v>286.24862576070143</v>
      </c>
      <c r="K487" s="73">
        <v>279.51870426425916</v>
      </c>
      <c r="L487" s="73">
        <v>282.12383516610777</v>
      </c>
      <c r="M487" s="73">
        <v>1366342.6423118054</v>
      </c>
      <c r="N487" s="73" t="s">
        <v>555</v>
      </c>
      <c r="O487" s="25">
        <f t="shared" si="13"/>
        <v>1.8537950332284669E-3</v>
      </c>
    </row>
    <row r="488" spans="1:15">
      <c r="A488" s="74">
        <v>545.38783039245152</v>
      </c>
      <c r="B488" s="74">
        <v>547.22555781395135</v>
      </c>
      <c r="C488" s="74">
        <v>543.34149607445727</v>
      </c>
      <c r="D488" s="74">
        <v>545.51696799504339</v>
      </c>
      <c r="E488" s="74">
        <v>3726289.5573551976</v>
      </c>
      <c r="F488" s="74" t="s">
        <v>556</v>
      </c>
      <c r="G488" s="25">
        <f t="shared" si="12"/>
        <v>-2.3672518027528788E-4</v>
      </c>
      <c r="I488" s="73">
        <v>282.78498581165269</v>
      </c>
      <c r="J488" s="73">
        <v>284.72896606795643</v>
      </c>
      <c r="K488" s="73">
        <v>276.11920579574837</v>
      </c>
      <c r="L488" s="73">
        <v>277.14053552431403</v>
      </c>
      <c r="M488" s="73">
        <v>1047190.2805590797</v>
      </c>
      <c r="N488" s="73" t="s">
        <v>556</v>
      </c>
      <c r="O488" s="25">
        <f t="shared" si="13"/>
        <v>2.0366743813423405E-2</v>
      </c>
    </row>
    <row r="489" spans="1:15">
      <c r="A489" s="74">
        <v>545.10968786379215</v>
      </c>
      <c r="B489" s="74">
        <v>547.28515978437838</v>
      </c>
      <c r="C489" s="74">
        <v>542.80507834061393</v>
      </c>
      <c r="D489" s="74">
        <v>546.73880838879734</v>
      </c>
      <c r="E489" s="74">
        <v>4850792.3132173652</v>
      </c>
      <c r="F489" s="74" t="s">
        <v>557</v>
      </c>
      <c r="G489" s="25">
        <f t="shared" si="12"/>
        <v>-2.9797052998782325E-3</v>
      </c>
      <c r="I489" s="73">
        <v>274.2097632597343</v>
      </c>
      <c r="J489" s="73">
        <v>277.02212048332092</v>
      </c>
      <c r="K489" s="73">
        <v>271.83159451978918</v>
      </c>
      <c r="L489" s="73">
        <v>273.33151837236869</v>
      </c>
      <c r="M489" s="73">
        <v>1058629.3679304104</v>
      </c>
      <c r="N489" s="73" t="s">
        <v>557</v>
      </c>
      <c r="O489" s="25">
        <f t="shared" si="13"/>
        <v>3.2131123867287226E-3</v>
      </c>
    </row>
    <row r="490" spans="1:15">
      <c r="A490" s="74">
        <v>546.74874205053516</v>
      </c>
      <c r="B490" s="74">
        <v>548.06991906166752</v>
      </c>
      <c r="C490" s="74">
        <v>545.20902448117056</v>
      </c>
      <c r="D490" s="74">
        <v>547.77190920953228</v>
      </c>
      <c r="E490" s="74">
        <v>4925805.9405851793</v>
      </c>
      <c r="F490" s="74" t="s">
        <v>558</v>
      </c>
      <c r="G490" s="25">
        <f t="shared" si="12"/>
        <v>-1.8678708086247164E-3</v>
      </c>
      <c r="I490" s="73">
        <v>274.15055573923775</v>
      </c>
      <c r="J490" s="73">
        <v>277.96944081126583</v>
      </c>
      <c r="K490" s="73">
        <v>268.75280345396806</v>
      </c>
      <c r="L490" s="73">
        <v>268.75280345396806</v>
      </c>
      <c r="M490" s="73">
        <v>903015.01484269195</v>
      </c>
      <c r="N490" s="73" t="s">
        <v>558</v>
      </c>
      <c r="O490" s="25">
        <f t="shared" si="13"/>
        <v>2.0084450156049094E-2</v>
      </c>
    </row>
    <row r="491" spans="1:15">
      <c r="A491" s="74">
        <v>546.30172727233264</v>
      </c>
      <c r="B491" s="74">
        <v>547.5831696365135</v>
      </c>
      <c r="C491" s="74">
        <v>544.4242652038813</v>
      </c>
      <c r="D491" s="74">
        <v>544.43419886561924</v>
      </c>
      <c r="E491" s="74">
        <v>6843373.7522054855</v>
      </c>
      <c r="F491" s="74" t="s">
        <v>559</v>
      </c>
      <c r="G491" s="25">
        <f t="shared" si="12"/>
        <v>3.4302187676757967E-3</v>
      </c>
      <c r="I491" s="73">
        <v>268.54557713223005</v>
      </c>
      <c r="J491" s="73">
        <v>272.67036772682371</v>
      </c>
      <c r="K491" s="73">
        <v>268.17898390115556</v>
      </c>
      <c r="L491" s="73">
        <v>271.8710662001202</v>
      </c>
      <c r="M491" s="73">
        <v>1081681.8448548461</v>
      </c>
      <c r="N491" s="73" t="s">
        <v>559</v>
      </c>
      <c r="O491" s="25">
        <f t="shared" si="13"/>
        <v>-1.2231860912489734E-2</v>
      </c>
    </row>
    <row r="492" spans="1:15">
      <c r="A492" s="74">
        <v>543.89778113177601</v>
      </c>
      <c r="B492" s="74">
        <v>544.83651216600163</v>
      </c>
      <c r="C492" s="74">
        <v>541.53356963817089</v>
      </c>
      <c r="D492" s="74">
        <v>541.60310527033573</v>
      </c>
      <c r="E492" s="74">
        <v>6091687.1942106001</v>
      </c>
      <c r="F492" s="74" t="s">
        <v>560</v>
      </c>
      <c r="G492" s="25">
        <f t="shared" si="12"/>
        <v>4.23682183338836E-3</v>
      </c>
      <c r="I492" s="73">
        <v>273.43019757319621</v>
      </c>
      <c r="J492" s="73">
        <v>288.80441706213634</v>
      </c>
      <c r="K492" s="73">
        <v>272.27565092351335</v>
      </c>
      <c r="L492" s="73">
        <v>288.48864361948802</v>
      </c>
      <c r="M492" s="73">
        <v>2050751.3062813506</v>
      </c>
      <c r="N492" s="73" t="s">
        <v>560</v>
      </c>
      <c r="O492" s="25">
        <f t="shared" si="13"/>
        <v>-5.2197708226441208E-2</v>
      </c>
    </row>
    <row r="493" spans="1:15">
      <c r="A493" s="74">
        <v>539.69584221667105</v>
      </c>
      <c r="B493" s="74">
        <v>540.5302698026494</v>
      </c>
      <c r="C493" s="74">
        <v>534.59987374516083</v>
      </c>
      <c r="D493" s="74">
        <v>538.05678802992804</v>
      </c>
      <c r="E493" s="74">
        <v>7533311.6805219874</v>
      </c>
      <c r="F493" s="74" t="s">
        <v>561</v>
      </c>
      <c r="G493" s="25">
        <f t="shared" si="12"/>
        <v>3.0462475768484598E-3</v>
      </c>
      <c r="I493" s="73">
        <v>290.11685043314338</v>
      </c>
      <c r="J493" s="73">
        <v>291.04443492092281</v>
      </c>
      <c r="K493" s="73">
        <v>276.46951695868637</v>
      </c>
      <c r="L493" s="73">
        <v>279.26213834210739</v>
      </c>
      <c r="M493" s="73">
        <v>2232909.2468528808</v>
      </c>
      <c r="N493" s="73" t="s">
        <v>561</v>
      </c>
      <c r="O493" s="25">
        <f t="shared" si="13"/>
        <v>3.8869257950530089E-2</v>
      </c>
    </row>
    <row r="494" spans="1:15">
      <c r="A494" s="74">
        <v>526.58340872272663</v>
      </c>
      <c r="B494" s="74">
        <v>526.65294435489136</v>
      </c>
      <c r="C494" s="74">
        <v>521.00069082606228</v>
      </c>
      <c r="D494" s="74">
        <v>521.23909870777038</v>
      </c>
      <c r="E494" s="74">
        <v>3322318.6847901442</v>
      </c>
      <c r="F494" s="74" t="s">
        <v>562</v>
      </c>
      <c r="G494" s="25">
        <f t="shared" si="12"/>
        <v>1.0253087360878377E-2</v>
      </c>
      <c r="I494" s="73">
        <v>265.6444086278986</v>
      </c>
      <c r="J494" s="73">
        <v>266.11313483182977</v>
      </c>
      <c r="K494" s="73">
        <v>259.72365657824264</v>
      </c>
      <c r="L494" s="73">
        <v>260.34533554345649</v>
      </c>
      <c r="M494" s="73">
        <v>803451.98719753814</v>
      </c>
      <c r="N494" s="73" t="s">
        <v>562</v>
      </c>
      <c r="O494" s="25">
        <f t="shared" si="13"/>
        <v>2.0354015843535578E-2</v>
      </c>
    </row>
    <row r="495" spans="1:15">
      <c r="A495" s="74">
        <v>520.32520182788937</v>
      </c>
      <c r="B495" s="74">
        <v>522.78874993887291</v>
      </c>
      <c r="C495" s="74">
        <v>518.56704303690969</v>
      </c>
      <c r="D495" s="74">
        <v>521.57684320685678</v>
      </c>
      <c r="E495" s="74">
        <v>3706046.2668841663</v>
      </c>
      <c r="F495" s="74" t="s">
        <v>563</v>
      </c>
      <c r="G495" s="25">
        <f t="shared" si="12"/>
        <v>-2.3997257456290777E-3</v>
      </c>
      <c r="I495" s="73">
        <v>261.1545049902428</v>
      </c>
      <c r="J495" s="73">
        <v>264.39118277738811</v>
      </c>
      <c r="K495" s="73">
        <v>259.21052473393911</v>
      </c>
      <c r="L495" s="73">
        <v>262.51627796166372</v>
      </c>
      <c r="M495" s="73">
        <v>743626.81684260315</v>
      </c>
      <c r="N495" s="73" t="s">
        <v>563</v>
      </c>
      <c r="O495" s="25">
        <f t="shared" si="13"/>
        <v>-5.1873848814044665E-3</v>
      </c>
    </row>
    <row r="496" spans="1:15">
      <c r="A496" s="74">
        <v>521.45763926600284</v>
      </c>
      <c r="B496" s="74">
        <v>525.57017522546732</v>
      </c>
      <c r="C496" s="74">
        <v>521.0603921331068</v>
      </c>
      <c r="D496" s="74">
        <v>521.67617982423519</v>
      </c>
      <c r="E496" s="74">
        <v>6147724.938870227</v>
      </c>
      <c r="F496" s="74" t="s">
        <v>564</v>
      </c>
      <c r="G496" s="25">
        <f t="shared" si="12"/>
        <v>-4.1891994820619782E-4</v>
      </c>
      <c r="I496" s="73">
        <v>265.1707484639262</v>
      </c>
      <c r="J496" s="73">
        <v>266.72001191691947</v>
      </c>
      <c r="K496" s="73">
        <v>262.30411767988437</v>
      </c>
      <c r="L496" s="73">
        <v>264.46025821796741</v>
      </c>
      <c r="M496" s="73">
        <v>728010.55741735455</v>
      </c>
      <c r="N496" s="73" t="s">
        <v>564</v>
      </c>
      <c r="O496" s="25">
        <f t="shared" si="13"/>
        <v>2.6865671641793654E-3</v>
      </c>
    </row>
    <row r="497" spans="1:15">
      <c r="A497" s="74">
        <v>519.20269805151383</v>
      </c>
      <c r="B497" s="74">
        <v>525.71918015153483</v>
      </c>
      <c r="C497" s="74">
        <v>519.04375946370851</v>
      </c>
      <c r="D497" s="74">
        <v>525.58010888720514</v>
      </c>
      <c r="E497" s="74">
        <v>8026017.2033361597</v>
      </c>
      <c r="F497" s="74" t="s">
        <v>565</v>
      </c>
      <c r="G497" s="25">
        <f t="shared" si="12"/>
        <v>-1.213404146742536E-2</v>
      </c>
      <c r="I497" s="73">
        <v>263.18729652729138</v>
      </c>
      <c r="J497" s="73">
        <v>264.57867325896058</v>
      </c>
      <c r="K497" s="73">
        <v>262.00314611736019</v>
      </c>
      <c r="L497" s="73">
        <v>262.00314611736019</v>
      </c>
      <c r="M497" s="73">
        <v>715615.84820059827</v>
      </c>
      <c r="N497" s="73" t="s">
        <v>565</v>
      </c>
      <c r="O497" s="25">
        <f t="shared" si="13"/>
        <v>4.5196037814017043E-3</v>
      </c>
    </row>
    <row r="498" spans="1:15">
      <c r="A498" s="74">
        <v>529.62310921450455</v>
      </c>
      <c r="B498" s="74">
        <v>532.64294238280706</v>
      </c>
      <c r="C498" s="74">
        <v>529.05689049544799</v>
      </c>
      <c r="D498" s="74">
        <v>530.80521496130723</v>
      </c>
      <c r="E498" s="74">
        <v>3087496.9179974315</v>
      </c>
      <c r="F498" s="74" t="s">
        <v>566</v>
      </c>
      <c r="G498" s="25">
        <f t="shared" si="12"/>
        <v>-2.2270047721533182E-3</v>
      </c>
      <c r="I498" s="73">
        <v>263.10835316662929</v>
      </c>
      <c r="J498" s="73">
        <v>267.10861060977857</v>
      </c>
      <c r="K498" s="73">
        <v>262.75310804364995</v>
      </c>
      <c r="L498" s="73">
        <v>264.45039029788467</v>
      </c>
      <c r="M498" s="73">
        <v>640240.288430969</v>
      </c>
      <c r="N498" s="73" t="s">
        <v>566</v>
      </c>
      <c r="O498" s="25">
        <f t="shared" si="13"/>
        <v>-5.0748162244861339E-3</v>
      </c>
    </row>
    <row r="499" spans="1:15">
      <c r="A499" s="74">
        <v>531.22242875429629</v>
      </c>
      <c r="B499" s="74">
        <v>532.26546323676928</v>
      </c>
      <c r="C499" s="74">
        <v>528.22246290946964</v>
      </c>
      <c r="D499" s="74">
        <v>529.58337456755328</v>
      </c>
      <c r="E499" s="74">
        <v>3047829.7730513616</v>
      </c>
      <c r="F499" s="74" t="s">
        <v>567</v>
      </c>
      <c r="G499" s="25">
        <f t="shared" si="12"/>
        <v>3.0949879951980286E-3</v>
      </c>
      <c r="I499" s="73">
        <v>264.8845787815261</v>
      </c>
      <c r="J499" s="73">
        <v>268.18046408916791</v>
      </c>
      <c r="K499" s="73">
        <v>264.31223941672607</v>
      </c>
      <c r="L499" s="73">
        <v>267.31208712188504</v>
      </c>
      <c r="M499" s="73">
        <v>487439.09148630622</v>
      </c>
      <c r="N499" s="73" t="s">
        <v>567</v>
      </c>
      <c r="O499" s="25">
        <f t="shared" si="13"/>
        <v>-9.0811768614565969E-3</v>
      </c>
    </row>
    <row r="500" spans="1:15">
      <c r="A500" s="74">
        <v>530.37806750658012</v>
      </c>
      <c r="B500" s="74">
        <v>532.01712169332336</v>
      </c>
      <c r="C500" s="74">
        <v>530.13052065607326</v>
      </c>
      <c r="D500" s="74">
        <v>531.97738704637186</v>
      </c>
      <c r="E500" s="74">
        <v>3430729.8657243685</v>
      </c>
      <c r="F500" s="74" t="s">
        <v>568</v>
      </c>
      <c r="G500" s="25">
        <f t="shared" si="12"/>
        <v>-3.0063675237614884E-3</v>
      </c>
      <c r="I500" s="73">
        <v>267.74627560552648</v>
      </c>
      <c r="J500" s="73">
        <v>269.99468119638334</v>
      </c>
      <c r="K500" s="73">
        <v>267.59825680428514</v>
      </c>
      <c r="L500" s="73">
        <v>268.4074262510714</v>
      </c>
      <c r="M500" s="73">
        <v>596821.81762793369</v>
      </c>
      <c r="N500" s="73" t="s">
        <v>568</v>
      </c>
      <c r="O500" s="25">
        <f t="shared" si="13"/>
        <v>-2.4632352941176272E-3</v>
      </c>
    </row>
    <row r="501" spans="1:15">
      <c r="A501" s="74">
        <v>528.72907965809929</v>
      </c>
      <c r="B501" s="74">
        <v>533.69600986363503</v>
      </c>
      <c r="C501" s="74">
        <v>527.88869187507828</v>
      </c>
      <c r="D501" s="74">
        <v>531.10322481344224</v>
      </c>
      <c r="E501" s="74">
        <v>4356087.5276414705</v>
      </c>
      <c r="F501" s="74" t="s">
        <v>569</v>
      </c>
      <c r="G501" s="25">
        <f t="shared" si="12"/>
        <v>-4.4702141587954491E-3</v>
      </c>
      <c r="I501" s="73">
        <v>266.29569135336078</v>
      </c>
      <c r="J501" s="73">
        <v>267.63279452457476</v>
      </c>
      <c r="K501" s="73">
        <v>264.36157901713983</v>
      </c>
      <c r="L501" s="73">
        <v>266.72001191691947</v>
      </c>
      <c r="M501" s="73">
        <v>385914.15091141325</v>
      </c>
      <c r="N501" s="73" t="s">
        <v>569</v>
      </c>
      <c r="O501" s="25">
        <f t="shared" si="13"/>
        <v>-1.590883865477899E-3</v>
      </c>
    </row>
    <row r="502" spans="1:15">
      <c r="A502" s="74">
        <v>528.93768655459394</v>
      </c>
      <c r="B502" s="74">
        <v>529.6429765379803</v>
      </c>
      <c r="C502" s="74">
        <v>526.52380675229949</v>
      </c>
      <c r="D502" s="74">
        <v>529.63304287624237</v>
      </c>
      <c r="E502" s="74">
        <v>4507665.0666938424</v>
      </c>
      <c r="F502" s="74" t="s">
        <v>570</v>
      </c>
      <c r="G502" s="25">
        <f t="shared" si="12"/>
        <v>-1.3129020762605581E-3</v>
      </c>
      <c r="I502" s="73">
        <v>264.14448477531914</v>
      </c>
      <c r="J502" s="73">
        <v>265.13127678359513</v>
      </c>
      <c r="K502" s="73">
        <v>260.89221567444309</v>
      </c>
      <c r="L502" s="73">
        <v>263.88791885316738</v>
      </c>
      <c r="M502" s="73">
        <v>487325.59239119734</v>
      </c>
      <c r="N502" s="73" t="s">
        <v>570</v>
      </c>
      <c r="O502" s="25">
        <f t="shared" si="13"/>
        <v>9.7225338418960305E-4</v>
      </c>
    </row>
    <row r="503" spans="1:15">
      <c r="A503" s="74">
        <v>527.74564714605344</v>
      </c>
      <c r="B503" s="74">
        <v>531.1727604456072</v>
      </c>
      <c r="C503" s="74">
        <v>524.51720708125652</v>
      </c>
      <c r="D503" s="74">
        <v>530.73567932914227</v>
      </c>
      <c r="E503" s="74">
        <v>5262665.6090852972</v>
      </c>
      <c r="F503" s="74" t="s">
        <v>571</v>
      </c>
      <c r="G503" s="25">
        <f t="shared" si="12"/>
        <v>-5.6337500935838003E-3</v>
      </c>
      <c r="I503" s="73">
        <v>262.92086268505687</v>
      </c>
      <c r="J503" s="73">
        <v>266.22168195274014</v>
      </c>
      <c r="K503" s="73">
        <v>260.13820790091938</v>
      </c>
      <c r="L503" s="73">
        <v>264.62801285937439</v>
      </c>
      <c r="M503" s="73">
        <v>479490.10128957365</v>
      </c>
      <c r="N503" s="73" t="s">
        <v>571</v>
      </c>
      <c r="O503" s="25">
        <f t="shared" si="13"/>
        <v>-6.4511317447889516E-3</v>
      </c>
    </row>
    <row r="504" spans="1:15">
      <c r="A504" s="74">
        <v>532.60320773585568</v>
      </c>
      <c r="B504" s="74">
        <v>533.7157778504934</v>
      </c>
      <c r="C504" s="74">
        <v>529.93105272837761</v>
      </c>
      <c r="D504" s="74">
        <v>530.56680707959913</v>
      </c>
      <c r="E504" s="74">
        <v>3389077.5515103652</v>
      </c>
      <c r="F504" s="74" t="s">
        <v>572</v>
      </c>
      <c r="G504" s="25">
        <f t="shared" si="12"/>
        <v>3.8381606785118372E-3</v>
      </c>
      <c r="I504" s="73">
        <v>265.2398239045055</v>
      </c>
      <c r="J504" s="73">
        <v>266.3351630336918</v>
      </c>
      <c r="K504" s="73">
        <v>263.17742860720864</v>
      </c>
      <c r="L504" s="73">
        <v>265.66414446806419</v>
      </c>
      <c r="M504" s="73">
        <v>309982.24289879488</v>
      </c>
      <c r="N504" s="73" t="s">
        <v>572</v>
      </c>
      <c r="O504" s="25">
        <f t="shared" si="13"/>
        <v>-1.5972067454127492E-3</v>
      </c>
    </row>
    <row r="505" spans="1:15">
      <c r="A505" s="74">
        <v>532.97075322015553</v>
      </c>
      <c r="B505" s="74">
        <v>534.04358868784198</v>
      </c>
      <c r="C505" s="74">
        <v>530.16946061008571</v>
      </c>
      <c r="D505" s="74">
        <v>533.15949279317454</v>
      </c>
      <c r="E505" s="74">
        <v>3695949.2852627807</v>
      </c>
      <c r="F505" s="74" t="s">
        <v>573</v>
      </c>
      <c r="G505" s="25">
        <f t="shared" si="12"/>
        <v>-3.5400208674929434E-4</v>
      </c>
      <c r="I505" s="73">
        <v>266.37463471402287</v>
      </c>
      <c r="J505" s="73">
        <v>269.7190701884719</v>
      </c>
      <c r="K505" s="73">
        <v>265.35823894549861</v>
      </c>
      <c r="L505" s="73">
        <v>268.34821873057484</v>
      </c>
      <c r="M505" s="73">
        <v>472178.53011805069</v>
      </c>
      <c r="N505" s="73" t="s">
        <v>573</v>
      </c>
      <c r="O505" s="25">
        <f t="shared" si="13"/>
        <v>-7.3545635066557535E-3</v>
      </c>
    </row>
    <row r="506" spans="1:15">
      <c r="A506" s="74">
        <v>533.79524714439606</v>
      </c>
      <c r="B506" s="74">
        <v>534.53033811299599</v>
      </c>
      <c r="C506" s="74">
        <v>532.00718803158543</v>
      </c>
      <c r="D506" s="74">
        <v>533.3382987044555</v>
      </c>
      <c r="E506" s="74">
        <v>5104272.8591080224</v>
      </c>
      <c r="F506" s="74" t="s">
        <v>574</v>
      </c>
      <c r="G506" s="25">
        <f t="shared" si="12"/>
        <v>8.5677034829600984E-4</v>
      </c>
      <c r="I506" s="73">
        <v>269.21659569785771</v>
      </c>
      <c r="J506" s="73">
        <v>272.15723588252024</v>
      </c>
      <c r="K506" s="73">
        <v>269.11791649703019</v>
      </c>
      <c r="L506" s="73">
        <v>272.15723588252024</v>
      </c>
      <c r="M506" s="73">
        <v>536025.82465590665</v>
      </c>
      <c r="N506" s="73" t="s">
        <v>574</v>
      </c>
      <c r="O506" s="25">
        <f t="shared" si="13"/>
        <v>-1.0804931109499871E-2</v>
      </c>
    </row>
    <row r="507" spans="1:15">
      <c r="A507" s="74">
        <v>531.74891282640169</v>
      </c>
      <c r="B507" s="74">
        <v>535.18595978769315</v>
      </c>
      <c r="C507" s="74">
        <v>531.59990790033407</v>
      </c>
      <c r="D507" s="74">
        <v>535.04688852336346</v>
      </c>
      <c r="E507" s="74">
        <v>3246835.945414796</v>
      </c>
      <c r="F507" s="74" t="s">
        <v>575</v>
      </c>
      <c r="G507" s="25">
        <f t="shared" si="12"/>
        <v>-6.1639003379004853E-3</v>
      </c>
      <c r="I507" s="73">
        <v>269.0291052162853</v>
      </c>
      <c r="J507" s="73">
        <v>270.38791781168135</v>
      </c>
      <c r="K507" s="73">
        <v>266.90750239849194</v>
      </c>
      <c r="L507" s="73">
        <v>269.05870897653364</v>
      </c>
      <c r="M507" s="73">
        <v>562125.54960706015</v>
      </c>
      <c r="N507" s="73" t="s">
        <v>575</v>
      </c>
      <c r="O507" s="25">
        <f t="shared" si="13"/>
        <v>-1.1002714002805725E-4</v>
      </c>
    </row>
    <row r="508" spans="1:15">
      <c r="A508" s="74">
        <v>531.66944353249903</v>
      </c>
      <c r="B508" s="74">
        <v>532.17606028112868</v>
      </c>
      <c r="C508" s="74">
        <v>528.68437818027905</v>
      </c>
      <c r="D508" s="74">
        <v>529.39463499453439</v>
      </c>
      <c r="E508" s="74">
        <v>3258834.5420195116</v>
      </c>
      <c r="F508" s="74" t="s">
        <v>576</v>
      </c>
      <c r="G508" s="25">
        <f t="shared" si="12"/>
        <v>4.2969996059520899E-3</v>
      </c>
      <c r="I508" s="73">
        <v>270.61784034960965</v>
      </c>
      <c r="J508" s="73">
        <v>272.73934448820222</v>
      </c>
      <c r="K508" s="73">
        <v>269.3843503392647</v>
      </c>
      <c r="L508" s="73">
        <v>270.0652368249751</v>
      </c>
      <c r="M508" s="73">
        <v>542347.31889956014</v>
      </c>
      <c r="N508" s="73" t="s">
        <v>576</v>
      </c>
      <c r="O508" s="25">
        <f t="shared" si="13"/>
        <v>2.0461853259281515E-3</v>
      </c>
    </row>
    <row r="509" spans="1:15">
      <c r="A509" s="74">
        <v>529.44430330322359</v>
      </c>
      <c r="B509" s="74">
        <v>534.04358868784198</v>
      </c>
      <c r="C509" s="74">
        <v>528.2919985416346</v>
      </c>
      <c r="D509" s="74">
        <v>533.81511446787169</v>
      </c>
      <c r="E509" s="74">
        <v>4843460.6764129233</v>
      </c>
      <c r="F509" s="74" t="s">
        <v>577</v>
      </c>
      <c r="G509" s="25">
        <f t="shared" si="12"/>
        <v>-8.1878745022143651E-3</v>
      </c>
      <c r="I509" s="73">
        <v>268.62452049289215</v>
      </c>
      <c r="J509" s="73">
        <v>273.39072589286525</v>
      </c>
      <c r="K509" s="73">
        <v>267.83508688627137</v>
      </c>
      <c r="L509" s="73">
        <v>271.54542483738908</v>
      </c>
      <c r="M509" s="73">
        <v>501562.63513391744</v>
      </c>
      <c r="N509" s="73" t="s">
        <v>577</v>
      </c>
      <c r="O509" s="25">
        <f t="shared" si="13"/>
        <v>-1.075659568282572E-2</v>
      </c>
    </row>
    <row r="510" spans="1:15">
      <c r="A510" s="74">
        <v>533.50717095399887</v>
      </c>
      <c r="B510" s="74">
        <v>534.41113417214194</v>
      </c>
      <c r="C510" s="74">
        <v>530.42773581526944</v>
      </c>
      <c r="D510" s="74">
        <v>530.70587834392882</v>
      </c>
      <c r="E510" s="74">
        <v>2656552.1049991744</v>
      </c>
      <c r="F510" s="74" t="s">
        <v>578</v>
      </c>
      <c r="G510" s="25">
        <f t="shared" si="12"/>
        <v>5.2784277023867343E-3</v>
      </c>
      <c r="I510" s="73">
        <v>271.63423611813391</v>
      </c>
      <c r="J510" s="73">
        <v>272.19670756285126</v>
      </c>
      <c r="K510" s="73">
        <v>266.38450263410562</v>
      </c>
      <c r="L510" s="73">
        <v>268.32848289040936</v>
      </c>
      <c r="M510" s="73">
        <v>394731.61186268437</v>
      </c>
      <c r="N510" s="73" t="s">
        <v>578</v>
      </c>
      <c r="O510" s="25">
        <f t="shared" si="13"/>
        <v>1.231979994115906E-2</v>
      </c>
    </row>
    <row r="511" spans="1:15">
      <c r="A511" s="74">
        <v>529.17609443630204</v>
      </c>
      <c r="B511" s="74">
        <v>529.89131808142622</v>
      </c>
      <c r="C511" s="74">
        <v>525.87811873934015</v>
      </c>
      <c r="D511" s="74">
        <v>525.98738901845638</v>
      </c>
      <c r="E511" s="74">
        <v>5465424.6775090043</v>
      </c>
      <c r="F511" s="74" t="s">
        <v>579</v>
      </c>
      <c r="G511" s="25">
        <f t="shared" si="12"/>
        <v>6.0623229461758132E-3</v>
      </c>
      <c r="I511" s="73">
        <v>267.5785209641196</v>
      </c>
      <c r="J511" s="73">
        <v>270.22312354629923</v>
      </c>
      <c r="K511" s="73">
        <v>264.78096562065713</v>
      </c>
      <c r="L511" s="73">
        <v>264.93391838193992</v>
      </c>
      <c r="M511" s="73">
        <v>605919.98616264365</v>
      </c>
      <c r="N511" s="73" t="s">
        <v>579</v>
      </c>
      <c r="O511" s="25">
        <f t="shared" si="13"/>
        <v>9.9821215733015833E-3</v>
      </c>
    </row>
    <row r="512" spans="1:15">
      <c r="A512" s="74">
        <v>526.04699098888329</v>
      </c>
      <c r="B512" s="74">
        <v>527.37810166175348</v>
      </c>
      <c r="C512" s="74">
        <v>524.58674271342147</v>
      </c>
      <c r="D512" s="74">
        <v>525.7589147984861</v>
      </c>
      <c r="E512" s="74">
        <v>3661925.577900907</v>
      </c>
      <c r="F512" s="74" t="s">
        <v>580</v>
      </c>
      <c r="G512" s="25">
        <f t="shared" si="12"/>
        <v>5.4792449978258162E-4</v>
      </c>
      <c r="I512" s="73">
        <v>264.6082770192088</v>
      </c>
      <c r="J512" s="73">
        <v>266.03912543120907</v>
      </c>
      <c r="K512" s="73">
        <v>262.23010827926367</v>
      </c>
      <c r="L512" s="73">
        <v>263.49320204985696</v>
      </c>
      <c r="M512" s="73">
        <v>446289.58920067077</v>
      </c>
      <c r="N512" s="73" t="s">
        <v>580</v>
      </c>
      <c r="O512" s="25">
        <f t="shared" si="13"/>
        <v>4.2318927421165498E-3</v>
      </c>
    </row>
    <row r="513" spans="1:15">
      <c r="A513" s="74">
        <v>526.93108688355096</v>
      </c>
      <c r="B513" s="74">
        <v>527.50723926434534</v>
      </c>
      <c r="C513" s="74">
        <v>522.81855092408637</v>
      </c>
      <c r="D513" s="74">
        <v>523.37483598140534</v>
      </c>
      <c r="E513" s="74">
        <v>2961430.6160586346</v>
      </c>
      <c r="F513" s="74" t="s">
        <v>581</v>
      </c>
      <c r="G513" s="25">
        <f t="shared" si="12"/>
        <v>6.7948450281853923E-3</v>
      </c>
      <c r="I513" s="73">
        <v>266.24635175294702</v>
      </c>
      <c r="J513" s="73">
        <v>267.52178042364375</v>
      </c>
      <c r="K513" s="73">
        <v>261.7860518755395</v>
      </c>
      <c r="L513" s="73">
        <v>263.34518324861557</v>
      </c>
      <c r="M513" s="73">
        <v>423229.00519801298</v>
      </c>
      <c r="N513" s="73" t="s">
        <v>581</v>
      </c>
      <c r="O513" s="25">
        <f t="shared" si="13"/>
        <v>1.1016599842620156E-2</v>
      </c>
    </row>
    <row r="514" spans="1:15">
      <c r="A514" s="74">
        <v>523.3549686579297</v>
      </c>
      <c r="B514" s="74">
        <v>523.88145273003499</v>
      </c>
      <c r="C514" s="74">
        <v>520.02719197575436</v>
      </c>
      <c r="D514" s="74">
        <v>520.84175223825696</v>
      </c>
      <c r="E514" s="74">
        <v>2644208.2177966391</v>
      </c>
      <c r="F514" s="74" t="s">
        <v>582</v>
      </c>
      <c r="G514" s="25">
        <f t="shared" si="12"/>
        <v>4.8252975282270238E-3</v>
      </c>
      <c r="I514" s="73">
        <v>262.64456092273963</v>
      </c>
      <c r="J514" s="73">
        <v>264.22342813598118</v>
      </c>
      <c r="K514" s="73">
        <v>258.29280816624242</v>
      </c>
      <c r="L514" s="73">
        <v>264.22342813598118</v>
      </c>
      <c r="M514" s="73">
        <v>440323.79301401024</v>
      </c>
      <c r="N514" s="73" t="s">
        <v>582</v>
      </c>
      <c r="O514" s="25">
        <f t="shared" si="13"/>
        <v>-5.9755004481623075E-3</v>
      </c>
    </row>
    <row r="515" spans="1:15">
      <c r="A515" s="74">
        <v>518.44773975943826</v>
      </c>
      <c r="B515" s="74">
        <v>522.23256421817143</v>
      </c>
      <c r="C515" s="74">
        <v>517.35503696827618</v>
      </c>
      <c r="D515" s="74">
        <v>521.65631250075955</v>
      </c>
      <c r="E515" s="74">
        <v>3997020.5396430702</v>
      </c>
      <c r="F515" s="74" t="s">
        <v>583</v>
      </c>
      <c r="G515" s="25">
        <f t="shared" si="12"/>
        <v>-6.15074075484634E-3</v>
      </c>
      <c r="I515" s="73">
        <v>263.69056045151217</v>
      </c>
      <c r="J515" s="73">
        <v>264.07540933473979</v>
      </c>
      <c r="K515" s="73">
        <v>261.18410875049113</v>
      </c>
      <c r="L515" s="73">
        <v>261.18410875049113</v>
      </c>
      <c r="M515" s="73">
        <v>373345.13951288257</v>
      </c>
      <c r="N515" s="73" t="s">
        <v>583</v>
      </c>
      <c r="O515" s="25">
        <f t="shared" si="13"/>
        <v>9.5964938794015353E-3</v>
      </c>
    </row>
    <row r="516" spans="1:15">
      <c r="A516" s="74">
        <v>523.15629542317288</v>
      </c>
      <c r="B516" s="74">
        <v>523.52384090747285</v>
      </c>
      <c r="C516" s="74">
        <v>518.83515256721387</v>
      </c>
      <c r="D516" s="74">
        <v>522.66954599801886</v>
      </c>
      <c r="E516" s="74">
        <v>5393957.5771852722</v>
      </c>
      <c r="F516" s="74" t="s">
        <v>584</v>
      </c>
      <c r="G516" s="25">
        <f t="shared" si="12"/>
        <v>9.312756575947656E-4</v>
      </c>
      <c r="I516" s="73">
        <v>263.48333412977416</v>
      </c>
      <c r="J516" s="73">
        <v>266.32529511360906</v>
      </c>
      <c r="K516" s="73">
        <v>260.75978818693244</v>
      </c>
      <c r="L516" s="73">
        <v>265.5753331873193</v>
      </c>
      <c r="M516" s="73">
        <v>421386.67167204921</v>
      </c>
      <c r="N516" s="73" t="s">
        <v>584</v>
      </c>
      <c r="O516" s="25">
        <f t="shared" si="13"/>
        <v>-7.8772340504589256E-3</v>
      </c>
    </row>
    <row r="517" spans="1:15">
      <c r="A517" s="74">
        <v>518.37820412727342</v>
      </c>
      <c r="B517" s="74">
        <v>520.28050035006913</v>
      </c>
      <c r="C517" s="74">
        <v>516.37160445623044</v>
      </c>
      <c r="D517" s="74">
        <v>518.10006159861393</v>
      </c>
      <c r="E517" s="74">
        <v>4034717.615493123</v>
      </c>
      <c r="F517" s="74" t="s">
        <v>585</v>
      </c>
      <c r="G517" s="25">
        <f t="shared" si="12"/>
        <v>5.3685098550504406E-4</v>
      </c>
      <c r="I517" s="73">
        <v>261.47027843289118</v>
      </c>
      <c r="J517" s="73">
        <v>261.49988219313946</v>
      </c>
      <c r="K517" s="73">
        <v>257.55271416003546</v>
      </c>
      <c r="L517" s="73">
        <v>261.24331627098769</v>
      </c>
      <c r="M517" s="73">
        <v>577445.90067720343</v>
      </c>
      <c r="N517" s="73" t="s">
        <v>585</v>
      </c>
      <c r="O517" s="25">
        <f t="shared" si="13"/>
        <v>8.6877691319786621E-4</v>
      </c>
    </row>
    <row r="518" spans="1:15">
      <c r="A518" s="74">
        <v>519.36163663931927</v>
      </c>
      <c r="B518" s="74">
        <v>520.37487013657858</v>
      </c>
      <c r="C518" s="74">
        <v>516.13329591113973</v>
      </c>
      <c r="D518" s="74">
        <v>518.38813778901124</v>
      </c>
      <c r="E518" s="74">
        <v>3292424.3711083229</v>
      </c>
      <c r="F518" s="74" t="s">
        <v>586</v>
      </c>
      <c r="G518" s="25">
        <f t="shared" si="12"/>
        <v>1.877934272300541E-3</v>
      </c>
      <c r="I518" s="73">
        <v>262.76297596373269</v>
      </c>
      <c r="J518" s="73">
        <v>263.00967396580171</v>
      </c>
      <c r="K518" s="73">
        <v>256.871827674325</v>
      </c>
      <c r="L518" s="73">
        <v>260.3946751438703</v>
      </c>
      <c r="M518" s="73">
        <v>691213.5427521891</v>
      </c>
      <c r="N518" s="73" t="s">
        <v>586</v>
      </c>
      <c r="O518" s="25">
        <f t="shared" si="13"/>
        <v>9.0950432014551552E-3</v>
      </c>
    </row>
    <row r="519" spans="1:15">
      <c r="A519" s="74">
        <v>519.27223368367868</v>
      </c>
      <c r="B519" s="74">
        <v>523.60331020137562</v>
      </c>
      <c r="C519" s="74">
        <v>516.77888458748168</v>
      </c>
      <c r="D519" s="74">
        <v>523.54370823094848</v>
      </c>
      <c r="E519" s="74">
        <v>9260086.8066232149</v>
      </c>
      <c r="F519" s="74" t="s">
        <v>587</v>
      </c>
      <c r="G519" s="25">
        <f t="shared" si="12"/>
        <v>-8.158773527625951E-3</v>
      </c>
      <c r="I519" s="73">
        <v>261.75644811529116</v>
      </c>
      <c r="J519" s="73">
        <v>265.67401238814693</v>
      </c>
      <c r="K519" s="73">
        <v>259.67441565702967</v>
      </c>
      <c r="L519" s="73">
        <v>264.69708829995369</v>
      </c>
      <c r="M519" s="73">
        <v>530816.01351345354</v>
      </c>
      <c r="N519" s="73" t="s">
        <v>587</v>
      </c>
      <c r="O519" s="25">
        <f t="shared" si="13"/>
        <v>-1.1109454220101567E-2</v>
      </c>
    </row>
    <row r="520" spans="1:15">
      <c r="A520" s="74">
        <v>524.16952892043219</v>
      </c>
      <c r="B520" s="74">
        <v>524.45263827996064</v>
      </c>
      <c r="C520" s="74">
        <v>518.72588228809775</v>
      </c>
      <c r="D520" s="74">
        <v>520.84175223825696</v>
      </c>
      <c r="E520" s="74">
        <v>8070889.8808808522</v>
      </c>
      <c r="F520" s="74" t="s">
        <v>588</v>
      </c>
      <c r="G520" s="25">
        <f t="shared" si="12"/>
        <v>6.3892279523953821E-3</v>
      </c>
      <c r="I520" s="73">
        <v>264.91418254177438</v>
      </c>
      <c r="J520" s="73">
        <v>266.92723823865742</v>
      </c>
      <c r="K520" s="73">
        <v>262.00314611736019</v>
      </c>
      <c r="L520" s="73">
        <v>266.92723823865742</v>
      </c>
      <c r="M520" s="73">
        <v>603426.04622458154</v>
      </c>
      <c r="N520" s="73" t="s">
        <v>588</v>
      </c>
      <c r="O520" s="25">
        <f t="shared" si="13"/>
        <v>-7.5415896487985856E-3</v>
      </c>
    </row>
    <row r="521" spans="1:15">
      <c r="A521" s="74">
        <v>521.89472038246765</v>
      </c>
      <c r="B521" s="74">
        <v>524.2688655378106</v>
      </c>
      <c r="C521" s="74">
        <v>520.84175223825696</v>
      </c>
      <c r="D521" s="74">
        <v>523.59337653963769</v>
      </c>
      <c r="E521" s="74">
        <v>5635982.1259820741</v>
      </c>
      <c r="F521" s="74" t="s">
        <v>589</v>
      </c>
      <c r="G521" s="25">
        <f t="shared" si="12"/>
        <v>-3.2442277409928666E-3</v>
      </c>
      <c r="I521" s="73">
        <v>267.0357853595678</v>
      </c>
      <c r="J521" s="73">
        <v>274.26897078023086</v>
      </c>
      <c r="K521" s="73">
        <v>266.8976344784092</v>
      </c>
      <c r="L521" s="73">
        <v>270.72638747052002</v>
      </c>
      <c r="M521" s="73">
        <v>912228.70924206637</v>
      </c>
      <c r="N521" s="73" t="s">
        <v>589</v>
      </c>
      <c r="O521" s="25">
        <f t="shared" si="13"/>
        <v>-1.3632221614725659E-2</v>
      </c>
    </row>
    <row r="522" spans="1:15">
      <c r="A522" s="74">
        <v>522.57160009328379</v>
      </c>
      <c r="B522" s="74">
        <v>524.77002524432999</v>
      </c>
      <c r="C522" s="74">
        <v>520.3830777582333</v>
      </c>
      <c r="D522" s="74">
        <v>524.52245484443733</v>
      </c>
      <c r="E522" s="74">
        <v>5325672.0131809711</v>
      </c>
      <c r="F522" s="74" t="s">
        <v>590</v>
      </c>
      <c r="G522" s="25">
        <f t="shared" si="12"/>
        <v>-3.7192969207240356E-3</v>
      </c>
      <c r="I522" s="73">
        <v>267.5785209641196</v>
      </c>
      <c r="J522" s="73">
        <v>268.28901121007829</v>
      </c>
      <c r="K522" s="73">
        <v>258.91942109149772</v>
      </c>
      <c r="L522" s="73">
        <v>258.91942109149772</v>
      </c>
      <c r="M522" s="73">
        <v>993853.81293612835</v>
      </c>
      <c r="N522" s="73" t="s">
        <v>590</v>
      </c>
      <c r="O522" s="25">
        <f t="shared" si="13"/>
        <v>3.3443222745202617E-2</v>
      </c>
    </row>
    <row r="523" spans="1:15">
      <c r="A523" s="74">
        <v>520.50191155018172</v>
      </c>
      <c r="B523" s="74">
        <v>522.17548745345562</v>
      </c>
      <c r="C523" s="74">
        <v>519.55124121459414</v>
      </c>
      <c r="D523" s="74">
        <v>521.4921931497521</v>
      </c>
      <c r="E523" s="74">
        <v>35765633.750405967</v>
      </c>
      <c r="F523" s="74" t="s">
        <v>591</v>
      </c>
      <c r="G523" s="25">
        <f t="shared" si="12"/>
        <v>-1.8989384933821851E-3</v>
      </c>
      <c r="I523" s="73">
        <v>254.6318098155385</v>
      </c>
      <c r="J523" s="73">
        <v>258.3224119264907</v>
      </c>
      <c r="K523" s="73">
        <v>253.74369700809009</v>
      </c>
      <c r="L523" s="73">
        <v>258.23360064574587</v>
      </c>
      <c r="M523" s="73">
        <v>747921.54153074091</v>
      </c>
      <c r="N523" s="73" t="s">
        <v>591</v>
      </c>
      <c r="O523" s="25">
        <f t="shared" si="13"/>
        <v>-1.3947800833046586E-2</v>
      </c>
    </row>
    <row r="524" spans="1:15">
      <c r="A524" s="74">
        <v>521.56151286172189</v>
      </c>
      <c r="B524" s="74">
        <v>521.71995791765323</v>
      </c>
      <c r="C524" s="74">
        <v>518.29358358313982</v>
      </c>
      <c r="D524" s="74">
        <v>520.89802419000989</v>
      </c>
      <c r="E524" s="74">
        <v>4696248.0187632013</v>
      </c>
      <c r="F524" s="74" t="s">
        <v>592</v>
      </c>
      <c r="G524" s="25">
        <f t="shared" si="12"/>
        <v>1.2737400429647661E-3</v>
      </c>
      <c r="I524" s="73">
        <v>258.51977032814597</v>
      </c>
      <c r="J524" s="73">
        <v>260.09863754138752</v>
      </c>
      <c r="K524" s="73">
        <v>255.77155458509728</v>
      </c>
      <c r="L524" s="73">
        <v>258.37175152690452</v>
      </c>
      <c r="M524" s="73">
        <v>818830.10120001354</v>
      </c>
      <c r="N524" s="73" t="s">
        <v>592</v>
      </c>
      <c r="O524" s="25">
        <f t="shared" si="13"/>
        <v>5.7289080701239392E-4</v>
      </c>
    </row>
    <row r="525" spans="1:15">
      <c r="A525" s="74">
        <v>520.06618764637074</v>
      </c>
      <c r="B525" s="74">
        <v>520.71977350208726</v>
      </c>
      <c r="C525" s="74">
        <v>518.7392103029465</v>
      </c>
      <c r="D525" s="74">
        <v>519.89783977444381</v>
      </c>
      <c r="E525" s="74">
        <v>29576592.1660132</v>
      </c>
      <c r="F525" s="74" t="s">
        <v>593</v>
      </c>
      <c r="G525" s="25">
        <f t="shared" si="12"/>
        <v>3.2380952380939299E-4</v>
      </c>
      <c r="I525" s="73">
        <v>257.61192168053202</v>
      </c>
      <c r="J525" s="73">
        <v>259.08224177286326</v>
      </c>
      <c r="K525" s="73">
        <v>255.23375294058684</v>
      </c>
      <c r="L525" s="73">
        <v>258.60858160889074</v>
      </c>
      <c r="M525" s="73">
        <v>650107.61601199722</v>
      </c>
      <c r="N525" s="73" t="s">
        <v>593</v>
      </c>
      <c r="O525" s="25">
        <f t="shared" si="13"/>
        <v>-3.8539321555308703E-3</v>
      </c>
    </row>
    <row r="526" spans="1:15">
      <c r="A526" s="74">
        <v>518.78872438292501</v>
      </c>
      <c r="B526" s="74">
        <v>519.81861724647808</v>
      </c>
      <c r="C526" s="74">
        <v>516.05554716811071</v>
      </c>
      <c r="D526" s="74">
        <v>518.42232019108394</v>
      </c>
      <c r="E526" s="74">
        <v>5667759.5569129474</v>
      </c>
      <c r="F526" s="74" t="s">
        <v>594</v>
      </c>
      <c r="G526" s="25">
        <f t="shared" si="12"/>
        <v>7.0676777903000421E-4</v>
      </c>
      <c r="I526" s="73">
        <v>258.14478936500109</v>
      </c>
      <c r="J526" s="73">
        <v>262.41759876083614</v>
      </c>
      <c r="K526" s="73">
        <v>256.57579007184222</v>
      </c>
      <c r="L526" s="73">
        <v>261.84525939603606</v>
      </c>
      <c r="M526" s="73">
        <v>1322322.2209507821</v>
      </c>
      <c r="N526" s="73" t="s">
        <v>594</v>
      </c>
      <c r="O526" s="25">
        <f t="shared" si="13"/>
        <v>-1.4132278123233366E-2</v>
      </c>
    </row>
    <row r="527" spans="1:15">
      <c r="A527" s="74">
        <v>519.80871443048238</v>
      </c>
      <c r="B527" s="74">
        <v>521.4822903337564</v>
      </c>
      <c r="C527" s="74">
        <v>517.11514847965111</v>
      </c>
      <c r="D527" s="74">
        <v>519.77900598249528</v>
      </c>
      <c r="E527" s="74">
        <v>5612919.6002545981</v>
      </c>
      <c r="F527" s="74" t="s">
        <v>595</v>
      </c>
      <c r="G527" s="25">
        <f t="shared" si="12"/>
        <v>5.7155921353357897E-5</v>
      </c>
      <c r="I527" s="73">
        <v>264.68722037987095</v>
      </c>
      <c r="J527" s="73">
        <v>266.74468171712635</v>
      </c>
      <c r="K527" s="73">
        <v>261.10516538982904</v>
      </c>
      <c r="L527" s="73">
        <v>266.43384223451943</v>
      </c>
      <c r="M527" s="73">
        <v>811739.4479100419</v>
      </c>
      <c r="N527" s="73" t="s">
        <v>595</v>
      </c>
      <c r="O527" s="25">
        <f t="shared" si="13"/>
        <v>-6.5555555555554257E-3</v>
      </c>
    </row>
    <row r="528" spans="1:15">
      <c r="A528" s="74">
        <v>510.89618003434907</v>
      </c>
      <c r="B528" s="74">
        <v>517.64990054341911</v>
      </c>
      <c r="C528" s="74">
        <v>510.4604561305382</v>
      </c>
      <c r="D528" s="74">
        <v>513.14411926537377</v>
      </c>
      <c r="E528" s="74">
        <v>6989201.8623821521</v>
      </c>
      <c r="F528" s="74" t="s">
        <v>596</v>
      </c>
      <c r="G528" s="25">
        <f t="shared" si="12"/>
        <v>-4.3807171253231747E-3</v>
      </c>
      <c r="I528" s="73">
        <v>259.26973225443567</v>
      </c>
      <c r="J528" s="73">
        <v>265.03013060274679</v>
      </c>
      <c r="K528" s="73">
        <v>258.45562884760801</v>
      </c>
      <c r="L528" s="73">
        <v>262.26957995959469</v>
      </c>
      <c r="M528" s="73">
        <v>700565.05748133862</v>
      </c>
      <c r="N528" s="73" t="s">
        <v>596</v>
      </c>
      <c r="O528" s="25">
        <f t="shared" si="13"/>
        <v>-1.1438031454586439E-2</v>
      </c>
    </row>
    <row r="529" spans="1:15">
      <c r="A529" s="74">
        <v>512.55985312162738</v>
      </c>
      <c r="B529" s="74">
        <v>515.6742887522762</v>
      </c>
      <c r="C529" s="74">
        <v>510.49016457852525</v>
      </c>
      <c r="D529" s="74">
        <v>514.39187408083262</v>
      </c>
      <c r="E529" s="74">
        <v>8229938.8411698611</v>
      </c>
      <c r="F529" s="74" t="s">
        <v>597</v>
      </c>
      <c r="G529" s="25">
        <f t="shared" si="12"/>
        <v>-3.5615277991684069E-3</v>
      </c>
      <c r="I529" s="73">
        <v>259.72365657824264</v>
      </c>
      <c r="J529" s="73">
        <v>261.7071085148774</v>
      </c>
      <c r="K529" s="73">
        <v>257.53297831986993</v>
      </c>
      <c r="L529" s="73">
        <v>259.31907185484948</v>
      </c>
      <c r="M529" s="73">
        <v>734085.79916001298</v>
      </c>
      <c r="N529" s="73" t="s">
        <v>597</v>
      </c>
      <c r="O529" s="25">
        <f t="shared" si="13"/>
        <v>1.5601811332242033E-3</v>
      </c>
    </row>
    <row r="530" spans="1:15">
      <c r="A530" s="74">
        <v>512.32218553773043</v>
      </c>
      <c r="B530" s="74">
        <v>512.55985312162738</v>
      </c>
      <c r="C530" s="74">
        <v>509.64842521889045</v>
      </c>
      <c r="D530" s="74">
        <v>511.32200112216441</v>
      </c>
      <c r="E530" s="74">
        <v>4298022.9076724881</v>
      </c>
      <c r="F530" s="74" t="s">
        <v>598</v>
      </c>
      <c r="G530" s="25">
        <f t="shared" si="12"/>
        <v>1.9560754541581016E-3</v>
      </c>
      <c r="I530" s="73">
        <v>258.61844952897349</v>
      </c>
      <c r="J530" s="73">
        <v>262.67416468298785</v>
      </c>
      <c r="K530" s="73">
        <v>258.41122320723559</v>
      </c>
      <c r="L530" s="73">
        <v>261.45054259272564</v>
      </c>
      <c r="M530" s="73">
        <v>554992.33415642264</v>
      </c>
      <c r="N530" s="73" t="s">
        <v>598</v>
      </c>
      <c r="O530" s="25">
        <f t="shared" si="13"/>
        <v>-1.0832232496697625E-2</v>
      </c>
    </row>
    <row r="531" spans="1:15">
      <c r="A531" s="74">
        <v>511.5497658900656</v>
      </c>
      <c r="B531" s="74">
        <v>512.50043622565306</v>
      </c>
      <c r="C531" s="74">
        <v>509.23250694707093</v>
      </c>
      <c r="D531" s="74">
        <v>509.4305632669849</v>
      </c>
      <c r="E531" s="74">
        <v>4459984.9193564206</v>
      </c>
      <c r="F531" s="74" t="s">
        <v>599</v>
      </c>
      <c r="G531" s="25">
        <f t="shared" si="12"/>
        <v>4.1599440157069623E-3</v>
      </c>
      <c r="I531" s="73">
        <v>259.44735481592539</v>
      </c>
      <c r="J531" s="73">
        <v>260.99661826891867</v>
      </c>
      <c r="K531" s="73">
        <v>254.66141357578678</v>
      </c>
      <c r="L531" s="73">
        <v>256.05279030745595</v>
      </c>
      <c r="M531" s="73">
        <v>542199.36472200742</v>
      </c>
      <c r="N531" s="73" t="s">
        <v>599</v>
      </c>
      <c r="O531" s="25">
        <f t="shared" si="13"/>
        <v>1.3257283798365993E-2</v>
      </c>
    </row>
    <row r="532" spans="1:15">
      <c r="A532" s="74">
        <v>508.84629712323851</v>
      </c>
      <c r="B532" s="74">
        <v>509.14318354678971</v>
      </c>
      <c r="C532" s="74">
        <v>503.12246947772172</v>
      </c>
      <c r="D532" s="74">
        <v>505.13274112484953</v>
      </c>
      <c r="E532" s="74">
        <v>4139769.9419827382</v>
      </c>
      <c r="F532" s="74" t="s">
        <v>600</v>
      </c>
      <c r="G532" s="25">
        <f t="shared" si="12"/>
        <v>7.3516438275600393E-3</v>
      </c>
      <c r="I532" s="73">
        <v>254.59233813520746</v>
      </c>
      <c r="J532" s="73">
        <v>255.0462624590144</v>
      </c>
      <c r="K532" s="73">
        <v>248.85907656712391</v>
      </c>
      <c r="L532" s="73">
        <v>254.27656469255913</v>
      </c>
      <c r="M532" s="73">
        <v>655053.94711223326</v>
      </c>
      <c r="N532" s="73" t="s">
        <v>600</v>
      </c>
      <c r="O532" s="25">
        <f t="shared" si="13"/>
        <v>1.2418503570319483E-3</v>
      </c>
    </row>
    <row r="533" spans="1:15">
      <c r="A533" s="74">
        <v>504.50886371712022</v>
      </c>
      <c r="B533" s="74">
        <v>505.4793396846992</v>
      </c>
      <c r="C533" s="74">
        <v>491.42724378679566</v>
      </c>
      <c r="D533" s="74">
        <v>499.40891347933285</v>
      </c>
      <c r="E533" s="74">
        <v>4994369.2805619482</v>
      </c>
      <c r="F533" s="74" t="s">
        <v>601</v>
      </c>
      <c r="G533" s="25">
        <f t="shared" si="12"/>
        <v>1.0211972794511137E-2</v>
      </c>
      <c r="I533" s="73">
        <v>253.45752732569008</v>
      </c>
      <c r="J533" s="73">
        <v>255.18441334017308</v>
      </c>
      <c r="K533" s="73">
        <v>246.02204954333041</v>
      </c>
      <c r="L533" s="73">
        <v>254.85877197744196</v>
      </c>
      <c r="M533" s="73">
        <v>1205320.8680499711</v>
      </c>
      <c r="N533" s="73" t="s">
        <v>601</v>
      </c>
      <c r="O533" s="25">
        <f t="shared" si="13"/>
        <v>-5.4981221202615727E-3</v>
      </c>
    </row>
    <row r="534" spans="1:15">
      <c r="A534" s="74">
        <v>499.39901066333715</v>
      </c>
      <c r="B534" s="74">
        <v>499.80007471116312</v>
      </c>
      <c r="C534" s="74">
        <v>494.64536190091951</v>
      </c>
      <c r="D534" s="74">
        <v>499.05241210348748</v>
      </c>
      <c r="E534" s="74">
        <v>3004584.7578010764</v>
      </c>
      <c r="F534" s="74" t="s">
        <v>602</v>
      </c>
      <c r="G534" s="25">
        <f t="shared" si="12"/>
        <v>6.9451334457792946E-4</v>
      </c>
      <c r="I534" s="73">
        <v>258.52963824822871</v>
      </c>
      <c r="J534" s="73">
        <v>258.80594001054595</v>
      </c>
      <c r="K534" s="73">
        <v>253.65488572734526</v>
      </c>
      <c r="L534" s="73">
        <v>257.05931815589747</v>
      </c>
      <c r="M534" s="73">
        <v>560207.21222276462</v>
      </c>
      <c r="N534" s="73" t="s">
        <v>602</v>
      </c>
      <c r="O534" s="25">
        <f t="shared" si="13"/>
        <v>5.7197696737043557E-3</v>
      </c>
    </row>
    <row r="535" spans="1:15">
      <c r="A535" s="74">
        <v>497.34912775222648</v>
      </c>
      <c r="B535" s="74">
        <v>498.47804877573668</v>
      </c>
      <c r="C535" s="74">
        <v>493.90294778572161</v>
      </c>
      <c r="D535" s="74">
        <v>495.73496874492679</v>
      </c>
      <c r="E535" s="74">
        <v>3692683.9815932065</v>
      </c>
      <c r="F535" s="74" t="s">
        <v>603</v>
      </c>
      <c r="G535" s="25">
        <f t="shared" si="12"/>
        <v>3.2560926887734709E-3</v>
      </c>
      <c r="I535" s="73">
        <v>255.82582814555246</v>
      </c>
      <c r="J535" s="73">
        <v>258.73577909875752</v>
      </c>
      <c r="K535" s="73">
        <v>254.45418725404883</v>
      </c>
      <c r="L535" s="73">
        <v>255.80609230538695</v>
      </c>
      <c r="M535" s="73">
        <v>587031.507290015</v>
      </c>
      <c r="N535" s="73" t="s">
        <v>603</v>
      </c>
      <c r="O535" s="25">
        <f t="shared" si="13"/>
        <v>7.7151564247923687E-5</v>
      </c>
    </row>
    <row r="536" spans="1:15">
      <c r="A536" s="74">
        <v>491.81345361062807</v>
      </c>
      <c r="B536" s="74">
        <v>502.01335408620292</v>
      </c>
      <c r="C536" s="74">
        <v>490.98161706698903</v>
      </c>
      <c r="D536" s="74">
        <v>500.42890352689028</v>
      </c>
      <c r="E536" s="74">
        <v>7484173.1919642175</v>
      </c>
      <c r="F536" s="74" t="s">
        <v>604</v>
      </c>
      <c r="G536" s="25">
        <f t="shared" si="12"/>
        <v>-1.7216131713301941E-2</v>
      </c>
      <c r="I536" s="73">
        <v>252.30298067600714</v>
      </c>
      <c r="J536" s="73">
        <v>258.42109112731833</v>
      </c>
      <c r="K536" s="73">
        <v>250.55635882135863</v>
      </c>
      <c r="L536" s="73">
        <v>256.82248807391119</v>
      </c>
      <c r="M536" s="73">
        <v>617398.59554030688</v>
      </c>
      <c r="N536" s="73" t="s">
        <v>604</v>
      </c>
      <c r="O536" s="25">
        <f t="shared" si="13"/>
        <v>-1.759778682855595E-2</v>
      </c>
    </row>
    <row r="537" spans="1:15">
      <c r="A537" s="74">
        <v>500.14172186301494</v>
      </c>
      <c r="B537" s="74">
        <v>503.99391728534363</v>
      </c>
      <c r="C537" s="74">
        <v>497.95319952796439</v>
      </c>
      <c r="D537" s="74">
        <v>501.43899075845212</v>
      </c>
      <c r="E537" s="74">
        <v>3459186.762115113</v>
      </c>
      <c r="F537" s="74" t="s">
        <v>605</v>
      </c>
      <c r="G537" s="25">
        <f t="shared" si="12"/>
        <v>-2.5870921873766273E-3</v>
      </c>
      <c r="I537" s="73">
        <v>253.52660276626941</v>
      </c>
      <c r="J537" s="73">
        <v>255.26335670083515</v>
      </c>
      <c r="K537" s="73">
        <v>249.85080253544129</v>
      </c>
      <c r="L537" s="73">
        <v>252.48060323749684</v>
      </c>
      <c r="M537" s="73">
        <v>568341.65183382691</v>
      </c>
      <c r="N537" s="73" t="s">
        <v>605</v>
      </c>
      <c r="O537" s="25">
        <f t="shared" si="13"/>
        <v>4.1428906433205182E-3</v>
      </c>
    </row>
    <row r="538" spans="1:15">
      <c r="A538" s="74">
        <v>501.37957386247791</v>
      </c>
      <c r="B538" s="74">
        <v>504.57818342909013</v>
      </c>
      <c r="C538" s="74">
        <v>500.11201341502777</v>
      </c>
      <c r="D538" s="74">
        <v>500.76559927074425</v>
      </c>
      <c r="E538" s="74">
        <v>3636716.0629486055</v>
      </c>
      <c r="F538" s="74" t="s">
        <v>606</v>
      </c>
      <c r="G538" s="25">
        <f t="shared" si="12"/>
        <v>1.2260718240786339E-3</v>
      </c>
      <c r="I538" s="73">
        <v>253.27003684411764</v>
      </c>
      <c r="J538" s="73">
        <v>258.6776570494701</v>
      </c>
      <c r="K538" s="73">
        <v>252.50379284969131</v>
      </c>
      <c r="L538" s="73">
        <v>257.12839359647677</v>
      </c>
      <c r="M538" s="73">
        <v>666256.91583034641</v>
      </c>
      <c r="N538" s="73" t="s">
        <v>606</v>
      </c>
      <c r="O538" s="25">
        <f t="shared" si="13"/>
        <v>-1.5005564723490683E-2</v>
      </c>
    </row>
    <row r="539" spans="1:15">
      <c r="A539" s="74">
        <v>502.62732867793653</v>
      </c>
      <c r="B539" s="74">
        <v>510.42084486655529</v>
      </c>
      <c r="C539" s="74">
        <v>500.19123594299344</v>
      </c>
      <c r="D539" s="74">
        <v>510.11385757068854</v>
      </c>
      <c r="E539" s="74">
        <v>5924012.9298021281</v>
      </c>
      <c r="F539" s="74" t="s">
        <v>607</v>
      </c>
      <c r="G539" s="25">
        <f t="shared" si="12"/>
        <v>-1.4676191955272588E-2</v>
      </c>
      <c r="I539" s="73">
        <v>258.02637432400792</v>
      </c>
      <c r="J539" s="73">
        <v>266.79402131754017</v>
      </c>
      <c r="K539" s="73">
        <v>256.47711087101464</v>
      </c>
      <c r="L539" s="73">
        <v>265.9305783102987</v>
      </c>
      <c r="M539" s="73">
        <v>641067.21040961938</v>
      </c>
      <c r="N539" s="73" t="s">
        <v>607</v>
      </c>
      <c r="O539" s="25">
        <f t="shared" si="13"/>
        <v>-2.9722809751753454E-2</v>
      </c>
    </row>
    <row r="540" spans="1:15">
      <c r="A540" s="74">
        <v>513.00547984143395</v>
      </c>
      <c r="B540" s="74">
        <v>513.54023190520206</v>
      </c>
      <c r="C540" s="74">
        <v>507.14301277197745</v>
      </c>
      <c r="D540" s="74">
        <v>510.41094205055958</v>
      </c>
      <c r="E540" s="74">
        <v>5693052.3625258831</v>
      </c>
      <c r="F540" s="74" t="s">
        <v>608</v>
      </c>
      <c r="G540" s="25">
        <f t="shared" si="12"/>
        <v>5.0832330914594159E-3</v>
      </c>
      <c r="I540" s="73">
        <v>268.43703001131968</v>
      </c>
      <c r="J540" s="73">
        <v>268.72319969371972</v>
      </c>
      <c r="K540" s="73">
        <v>262.18570263889126</v>
      </c>
      <c r="L540" s="73">
        <v>264.8845787815261</v>
      </c>
      <c r="M540" s="73">
        <v>974921.75851805601</v>
      </c>
      <c r="N540" s="73" t="s">
        <v>608</v>
      </c>
      <c r="O540" s="25">
        <f t="shared" si="13"/>
        <v>1.3411317661960132E-2</v>
      </c>
    </row>
    <row r="541" spans="1:15">
      <c r="A541" s="74">
        <v>508.22241971550915</v>
      </c>
      <c r="B541" s="74">
        <v>513.05499392141257</v>
      </c>
      <c r="C541" s="74">
        <v>507.1529155879731</v>
      </c>
      <c r="D541" s="74">
        <v>509.98512096274442</v>
      </c>
      <c r="E541" s="74">
        <v>3521367.0551011832</v>
      </c>
      <c r="F541" s="74" t="s">
        <v>609</v>
      </c>
      <c r="G541" s="25">
        <f t="shared" si="12"/>
        <v>-3.4563777937436369E-3</v>
      </c>
      <c r="I541" s="73">
        <v>262.99980604571891</v>
      </c>
      <c r="J541" s="73">
        <v>265.70361614839516</v>
      </c>
      <c r="K541" s="73">
        <v>258.81580793062869</v>
      </c>
      <c r="L541" s="73">
        <v>260.54269394511169</v>
      </c>
      <c r="M541" s="73">
        <v>555536.52178207866</v>
      </c>
      <c r="N541" s="73" t="s">
        <v>609</v>
      </c>
      <c r="O541" s="25">
        <f t="shared" si="13"/>
        <v>9.4307465060787798E-3</v>
      </c>
    </row>
    <row r="542" spans="1:15">
      <c r="A542" s="74">
        <v>508.14319718754348</v>
      </c>
      <c r="B542" s="74">
        <v>511.21307014621163</v>
      </c>
      <c r="C542" s="74">
        <v>505.2020608368195</v>
      </c>
      <c r="D542" s="74">
        <v>510.78724905839636</v>
      </c>
      <c r="E542" s="74">
        <v>3979098.4723027707</v>
      </c>
      <c r="F542" s="74" t="s">
        <v>610</v>
      </c>
      <c r="G542" s="25">
        <f t="shared" si="12"/>
        <v>-5.1764249709189691E-3</v>
      </c>
      <c r="I542" s="73">
        <v>258.47043072773215</v>
      </c>
      <c r="J542" s="73">
        <v>260.42921286415998</v>
      </c>
      <c r="K542" s="73">
        <v>256.70407303291807</v>
      </c>
      <c r="L542" s="73">
        <v>260.33546762337375</v>
      </c>
      <c r="M542" s="73">
        <v>594092.77242143173</v>
      </c>
      <c r="N542" s="73" t="s">
        <v>610</v>
      </c>
      <c r="O542" s="25">
        <f t="shared" si="13"/>
        <v>-7.1639754377983422E-3</v>
      </c>
    </row>
    <row r="543" spans="1:15">
      <c r="A543" s="74">
        <v>511.06452790627611</v>
      </c>
      <c r="B543" s="74">
        <v>511.569571522057</v>
      </c>
      <c r="C543" s="74">
        <v>508.17290563553058</v>
      </c>
      <c r="D543" s="74">
        <v>509.26221539505798</v>
      </c>
      <c r="E543" s="74">
        <v>3061531.1859932854</v>
      </c>
      <c r="F543" s="74" t="s">
        <v>611</v>
      </c>
      <c r="G543" s="25">
        <f t="shared" si="12"/>
        <v>3.5390658421812216E-3</v>
      </c>
      <c r="I543" s="73">
        <v>259.84207161923575</v>
      </c>
      <c r="J543" s="73">
        <v>263.72016421176045</v>
      </c>
      <c r="K543" s="73">
        <v>259.2894680946012</v>
      </c>
      <c r="L543" s="73">
        <v>263.72016421176045</v>
      </c>
      <c r="M543" s="73">
        <v>525078.22890178848</v>
      </c>
      <c r="N543" s="73" t="s">
        <v>611</v>
      </c>
      <c r="O543" s="25">
        <f t="shared" si="13"/>
        <v>-1.470533208606184E-2</v>
      </c>
    </row>
    <row r="544" spans="1:15">
      <c r="A544" s="74">
        <v>510.38123360257254</v>
      </c>
      <c r="B544" s="74">
        <v>513.2530502413266</v>
      </c>
      <c r="C544" s="74">
        <v>508.88095697922341</v>
      </c>
      <c r="D544" s="74">
        <v>512.60936720160589</v>
      </c>
      <c r="E544" s="74">
        <v>3431993.4869783409</v>
      </c>
      <c r="F544" s="74" t="s">
        <v>612</v>
      </c>
      <c r="G544" s="25">
        <f t="shared" ref="G544:G607" si="14">A544/D544-1</f>
        <v>-4.3466501815934144E-3</v>
      </c>
      <c r="I544" s="73">
        <v>264.55893741879504</v>
      </c>
      <c r="J544" s="73">
        <v>270.02576514464403</v>
      </c>
      <c r="K544" s="73">
        <v>263.61161709085007</v>
      </c>
      <c r="L544" s="73">
        <v>268.57518089247839</v>
      </c>
      <c r="M544" s="73">
        <v>382737.18963314238</v>
      </c>
      <c r="N544" s="73" t="s">
        <v>612</v>
      </c>
      <c r="O544" s="25">
        <f t="shared" ref="O544:O607" si="15">I544/L544-1</f>
        <v>-1.4953889113421881E-2</v>
      </c>
    </row>
    <row r="545" spans="1:15">
      <c r="A545" s="74">
        <v>511.63889123402686</v>
      </c>
      <c r="B545" s="74">
        <v>512.52024185764446</v>
      </c>
      <c r="C545" s="74">
        <v>507.27382897128069</v>
      </c>
      <c r="D545" s="74">
        <v>509.331535107028</v>
      </c>
      <c r="E545" s="74">
        <v>5152868.6408127062</v>
      </c>
      <c r="F545" s="74" t="s">
        <v>613</v>
      </c>
      <c r="G545" s="25">
        <f t="shared" si="14"/>
        <v>4.5301654579743555E-3</v>
      </c>
      <c r="I545" s="73">
        <v>267.40089840262993</v>
      </c>
      <c r="J545" s="73">
        <v>267.85482272643685</v>
      </c>
      <c r="K545" s="73">
        <v>260.42427890411864</v>
      </c>
      <c r="L545" s="73">
        <v>261.25318419107043</v>
      </c>
      <c r="M545" s="73">
        <v>519785.32020755921</v>
      </c>
      <c r="N545" s="73" t="s">
        <v>613</v>
      </c>
      <c r="O545" s="25">
        <f t="shared" si="15"/>
        <v>2.3531633616619585E-2</v>
      </c>
    </row>
    <row r="546" spans="1:15">
      <c r="A546" s="74">
        <v>506.16263398840277</v>
      </c>
      <c r="B546" s="74">
        <v>512.59946438561019</v>
      </c>
      <c r="C546" s="74">
        <v>505.14264394084529</v>
      </c>
      <c r="D546" s="74">
        <v>512.02510105785927</v>
      </c>
      <c r="E546" s="74">
        <v>3713173.1030802694</v>
      </c>
      <c r="F546" s="74" t="s">
        <v>614</v>
      </c>
      <c r="G546" s="25">
        <f t="shared" si="14"/>
        <v>-1.1449569674112592E-2</v>
      </c>
      <c r="I546" s="73">
        <v>259.55590193683571</v>
      </c>
      <c r="J546" s="73">
        <v>263.5820133306018</v>
      </c>
      <c r="K546" s="73">
        <v>258.69739288963564</v>
      </c>
      <c r="L546" s="73">
        <v>263.05901356621553</v>
      </c>
      <c r="M546" s="73">
        <v>495961.65746724978</v>
      </c>
      <c r="N546" s="73" t="s">
        <v>614</v>
      </c>
      <c r="O546" s="25">
        <f t="shared" si="15"/>
        <v>-1.3316827969090062E-2</v>
      </c>
    </row>
    <row r="547" spans="1:15">
      <c r="A547" s="74">
        <v>510.29210825861117</v>
      </c>
      <c r="B547" s="74">
        <v>511.63879220586693</v>
      </c>
      <c r="C547" s="74">
        <v>507.86591833966384</v>
      </c>
      <c r="D547" s="74">
        <v>509.47017453096782</v>
      </c>
      <c r="E547" s="74">
        <v>3376867.7530217734</v>
      </c>
      <c r="F547" s="74" t="s">
        <v>615</v>
      </c>
      <c r="G547" s="25">
        <f t="shared" si="14"/>
        <v>1.6133107858571361E-3</v>
      </c>
      <c r="I547" s="73">
        <v>262.04261779769126</v>
      </c>
      <c r="J547" s="73">
        <v>264.42078653763639</v>
      </c>
      <c r="K547" s="73">
        <v>259.15131721344255</v>
      </c>
      <c r="L547" s="73">
        <v>263.47346620969142</v>
      </c>
      <c r="M547" s="73">
        <v>861165.26367562579</v>
      </c>
      <c r="N547" s="73" t="s">
        <v>615</v>
      </c>
      <c r="O547" s="25">
        <f t="shared" si="15"/>
        <v>-5.4307116104868047E-3</v>
      </c>
    </row>
    <row r="548" spans="1:15">
      <c r="A548" s="74">
        <v>508.50960137938455</v>
      </c>
      <c r="B548" s="74">
        <v>510.47025991837393</v>
      </c>
      <c r="C548" s="74">
        <v>507.27174937992157</v>
      </c>
      <c r="D548" s="74">
        <v>508.92551965120407</v>
      </c>
      <c r="E548" s="74">
        <v>3186953.0862425533</v>
      </c>
      <c r="F548" s="74" t="s">
        <v>616</v>
      </c>
      <c r="G548" s="25">
        <f t="shared" si="14"/>
        <v>-8.1724782067238433E-4</v>
      </c>
      <c r="I548" s="73">
        <v>261.90446691653261</v>
      </c>
      <c r="J548" s="73">
        <v>263.80897549250523</v>
      </c>
      <c r="K548" s="73">
        <v>260.48279567020933</v>
      </c>
      <c r="L548" s="73">
        <v>261.1545049902428</v>
      </c>
      <c r="M548" s="73">
        <v>455948.15951748088</v>
      </c>
      <c r="N548" s="73" t="s">
        <v>616</v>
      </c>
      <c r="O548" s="25">
        <f t="shared" si="15"/>
        <v>2.8717173625545378E-3</v>
      </c>
    </row>
    <row r="549" spans="1:15">
      <c r="A549" s="74">
        <v>509.35134073901935</v>
      </c>
      <c r="B549" s="74">
        <v>509.35134073901935</v>
      </c>
      <c r="C549" s="74">
        <v>504.1127510772921</v>
      </c>
      <c r="D549" s="74">
        <v>504.9049763569484</v>
      </c>
      <c r="E549" s="74">
        <v>3841647.6703702165</v>
      </c>
      <c r="F549" s="74" t="s">
        <v>617</v>
      </c>
      <c r="G549" s="25">
        <f t="shared" si="14"/>
        <v>8.8063389950181481E-3</v>
      </c>
      <c r="I549" s="73">
        <v>261.69724059479461</v>
      </c>
      <c r="J549" s="73">
        <v>263.02940980596725</v>
      </c>
      <c r="K549" s="73">
        <v>258.81580793062869</v>
      </c>
      <c r="L549" s="73">
        <v>259.97035458031161</v>
      </c>
      <c r="M549" s="73">
        <v>385752.00934697199</v>
      </c>
      <c r="N549" s="73" t="s">
        <v>617</v>
      </c>
      <c r="O549" s="25">
        <f t="shared" si="15"/>
        <v>6.642626684380426E-3</v>
      </c>
    </row>
    <row r="550" spans="1:15">
      <c r="A550" s="74">
        <v>504.49896090112452</v>
      </c>
      <c r="B550" s="74">
        <v>505.15254675684099</v>
      </c>
      <c r="C550" s="74">
        <v>501.72617242232747</v>
      </c>
      <c r="D550" s="74">
        <v>501.91432592624585</v>
      </c>
      <c r="E550" s="74">
        <v>3483136.5154078021</v>
      </c>
      <c r="F550" s="74" t="s">
        <v>618</v>
      </c>
      <c r="G550" s="25">
        <f t="shared" si="14"/>
        <v>5.149554099913134E-3</v>
      </c>
      <c r="I550" s="73">
        <v>259.22039265402191</v>
      </c>
      <c r="J550" s="73">
        <v>263.779371732257</v>
      </c>
      <c r="K550" s="73">
        <v>257.15799735672505</v>
      </c>
      <c r="L550" s="73">
        <v>260.00982626064268</v>
      </c>
      <c r="M550" s="73">
        <v>554719.73365120578</v>
      </c>
      <c r="N550" s="73" t="s">
        <v>618</v>
      </c>
      <c r="O550" s="25">
        <f t="shared" si="15"/>
        <v>-3.0361683555352181E-3</v>
      </c>
    </row>
    <row r="551" spans="1:15">
      <c r="A551" s="74">
        <v>503.43935958958423</v>
      </c>
      <c r="B551" s="74">
        <v>503.64731872549402</v>
      </c>
      <c r="C551" s="74">
        <v>499.58290595637737</v>
      </c>
      <c r="D551" s="74">
        <v>500.18133312699769</v>
      </c>
      <c r="E551" s="74">
        <v>4320945.680356387</v>
      </c>
      <c r="F551" s="74" t="s">
        <v>619</v>
      </c>
      <c r="G551" s="25">
        <f t="shared" si="14"/>
        <v>6.5136906293927765E-3</v>
      </c>
      <c r="I551" s="73">
        <v>260.33546762337375</v>
      </c>
      <c r="J551" s="73">
        <v>264.48986197821569</v>
      </c>
      <c r="K551" s="73">
        <v>259.62497737741506</v>
      </c>
      <c r="L551" s="73">
        <v>261.99327819727745</v>
      </c>
      <c r="M551" s="73">
        <v>605859.18307597819</v>
      </c>
      <c r="N551" s="73" t="s">
        <v>619</v>
      </c>
      <c r="O551" s="25">
        <f t="shared" si="15"/>
        <v>-6.3276836158192573E-3</v>
      </c>
    </row>
    <row r="552" spans="1:15">
      <c r="A552" s="74">
        <v>494.9427434652705</v>
      </c>
      <c r="B552" s="74">
        <v>495.98253914481938</v>
      </c>
      <c r="C552" s="74">
        <v>491.65302799149771</v>
      </c>
      <c r="D552" s="74">
        <v>494.07129565764859</v>
      </c>
      <c r="E552" s="74">
        <v>3736818.9024267974</v>
      </c>
      <c r="F552" s="74" t="s">
        <v>620</v>
      </c>
      <c r="G552" s="25">
        <f t="shared" si="14"/>
        <v>1.7638098292311888E-3</v>
      </c>
      <c r="I552" s="73">
        <v>257.72046880144239</v>
      </c>
      <c r="J552" s="73">
        <v>259.33880769501502</v>
      </c>
      <c r="K552" s="73">
        <v>255.45084718240759</v>
      </c>
      <c r="L552" s="73">
        <v>257.55271416003546</v>
      </c>
      <c r="M552" s="73">
        <v>871596.03319308732</v>
      </c>
      <c r="N552" s="73" t="s">
        <v>620</v>
      </c>
      <c r="O552" s="25">
        <f t="shared" si="15"/>
        <v>6.5134099616859231E-4</v>
      </c>
    </row>
    <row r="553" spans="1:15">
      <c r="A553" s="74">
        <v>493.36819572195355</v>
      </c>
      <c r="B553" s="74">
        <v>493.53654359388054</v>
      </c>
      <c r="C553" s="74">
        <v>488.12960606022637</v>
      </c>
      <c r="D553" s="74">
        <v>488.3474680121318</v>
      </c>
      <c r="E553" s="74">
        <v>3279761.0310128825</v>
      </c>
      <c r="F553" s="74" t="s">
        <v>621</v>
      </c>
      <c r="G553" s="25">
        <f t="shared" si="14"/>
        <v>1.0281056089548546E-2</v>
      </c>
      <c r="I553" s="73">
        <v>256.81262015382845</v>
      </c>
      <c r="J553" s="73">
        <v>257.55271416003546</v>
      </c>
      <c r="K553" s="73">
        <v>249.78666105490333</v>
      </c>
      <c r="L553" s="73">
        <v>252.13522603460021</v>
      </c>
      <c r="M553" s="73">
        <v>952751.93973504752</v>
      </c>
      <c r="N553" s="73" t="s">
        <v>621</v>
      </c>
      <c r="O553" s="25">
        <f t="shared" si="15"/>
        <v>1.8551133028061662E-2</v>
      </c>
    </row>
    <row r="554" spans="1:15">
      <c r="A554" s="74">
        <v>485.3073035014508</v>
      </c>
      <c r="B554" s="74">
        <v>487.56514554847126</v>
      </c>
      <c r="C554" s="74">
        <v>483.23761495834873</v>
      </c>
      <c r="D554" s="74">
        <v>486.16884849307701</v>
      </c>
      <c r="E554" s="74">
        <v>3613249.0006401851</v>
      </c>
      <c r="F554" s="74" t="s">
        <v>622</v>
      </c>
      <c r="G554" s="25">
        <f t="shared" si="14"/>
        <v>-1.7721106448852497E-3</v>
      </c>
      <c r="I554" s="73">
        <v>249.66824601391022</v>
      </c>
      <c r="J554" s="73">
        <v>255.02652661884889</v>
      </c>
      <c r="K554" s="73">
        <v>248.29660512240659</v>
      </c>
      <c r="L554" s="73">
        <v>252.71743331948309</v>
      </c>
      <c r="M554" s="73">
        <v>551596.48176615604</v>
      </c>
      <c r="N554" s="73" t="s">
        <v>622</v>
      </c>
      <c r="O554" s="25">
        <f t="shared" si="15"/>
        <v>-1.2065599375244207E-2</v>
      </c>
    </row>
    <row r="555" spans="1:15">
      <c r="A555" s="74">
        <v>485.05973310155821</v>
      </c>
      <c r="B555" s="74">
        <v>486.43622452496101</v>
      </c>
      <c r="C555" s="74">
        <v>481.09860670327669</v>
      </c>
      <c r="D555" s="74">
        <v>482.19781927879984</v>
      </c>
      <c r="E555" s="74">
        <v>7736517.5757318391</v>
      </c>
      <c r="F555" s="74" t="s">
        <v>623</v>
      </c>
      <c r="G555" s="25">
        <f t="shared" si="14"/>
        <v>5.9351446819870812E-3</v>
      </c>
      <c r="I555" s="73">
        <v>253.5068669261037</v>
      </c>
      <c r="J555" s="73">
        <v>256.41362782519832</v>
      </c>
      <c r="K555" s="73">
        <v>250.76213830685731</v>
      </c>
      <c r="L555" s="73">
        <v>253.5559676169668</v>
      </c>
      <c r="M555" s="73">
        <v>636825.05175317009</v>
      </c>
      <c r="N555" s="73" t="s">
        <v>623</v>
      </c>
      <c r="O555" s="25">
        <f t="shared" si="15"/>
        <v>-1.9364833462442999E-4</v>
      </c>
    </row>
    <row r="556" spans="1:15">
      <c r="A556" s="74">
        <v>482.99004455845613</v>
      </c>
      <c r="B556" s="74">
        <v>483.52479662222407</v>
      </c>
      <c r="C556" s="74">
        <v>474.97866641793183</v>
      </c>
      <c r="D556" s="74">
        <v>476.81068737713701</v>
      </c>
      <c r="E556" s="74">
        <v>4218228.4330157014</v>
      </c>
      <c r="F556" s="74" t="s">
        <v>624</v>
      </c>
      <c r="G556" s="25">
        <f t="shared" si="14"/>
        <v>1.295977071174903E-2</v>
      </c>
      <c r="I556" s="73">
        <v>254.47906060519279</v>
      </c>
      <c r="J556" s="73">
        <v>256.38416741068045</v>
      </c>
      <c r="K556" s="73">
        <v>243.94205234597493</v>
      </c>
      <c r="L556" s="73">
        <v>244.36431828739745</v>
      </c>
      <c r="M556" s="73">
        <v>895301.0482598067</v>
      </c>
      <c r="N556" s="73" t="s">
        <v>624</v>
      </c>
      <c r="O556" s="25">
        <f t="shared" si="15"/>
        <v>4.1392059154476746E-2</v>
      </c>
    </row>
    <row r="557" spans="1:15">
      <c r="A557" s="74">
        <v>471.97811317123364</v>
      </c>
      <c r="B557" s="74">
        <v>483.80207547010383</v>
      </c>
      <c r="C557" s="74">
        <v>471.48297237144845</v>
      </c>
      <c r="D557" s="74">
        <v>480.97977291132827</v>
      </c>
      <c r="E557" s="74">
        <v>6035001.5617707362</v>
      </c>
      <c r="F557" s="74" t="s">
        <v>625</v>
      </c>
      <c r="G557" s="25">
        <f t="shared" si="14"/>
        <v>-1.8715256331068519E-2</v>
      </c>
      <c r="I557" s="73">
        <v>244.67856270892119</v>
      </c>
      <c r="J557" s="73">
        <v>260.47425495957538</v>
      </c>
      <c r="K557" s="73">
        <v>241.63431987540997</v>
      </c>
      <c r="L557" s="73">
        <v>250.40370326355682</v>
      </c>
      <c r="M557" s="73">
        <v>1582922.7376194589</v>
      </c>
      <c r="N557" s="73" t="s">
        <v>625</v>
      </c>
      <c r="O557" s="25">
        <f t="shared" si="15"/>
        <v>-2.2863641711439731E-2</v>
      </c>
    </row>
    <row r="558" spans="1:15">
      <c r="A558" s="74">
        <v>475.27575089780294</v>
      </c>
      <c r="B558" s="74">
        <v>482.12849956682993</v>
      </c>
      <c r="C558" s="74">
        <v>471.31462449952147</v>
      </c>
      <c r="D558" s="74">
        <v>472.75053281889848</v>
      </c>
      <c r="E558" s="74">
        <v>8336053.1020483728</v>
      </c>
      <c r="F558" s="74" t="s">
        <v>626</v>
      </c>
      <c r="G558" s="25">
        <f t="shared" si="14"/>
        <v>5.3415446490290286E-3</v>
      </c>
      <c r="I558" s="73">
        <v>246.2596049547125</v>
      </c>
      <c r="J558" s="73">
        <v>250.12873939472354</v>
      </c>
      <c r="K558" s="73">
        <v>242.60651355449906</v>
      </c>
      <c r="L558" s="73">
        <v>245.15974947937943</v>
      </c>
      <c r="M558" s="73">
        <v>811541.53433630615</v>
      </c>
      <c r="N558" s="73" t="s">
        <v>626</v>
      </c>
      <c r="O558" s="25">
        <f t="shared" si="15"/>
        <v>4.4862807931103088E-3</v>
      </c>
    </row>
    <row r="559" spans="1:15">
      <c r="A559" s="74">
        <v>470.58181611583939</v>
      </c>
      <c r="B559" s="74">
        <v>476.50370008127021</v>
      </c>
      <c r="C559" s="74">
        <v>464.33313922255036</v>
      </c>
      <c r="D559" s="74">
        <v>465.60069967000044</v>
      </c>
      <c r="E559" s="74">
        <v>15393879.888926227</v>
      </c>
      <c r="F559" s="74" t="s">
        <v>627</v>
      </c>
      <c r="G559" s="25">
        <f t="shared" si="14"/>
        <v>1.0698258076865752E-2</v>
      </c>
      <c r="I559" s="73">
        <v>243.8045704115583</v>
      </c>
      <c r="J559" s="73">
        <v>247.7129854042598</v>
      </c>
      <c r="K559" s="73">
        <v>238.44277496930951</v>
      </c>
      <c r="L559" s="73">
        <v>238.65881800910708</v>
      </c>
      <c r="M559" s="73">
        <v>903475.06766656321</v>
      </c>
      <c r="N559" s="73" t="s">
        <v>627</v>
      </c>
      <c r="O559" s="25">
        <f t="shared" si="15"/>
        <v>2.156112414105249E-2</v>
      </c>
    </row>
    <row r="560" spans="1:15">
      <c r="A560" s="74">
        <v>485.14885844551952</v>
      </c>
      <c r="B560" s="74">
        <v>488.72377501996851</v>
      </c>
      <c r="C560" s="74">
        <v>481.07880107128534</v>
      </c>
      <c r="D560" s="74">
        <v>487.62456244444547</v>
      </c>
      <c r="E560" s="74">
        <v>8645183.3536180388</v>
      </c>
      <c r="F560" s="74" t="s">
        <v>628</v>
      </c>
      <c r="G560" s="25">
        <f t="shared" si="14"/>
        <v>-5.0770699214069959E-3</v>
      </c>
      <c r="I560" s="73">
        <v>248.91104226131904</v>
      </c>
      <c r="J560" s="73">
        <v>255.30886228077892</v>
      </c>
      <c r="K560" s="73">
        <v>245.94536053318876</v>
      </c>
      <c r="L560" s="73">
        <v>254.58708212509157</v>
      </c>
      <c r="M560" s="73">
        <v>846780.34604314645</v>
      </c>
      <c r="N560" s="73" t="s">
        <v>628</v>
      </c>
      <c r="O560" s="25">
        <f t="shared" si="15"/>
        <v>-2.2295081967213082E-2</v>
      </c>
    </row>
    <row r="561" spans="1:15">
      <c r="A561" s="74">
        <v>494.18022663360125</v>
      </c>
      <c r="B561" s="74">
        <v>504.9445876209312</v>
      </c>
      <c r="C561" s="74">
        <v>490.93210298701047</v>
      </c>
      <c r="D561" s="74">
        <v>502.90460752581623</v>
      </c>
      <c r="E561" s="74">
        <v>7007316.9116850803</v>
      </c>
      <c r="F561" s="74" t="s">
        <v>629</v>
      </c>
      <c r="G561" s="25">
        <f t="shared" si="14"/>
        <v>-1.7347983616887275E-2</v>
      </c>
      <c r="I561" s="73">
        <v>259.86049632378683</v>
      </c>
      <c r="J561" s="73">
        <v>271.91962599976029</v>
      </c>
      <c r="K561" s="73">
        <v>255.25485152082953</v>
      </c>
      <c r="L561" s="73">
        <v>269.81811643082028</v>
      </c>
      <c r="M561" s="73">
        <v>1066029.8069116038</v>
      </c>
      <c r="N561" s="73" t="s">
        <v>629</v>
      </c>
      <c r="O561" s="25">
        <f t="shared" si="15"/>
        <v>-3.6904935216188539E-2</v>
      </c>
    </row>
    <row r="562" spans="1:15">
      <c r="A562" s="74">
        <v>501.01316967063684</v>
      </c>
      <c r="B562" s="74">
        <v>503.7099045225869</v>
      </c>
      <c r="C562" s="74">
        <v>498.41368047176462</v>
      </c>
      <c r="D562" s="74">
        <v>499.57726135125984</v>
      </c>
      <c r="E562" s="74">
        <v>5420263.289077281</v>
      </c>
      <c r="F562" s="74" t="s">
        <v>630</v>
      </c>
      <c r="G562" s="25">
        <f t="shared" si="14"/>
        <v>2.8742467491278401E-3</v>
      </c>
      <c r="I562" s="73">
        <v>273.63815017996825</v>
      </c>
      <c r="J562" s="73">
        <v>277.12429923124722</v>
      </c>
      <c r="K562" s="73">
        <v>271.36969826209372</v>
      </c>
      <c r="L562" s="73">
        <v>273.88365363428363</v>
      </c>
      <c r="M562" s="73">
        <v>531786.81482934766</v>
      </c>
      <c r="N562" s="73" t="s">
        <v>630</v>
      </c>
      <c r="O562" s="25">
        <f t="shared" si="15"/>
        <v>-8.9637863033331655E-4</v>
      </c>
    </row>
    <row r="563" spans="1:15">
      <c r="A563" s="74">
        <v>493.23945911400943</v>
      </c>
      <c r="B563" s="74">
        <v>498.12154739989137</v>
      </c>
      <c r="C563" s="74">
        <v>490.10521785136922</v>
      </c>
      <c r="D563" s="74">
        <v>497.1708770643038</v>
      </c>
      <c r="E563" s="74">
        <v>3855267.0287485314</v>
      </c>
      <c r="F563" s="74" t="s">
        <v>631</v>
      </c>
      <c r="G563" s="25">
        <f t="shared" si="14"/>
        <v>-7.9075789264017038E-3</v>
      </c>
      <c r="I563" s="73">
        <v>270.47606568838563</v>
      </c>
      <c r="J563" s="73">
        <v>271.67412254544485</v>
      </c>
      <c r="K563" s="73">
        <v>266.50872986664842</v>
      </c>
      <c r="L563" s="73">
        <v>269.22890814046332</v>
      </c>
      <c r="M563" s="73">
        <v>536902.83245729643</v>
      </c>
      <c r="N563" s="73" t="s">
        <v>631</v>
      </c>
      <c r="O563" s="25">
        <f t="shared" si="15"/>
        <v>4.6323314852638742E-3</v>
      </c>
    </row>
    <row r="564" spans="1:15">
      <c r="A564" s="74">
        <v>495.8339969048838</v>
      </c>
      <c r="B564" s="74">
        <v>497.87892840799663</v>
      </c>
      <c r="C564" s="74">
        <v>493.92730871307106</v>
      </c>
      <c r="D564" s="74">
        <v>496.9431122964026</v>
      </c>
      <c r="E564" s="74">
        <v>3126563.1930788858</v>
      </c>
      <c r="F564" s="74" t="s">
        <v>632</v>
      </c>
      <c r="G564" s="25">
        <f t="shared" si="14"/>
        <v>-2.2318759714637926E-3</v>
      </c>
      <c r="I564" s="73">
        <v>267.31398119680301</v>
      </c>
      <c r="J564" s="73">
        <v>272.99984119874813</v>
      </c>
      <c r="K564" s="73">
        <v>265.16337093699991</v>
      </c>
      <c r="L564" s="73">
        <v>271.5268204728556</v>
      </c>
      <c r="M564" s="73">
        <v>589468.28427949257</v>
      </c>
      <c r="N564" s="73" t="s">
        <v>632</v>
      </c>
      <c r="O564" s="25">
        <f t="shared" si="15"/>
        <v>-1.5515370705244003E-2</v>
      </c>
    </row>
    <row r="565" spans="1:15">
      <c r="A565" s="74">
        <v>495.46759271304273</v>
      </c>
      <c r="B565" s="74">
        <v>497.99776219994504</v>
      </c>
      <c r="C565" s="74">
        <v>492.83344365818562</v>
      </c>
      <c r="D565" s="74">
        <v>493.51673796188913</v>
      </c>
      <c r="E565" s="74">
        <v>3671666.7275020173</v>
      </c>
      <c r="F565" s="74" t="s">
        <v>633</v>
      </c>
      <c r="G565" s="25">
        <f t="shared" si="14"/>
        <v>3.9529657275865215E-3</v>
      </c>
      <c r="I565" s="73">
        <v>272.05710793417694</v>
      </c>
      <c r="J565" s="73">
        <v>273.61850990362302</v>
      </c>
      <c r="K565" s="73">
        <v>268.56113874472538</v>
      </c>
      <c r="L565" s="73">
        <v>270.05379974696308</v>
      </c>
      <c r="M565" s="73">
        <v>701851.63170299528</v>
      </c>
      <c r="N565" s="73" t="s">
        <v>633</v>
      </c>
      <c r="O565" s="25">
        <f t="shared" si="15"/>
        <v>7.4181818181819903E-3</v>
      </c>
    </row>
    <row r="566" spans="1:15">
      <c r="A566" s="74">
        <v>489.97152983542719</v>
      </c>
      <c r="B566" s="74">
        <v>498.25028400783549</v>
      </c>
      <c r="C566" s="74">
        <v>489.11988765979675</v>
      </c>
      <c r="D566" s="74">
        <v>492.71460986623714</v>
      </c>
      <c r="E566" s="74">
        <v>5702015.4695894197</v>
      </c>
      <c r="F566" s="74" t="s">
        <v>634</v>
      </c>
      <c r="G566" s="25">
        <f t="shared" si="14"/>
        <v>-5.5672796703849503E-3</v>
      </c>
      <c r="I566" s="73">
        <v>266.12574447791638</v>
      </c>
      <c r="J566" s="73">
        <v>270.05379974696308</v>
      </c>
      <c r="K566" s="73">
        <v>255.32359248803783</v>
      </c>
      <c r="L566" s="73">
        <v>258.62315891403711</v>
      </c>
      <c r="M566" s="73">
        <v>1244809.3687812677</v>
      </c>
      <c r="N566" s="73" t="s">
        <v>634</v>
      </c>
      <c r="O566" s="25">
        <f t="shared" si="15"/>
        <v>2.9009720534629357E-2</v>
      </c>
    </row>
    <row r="567" spans="1:15">
      <c r="A567" s="74">
        <v>492.45713665034884</v>
      </c>
      <c r="B567" s="74">
        <v>499.79512330316527</v>
      </c>
      <c r="C567" s="74">
        <v>491.71937685866897</v>
      </c>
      <c r="D567" s="74">
        <v>499.52774727128127</v>
      </c>
      <c r="E567" s="74">
        <v>6217829.3554796651</v>
      </c>
      <c r="F567" s="74" t="s">
        <v>635</v>
      </c>
      <c r="G567" s="25">
        <f t="shared" si="14"/>
        <v>-1.4154590329679029E-2</v>
      </c>
      <c r="I567" s="73">
        <v>258.33837490703121</v>
      </c>
      <c r="J567" s="73">
        <v>267.96211031619572</v>
      </c>
      <c r="K567" s="73">
        <v>257.93574924195394</v>
      </c>
      <c r="L567" s="73">
        <v>265.24193204238088</v>
      </c>
      <c r="M567" s="73">
        <v>711263.92289231264</v>
      </c>
      <c r="N567" s="73" t="s">
        <v>635</v>
      </c>
      <c r="O567" s="25">
        <f t="shared" si="15"/>
        <v>-2.6027397260274143E-2</v>
      </c>
    </row>
    <row r="568" spans="1:15">
      <c r="A568" s="74">
        <v>503.99391728534363</v>
      </c>
      <c r="B568" s="74">
        <v>506.67758042017931</v>
      </c>
      <c r="C568" s="74">
        <v>503.548290565537</v>
      </c>
      <c r="D568" s="74">
        <v>504.70692003703437</v>
      </c>
      <c r="E568" s="74">
        <v>3146625.1633392838</v>
      </c>
      <c r="F568" s="74" t="s">
        <v>636</v>
      </c>
      <c r="G568" s="25">
        <f t="shared" si="14"/>
        <v>-1.4127065102226277E-3</v>
      </c>
      <c r="I568" s="73">
        <v>267.25506036776727</v>
      </c>
      <c r="J568" s="73">
        <v>272.36153221752807</v>
      </c>
      <c r="K568" s="73">
        <v>266.61675138654721</v>
      </c>
      <c r="L568" s="73">
        <v>270.38768444483208</v>
      </c>
      <c r="M568" s="73">
        <v>497006.24514730368</v>
      </c>
      <c r="N568" s="73" t="s">
        <v>636</v>
      </c>
      <c r="O568" s="25">
        <f t="shared" si="15"/>
        <v>-1.1585675891625069E-2</v>
      </c>
    </row>
    <row r="569" spans="1:15">
      <c r="A569" s="74">
        <v>504.83565664497849</v>
      </c>
      <c r="B569" s="74">
        <v>505.36050589275072</v>
      </c>
      <c r="C569" s="74">
        <v>501.51821328641773</v>
      </c>
      <c r="D569" s="74">
        <v>503.33042861363151</v>
      </c>
      <c r="E569" s="74">
        <v>4385549.5264015486</v>
      </c>
      <c r="F569" s="74" t="s">
        <v>637</v>
      </c>
      <c r="G569" s="25">
        <f t="shared" si="14"/>
        <v>2.9905365258622307E-3</v>
      </c>
      <c r="I569" s="73">
        <v>270.77066983356417</v>
      </c>
      <c r="J569" s="73">
        <v>271.04563370239742</v>
      </c>
      <c r="K569" s="73">
        <v>263.87693283638708</v>
      </c>
      <c r="L569" s="73">
        <v>267.39254230218398</v>
      </c>
      <c r="M569" s="73">
        <v>568490.98269992566</v>
      </c>
      <c r="N569" s="73" t="s">
        <v>637</v>
      </c>
      <c r="O569" s="25">
        <f t="shared" si="15"/>
        <v>1.2633589187998062E-2</v>
      </c>
    </row>
    <row r="570" spans="1:15">
      <c r="A570" s="74">
        <v>499.64658106322975</v>
      </c>
      <c r="B570" s="74">
        <v>504.25139050123192</v>
      </c>
      <c r="C570" s="74">
        <v>498.66620227965507</v>
      </c>
      <c r="D570" s="74">
        <v>502.70655120590214</v>
      </c>
      <c r="E570" s="74">
        <v>4079079.1243142341</v>
      </c>
      <c r="F570" s="74" t="s">
        <v>638</v>
      </c>
      <c r="G570" s="25">
        <f t="shared" si="14"/>
        <v>-6.0869907808682733E-3</v>
      </c>
      <c r="I570" s="73">
        <v>264.90804734451189</v>
      </c>
      <c r="J570" s="73">
        <v>270.57426707011177</v>
      </c>
      <c r="K570" s="73">
        <v>262.7476169465362</v>
      </c>
      <c r="L570" s="73">
        <v>269.16016717325493</v>
      </c>
      <c r="M570" s="73">
        <v>778429.98394013161</v>
      </c>
      <c r="N570" s="73" t="s">
        <v>638</v>
      </c>
      <c r="O570" s="25">
        <f t="shared" si="15"/>
        <v>-1.5797730672406751E-2</v>
      </c>
    </row>
    <row r="571" spans="1:15">
      <c r="A571" s="74">
        <v>503.0036356857733</v>
      </c>
      <c r="B571" s="74">
        <v>509.19289568308812</v>
      </c>
      <c r="C571" s="74">
        <v>500.95474305626215</v>
      </c>
      <c r="D571" s="74">
        <v>508.26203097949195</v>
      </c>
      <c r="E571" s="74">
        <v>5105466.9724182151</v>
      </c>
      <c r="F571" s="74" t="s">
        <v>639</v>
      </c>
      <c r="G571" s="25">
        <f t="shared" si="14"/>
        <v>-1.0345835362883582E-2</v>
      </c>
      <c r="I571" s="73">
        <v>267.5594846511184</v>
      </c>
      <c r="J571" s="73">
        <v>279.96231916313349</v>
      </c>
      <c r="K571" s="73">
        <v>266.78369373548173</v>
      </c>
      <c r="L571" s="73">
        <v>274.99332924778935</v>
      </c>
      <c r="M571" s="73">
        <v>1081379.8964266714</v>
      </c>
      <c r="N571" s="73" t="s">
        <v>639</v>
      </c>
      <c r="O571" s="25">
        <f t="shared" si="15"/>
        <v>-2.7032817912366558E-2</v>
      </c>
    </row>
    <row r="572" spans="1:15">
      <c r="A572" s="74">
        <v>506.81621984411925</v>
      </c>
      <c r="B572" s="74">
        <v>510.10395475469284</v>
      </c>
      <c r="C572" s="74">
        <v>506.588455076218</v>
      </c>
      <c r="D572" s="74">
        <v>508.5690182753587</v>
      </c>
      <c r="E572" s="74">
        <v>5033220.8557267217</v>
      </c>
      <c r="F572" s="74" t="s">
        <v>640</v>
      </c>
      <c r="G572" s="25">
        <f t="shared" si="14"/>
        <v>-3.4465301035904172E-3</v>
      </c>
      <c r="I572" s="73">
        <v>282.68249743694838</v>
      </c>
      <c r="J572" s="73">
        <v>288.5156595114828</v>
      </c>
      <c r="K572" s="73">
        <v>281.13091560567489</v>
      </c>
      <c r="L572" s="73">
        <v>286.43379021888802</v>
      </c>
      <c r="M572" s="73">
        <v>769007.50959470775</v>
      </c>
      <c r="N572" s="73" t="s">
        <v>640</v>
      </c>
      <c r="O572" s="25">
        <f t="shared" si="15"/>
        <v>-1.3096544157981338E-2</v>
      </c>
    </row>
    <row r="573" spans="1:15">
      <c r="A573" s="74">
        <v>513.99576144100433</v>
      </c>
      <c r="B573" s="74">
        <v>514.3522628168497</v>
      </c>
      <c r="C573" s="74">
        <v>511.57947433805271</v>
      </c>
      <c r="D573" s="74">
        <v>512.30237990573903</v>
      </c>
      <c r="E573" s="74">
        <v>4205167.5016547516</v>
      </c>
      <c r="F573" s="74" t="s">
        <v>641</v>
      </c>
      <c r="G573" s="25">
        <f t="shared" si="14"/>
        <v>3.3054336690312436E-3</v>
      </c>
      <c r="I573" s="73">
        <v>289.07540738732195</v>
      </c>
      <c r="J573" s="73">
        <v>289.3503712561552</v>
      </c>
      <c r="K573" s="73">
        <v>281.47462044171647</v>
      </c>
      <c r="L573" s="73">
        <v>281.47462044171647</v>
      </c>
      <c r="M573" s="73">
        <v>999745.6071826152</v>
      </c>
      <c r="N573" s="73" t="s">
        <v>641</v>
      </c>
      <c r="O573" s="25">
        <f t="shared" si="15"/>
        <v>2.700345393015402E-2</v>
      </c>
    </row>
    <row r="574" spans="1:15">
      <c r="A574" s="74">
        <v>511.09423635426322</v>
      </c>
      <c r="B574" s="74">
        <v>514.07498396897006</v>
      </c>
      <c r="C574" s="74">
        <v>509.34143792302365</v>
      </c>
      <c r="D574" s="74">
        <v>511.5596687060613</v>
      </c>
      <c r="E574" s="74">
        <v>7847791.9849986648</v>
      </c>
      <c r="F574" s="74" t="s">
        <v>642</v>
      </c>
      <c r="G574" s="25">
        <f t="shared" si="14"/>
        <v>-9.0983003600608736E-4</v>
      </c>
      <c r="I574" s="73">
        <v>280.07034068303227</v>
      </c>
      <c r="J574" s="73">
        <v>285.76602082315003</v>
      </c>
      <c r="K574" s="73">
        <v>279.0686865894254</v>
      </c>
      <c r="L574" s="73">
        <v>279.87393791957993</v>
      </c>
      <c r="M574" s="73">
        <v>924953.3805265741</v>
      </c>
      <c r="N574" s="73" t="s">
        <v>642</v>
      </c>
      <c r="O574" s="25">
        <f t="shared" si="15"/>
        <v>7.0175438596487005E-4</v>
      </c>
    </row>
    <row r="575" spans="1:15">
      <c r="A575" s="74">
        <v>509.54939705893338</v>
      </c>
      <c r="B575" s="74">
        <v>512.99557702543825</v>
      </c>
      <c r="C575" s="74">
        <v>507.1925268519559</v>
      </c>
      <c r="D575" s="74">
        <v>507.50941696381847</v>
      </c>
      <c r="E575" s="74">
        <v>5289576.2198071387</v>
      </c>
      <c r="F575" s="74" t="s">
        <v>643</v>
      </c>
      <c r="G575" s="25">
        <f t="shared" si="14"/>
        <v>4.0195906261584202E-3</v>
      </c>
      <c r="I575" s="73">
        <v>278.25361512109816</v>
      </c>
      <c r="J575" s="73">
        <v>280.17836220293105</v>
      </c>
      <c r="K575" s="73">
        <v>269.78865601630247</v>
      </c>
      <c r="L575" s="73">
        <v>272.00800724331384</v>
      </c>
      <c r="M575" s="73">
        <v>1121153.2675477744</v>
      </c>
      <c r="N575" s="73" t="s">
        <v>643</v>
      </c>
      <c r="O575" s="25">
        <f t="shared" si="15"/>
        <v>2.2961117729882075E-2</v>
      </c>
    </row>
    <row r="576" spans="1:15">
      <c r="A576" s="74">
        <v>506.42010720429101</v>
      </c>
      <c r="B576" s="74">
        <v>511.76762784197103</v>
      </c>
      <c r="C576" s="74">
        <v>505.86059810053376</v>
      </c>
      <c r="D576" s="74">
        <v>510.98530537831044</v>
      </c>
      <c r="E576" s="74">
        <v>5600738.2166913431</v>
      </c>
      <c r="F576" s="74" t="s">
        <v>644</v>
      </c>
      <c r="G576" s="25">
        <f t="shared" si="14"/>
        <v>-8.9341085271318343E-3</v>
      </c>
      <c r="I576" s="73">
        <v>269.29764910767165</v>
      </c>
      <c r="J576" s="73">
        <v>269.98505877975481</v>
      </c>
      <c r="K576" s="73">
        <v>260.76885910475391</v>
      </c>
      <c r="L576" s="73">
        <v>262.82617805191711</v>
      </c>
      <c r="M576" s="73">
        <v>724190.42125401273</v>
      </c>
      <c r="N576" s="73" t="s">
        <v>644</v>
      </c>
      <c r="O576" s="25">
        <f t="shared" si="15"/>
        <v>2.4622627409953912E-2</v>
      </c>
    </row>
    <row r="577" spans="1:15">
      <c r="A577" s="74">
        <v>510.79715187439206</v>
      </c>
      <c r="B577" s="74">
        <v>511.16850747423092</v>
      </c>
      <c r="C577" s="74">
        <v>506.71719168416217</v>
      </c>
      <c r="D577" s="74">
        <v>507.00437334803757</v>
      </c>
      <c r="E577" s="74">
        <v>3480750.3254583725</v>
      </c>
      <c r="F577" s="74" t="s">
        <v>645</v>
      </c>
      <c r="G577" s="25">
        <f t="shared" si="14"/>
        <v>7.480760967225164E-3</v>
      </c>
      <c r="I577" s="73">
        <v>260.3122226797272</v>
      </c>
      <c r="J577" s="73">
        <v>260.75412889749492</v>
      </c>
      <c r="K577" s="73">
        <v>253.37920512985968</v>
      </c>
      <c r="L577" s="73">
        <v>255.27449179717476</v>
      </c>
      <c r="M577" s="73">
        <v>527880.55614686129</v>
      </c>
      <c r="N577" s="73" t="s">
        <v>645</v>
      </c>
      <c r="O577" s="25">
        <f t="shared" si="15"/>
        <v>1.9734564339296101E-2</v>
      </c>
    </row>
    <row r="578" spans="1:15">
      <c r="A578" s="74">
        <v>505.92496640450588</v>
      </c>
      <c r="B578" s="74">
        <v>507.03408179602468</v>
      </c>
      <c r="C578" s="74">
        <v>505.57836784465627</v>
      </c>
      <c r="D578" s="74">
        <v>506.24185651636839</v>
      </c>
      <c r="E578" s="74">
        <v>3176695.3979199519</v>
      </c>
      <c r="F578" s="74" t="s">
        <v>646</v>
      </c>
      <c r="G578" s="25">
        <f t="shared" si="14"/>
        <v>-6.2596584573848535E-4</v>
      </c>
      <c r="I578" s="73">
        <v>256.54128962144233</v>
      </c>
      <c r="J578" s="73">
        <v>261.40225801688769</v>
      </c>
      <c r="K578" s="73">
        <v>255.40215359341877</v>
      </c>
      <c r="L578" s="73">
        <v>260.09617963992963</v>
      </c>
      <c r="M578" s="73">
        <v>513694.40137477656</v>
      </c>
      <c r="N578" s="73" t="s">
        <v>646</v>
      </c>
      <c r="O578" s="25">
        <f t="shared" si="15"/>
        <v>-1.3667597976289358E-2</v>
      </c>
    </row>
    <row r="579" spans="1:15">
      <c r="A579" s="74">
        <v>505.37040870874642</v>
      </c>
      <c r="B579" s="74">
        <v>506.23690510837054</v>
      </c>
      <c r="C579" s="74">
        <v>504.3702242931804</v>
      </c>
      <c r="D579" s="74">
        <v>505.53875658067341</v>
      </c>
      <c r="E579" s="74">
        <v>3174227.4130547778</v>
      </c>
      <c r="F579" s="74" t="s">
        <v>647</v>
      </c>
      <c r="G579" s="25">
        <f t="shared" si="14"/>
        <v>-3.330068560235544E-4</v>
      </c>
      <c r="I579" s="73">
        <v>260.34168309424507</v>
      </c>
      <c r="J579" s="73">
        <v>262.00128644541729</v>
      </c>
      <c r="K579" s="73">
        <v>258.26963393982288</v>
      </c>
      <c r="L579" s="73">
        <v>258.53477767048355</v>
      </c>
      <c r="M579" s="73">
        <v>353304.60111799609</v>
      </c>
      <c r="N579" s="73" t="s">
        <v>647</v>
      </c>
      <c r="O579" s="25">
        <f t="shared" si="15"/>
        <v>6.9890226763400509E-3</v>
      </c>
    </row>
    <row r="580" spans="1:15">
      <c r="A580" s="74">
        <v>504.88517072495694</v>
      </c>
      <c r="B580" s="74">
        <v>505.14264394084529</v>
      </c>
      <c r="C580" s="74">
        <v>501.56772736639624</v>
      </c>
      <c r="D580" s="74">
        <v>502.20150759012125</v>
      </c>
      <c r="E580" s="74">
        <v>3187903.3210044717</v>
      </c>
      <c r="F580" s="74" t="s">
        <v>648</v>
      </c>
      <c r="G580" s="25">
        <f t="shared" si="14"/>
        <v>5.3437974483860895E-3</v>
      </c>
      <c r="I580" s="73">
        <v>259.32038872429291</v>
      </c>
      <c r="J580" s="73">
        <v>261.009452489983</v>
      </c>
      <c r="K580" s="73">
        <v>256.98319583921011</v>
      </c>
      <c r="L580" s="73">
        <v>260.90143097008422</v>
      </c>
      <c r="M580" s="73">
        <v>499915.57284695527</v>
      </c>
      <c r="N580" s="73" t="s">
        <v>648</v>
      </c>
      <c r="O580" s="25">
        <f t="shared" si="15"/>
        <v>-6.0599217103282088E-3</v>
      </c>
    </row>
    <row r="581" spans="1:15">
      <c r="A581" s="74">
        <v>501.88461747825875</v>
      </c>
      <c r="B581" s="74">
        <v>502.21141040611695</v>
      </c>
      <c r="C581" s="74">
        <v>499.31978813537154</v>
      </c>
      <c r="D581" s="74">
        <v>499.31978813537154</v>
      </c>
      <c r="E581" s="74">
        <v>2151999.9977022349</v>
      </c>
      <c r="F581" s="74" t="s">
        <v>649</v>
      </c>
      <c r="G581" s="25">
        <f t="shared" si="14"/>
        <v>5.1366467018363338E-3</v>
      </c>
      <c r="I581" s="73">
        <v>261.54956008947687</v>
      </c>
      <c r="J581" s="73">
        <v>264.220539471047</v>
      </c>
      <c r="K581" s="73">
        <v>260.12072998536115</v>
      </c>
      <c r="L581" s="73">
        <v>261.5299198131317</v>
      </c>
      <c r="M581" s="73">
        <v>412690.7309003835</v>
      </c>
      <c r="N581" s="73" t="s">
        <v>649</v>
      </c>
      <c r="O581" s="25">
        <f t="shared" si="15"/>
        <v>7.5097626914821802E-5</v>
      </c>
    </row>
    <row r="582" spans="1:15">
      <c r="A582" s="74">
        <v>499.62677543123829</v>
      </c>
      <c r="B582" s="74">
        <v>499.70599795920396</v>
      </c>
      <c r="C582" s="74">
        <v>494.75458996135211</v>
      </c>
      <c r="D582" s="74">
        <v>494.83381248931772</v>
      </c>
      <c r="E582" s="74">
        <v>4251399.8056982309</v>
      </c>
      <c r="F582" s="74" t="s">
        <v>650</v>
      </c>
      <c r="G582" s="25">
        <f t="shared" si="14"/>
        <v>9.6860053233003285E-3</v>
      </c>
      <c r="I582" s="73">
        <v>260.13546019262009</v>
      </c>
      <c r="J582" s="73">
        <v>262.90473915729808</v>
      </c>
      <c r="K582" s="73">
        <v>258.88830264469777</v>
      </c>
      <c r="L582" s="73">
        <v>260.73448862114969</v>
      </c>
      <c r="M582" s="73">
        <v>689548.34249501827</v>
      </c>
      <c r="N582" s="73" t="s">
        <v>650</v>
      </c>
      <c r="O582" s="25">
        <f t="shared" si="15"/>
        <v>-2.2974652555458608E-3</v>
      </c>
    </row>
    <row r="583" spans="1:15">
      <c r="A583" s="74">
        <v>496.40836023263461</v>
      </c>
      <c r="B583" s="74">
        <v>496.8043738443028</v>
      </c>
      <c r="C583" s="74">
        <v>493.75440554578603</v>
      </c>
      <c r="D583" s="74">
        <v>496.6163193685444</v>
      </c>
      <c r="E583" s="74">
        <v>4411397.7295905249</v>
      </c>
      <c r="F583" s="74" t="s">
        <v>651</v>
      </c>
      <c r="G583" s="25">
        <f t="shared" si="14"/>
        <v>-4.1875211868636075E-4</v>
      </c>
      <c r="I583" s="73">
        <v>260.74430875932234</v>
      </c>
      <c r="J583" s="73">
        <v>270.08326016148095</v>
      </c>
      <c r="K583" s="73">
        <v>259.89977687647729</v>
      </c>
      <c r="L583" s="73">
        <v>269.87703725985597</v>
      </c>
      <c r="M583" s="73">
        <v>972096.30172201328</v>
      </c>
      <c r="N583" s="73" t="s">
        <v>651</v>
      </c>
      <c r="O583" s="25">
        <f t="shared" si="15"/>
        <v>-3.3840331853576822E-2</v>
      </c>
    </row>
    <row r="584" spans="1:15">
      <c r="A584" s="74">
        <v>495.2695363931287</v>
      </c>
      <c r="B584" s="74">
        <v>500.81511335072275</v>
      </c>
      <c r="C584" s="74">
        <v>494.16042100160985</v>
      </c>
      <c r="D584" s="74">
        <v>498.08193613590856</v>
      </c>
      <c r="E584" s="74">
        <v>5653514.1139943674</v>
      </c>
      <c r="F584" s="74" t="s">
        <v>652</v>
      </c>
      <c r="G584" s="25">
        <f t="shared" si="14"/>
        <v>-5.6464600274370724E-3</v>
      </c>
      <c r="I584" s="73">
        <v>270.32876361579633</v>
      </c>
      <c r="J584" s="73">
        <v>272.26333083580187</v>
      </c>
      <c r="K584" s="73">
        <v>262.52666383765228</v>
      </c>
      <c r="L584" s="73">
        <v>263.16988288795869</v>
      </c>
      <c r="M584" s="73">
        <v>4405108.0788889285</v>
      </c>
      <c r="N584" s="73" t="s">
        <v>652</v>
      </c>
      <c r="O584" s="25">
        <f t="shared" si="15"/>
        <v>2.7202507556251865E-2</v>
      </c>
    </row>
    <row r="585" spans="1:15">
      <c r="A585" s="74">
        <v>497.18721671069676</v>
      </c>
      <c r="B585" s="74">
        <v>497.80888575213316</v>
      </c>
      <c r="C585" s="74">
        <v>495.67744903863684</v>
      </c>
      <c r="D585" s="74">
        <v>496.34845689288568</v>
      </c>
      <c r="E585" s="74">
        <v>3668161.832107625</v>
      </c>
      <c r="F585" s="74" t="s">
        <v>653</v>
      </c>
      <c r="G585" s="25">
        <f t="shared" si="14"/>
        <v>1.6898608349902311E-3</v>
      </c>
      <c r="I585" s="73">
        <v>262.8458183282624</v>
      </c>
      <c r="J585" s="73">
        <v>263.33682523689322</v>
      </c>
      <c r="K585" s="73">
        <v>260.07653936358435</v>
      </c>
      <c r="L585" s="73">
        <v>262.68869611750046</v>
      </c>
      <c r="M585" s="73">
        <v>858343.31980217469</v>
      </c>
      <c r="N585" s="73" t="s">
        <v>653</v>
      </c>
      <c r="O585" s="25">
        <f t="shared" si="15"/>
        <v>5.9813084112181336E-4</v>
      </c>
    </row>
    <row r="586" spans="1:15">
      <c r="A586" s="74">
        <v>496.41753123082304</v>
      </c>
      <c r="B586" s="74">
        <v>497.10827461019687</v>
      </c>
      <c r="C586" s="74">
        <v>494.26635899220179</v>
      </c>
      <c r="D586" s="74">
        <v>494.83868922082587</v>
      </c>
      <c r="E586" s="74">
        <v>3245619.2371071526</v>
      </c>
      <c r="F586" s="74" t="s">
        <v>654</v>
      </c>
      <c r="G586" s="25">
        <f t="shared" si="14"/>
        <v>3.1906195784392466E-3</v>
      </c>
      <c r="I586" s="73">
        <v>262.18786907069705</v>
      </c>
      <c r="J586" s="73">
        <v>262.77216729196772</v>
      </c>
      <c r="K586" s="73">
        <v>256.09938340367461</v>
      </c>
      <c r="L586" s="73">
        <v>258.24999366347765</v>
      </c>
      <c r="M586" s="73">
        <v>1067253.8222756155</v>
      </c>
      <c r="N586" s="73" t="s">
        <v>654</v>
      </c>
      <c r="O586" s="25">
        <f t="shared" si="15"/>
        <v>1.5248307856110976E-2</v>
      </c>
    </row>
    <row r="587" spans="1:15">
      <c r="A587" s="74">
        <v>495.86493652732401</v>
      </c>
      <c r="B587" s="74">
        <v>496.18070492932344</v>
      </c>
      <c r="C587" s="74">
        <v>493.70389652614028</v>
      </c>
      <c r="D587" s="74">
        <v>495.07551552232536</v>
      </c>
      <c r="E587" s="74">
        <v>6421642.1502602752</v>
      </c>
      <c r="F587" s="74" t="s">
        <v>655</v>
      </c>
      <c r="G587" s="25">
        <f t="shared" si="14"/>
        <v>1.5945466504554417E-3</v>
      </c>
      <c r="I587" s="73">
        <v>261.08801359536392</v>
      </c>
      <c r="J587" s="73">
        <v>268.0210311452314</v>
      </c>
      <c r="K587" s="73">
        <v>260.51844558135218</v>
      </c>
      <c r="L587" s="73">
        <v>262.19768920886963</v>
      </c>
      <c r="M587" s="73">
        <v>1522039.6838894035</v>
      </c>
      <c r="N587" s="73" t="s">
        <v>655</v>
      </c>
      <c r="O587" s="25">
        <f t="shared" si="15"/>
        <v>-4.2322097378277856E-3</v>
      </c>
    </row>
    <row r="588" spans="1:15">
      <c r="A588" s="74">
        <v>493.81244191432762</v>
      </c>
      <c r="B588" s="74">
        <v>497.76892131375513</v>
      </c>
      <c r="C588" s="74">
        <v>493.81244191432762</v>
      </c>
      <c r="D588" s="74">
        <v>495.39128392432485</v>
      </c>
      <c r="E588" s="74">
        <v>7116956.8131896658</v>
      </c>
      <c r="F588" s="74" t="s">
        <v>656</v>
      </c>
      <c r="G588" s="25">
        <f t="shared" si="14"/>
        <v>-3.1870605342310121E-3</v>
      </c>
      <c r="I588" s="73">
        <v>261.08801359536392</v>
      </c>
      <c r="J588" s="73">
        <v>262.60031487394696</v>
      </c>
      <c r="K588" s="73">
        <v>253.97823355838932</v>
      </c>
      <c r="L588" s="73">
        <v>255.32359248803783</v>
      </c>
      <c r="M588" s="73">
        <v>1045539.2601939318</v>
      </c>
      <c r="N588" s="73" t="s">
        <v>656</v>
      </c>
      <c r="O588" s="25">
        <f t="shared" si="15"/>
        <v>2.257692307692305E-2</v>
      </c>
    </row>
    <row r="589" spans="1:15">
      <c r="A589" s="74">
        <v>495.14458986026278</v>
      </c>
      <c r="B589" s="74">
        <v>496.56130453135847</v>
      </c>
      <c r="C589" s="74">
        <v>494.22688794195193</v>
      </c>
      <c r="D589" s="74">
        <v>495.46035826226228</v>
      </c>
      <c r="E589" s="74">
        <v>4406103.1793878563</v>
      </c>
      <c r="F589" s="74" t="s">
        <v>657</v>
      </c>
      <c r="G589" s="25">
        <f t="shared" si="14"/>
        <v>-6.3732324238208182E-4</v>
      </c>
      <c r="I589" s="73">
        <v>253.87021203849054</v>
      </c>
      <c r="J589" s="73">
        <v>255.94687665785384</v>
      </c>
      <c r="K589" s="73">
        <v>251.19422438645245</v>
      </c>
      <c r="L589" s="73">
        <v>255.6574771859068</v>
      </c>
      <c r="M589" s="73">
        <v>2107216.7861855808</v>
      </c>
      <c r="N589" s="73" t="s">
        <v>657</v>
      </c>
      <c r="O589" s="25">
        <f t="shared" si="15"/>
        <v>-6.990858108627207E-3</v>
      </c>
    </row>
    <row r="590" spans="1:15">
      <c r="A590" s="74">
        <v>496.23004374213588</v>
      </c>
      <c r="B590" s="74">
        <v>499.05222383500598</v>
      </c>
      <c r="C590" s="74">
        <v>494.56239186907629</v>
      </c>
      <c r="D590" s="74">
        <v>498.46015808125702</v>
      </c>
      <c r="E590" s="74">
        <v>4875337.2099678321</v>
      </c>
      <c r="F590" s="74" t="s">
        <v>658</v>
      </c>
      <c r="G590" s="25">
        <f t="shared" si="14"/>
        <v>-4.4740072059231695E-3</v>
      </c>
      <c r="I590" s="73">
        <v>255.83423967301391</v>
      </c>
      <c r="J590" s="73">
        <v>257.82772772205516</v>
      </c>
      <c r="K590" s="73">
        <v>252.40701145077063</v>
      </c>
      <c r="L590" s="73">
        <v>255.18611055362123</v>
      </c>
      <c r="M590" s="73">
        <v>1156813.6619174273</v>
      </c>
      <c r="N590" s="73" t="s">
        <v>658</v>
      </c>
      <c r="O590" s="25">
        <f t="shared" si="15"/>
        <v>2.5398291387668248E-3</v>
      </c>
    </row>
    <row r="591" spans="1:15">
      <c r="A591" s="74">
        <v>497.61153050088348</v>
      </c>
      <c r="B591" s="74">
        <v>497.68573607535336</v>
      </c>
      <c r="C591" s="74">
        <v>495.98334967807381</v>
      </c>
      <c r="D591" s="74">
        <v>496.39779570569812</v>
      </c>
      <c r="E591" s="74">
        <v>3477652.5866635391</v>
      </c>
      <c r="F591" s="74" t="s">
        <v>659</v>
      </c>
      <c r="G591" s="25">
        <f t="shared" si="14"/>
        <v>2.4450849816122222E-3</v>
      </c>
      <c r="I591" s="73">
        <v>255.62801677138896</v>
      </c>
      <c r="J591" s="73">
        <v>257.28762012256124</v>
      </c>
      <c r="K591" s="73">
        <v>253.35956485351448</v>
      </c>
      <c r="L591" s="73">
        <v>253.5068669261037</v>
      </c>
      <c r="M591" s="73">
        <v>713888.12222097977</v>
      </c>
      <c r="N591" s="73" t="s">
        <v>659</v>
      </c>
      <c r="O591" s="25">
        <f t="shared" si="15"/>
        <v>8.3672283556073257E-3</v>
      </c>
    </row>
    <row r="592" spans="1:15">
      <c r="A592" s="74">
        <v>496.28925031751078</v>
      </c>
      <c r="B592" s="74">
        <v>497.51285287525866</v>
      </c>
      <c r="C592" s="74">
        <v>491.32576574858194</v>
      </c>
      <c r="D592" s="74">
        <v>491.88822821464345</v>
      </c>
      <c r="E592" s="74">
        <v>4671311.2225920837</v>
      </c>
      <c r="F592" s="74" t="s">
        <v>660</v>
      </c>
      <c r="G592" s="25">
        <f t="shared" si="14"/>
        <v>8.9471994864387394E-3</v>
      </c>
      <c r="I592" s="73">
        <v>253.86039190031792</v>
      </c>
      <c r="J592" s="73">
        <v>255.7065778767699</v>
      </c>
      <c r="K592" s="73">
        <v>249.43150958446773</v>
      </c>
      <c r="L592" s="73">
        <v>250.03053801299737</v>
      </c>
      <c r="M592" s="73">
        <v>971601.40033523319</v>
      </c>
      <c r="N592" s="73" t="s">
        <v>660</v>
      </c>
      <c r="O592" s="25">
        <f t="shared" si="15"/>
        <v>1.5317544479792611E-2</v>
      </c>
    </row>
    <row r="593" spans="1:15">
      <c r="A593" s="74">
        <v>492.38161634276764</v>
      </c>
      <c r="B593" s="74">
        <v>492.44082291814249</v>
      </c>
      <c r="C593" s="74">
        <v>489.72718821345973</v>
      </c>
      <c r="D593" s="74">
        <v>490.68436118202055</v>
      </c>
      <c r="E593" s="74">
        <v>5889932.9642338268</v>
      </c>
      <c r="F593" s="74" t="s">
        <v>661</v>
      </c>
      <c r="G593" s="25">
        <f t="shared" si="14"/>
        <v>3.4589550738044483E-3</v>
      </c>
      <c r="I593" s="73">
        <v>249.81449497319977</v>
      </c>
      <c r="J593" s="73">
        <v>254.34157867077616</v>
      </c>
      <c r="K593" s="73">
        <v>244.52144049815931</v>
      </c>
      <c r="L593" s="73">
        <v>252.39719131259801</v>
      </c>
      <c r="M593" s="73">
        <v>754631.94811904046</v>
      </c>
      <c r="N593" s="73" t="s">
        <v>661</v>
      </c>
      <c r="O593" s="25">
        <f t="shared" si="15"/>
        <v>-1.0232666718543393E-2</v>
      </c>
    </row>
    <row r="594" spans="1:15">
      <c r="A594" s="74">
        <v>491.98690584026826</v>
      </c>
      <c r="B594" s="74">
        <v>492.84540118320427</v>
      </c>
      <c r="C594" s="74">
        <v>489.50022967452264</v>
      </c>
      <c r="D594" s="74">
        <v>492.69738474476708</v>
      </c>
      <c r="E594" s="74">
        <v>8926926.3870325722</v>
      </c>
      <c r="F594" s="74" t="s">
        <v>662</v>
      </c>
      <c r="G594" s="25">
        <f t="shared" si="14"/>
        <v>-1.4420188263569722E-3</v>
      </c>
      <c r="I594" s="73">
        <v>256.03064243646628</v>
      </c>
      <c r="J594" s="73">
        <v>256.63949100316847</v>
      </c>
      <c r="K594" s="73">
        <v>252.63297283012258</v>
      </c>
      <c r="L594" s="73">
        <v>255.90298064022221</v>
      </c>
      <c r="M594" s="73">
        <v>525449.83678421925</v>
      </c>
      <c r="N594" s="73" t="s">
        <v>662</v>
      </c>
      <c r="O594" s="25">
        <f t="shared" si="15"/>
        <v>4.9886795349030066E-4</v>
      </c>
    </row>
    <row r="595" spans="1:15">
      <c r="A595" s="74">
        <v>491.05933615939489</v>
      </c>
      <c r="B595" s="74">
        <v>493.53614456257804</v>
      </c>
      <c r="C595" s="74">
        <v>490.14163424108398</v>
      </c>
      <c r="D595" s="74">
        <v>491.34550127370693</v>
      </c>
      <c r="E595" s="74">
        <v>3748354.2764423308</v>
      </c>
      <c r="F595" s="74" t="s">
        <v>663</v>
      </c>
      <c r="G595" s="25">
        <f t="shared" si="14"/>
        <v>-5.8241118229473976E-4</v>
      </c>
      <c r="I595" s="73">
        <v>257.44474233332312</v>
      </c>
      <c r="J595" s="73">
        <v>259.85067618561425</v>
      </c>
      <c r="K595" s="73">
        <v>254.22373701270476</v>
      </c>
      <c r="L595" s="73">
        <v>255.24503138265692</v>
      </c>
      <c r="M595" s="73">
        <v>681374.32308826188</v>
      </c>
      <c r="N595" s="73" t="s">
        <v>663</v>
      </c>
      <c r="O595" s="25">
        <f t="shared" si="15"/>
        <v>8.6180363188674836E-3</v>
      </c>
    </row>
    <row r="596" spans="1:15">
      <c r="A596" s="74">
        <v>487.00368574621444</v>
      </c>
      <c r="B596" s="74">
        <v>487.13196665952677</v>
      </c>
      <c r="C596" s="74">
        <v>482.64114791734079</v>
      </c>
      <c r="D596" s="74">
        <v>484.49727405534384</v>
      </c>
      <c r="E596" s="74">
        <v>4082407.7134932731</v>
      </c>
      <c r="F596" s="74" t="s">
        <v>664</v>
      </c>
      <c r="G596" s="25">
        <f t="shared" si="14"/>
        <v>5.1732214505386676E-3</v>
      </c>
      <c r="I596" s="73">
        <v>250.50190464528299</v>
      </c>
      <c r="J596" s="73">
        <v>250.87506989584242</v>
      </c>
      <c r="K596" s="73">
        <v>246.78989241603381</v>
      </c>
      <c r="L596" s="73">
        <v>249.21546654467016</v>
      </c>
      <c r="M596" s="73">
        <v>488778.25501318229</v>
      </c>
      <c r="N596" s="73" t="s">
        <v>664</v>
      </c>
      <c r="O596" s="25">
        <f t="shared" si="15"/>
        <v>5.1619512963985148E-3</v>
      </c>
    </row>
    <row r="597" spans="1:15">
      <c r="A597" s="74">
        <v>485.89849633921642</v>
      </c>
      <c r="B597" s="74">
        <v>486.17479369096588</v>
      </c>
      <c r="C597" s="74">
        <v>483.08618400890879</v>
      </c>
      <c r="D597" s="74">
        <v>483.68811752522026</v>
      </c>
      <c r="E597" s="74">
        <v>3511659.2824950577</v>
      </c>
      <c r="F597" s="74" t="s">
        <v>665</v>
      </c>
      <c r="G597" s="25">
        <f t="shared" si="14"/>
        <v>4.5698431156537822E-3</v>
      </c>
      <c r="I597" s="73">
        <v>250.63938657969959</v>
      </c>
      <c r="J597" s="73">
        <v>251.76870246955053</v>
      </c>
      <c r="K597" s="73">
        <v>249.5984519334022</v>
      </c>
      <c r="L597" s="73">
        <v>250.51172478345558</v>
      </c>
      <c r="M597" s="73">
        <v>545319.21097938961</v>
      </c>
      <c r="N597" s="73" t="s">
        <v>665</v>
      </c>
      <c r="O597" s="25">
        <f t="shared" si="15"/>
        <v>5.0960407683264819E-4</v>
      </c>
    </row>
    <row r="598" spans="1:15">
      <c r="A598" s="74">
        <v>484.30978656665667</v>
      </c>
      <c r="B598" s="74">
        <v>487.00368574621444</v>
      </c>
      <c r="C598" s="74">
        <v>483.06644848378386</v>
      </c>
      <c r="D598" s="74">
        <v>484.0630925025946</v>
      </c>
      <c r="E598" s="74">
        <v>3104641.9901181473</v>
      </c>
      <c r="F598" s="74" t="s">
        <v>666</v>
      </c>
      <c r="G598" s="25">
        <f t="shared" si="14"/>
        <v>5.0963204566301101E-4</v>
      </c>
      <c r="I598" s="73">
        <v>251.30715597543755</v>
      </c>
      <c r="J598" s="73">
        <v>252.73107601046701</v>
      </c>
      <c r="K598" s="73">
        <v>247.89956802953952</v>
      </c>
      <c r="L598" s="73">
        <v>249.65737276243792</v>
      </c>
      <c r="M598" s="73">
        <v>440687.28198421997</v>
      </c>
      <c r="N598" s="73" t="s">
        <v>666</v>
      </c>
      <c r="O598" s="25">
        <f t="shared" si="15"/>
        <v>6.6081894347638226E-3</v>
      </c>
    </row>
    <row r="599" spans="1:15">
      <c r="A599" s="74">
        <v>484.94132337065554</v>
      </c>
      <c r="B599" s="74">
        <v>485.67153780027928</v>
      </c>
      <c r="C599" s="74">
        <v>483.16522478703428</v>
      </c>
      <c r="D599" s="74">
        <v>485.33603387315486</v>
      </c>
      <c r="E599" s="74">
        <v>21629993.491280023</v>
      </c>
      <c r="F599" s="74" t="s">
        <v>667</v>
      </c>
      <c r="G599" s="25">
        <f t="shared" si="14"/>
        <v>-8.1327260897856579E-4</v>
      </c>
      <c r="I599" s="73">
        <v>250.66884699421746</v>
      </c>
      <c r="J599" s="73">
        <v>254.63618281595467</v>
      </c>
      <c r="K599" s="73">
        <v>248.64589853065837</v>
      </c>
      <c r="L599" s="73">
        <v>254.63618281595467</v>
      </c>
      <c r="M599" s="73">
        <v>489270.10145313042</v>
      </c>
      <c r="N599" s="73" t="s">
        <v>667</v>
      </c>
      <c r="O599" s="25">
        <f t="shared" si="15"/>
        <v>-1.558040879290401E-2</v>
      </c>
    </row>
    <row r="600" spans="1:15">
      <c r="A600" s="74">
        <v>485.04986875884288</v>
      </c>
      <c r="B600" s="74">
        <v>485.04986875884288</v>
      </c>
      <c r="C600" s="74">
        <v>479.63246711203982</v>
      </c>
      <c r="D600" s="74">
        <v>481.4185321358492</v>
      </c>
      <c r="E600" s="74">
        <v>3066699.244979193</v>
      </c>
      <c r="F600" s="74" t="s">
        <v>668</v>
      </c>
      <c r="G600" s="25">
        <f t="shared" si="14"/>
        <v>7.5429930104331522E-3</v>
      </c>
      <c r="I600" s="73">
        <v>254.87186613209749</v>
      </c>
      <c r="J600" s="73">
        <v>254.91114668478792</v>
      </c>
      <c r="K600" s="73">
        <v>250.52154492162822</v>
      </c>
      <c r="L600" s="73">
        <v>252.23024896366357</v>
      </c>
      <c r="M600" s="73">
        <v>580139.49497024924</v>
      </c>
      <c r="N600" s="73" t="s">
        <v>668</v>
      </c>
      <c r="O600" s="25">
        <f t="shared" si="15"/>
        <v>1.0473038738563423E-2</v>
      </c>
    </row>
    <row r="601" spans="1:15">
      <c r="A601" s="74">
        <v>479.31669871004038</v>
      </c>
      <c r="B601" s="74">
        <v>479.9778388017267</v>
      </c>
      <c r="C601" s="74">
        <v>476.17875021517079</v>
      </c>
      <c r="D601" s="74">
        <v>477.59970802416836</v>
      </c>
      <c r="E601" s="74">
        <v>2594579.0484806858</v>
      </c>
      <c r="F601" s="74" t="s">
        <v>669</v>
      </c>
      <c r="G601" s="25">
        <f t="shared" si="14"/>
        <v>3.5950413223140298E-3</v>
      </c>
      <c r="I601" s="73">
        <v>250.40370326355682</v>
      </c>
      <c r="J601" s="73">
        <v>253.37920512985968</v>
      </c>
      <c r="K601" s="73">
        <v>246.76043200151597</v>
      </c>
      <c r="L601" s="73">
        <v>250.97327127756859</v>
      </c>
      <c r="M601" s="73">
        <v>722801.43876107445</v>
      </c>
      <c r="N601" s="73" t="s">
        <v>669</v>
      </c>
      <c r="O601" s="25">
        <f t="shared" si="15"/>
        <v>-2.2694369448682528E-3</v>
      </c>
    </row>
    <row r="602" spans="1:15">
      <c r="A602" s="74">
        <v>478.73450071885384</v>
      </c>
      <c r="B602" s="74">
        <v>479.9778388017267</v>
      </c>
      <c r="C602" s="74">
        <v>474.04731350167452</v>
      </c>
      <c r="D602" s="74">
        <v>479.86929341353942</v>
      </c>
      <c r="E602" s="74">
        <v>4267690.8502147933</v>
      </c>
      <c r="F602" s="74" t="s">
        <v>670</v>
      </c>
      <c r="G602" s="25">
        <f t="shared" si="14"/>
        <v>-2.3647953937899757E-3</v>
      </c>
      <c r="I602" s="73">
        <v>253.320284300824</v>
      </c>
      <c r="J602" s="73">
        <v>263.27299433877118</v>
      </c>
      <c r="K602" s="73">
        <v>250.00107759847953</v>
      </c>
      <c r="L602" s="73">
        <v>263.27299433877118</v>
      </c>
      <c r="M602" s="73">
        <v>1170668.864116048</v>
      </c>
      <c r="N602" s="73" t="s">
        <v>670</v>
      </c>
      <c r="O602" s="25">
        <f t="shared" si="15"/>
        <v>-3.7803763591264361E-2</v>
      </c>
    </row>
    <row r="603" spans="1:15">
      <c r="A603" s="74">
        <v>478.21150930304231</v>
      </c>
      <c r="B603" s="74">
        <v>478.49767441735429</v>
      </c>
      <c r="C603" s="74">
        <v>470.17421669590004</v>
      </c>
      <c r="D603" s="74">
        <v>474.87620555692308</v>
      </c>
      <c r="E603" s="74">
        <v>5405451.3028918337</v>
      </c>
      <c r="F603" s="74" t="s">
        <v>671</v>
      </c>
      <c r="G603" s="25">
        <f t="shared" si="14"/>
        <v>7.0235225667028001E-3</v>
      </c>
      <c r="I603" s="73">
        <v>252.89801835940145</v>
      </c>
      <c r="J603" s="73">
        <v>254.90132654661531</v>
      </c>
      <c r="K603" s="73">
        <v>250.68848727056269</v>
      </c>
      <c r="L603" s="73">
        <v>252.80963711584792</v>
      </c>
      <c r="M603" s="73">
        <v>1729187.4820407941</v>
      </c>
      <c r="N603" s="73" t="s">
        <v>671</v>
      </c>
      <c r="O603" s="25">
        <f t="shared" si="15"/>
        <v>3.4959602237405463E-4</v>
      </c>
    </row>
    <row r="604" spans="1:15">
      <c r="A604" s="74">
        <v>474.08678455192444</v>
      </c>
      <c r="B604" s="74">
        <v>476.36663241436048</v>
      </c>
      <c r="C604" s="74">
        <v>472.86318199417656</v>
      </c>
      <c r="D604" s="74">
        <v>475.74456866242156</v>
      </c>
      <c r="E604" s="74">
        <v>3439066.3319184515</v>
      </c>
      <c r="F604" s="74" t="s">
        <v>672</v>
      </c>
      <c r="G604" s="25">
        <f t="shared" si="14"/>
        <v>-3.4846096407533667E-3</v>
      </c>
      <c r="I604" s="73">
        <v>252.55431352335989</v>
      </c>
      <c r="J604" s="73">
        <v>252.72371090683757</v>
      </c>
      <c r="K604" s="73">
        <v>250.21712063827709</v>
      </c>
      <c r="L604" s="73">
        <v>250.53136505980083</v>
      </c>
      <c r="M604" s="73">
        <v>1000176.3546859238</v>
      </c>
      <c r="N604" s="73" t="s">
        <v>672</v>
      </c>
      <c r="O604" s="25">
        <f t="shared" si="15"/>
        <v>8.074631545939237E-3</v>
      </c>
    </row>
    <row r="605" spans="1:15">
      <c r="A605" s="74">
        <v>477.29380738473139</v>
      </c>
      <c r="B605" s="74">
        <v>478.27071587841715</v>
      </c>
      <c r="C605" s="74">
        <v>476.57346071767012</v>
      </c>
      <c r="D605" s="74">
        <v>476.80041925660726</v>
      </c>
      <c r="E605" s="74">
        <v>5680072.8275627885</v>
      </c>
      <c r="F605" s="74" t="s">
        <v>673</v>
      </c>
      <c r="G605" s="25">
        <f t="shared" si="14"/>
        <v>1.0347896272686619E-3</v>
      </c>
      <c r="I605" s="73">
        <v>250.68848727056269</v>
      </c>
      <c r="J605" s="73">
        <v>252.84891766853841</v>
      </c>
      <c r="K605" s="73">
        <v>249.87341580223548</v>
      </c>
      <c r="L605" s="73">
        <v>250.82596920497932</v>
      </c>
      <c r="M605" s="73">
        <v>913372.07708655403</v>
      </c>
      <c r="N605" s="73" t="s">
        <v>673</v>
      </c>
      <c r="O605" s="25">
        <f t="shared" si="15"/>
        <v>-5.4811682718658439E-4</v>
      </c>
    </row>
    <row r="606" spans="1:15">
      <c r="A606" s="74">
        <v>480.678449943663</v>
      </c>
      <c r="B606" s="74">
        <v>481.19650747819333</v>
      </c>
      <c r="C606" s="74">
        <v>478.11776555869864</v>
      </c>
      <c r="D606" s="74">
        <v>480.95474729541246</v>
      </c>
      <c r="E606" s="74">
        <v>4088785.0457001971</v>
      </c>
      <c r="F606" s="74" t="s">
        <v>674</v>
      </c>
      <c r="G606" s="25">
        <f t="shared" si="14"/>
        <v>-5.7447681575695242E-4</v>
      </c>
      <c r="I606" s="73">
        <v>253.94877314387151</v>
      </c>
      <c r="J606" s="73">
        <v>259.25164775708458</v>
      </c>
      <c r="K606" s="73">
        <v>253.05514057016336</v>
      </c>
      <c r="L606" s="73">
        <v>259.25164775708458</v>
      </c>
      <c r="M606" s="73">
        <v>1008928.7773595343</v>
      </c>
      <c r="N606" s="73" t="s">
        <v>674</v>
      </c>
      <c r="O606" s="25">
        <f t="shared" si="15"/>
        <v>-2.0454545454545392E-2</v>
      </c>
    </row>
    <row r="607" spans="1:15">
      <c r="A607" s="74">
        <v>480.29360720372614</v>
      </c>
      <c r="B607" s="74">
        <v>480.95474729541246</v>
      </c>
      <c r="C607" s="74">
        <v>477.92534418873026</v>
      </c>
      <c r="D607" s="74">
        <v>478.76410400654134</v>
      </c>
      <c r="E607" s="74">
        <v>2589483.6684812554</v>
      </c>
      <c r="F607" s="74" t="s">
        <v>675</v>
      </c>
      <c r="G607" s="25">
        <f t="shared" si="14"/>
        <v>3.1946906302815492E-3</v>
      </c>
      <c r="I607" s="73">
        <v>259.4284102441917</v>
      </c>
      <c r="J607" s="73">
        <v>261.30896670424784</v>
      </c>
      <c r="K607" s="73">
        <v>258.16730810006425</v>
      </c>
      <c r="L607" s="73">
        <v>258.86866236835255</v>
      </c>
      <c r="M607" s="73">
        <v>603587.23022127384</v>
      </c>
      <c r="N607" s="73" t="s">
        <v>675</v>
      </c>
      <c r="O607" s="25">
        <f t="shared" si="15"/>
        <v>2.1622851940366061E-3</v>
      </c>
    </row>
    <row r="608" spans="1:15">
      <c r="A608" s="74">
        <v>477.04711332066933</v>
      </c>
      <c r="B608" s="74">
        <v>483.51049779909556</v>
      </c>
      <c r="C608" s="74">
        <v>475.9123206259838</v>
      </c>
      <c r="D608" s="74">
        <v>483.43155569859573</v>
      </c>
      <c r="E608" s="74">
        <v>3862382.1518472382</v>
      </c>
      <c r="F608" s="74" t="s">
        <v>676</v>
      </c>
      <c r="G608" s="25">
        <f t="shared" ref="G608:G671" si="16">A608/D608-1</f>
        <v>-1.320650731767059E-2</v>
      </c>
      <c r="I608" s="73">
        <v>257.32690067525169</v>
      </c>
      <c r="J608" s="73">
        <v>267.88354921081481</v>
      </c>
      <c r="K608" s="73">
        <v>257.12067777362671</v>
      </c>
      <c r="L608" s="73">
        <v>266.48908959030319</v>
      </c>
      <c r="M608" s="73">
        <v>893565.83845924446</v>
      </c>
      <c r="N608" s="73" t="s">
        <v>676</v>
      </c>
      <c r="O608" s="25">
        <f t="shared" ref="O608:O671" si="17">I608/L608-1</f>
        <v>-3.4381103290710091E-2</v>
      </c>
    </row>
    <row r="609" spans="1:15">
      <c r="A609" s="74">
        <v>480.6192433682881</v>
      </c>
      <c r="B609" s="74">
        <v>481.97112683934824</v>
      </c>
      <c r="C609" s="74">
        <v>478.52727770504174</v>
      </c>
      <c r="D609" s="74">
        <v>481.33959003534937</v>
      </c>
      <c r="E609" s="74">
        <v>3294141.8882115106</v>
      </c>
      <c r="F609" s="74" t="s">
        <v>677</v>
      </c>
      <c r="G609" s="25">
        <f t="shared" si="16"/>
        <v>-1.4965456446421888E-3</v>
      </c>
      <c r="I609" s="73">
        <v>265.93916185263663</v>
      </c>
      <c r="J609" s="73">
        <v>273.19624396220047</v>
      </c>
      <c r="K609" s="73">
        <v>264.40231022862213</v>
      </c>
      <c r="L609" s="73">
        <v>265.90970143811876</v>
      </c>
      <c r="M609" s="73">
        <v>929036.82612531504</v>
      </c>
      <c r="N609" s="73" t="s">
        <v>677</v>
      </c>
      <c r="O609" s="25">
        <f t="shared" si="17"/>
        <v>1.1079104808331408E-4</v>
      </c>
    </row>
    <row r="610" spans="1:15">
      <c r="A610" s="74">
        <v>482.02046565216068</v>
      </c>
      <c r="B610" s="74">
        <v>482.11914327778544</v>
      </c>
      <c r="C610" s="74">
        <v>479.9186322263518</v>
      </c>
      <c r="D610" s="74">
        <v>480.09625195247645</v>
      </c>
      <c r="E610" s="74">
        <v>2486456.2604378862</v>
      </c>
      <c r="F610" s="74" t="s">
        <v>678</v>
      </c>
      <c r="G610" s="25">
        <f t="shared" si="16"/>
        <v>4.0079748422503503E-3</v>
      </c>
      <c r="I610" s="73">
        <v>265.49725563486891</v>
      </c>
      <c r="J610" s="73">
        <v>267.82462838177912</v>
      </c>
      <c r="K610" s="73">
        <v>264.23045781060131</v>
      </c>
      <c r="L610" s="73">
        <v>264.90804734451189</v>
      </c>
      <c r="M610" s="73">
        <v>711052.11324529559</v>
      </c>
      <c r="N610" s="73" t="s">
        <v>678</v>
      </c>
      <c r="O610" s="25">
        <f t="shared" si="17"/>
        <v>2.2241992882563455E-3</v>
      </c>
    </row>
    <row r="611" spans="1:15">
      <c r="A611" s="74">
        <v>480.72778875647543</v>
      </c>
      <c r="B611" s="74">
        <v>482.14864788784729</v>
      </c>
      <c r="C611" s="74">
        <v>480.01730985197662</v>
      </c>
      <c r="D611" s="74">
        <v>480.34294601653852</v>
      </c>
      <c r="E611" s="74">
        <v>2634421.9204094037</v>
      </c>
      <c r="F611" s="74" t="s">
        <v>679</v>
      </c>
      <c r="G611" s="25">
        <f t="shared" si="16"/>
        <v>8.0118328608413947E-4</v>
      </c>
      <c r="I611" s="73">
        <v>266.34178751771395</v>
      </c>
      <c r="J611" s="73">
        <v>267.67241624010353</v>
      </c>
      <c r="K611" s="73">
        <v>263.58232869120866</v>
      </c>
      <c r="L611" s="73">
        <v>265.12409038430945</v>
      </c>
      <c r="M611" s="73">
        <v>673922.28944946232</v>
      </c>
      <c r="N611" s="73" t="s">
        <v>679</v>
      </c>
      <c r="O611" s="25">
        <f t="shared" si="17"/>
        <v>4.5929328098377464E-3</v>
      </c>
    </row>
    <row r="612" spans="1:15">
      <c r="A612" s="74">
        <v>480.25413615347622</v>
      </c>
      <c r="B612" s="74">
        <v>480.29360720372614</v>
      </c>
      <c r="C612" s="74">
        <v>478.29045140354214</v>
      </c>
      <c r="D612" s="74">
        <v>479.66207039972721</v>
      </c>
      <c r="E612" s="74">
        <v>3317910.1941993055</v>
      </c>
      <c r="F612" s="74" t="s">
        <v>680</v>
      </c>
      <c r="G612" s="25">
        <f t="shared" si="16"/>
        <v>1.2343393198790409E-3</v>
      </c>
      <c r="I612" s="73">
        <v>264.90804734451189</v>
      </c>
      <c r="J612" s="73">
        <v>269.63153380554058</v>
      </c>
      <c r="K612" s="73">
        <v>263.55286827669073</v>
      </c>
      <c r="L612" s="73">
        <v>268.95394427163001</v>
      </c>
      <c r="M612" s="73">
        <v>526028.24005107337</v>
      </c>
      <c r="N612" s="73" t="s">
        <v>680</v>
      </c>
      <c r="O612" s="25">
        <f t="shared" si="17"/>
        <v>-1.5043084562582076E-2</v>
      </c>
    </row>
    <row r="613" spans="1:15">
      <c r="A613" s="74">
        <v>479.54365724897747</v>
      </c>
      <c r="B613" s="74">
        <v>482.10927551522298</v>
      </c>
      <c r="C613" s="74">
        <v>479.40550857310268</v>
      </c>
      <c r="D613" s="74">
        <v>480.60937560572563</v>
      </c>
      <c r="E613" s="74">
        <v>3392239.1006110399</v>
      </c>
      <c r="F613" s="74" t="s">
        <v>681</v>
      </c>
      <c r="G613" s="25">
        <f t="shared" si="16"/>
        <v>-2.2174314752079205E-3</v>
      </c>
      <c r="I613" s="73">
        <v>266.23376599781517</v>
      </c>
      <c r="J613" s="73">
        <v>268.47275750117177</v>
      </c>
      <c r="K613" s="73">
        <v>264.45632098857152</v>
      </c>
      <c r="L613" s="73">
        <v>268.3549158431004</v>
      </c>
      <c r="M613" s="73">
        <v>695048.26510818535</v>
      </c>
      <c r="N613" s="73" t="s">
        <v>681</v>
      </c>
      <c r="O613" s="25">
        <f t="shared" si="17"/>
        <v>-7.9042705017016157E-3</v>
      </c>
    </row>
    <row r="614" spans="1:15">
      <c r="A614" s="74">
        <v>480.46135916728832</v>
      </c>
      <c r="B614" s="74">
        <v>480.78699533185028</v>
      </c>
      <c r="C614" s="74">
        <v>476.35143606001429</v>
      </c>
      <c r="D614" s="74">
        <v>476.94843569504445</v>
      </c>
      <c r="E614" s="74">
        <v>4458442.2984870141</v>
      </c>
      <c r="F614" s="74" t="s">
        <v>682</v>
      </c>
      <c r="G614" s="25">
        <f t="shared" si="16"/>
        <v>7.3654156494393774E-3</v>
      </c>
      <c r="I614" s="73">
        <v>270.27966292493329</v>
      </c>
      <c r="J614" s="73">
        <v>271.43843922930211</v>
      </c>
      <c r="K614" s="73">
        <v>267.64786589467201</v>
      </c>
      <c r="L614" s="73">
        <v>268.87538316624909</v>
      </c>
      <c r="M614" s="73">
        <v>825755.18362987868</v>
      </c>
      <c r="N614" s="73" t="s">
        <v>682</v>
      </c>
      <c r="O614" s="25">
        <f t="shared" si="17"/>
        <v>5.2227903579253887E-3</v>
      </c>
    </row>
    <row r="615" spans="1:15">
      <c r="A615" s="74">
        <v>474.67885030567345</v>
      </c>
      <c r="B615" s="74">
        <v>475.10316409586022</v>
      </c>
      <c r="C615" s="74">
        <v>472.15270308967786</v>
      </c>
      <c r="D615" s="74">
        <v>472.646091217802</v>
      </c>
      <c r="E615" s="74">
        <v>3301380.6112297941</v>
      </c>
      <c r="F615" s="74" t="s">
        <v>683</v>
      </c>
      <c r="G615" s="25">
        <f t="shared" si="16"/>
        <v>4.3008058791598192E-3</v>
      </c>
      <c r="I615" s="73">
        <v>265.9686222671545</v>
      </c>
      <c r="J615" s="73">
        <v>269.31728938401682</v>
      </c>
      <c r="K615" s="73">
        <v>264.66254389019645</v>
      </c>
      <c r="L615" s="73">
        <v>264.66254389019645</v>
      </c>
      <c r="M615" s="73">
        <v>741923.36929802131</v>
      </c>
      <c r="N615" s="73" t="s">
        <v>683</v>
      </c>
      <c r="O615" s="25">
        <f t="shared" si="17"/>
        <v>4.9348818225669611E-3</v>
      </c>
    </row>
    <row r="616" spans="1:15">
      <c r="A616" s="74">
        <v>472.43886820398978</v>
      </c>
      <c r="B616" s="74">
        <v>474.06704902679951</v>
      </c>
      <c r="C616" s="74">
        <v>471.41262089749165</v>
      </c>
      <c r="D616" s="74">
        <v>473.99797468886214</v>
      </c>
      <c r="E616" s="74">
        <v>3150098.0899340655</v>
      </c>
      <c r="F616" s="74" t="s">
        <v>684</v>
      </c>
      <c r="G616" s="25">
        <f t="shared" si="16"/>
        <v>-3.2892682419071173E-3</v>
      </c>
      <c r="I616" s="73">
        <v>264.08315573801207</v>
      </c>
      <c r="J616" s="73">
        <v>270.05379974696308</v>
      </c>
      <c r="K616" s="73">
        <v>263.16988288795869</v>
      </c>
      <c r="L616" s="73">
        <v>269.72973518726678</v>
      </c>
      <c r="M616" s="73">
        <v>1171340.9524190826</v>
      </c>
      <c r="N616" s="73" t="s">
        <v>684</v>
      </c>
      <c r="O616" s="25">
        <f t="shared" si="17"/>
        <v>-2.0934211963447136E-2</v>
      </c>
    </row>
    <row r="617" spans="1:15">
      <c r="A617" s="74">
        <v>472.40926491630239</v>
      </c>
      <c r="B617" s="74">
        <v>474.037445739112</v>
      </c>
      <c r="C617" s="74">
        <v>471.2744722216168</v>
      </c>
      <c r="D617" s="74">
        <v>473.34670235973823</v>
      </c>
      <c r="E617" s="74">
        <v>3392014.1255991319</v>
      </c>
      <c r="F617" s="74" t="s">
        <v>685</v>
      </c>
      <c r="G617" s="25">
        <f t="shared" si="16"/>
        <v>-1.9804457045174972E-3</v>
      </c>
      <c r="I617" s="73">
        <v>268.66916026462411</v>
      </c>
      <c r="J617" s="73">
        <v>269.13070675873712</v>
      </c>
      <c r="K617" s="73">
        <v>264.48578140308933</v>
      </c>
      <c r="L617" s="73">
        <v>267.58894506563627</v>
      </c>
      <c r="M617" s="73">
        <v>1167318.6057569813</v>
      </c>
      <c r="N617" s="73" t="s">
        <v>685</v>
      </c>
      <c r="O617" s="25">
        <f t="shared" si="17"/>
        <v>4.0368453888215416E-3</v>
      </c>
    </row>
    <row r="618" spans="1:15">
      <c r="A618" s="74">
        <v>471.82706692511584</v>
      </c>
      <c r="B618" s="74">
        <v>471.82706692511584</v>
      </c>
      <c r="C618" s="74">
        <v>468.65951514255892</v>
      </c>
      <c r="D618" s="74">
        <v>469.30091970912025</v>
      </c>
      <c r="E618" s="74">
        <v>3532765.3841752745</v>
      </c>
      <c r="F618" s="74" t="s">
        <v>686</v>
      </c>
      <c r="G618" s="25">
        <f t="shared" si="16"/>
        <v>5.382787695283664E-3</v>
      </c>
      <c r="I618" s="73">
        <v>264.40722029770831</v>
      </c>
      <c r="J618" s="73">
        <v>266.92910801810791</v>
      </c>
      <c r="K618" s="73">
        <v>262.69663754162332</v>
      </c>
      <c r="L618" s="73">
        <v>266.01028070912508</v>
      </c>
      <c r="M618" s="73">
        <v>1550014.7482302024</v>
      </c>
      <c r="N618" s="73" t="s">
        <v>686</v>
      </c>
      <c r="O618" s="25">
        <f t="shared" si="17"/>
        <v>-6.0263099875064174E-3</v>
      </c>
    </row>
    <row r="619" spans="1:15">
      <c r="A619" s="74">
        <v>469.13316774555813</v>
      </c>
      <c r="B619" s="74">
        <v>469.56734929830736</v>
      </c>
      <c r="C619" s="74">
        <v>467.2385573335614</v>
      </c>
      <c r="D619" s="74">
        <v>467.3273671966237</v>
      </c>
      <c r="E619" s="74">
        <v>3257960.4339315477</v>
      </c>
      <c r="F619" s="74" t="s">
        <v>687</v>
      </c>
      <c r="G619" s="25">
        <f t="shared" si="16"/>
        <v>3.8641018602589838E-3</v>
      </c>
      <c r="I619" s="73">
        <v>267.42762070702406</v>
      </c>
      <c r="J619" s="73">
        <v>267.80883629266594</v>
      </c>
      <c r="K619" s="73">
        <v>260.15520030401132</v>
      </c>
      <c r="L619" s="73">
        <v>264.34857174607112</v>
      </c>
      <c r="M619" s="73">
        <v>1386595.8788387051</v>
      </c>
      <c r="N619" s="73" t="s">
        <v>687</v>
      </c>
      <c r="O619" s="25">
        <f t="shared" si="17"/>
        <v>1.1647685253660667E-2</v>
      </c>
    </row>
    <row r="620" spans="1:15">
      <c r="A620" s="74">
        <v>469.11343222043308</v>
      </c>
      <c r="B620" s="74">
        <v>470.33703477818096</v>
      </c>
      <c r="C620" s="74">
        <v>468.43255660362178</v>
      </c>
      <c r="D620" s="74">
        <v>469.40946509730759</v>
      </c>
      <c r="E620" s="74">
        <v>3497552.7412078525</v>
      </c>
      <c r="F620" s="74" t="s">
        <v>688</v>
      </c>
      <c r="G620" s="25">
        <f t="shared" si="16"/>
        <v>-6.3064956905611869E-4</v>
      </c>
      <c r="I620" s="73">
        <v>265.91253312306316</v>
      </c>
      <c r="J620" s="73">
        <v>276.15648014236064</v>
      </c>
      <c r="K620" s="73">
        <v>257.57466403197458</v>
      </c>
      <c r="L620" s="73">
        <v>263.91848236739833</v>
      </c>
      <c r="M620" s="73">
        <v>2438319.0378617202</v>
      </c>
      <c r="N620" s="73" t="s">
        <v>688</v>
      </c>
      <c r="O620" s="25">
        <f t="shared" si="17"/>
        <v>7.5555555555557596E-3</v>
      </c>
    </row>
    <row r="621" spans="1:15">
      <c r="A621" s="74">
        <v>468.4424243661843</v>
      </c>
      <c r="B621" s="74">
        <v>468.53123422924665</v>
      </c>
      <c r="C621" s="74">
        <v>465.58077322306428</v>
      </c>
      <c r="D621" s="74">
        <v>465.97548372556361</v>
      </c>
      <c r="E621" s="74">
        <v>4846632.6279304698</v>
      </c>
      <c r="F621" s="74" t="s">
        <v>689</v>
      </c>
      <c r="G621" s="25">
        <f t="shared" si="16"/>
        <v>5.2941425606709558E-3</v>
      </c>
      <c r="I621" s="73">
        <v>271.14202897738005</v>
      </c>
      <c r="J621" s="73">
        <v>272.43229711339848</v>
      </c>
      <c r="K621" s="73">
        <v>269.3434733938393</v>
      </c>
      <c r="L621" s="73">
        <v>272.09995532078767</v>
      </c>
      <c r="M621" s="73">
        <v>1019074.7824382895</v>
      </c>
      <c r="N621" s="73" t="s">
        <v>689</v>
      </c>
      <c r="O621" s="25">
        <f t="shared" si="17"/>
        <v>-3.5204943061394323E-3</v>
      </c>
    </row>
    <row r="622" spans="1:15">
      <c r="A622" s="74">
        <v>463.76510491156745</v>
      </c>
      <c r="B622" s="74">
        <v>464.77161669294065</v>
      </c>
      <c r="C622" s="74">
        <v>461.25879189832239</v>
      </c>
      <c r="D622" s="74">
        <v>463.54801413519277</v>
      </c>
      <c r="E622" s="74">
        <v>4648327.2889431035</v>
      </c>
      <c r="F622" s="74" t="s">
        <v>690</v>
      </c>
      <c r="G622" s="25">
        <f t="shared" si="16"/>
        <v>4.6832425068132899E-4</v>
      </c>
      <c r="I622" s="73">
        <v>267.87725960290931</v>
      </c>
      <c r="J622" s="73">
        <v>271.45482125277846</v>
      </c>
      <c r="K622" s="73">
        <v>266.59676622549711</v>
      </c>
      <c r="L622" s="73">
        <v>267.72086346521007</v>
      </c>
      <c r="M622" s="73">
        <v>1018981.6855101032</v>
      </c>
      <c r="N622" s="73" t="s">
        <v>690</v>
      </c>
      <c r="O622" s="25">
        <f t="shared" si="17"/>
        <v>5.8417612910299788E-4</v>
      </c>
    </row>
    <row r="623" spans="1:15">
      <c r="A623" s="74">
        <v>458.08127367557734</v>
      </c>
      <c r="B623" s="74">
        <v>458.80162034263856</v>
      </c>
      <c r="C623" s="74">
        <v>453.08818581896105</v>
      </c>
      <c r="D623" s="74">
        <v>457.23264609520379</v>
      </c>
      <c r="E623" s="74">
        <v>4025658.2734399545</v>
      </c>
      <c r="F623" s="74" t="s">
        <v>691</v>
      </c>
      <c r="G623" s="25">
        <f t="shared" si="16"/>
        <v>1.8560082872929318E-3</v>
      </c>
      <c r="I623" s="73">
        <v>263.95758140182312</v>
      </c>
      <c r="J623" s="73">
        <v>267.16370222465667</v>
      </c>
      <c r="K623" s="73">
        <v>261.67028788797234</v>
      </c>
      <c r="L623" s="73">
        <v>266.35239726034212</v>
      </c>
      <c r="M623" s="73">
        <v>839909.23262213496</v>
      </c>
      <c r="N623" s="73" t="s">
        <v>691</v>
      </c>
      <c r="O623" s="25">
        <f t="shared" si="17"/>
        <v>-8.9911556387390901E-3</v>
      </c>
    </row>
    <row r="624" spans="1:15">
      <c r="A624" s="74">
        <v>453.84800353627219</v>
      </c>
      <c r="B624" s="74">
        <v>460.89358600588491</v>
      </c>
      <c r="C624" s="74">
        <v>453.36448317071051</v>
      </c>
      <c r="D624" s="74">
        <v>454.67689559152075</v>
      </c>
      <c r="E624" s="74">
        <v>6197328.889175579</v>
      </c>
      <c r="F624" s="74" t="s">
        <v>692</v>
      </c>
      <c r="G624" s="25">
        <f t="shared" si="16"/>
        <v>-1.8230353538641886E-3</v>
      </c>
      <c r="I624" s="73">
        <v>263.67411340224334</v>
      </c>
      <c r="J624" s="73">
        <v>267.55469256890473</v>
      </c>
      <c r="K624" s="73">
        <v>260.98605478553833</v>
      </c>
      <c r="L624" s="73">
        <v>264.15307657394715</v>
      </c>
      <c r="M624" s="73">
        <v>874688.60812347685</v>
      </c>
      <c r="N624" s="73" t="s">
        <v>692</v>
      </c>
      <c r="O624" s="25">
        <f t="shared" si="17"/>
        <v>-1.813203078744885E-3</v>
      </c>
    </row>
    <row r="625" spans="1:15">
      <c r="A625" s="74">
        <v>455.3281679206446</v>
      </c>
      <c r="B625" s="74">
        <v>462.14679185132024</v>
      </c>
      <c r="C625" s="74">
        <v>455.25909358270724</v>
      </c>
      <c r="D625" s="74">
        <v>461.23895769557186</v>
      </c>
      <c r="E625" s="74">
        <v>4423328.9688131372</v>
      </c>
      <c r="F625" s="74" t="s">
        <v>693</v>
      </c>
      <c r="G625" s="25">
        <f t="shared" si="16"/>
        <v>-1.2815027170424931E-2</v>
      </c>
      <c r="I625" s="73">
        <v>264.85685919359349</v>
      </c>
      <c r="J625" s="73">
        <v>273.02855738837667</v>
      </c>
      <c r="K625" s="73">
        <v>264.6124902284385</v>
      </c>
      <c r="L625" s="73">
        <v>271.91423490726987</v>
      </c>
      <c r="M625" s="73">
        <v>664715.1363798189</v>
      </c>
      <c r="N625" s="73" t="s">
        <v>693</v>
      </c>
      <c r="O625" s="25">
        <f t="shared" si="17"/>
        <v>-2.5954418002732127E-2</v>
      </c>
    </row>
    <row r="626" spans="1:15">
      <c r="A626" s="74">
        <v>462.64017997944438</v>
      </c>
      <c r="B626" s="74">
        <v>463.21251020806841</v>
      </c>
      <c r="C626" s="74">
        <v>460.04495842551137</v>
      </c>
      <c r="D626" s="74">
        <v>462.64017997944438</v>
      </c>
      <c r="E626" s="74">
        <v>3296801.0523162251</v>
      </c>
      <c r="F626" s="74" t="s">
        <v>694</v>
      </c>
      <c r="G626" s="25">
        <f t="shared" si="16"/>
        <v>0</v>
      </c>
      <c r="I626" s="73">
        <v>273.66391669777971</v>
      </c>
      <c r="J626" s="73">
        <v>276.13693062514824</v>
      </c>
      <c r="K626" s="73">
        <v>271.84581159702651</v>
      </c>
      <c r="L626" s="73">
        <v>273.91806042154087</v>
      </c>
      <c r="M626" s="73">
        <v>548616.10562931083</v>
      </c>
      <c r="N626" s="73" t="s">
        <v>694</v>
      </c>
      <c r="O626" s="25">
        <f t="shared" si="17"/>
        <v>-9.2780929950386781E-4</v>
      </c>
    </row>
    <row r="627" spans="1:15">
      <c r="A627" s="74">
        <v>461.03173468175964</v>
      </c>
      <c r="B627" s="74">
        <v>462.43295696563223</v>
      </c>
      <c r="C627" s="74">
        <v>458.66347166676383</v>
      </c>
      <c r="D627" s="74">
        <v>459.17659532001289</v>
      </c>
      <c r="E627" s="74">
        <v>4972872.9982385458</v>
      </c>
      <c r="F627" s="74" t="s">
        <v>695</v>
      </c>
      <c r="G627" s="25">
        <f t="shared" si="16"/>
        <v>4.0401435540369235E-3</v>
      </c>
      <c r="I627" s="73">
        <v>273.81053807687266</v>
      </c>
      <c r="J627" s="73">
        <v>276.18580441817926</v>
      </c>
      <c r="K627" s="73">
        <v>267.3396478795683</v>
      </c>
      <c r="L627" s="73">
        <v>269.76378801390592</v>
      </c>
      <c r="M627" s="73">
        <v>640571.31764138886</v>
      </c>
      <c r="N627" s="73" t="s">
        <v>695</v>
      </c>
      <c r="O627" s="25">
        <f t="shared" si="17"/>
        <v>1.5001087035292349E-2</v>
      </c>
    </row>
    <row r="628" spans="1:15">
      <c r="A628" s="74">
        <v>456.46296061533013</v>
      </c>
      <c r="B628" s="74">
        <v>457.33132372082861</v>
      </c>
      <c r="C628" s="74">
        <v>451.21331093208926</v>
      </c>
      <c r="D628" s="74">
        <v>452.70334307902419</v>
      </c>
      <c r="E628" s="74">
        <v>4941574.1097575594</v>
      </c>
      <c r="F628" s="74" t="s">
        <v>696</v>
      </c>
      <c r="G628" s="25">
        <f t="shared" si="16"/>
        <v>8.3048150489350991E-3</v>
      </c>
      <c r="I628" s="73">
        <v>270.71193959870726</v>
      </c>
      <c r="J628" s="73">
        <v>272.48117090642944</v>
      </c>
      <c r="K628" s="73">
        <v>265.35537188250976</v>
      </c>
      <c r="L628" s="73">
        <v>266.69451381155909</v>
      </c>
      <c r="M628" s="73">
        <v>941148.56137367291</v>
      </c>
      <c r="N628" s="73" t="s">
        <v>696</v>
      </c>
      <c r="O628" s="25">
        <f t="shared" si="17"/>
        <v>1.5063773640228595E-2</v>
      </c>
    </row>
    <row r="629" spans="1:15">
      <c r="A629" s="74">
        <v>458.35757102732686</v>
      </c>
      <c r="B629" s="74">
        <v>460.14363605113624</v>
      </c>
      <c r="C629" s="74">
        <v>456.3248119394554</v>
      </c>
      <c r="D629" s="74">
        <v>459.4134216215125</v>
      </c>
      <c r="E629" s="74">
        <v>7790861.3541524773</v>
      </c>
      <c r="F629" s="74" t="s">
        <v>697</v>
      </c>
      <c r="G629" s="25">
        <f t="shared" si="16"/>
        <v>-2.298258049272861E-3</v>
      </c>
      <c r="I629" s="73">
        <v>269.35324815244547</v>
      </c>
      <c r="J629" s="73">
        <v>273.08720594001386</v>
      </c>
      <c r="K629" s="73">
        <v>268.51261891231229</v>
      </c>
      <c r="L629" s="73">
        <v>271.59166787326529</v>
      </c>
      <c r="M629" s="73">
        <v>614331.28345401632</v>
      </c>
      <c r="N629" s="73" t="s">
        <v>697</v>
      </c>
      <c r="O629" s="25">
        <f t="shared" si="17"/>
        <v>-8.2418571171496424E-3</v>
      </c>
    </row>
    <row r="630" spans="1:15">
      <c r="A630" s="74">
        <v>458.69307495445122</v>
      </c>
      <c r="B630" s="74">
        <v>458.97924006876326</v>
      </c>
      <c r="C630" s="74">
        <v>454.57821796589593</v>
      </c>
      <c r="D630" s="74">
        <v>455.08147385658253</v>
      </c>
      <c r="E630" s="74">
        <v>4314453.2238611141</v>
      </c>
      <c r="F630" s="74" t="s">
        <v>698</v>
      </c>
      <c r="G630" s="25">
        <f t="shared" si="16"/>
        <v>7.9361637538488683E-3</v>
      </c>
      <c r="I630" s="73">
        <v>270.1059045651229</v>
      </c>
      <c r="J630" s="73">
        <v>272.54959421667286</v>
      </c>
      <c r="K630" s="73">
        <v>266.33284774312972</v>
      </c>
      <c r="L630" s="73">
        <v>267.43739546563035</v>
      </c>
      <c r="M630" s="73">
        <v>679010.11855066987</v>
      </c>
      <c r="N630" s="73" t="s">
        <v>698</v>
      </c>
      <c r="O630" s="25">
        <f t="shared" si="17"/>
        <v>9.9780701754383916E-3</v>
      </c>
    </row>
    <row r="631" spans="1:15">
      <c r="A631" s="74">
        <v>452.97964043077371</v>
      </c>
      <c r="B631" s="74">
        <v>455.62410211989345</v>
      </c>
      <c r="C631" s="74">
        <v>449.32856828265511</v>
      </c>
      <c r="D631" s="74">
        <v>451.4994760464013</v>
      </c>
      <c r="E631" s="74">
        <v>5896055.932801161</v>
      </c>
      <c r="F631" s="74" t="s">
        <v>699</v>
      </c>
      <c r="G631" s="25">
        <f t="shared" si="16"/>
        <v>3.2783302371326428E-3</v>
      </c>
      <c r="I631" s="73">
        <v>267.31032360374974</v>
      </c>
      <c r="J631" s="73">
        <v>269.27505008359589</v>
      </c>
      <c r="K631" s="73">
        <v>264.19217560837188</v>
      </c>
      <c r="L631" s="73">
        <v>264.80798540056253</v>
      </c>
      <c r="M631" s="73">
        <v>908687.40168848715</v>
      </c>
      <c r="N631" s="73" t="s">
        <v>699</v>
      </c>
      <c r="O631" s="25">
        <f t="shared" si="17"/>
        <v>9.4496327193533958E-3</v>
      </c>
    </row>
    <row r="632" spans="1:15">
      <c r="A632" s="74">
        <v>449.08187421859304</v>
      </c>
      <c r="B632" s="74">
        <v>453.85787129883465</v>
      </c>
      <c r="C632" s="74">
        <v>447.89774271109502</v>
      </c>
      <c r="D632" s="74">
        <v>452.92043385539881</v>
      </c>
      <c r="E632" s="74">
        <v>9918615.2261221297</v>
      </c>
      <c r="F632" s="74" t="s">
        <v>700</v>
      </c>
      <c r="G632" s="25">
        <f t="shared" si="16"/>
        <v>-8.4751301771279763E-3</v>
      </c>
      <c r="I632" s="73">
        <v>263.87938333297353</v>
      </c>
      <c r="J632" s="73">
        <v>269.08932967007814</v>
      </c>
      <c r="K632" s="73">
        <v>263.40042016126978</v>
      </c>
      <c r="L632" s="73">
        <v>268.21937615412628</v>
      </c>
      <c r="M632" s="73">
        <v>1224215.3982615939</v>
      </c>
      <c r="N632" s="73" t="s">
        <v>700</v>
      </c>
      <c r="O632" s="25">
        <f t="shared" si="17"/>
        <v>-1.6180758017492636E-2</v>
      </c>
    </row>
    <row r="633" spans="1:15">
      <c r="A633" s="74">
        <v>452.87109504258638</v>
      </c>
      <c r="B633" s="74">
        <v>457.17343951982895</v>
      </c>
      <c r="C633" s="74">
        <v>452.15074837552515</v>
      </c>
      <c r="D633" s="74">
        <v>455.25909358270724</v>
      </c>
      <c r="E633" s="74">
        <v>5712831.0134183131</v>
      </c>
      <c r="F633" s="74" t="s">
        <v>701</v>
      </c>
      <c r="G633" s="25">
        <f t="shared" si="16"/>
        <v>-5.245361539795379E-3</v>
      </c>
      <c r="I633" s="73">
        <v>267.3396478795683</v>
      </c>
      <c r="J633" s="73">
        <v>275.10569359219414</v>
      </c>
      <c r="K633" s="73">
        <v>266.9877565697451</v>
      </c>
      <c r="L633" s="73">
        <v>274.60229352397488</v>
      </c>
      <c r="M633" s="73">
        <v>1150925.6088292894</v>
      </c>
      <c r="N633" s="73" t="s">
        <v>701</v>
      </c>
      <c r="O633" s="25">
        <f t="shared" si="17"/>
        <v>-2.6447869576051053E-2</v>
      </c>
    </row>
    <row r="634" spans="1:15">
      <c r="A634" s="74">
        <v>453.90721011164709</v>
      </c>
      <c r="B634" s="74">
        <v>459.0877854569506</v>
      </c>
      <c r="C634" s="74">
        <v>452.66387202877428</v>
      </c>
      <c r="D634" s="74">
        <v>458.95950454363833</v>
      </c>
      <c r="E634" s="74">
        <v>7252129.2995110629</v>
      </c>
      <c r="F634" s="74" t="s">
        <v>702</v>
      </c>
      <c r="G634" s="25">
        <f t="shared" si="16"/>
        <v>-1.1008148610006319E-2</v>
      </c>
      <c r="I634" s="73">
        <v>272.37364856176123</v>
      </c>
      <c r="J634" s="73">
        <v>276.77228993455122</v>
      </c>
      <c r="K634" s="73">
        <v>269.69536470366251</v>
      </c>
      <c r="L634" s="73">
        <v>275.94143545302427</v>
      </c>
      <c r="M634" s="73">
        <v>836706.08446662547</v>
      </c>
      <c r="N634" s="73" t="s">
        <v>702</v>
      </c>
      <c r="O634" s="25">
        <f t="shared" si="17"/>
        <v>-1.2929507616011526E-2</v>
      </c>
    </row>
    <row r="635" spans="1:15">
      <c r="A635" s="74">
        <v>456.66031586657977</v>
      </c>
      <c r="B635" s="74">
        <v>459.3542150461376</v>
      </c>
      <c r="C635" s="74">
        <v>455.48605212164432</v>
      </c>
      <c r="D635" s="74">
        <v>457.91352171201515</v>
      </c>
      <c r="E635" s="74">
        <v>6852028.4686488919</v>
      </c>
      <c r="F635" s="74" t="s">
        <v>703</v>
      </c>
      <c r="G635" s="25">
        <f t="shared" si="16"/>
        <v>-2.736774054520108E-3</v>
      </c>
      <c r="I635" s="73">
        <v>275.05193241986007</v>
      </c>
      <c r="J635" s="73">
        <v>278.42422413899902</v>
      </c>
      <c r="K635" s="73">
        <v>269.74423849669347</v>
      </c>
      <c r="L635" s="73">
        <v>278.02345903614486</v>
      </c>
      <c r="M635" s="73">
        <v>1119891.594361905</v>
      </c>
      <c r="N635" s="73" t="s">
        <v>703</v>
      </c>
      <c r="O635" s="25">
        <f t="shared" si="17"/>
        <v>-1.0688042752171056E-2</v>
      </c>
    </row>
    <row r="636" spans="1:15">
      <c r="A636" s="74">
        <v>457.47934015926592</v>
      </c>
      <c r="B636" s="74">
        <v>467.3273671966237</v>
      </c>
      <c r="C636" s="74">
        <v>456.72939020451719</v>
      </c>
      <c r="D636" s="74">
        <v>467.20895404587395</v>
      </c>
      <c r="E636" s="74">
        <v>9657755.6864138376</v>
      </c>
      <c r="F636" s="74" t="s">
        <v>704</v>
      </c>
      <c r="G636" s="25">
        <f t="shared" si="16"/>
        <v>-2.0824973071155495E-2</v>
      </c>
      <c r="I636" s="73">
        <v>279.46034855125623</v>
      </c>
      <c r="J636" s="73">
        <v>284.12290840641361</v>
      </c>
      <c r="K636" s="73">
        <v>277.73021627795885</v>
      </c>
      <c r="L636" s="73">
        <v>282.31457806426658</v>
      </c>
      <c r="M636" s="73">
        <v>1423654.5945158615</v>
      </c>
      <c r="N636" s="73" t="s">
        <v>704</v>
      </c>
      <c r="O636" s="25">
        <f t="shared" si="17"/>
        <v>-1.011010317845018E-2</v>
      </c>
    </row>
    <row r="637" spans="1:15">
      <c r="A637" s="74">
        <v>463.3605266465056</v>
      </c>
      <c r="B637" s="74">
        <v>467.78128427449792</v>
      </c>
      <c r="C637" s="74">
        <v>461.72247806113353</v>
      </c>
      <c r="D637" s="74">
        <v>466.51821066650012</v>
      </c>
      <c r="E637" s="74">
        <v>7052989.9315381097</v>
      </c>
      <c r="F637" s="74" t="s">
        <v>705</v>
      </c>
      <c r="G637" s="25">
        <f t="shared" si="16"/>
        <v>-6.7686189902066429E-3</v>
      </c>
      <c r="I637" s="73">
        <v>278.40467462178663</v>
      </c>
      <c r="J637" s="73">
        <v>281.46417406552723</v>
      </c>
      <c r="K637" s="73">
        <v>276.38129959030323</v>
      </c>
      <c r="L637" s="73">
        <v>278.13098138081307</v>
      </c>
      <c r="M637" s="73">
        <v>1148763.9186176665</v>
      </c>
      <c r="N637" s="73" t="s">
        <v>705</v>
      </c>
      <c r="O637" s="25">
        <f t="shared" si="17"/>
        <v>9.8404442257660207E-4</v>
      </c>
    </row>
    <row r="638" spans="1:15">
      <c r="A638" s="74">
        <v>469.764704549557</v>
      </c>
      <c r="B638" s="74">
        <v>471.11658802061714</v>
      </c>
      <c r="C638" s="74">
        <v>464.44598052837875</v>
      </c>
      <c r="D638" s="74">
        <v>467.71220993656055</v>
      </c>
      <c r="E638" s="74">
        <v>5178378.5510079227</v>
      </c>
      <c r="F638" s="74" t="s">
        <v>706</v>
      </c>
      <c r="G638" s="25">
        <f t="shared" si="16"/>
        <v>4.3883708173340086E-3</v>
      </c>
      <c r="I638" s="73">
        <v>282.02133530608057</v>
      </c>
      <c r="J638" s="73">
        <v>282.41232565032863</v>
      </c>
      <c r="K638" s="73">
        <v>275.2177123258212</v>
      </c>
      <c r="L638" s="73">
        <v>275.68729172926305</v>
      </c>
      <c r="M638" s="73">
        <v>936889.63266994059</v>
      </c>
      <c r="N638" s="73" t="s">
        <v>706</v>
      </c>
      <c r="O638" s="25">
        <f t="shared" si="17"/>
        <v>2.2975464473124152E-2</v>
      </c>
    </row>
    <row r="639" spans="1:15">
      <c r="A639" s="74">
        <v>466.39979751575032</v>
      </c>
      <c r="B639" s="74">
        <v>468.11678820162234</v>
      </c>
      <c r="C639" s="74">
        <v>464.44598052837875</v>
      </c>
      <c r="D639" s="74">
        <v>465.66958308612664</v>
      </c>
      <c r="E639" s="74">
        <v>7026302.0174002824</v>
      </c>
      <c r="F639" s="74" t="s">
        <v>707</v>
      </c>
      <c r="G639" s="25">
        <f t="shared" si="16"/>
        <v>1.5680956114512146E-3</v>
      </c>
      <c r="I639" s="73">
        <v>275.70684124647545</v>
      </c>
      <c r="J639" s="73">
        <v>276.11738110793584</v>
      </c>
      <c r="K639" s="73">
        <v>270.70451078216661</v>
      </c>
      <c r="L639" s="73">
        <v>275.7459402809003</v>
      </c>
      <c r="M639" s="73">
        <v>834784.80939921993</v>
      </c>
      <c r="N639" s="73" t="s">
        <v>707</v>
      </c>
      <c r="O639" s="25">
        <f t="shared" si="17"/>
        <v>-1.417936901809691E-4</v>
      </c>
    </row>
    <row r="640" spans="1:15">
      <c r="A640" s="74">
        <v>470.95870381961737</v>
      </c>
      <c r="B640" s="74">
        <v>472.27111624042766</v>
      </c>
      <c r="C640" s="74">
        <v>466.48860737881267</v>
      </c>
      <c r="D640" s="74">
        <v>472.05402546405298</v>
      </c>
      <c r="E640" s="74">
        <v>5324602.174738585</v>
      </c>
      <c r="F640" s="74" t="s">
        <v>708</v>
      </c>
      <c r="G640" s="25">
        <f t="shared" si="16"/>
        <v>-2.3203311175217234E-3</v>
      </c>
      <c r="I640" s="73">
        <v>280.36940110163283</v>
      </c>
      <c r="J640" s="73">
        <v>281.67921875486365</v>
      </c>
      <c r="K640" s="73">
        <v>275.82902572905294</v>
      </c>
      <c r="L640" s="73">
        <v>276.47904717636527</v>
      </c>
      <c r="M640" s="73">
        <v>887246.46299696108</v>
      </c>
      <c r="N640" s="73" t="s">
        <v>708</v>
      </c>
      <c r="O640" s="25">
        <f t="shared" si="17"/>
        <v>1.4071062400565548E-2</v>
      </c>
    </row>
    <row r="641" spans="1:15">
      <c r="A641" s="74">
        <v>470.37650582843094</v>
      </c>
      <c r="B641" s="74">
        <v>471.74812482461601</v>
      </c>
      <c r="C641" s="74">
        <v>469.67589468649464</v>
      </c>
      <c r="D641" s="74">
        <v>470.84029066886757</v>
      </c>
      <c r="E641" s="74">
        <v>4800255.3466468742</v>
      </c>
      <c r="F641" s="74" t="s">
        <v>709</v>
      </c>
      <c r="G641" s="25">
        <f t="shared" si="16"/>
        <v>-9.8501519438320972E-4</v>
      </c>
      <c r="I641" s="73">
        <v>275.69706648786928</v>
      </c>
      <c r="J641" s="73">
        <v>276.83093848618842</v>
      </c>
      <c r="K641" s="73">
        <v>272.16837863103109</v>
      </c>
      <c r="L641" s="73">
        <v>274.21130317972683</v>
      </c>
      <c r="M641" s="73">
        <v>698898.07771486812</v>
      </c>
      <c r="N641" s="73" t="s">
        <v>709</v>
      </c>
      <c r="O641" s="25">
        <f t="shared" si="17"/>
        <v>5.4183153316937904E-3</v>
      </c>
    </row>
    <row r="642" spans="1:15">
      <c r="A642" s="74">
        <v>470.18901833974377</v>
      </c>
      <c r="B642" s="74">
        <v>472.00468665124055</v>
      </c>
      <c r="C642" s="74">
        <v>466.17283897681324</v>
      </c>
      <c r="D642" s="74">
        <v>466.59715276700001</v>
      </c>
      <c r="E642" s="74">
        <v>5663046.6781255519</v>
      </c>
      <c r="F642" s="74" t="s">
        <v>710</v>
      </c>
      <c r="G642" s="25">
        <f t="shared" si="16"/>
        <v>7.6980014803849084E-3</v>
      </c>
      <c r="I642" s="73">
        <v>272.95035931952708</v>
      </c>
      <c r="J642" s="73">
        <v>274.00114586969357</v>
      </c>
      <c r="K642" s="73">
        <v>269.7149142208749</v>
      </c>
      <c r="L642" s="73">
        <v>272.20747766545588</v>
      </c>
      <c r="M642" s="73">
        <v>611237.60091736331</v>
      </c>
      <c r="N642" s="73" t="s">
        <v>710</v>
      </c>
      <c r="O642" s="25">
        <f t="shared" si="17"/>
        <v>2.729100833093856E-3</v>
      </c>
    </row>
    <row r="643" spans="1:15">
      <c r="A643" s="74">
        <v>465.24526929593986</v>
      </c>
      <c r="B643" s="74">
        <v>475.11303185842269</v>
      </c>
      <c r="C643" s="74">
        <v>465.03804628212771</v>
      </c>
      <c r="D643" s="74">
        <v>474.83673450667311</v>
      </c>
      <c r="E643" s="74">
        <v>6963270.5048297672</v>
      </c>
      <c r="F643" s="74" t="s">
        <v>711</v>
      </c>
      <c r="G643" s="25">
        <f t="shared" si="16"/>
        <v>-2.0199501246882634E-2</v>
      </c>
      <c r="I643" s="73">
        <v>270.1059045651229</v>
      </c>
      <c r="J643" s="73">
        <v>277.73021627795885</v>
      </c>
      <c r="K643" s="73">
        <v>268.91338401516651</v>
      </c>
      <c r="L643" s="73">
        <v>274.67071683421824</v>
      </c>
      <c r="M643" s="73">
        <v>956316.19936587475</v>
      </c>
      <c r="N643" s="73" t="s">
        <v>711</v>
      </c>
      <c r="O643" s="25">
        <f t="shared" si="17"/>
        <v>-1.6619217081850435E-2</v>
      </c>
    </row>
    <row r="644" spans="1:15">
      <c r="A644" s="74">
        <v>471.04751368267978</v>
      </c>
      <c r="B644" s="74">
        <v>472.47044504418977</v>
      </c>
      <c r="C644" s="74">
        <v>469.49827496036994</v>
      </c>
      <c r="D644" s="74">
        <v>469.54761377318232</v>
      </c>
      <c r="E644" s="74">
        <v>6308230.4226357285</v>
      </c>
      <c r="F644" s="74" t="s">
        <v>712</v>
      </c>
      <c r="G644" s="25">
        <f t="shared" si="16"/>
        <v>3.194351042367316E-3</v>
      </c>
      <c r="I644" s="73">
        <v>273.57594387032384</v>
      </c>
      <c r="J644" s="73">
        <v>277.35877545092325</v>
      </c>
      <c r="K644" s="73">
        <v>272.4420718720047</v>
      </c>
      <c r="L644" s="73">
        <v>272.4420718720047</v>
      </c>
      <c r="M644" s="73">
        <v>1086992.5722012934</v>
      </c>
      <c r="N644" s="73" t="s">
        <v>712</v>
      </c>
      <c r="O644" s="25">
        <f t="shared" si="17"/>
        <v>4.1618828932259433E-3</v>
      </c>
    </row>
    <row r="645" spans="1:15">
      <c r="A645" s="74">
        <v>470.62319989249301</v>
      </c>
      <c r="B645" s="74">
        <v>470.68240646786791</v>
      </c>
      <c r="C645" s="74">
        <v>468.43255660362178</v>
      </c>
      <c r="D645" s="74">
        <v>470.03113413874399</v>
      </c>
      <c r="E645" s="74">
        <v>4882385.4136066614</v>
      </c>
      <c r="F645" s="74" t="s">
        <v>713</v>
      </c>
      <c r="G645" s="25">
        <f t="shared" si="16"/>
        <v>1.259630928138078E-3</v>
      </c>
      <c r="I645" s="73">
        <v>273.91806042154087</v>
      </c>
      <c r="J645" s="73">
        <v>277.37343758883253</v>
      </c>
      <c r="K645" s="73">
        <v>271.94355918308844</v>
      </c>
      <c r="L645" s="73">
        <v>276.62566855545828</v>
      </c>
      <c r="M645" s="73">
        <v>964132.24916085799</v>
      </c>
      <c r="N645" s="73" t="s">
        <v>713</v>
      </c>
      <c r="O645" s="25">
        <f t="shared" si="17"/>
        <v>-9.7879858657244911E-3</v>
      </c>
    </row>
    <row r="646" spans="1:15">
      <c r="A646" s="74">
        <v>473.72167733711257</v>
      </c>
      <c r="B646" s="74">
        <v>475.58668446142184</v>
      </c>
      <c r="C646" s="74">
        <v>472.49807477936469</v>
      </c>
      <c r="D646" s="74">
        <v>475.07356080817272</v>
      </c>
      <c r="E646" s="74">
        <v>5810800.5372975701</v>
      </c>
      <c r="F646" s="74" t="s">
        <v>714</v>
      </c>
      <c r="G646" s="25">
        <f t="shared" si="16"/>
        <v>-2.8456297773347128E-3</v>
      </c>
      <c r="I646" s="73">
        <v>276.98733462388765</v>
      </c>
      <c r="J646" s="73">
        <v>284.6316845918663</v>
      </c>
      <c r="K646" s="73">
        <v>276.85048800340087</v>
      </c>
      <c r="L646" s="73">
        <v>284.5725473022988</v>
      </c>
      <c r="M646" s="73">
        <v>696309.7785026551</v>
      </c>
      <c r="N646" s="73" t="s">
        <v>714</v>
      </c>
      <c r="O646" s="25">
        <f t="shared" si="17"/>
        <v>-2.6654759042352261E-2</v>
      </c>
    </row>
    <row r="647" spans="1:15">
      <c r="A647" s="74">
        <v>474.34334637854897</v>
      </c>
      <c r="B647" s="74">
        <v>475.78384235742027</v>
      </c>
      <c r="C647" s="74">
        <v>474.14934616657058</v>
      </c>
      <c r="D647" s="74">
        <v>474.51109834211121</v>
      </c>
      <c r="E647" s="74">
        <v>4119493.1214246862</v>
      </c>
      <c r="F647" s="74" t="s">
        <v>715</v>
      </c>
      <c r="G647" s="25">
        <f t="shared" si="16"/>
        <v>-3.5352590097126324E-4</v>
      </c>
      <c r="I647" s="73">
        <v>284.76804247442277</v>
      </c>
      <c r="J647" s="73">
        <v>286.09027407108346</v>
      </c>
      <c r="K647" s="73">
        <v>282.55894702942163</v>
      </c>
      <c r="L647" s="73">
        <v>284.44547544041819</v>
      </c>
      <c r="M647" s="73">
        <v>619659.29226714105</v>
      </c>
      <c r="N647" s="73" t="s">
        <v>715</v>
      </c>
      <c r="O647" s="25">
        <f t="shared" si="17"/>
        <v>1.1340206185566082E-3</v>
      </c>
    </row>
    <row r="648" spans="1:15">
      <c r="A648" s="74">
        <v>474.40255295392387</v>
      </c>
      <c r="B648" s="74">
        <v>474.51109834211121</v>
      </c>
      <c r="C648" s="74">
        <v>471.13632354574207</v>
      </c>
      <c r="D648" s="74">
        <v>473.16908263361353</v>
      </c>
      <c r="E648" s="74">
        <v>5017782.8749399669</v>
      </c>
      <c r="F648" s="74" t="s">
        <v>716</v>
      </c>
      <c r="G648" s="25">
        <f t="shared" si="16"/>
        <v>2.6068278033826164E-3</v>
      </c>
      <c r="I648" s="73">
        <v>284.65074537114839</v>
      </c>
      <c r="J648" s="73">
        <v>285.19813185309556</v>
      </c>
      <c r="K648" s="73">
        <v>278.16030565663164</v>
      </c>
      <c r="L648" s="73">
        <v>279.5092223442872</v>
      </c>
      <c r="M648" s="73">
        <v>679483.78753693646</v>
      </c>
      <c r="N648" s="73" t="s">
        <v>716</v>
      </c>
      <c r="O648" s="25">
        <f t="shared" si="17"/>
        <v>1.8394824269977406E-2</v>
      </c>
    </row>
    <row r="649" spans="1:15">
      <c r="A649" s="74">
        <v>470.29756372793105</v>
      </c>
      <c r="B649" s="74">
        <v>473.0309339577388</v>
      </c>
      <c r="C649" s="74">
        <v>470.12981176436887</v>
      </c>
      <c r="D649" s="74">
        <v>472.72503331830183</v>
      </c>
      <c r="E649" s="74">
        <v>8181694.6332853744</v>
      </c>
      <c r="F649" s="74" t="s">
        <v>717</v>
      </c>
      <c r="G649" s="25">
        <f t="shared" si="16"/>
        <v>-5.1350561516302351E-3</v>
      </c>
      <c r="I649" s="73">
        <v>278.04300855335725</v>
      </c>
      <c r="J649" s="73">
        <v>280.81903999751802</v>
      </c>
      <c r="K649" s="73">
        <v>277.22192883043647</v>
      </c>
      <c r="L649" s="73">
        <v>278.15053089802547</v>
      </c>
      <c r="M649" s="73">
        <v>635191.13362675312</v>
      </c>
      <c r="N649" s="73" t="s">
        <v>717</v>
      </c>
      <c r="O649" s="25">
        <f t="shared" si="17"/>
        <v>-3.8656170930562173E-4</v>
      </c>
    </row>
    <row r="650" spans="1:15">
      <c r="A650" s="74">
        <v>471.61984391130375</v>
      </c>
      <c r="B650" s="74">
        <v>472.45860372911483</v>
      </c>
      <c r="C650" s="74">
        <v>471.23500117136695</v>
      </c>
      <c r="D650" s="74">
        <v>471.41262089749165</v>
      </c>
      <c r="E650" s="74">
        <v>6162771.9166257447</v>
      </c>
      <c r="F650" s="74" t="s">
        <v>718</v>
      </c>
      <c r="G650" s="25">
        <f t="shared" si="16"/>
        <v>4.3957884160494842E-4</v>
      </c>
      <c r="I650" s="73">
        <v>276.09783159072344</v>
      </c>
      <c r="J650" s="73">
        <v>278.99106239057255</v>
      </c>
      <c r="K650" s="73">
        <v>275.75571503950647</v>
      </c>
      <c r="L650" s="73">
        <v>277.41742400256044</v>
      </c>
      <c r="M650" s="73">
        <v>684180.57871609461</v>
      </c>
      <c r="N650" s="73" t="s">
        <v>718</v>
      </c>
      <c r="O650" s="25">
        <f t="shared" si="17"/>
        <v>-4.7567034283499954E-3</v>
      </c>
    </row>
    <row r="651" spans="1:15">
      <c r="A651" s="74">
        <v>472.84344646905163</v>
      </c>
      <c r="B651" s="74">
        <v>473.96837140117464</v>
      </c>
      <c r="C651" s="74">
        <v>472.48820701680222</v>
      </c>
      <c r="D651" s="74">
        <v>473.52432208586293</v>
      </c>
      <c r="E651" s="74">
        <v>5960320.7543333527</v>
      </c>
      <c r="F651" s="74" t="s">
        <v>719</v>
      </c>
      <c r="G651" s="25">
        <f t="shared" si="16"/>
        <v>-1.4378894283868515E-3</v>
      </c>
      <c r="I651" s="73">
        <v>279.92953696435382</v>
      </c>
      <c r="J651" s="73">
        <v>285.00263668097159</v>
      </c>
      <c r="K651" s="73">
        <v>277.73021627795885</v>
      </c>
      <c r="L651" s="73">
        <v>283.52664813143542</v>
      </c>
      <c r="M651" s="73">
        <v>1176352.3236989903</v>
      </c>
      <c r="N651" s="73" t="s">
        <v>719</v>
      </c>
      <c r="O651" s="25">
        <f t="shared" si="17"/>
        <v>-1.2687030269599497E-2</v>
      </c>
    </row>
    <row r="652" spans="1:15">
      <c r="A652" s="74">
        <v>473.46225385934514</v>
      </c>
      <c r="B652" s="74">
        <v>475.31636489814201</v>
      </c>
      <c r="C652" s="74">
        <v>473.32454799969969</v>
      </c>
      <c r="D652" s="74">
        <v>474.71144272898545</v>
      </c>
      <c r="E652" s="74">
        <v>5128722.9303001203</v>
      </c>
      <c r="F652" s="74" t="s">
        <v>720</v>
      </c>
      <c r="G652" s="25">
        <f t="shared" si="16"/>
        <v>-2.6314698934979397E-3</v>
      </c>
      <c r="I652" s="73">
        <v>283.55597240725399</v>
      </c>
      <c r="J652" s="73">
        <v>285.53536102500948</v>
      </c>
      <c r="K652" s="73">
        <v>275.3744994538647</v>
      </c>
      <c r="L652" s="73">
        <v>277.23170358904264</v>
      </c>
      <c r="M652" s="73">
        <v>1232373.1444743159</v>
      </c>
      <c r="N652" s="73" t="s">
        <v>720</v>
      </c>
      <c r="O652" s="25">
        <f t="shared" si="17"/>
        <v>2.281221352513918E-2</v>
      </c>
    </row>
    <row r="653" spans="1:15">
      <c r="A653" s="74">
        <v>471.88847260625494</v>
      </c>
      <c r="B653" s="74">
        <v>472.1540481927139</v>
      </c>
      <c r="C653" s="74">
        <v>467.14745658132085</v>
      </c>
      <c r="D653" s="74">
        <v>467.74746068406148</v>
      </c>
      <c r="E653" s="74">
        <v>6282302.3089051498</v>
      </c>
      <c r="F653" s="74" t="s">
        <v>721</v>
      </c>
      <c r="G653" s="25">
        <f t="shared" si="16"/>
        <v>8.8530933254824529E-3</v>
      </c>
      <c r="I653" s="73">
        <v>275.43314800550183</v>
      </c>
      <c r="J653" s="73">
        <v>279.22575434470747</v>
      </c>
      <c r="K653" s="73">
        <v>257.75060968688615</v>
      </c>
      <c r="L653" s="73">
        <v>272.54959421667286</v>
      </c>
      <c r="M653" s="73">
        <v>2058030.3627386091</v>
      </c>
      <c r="N653" s="73" t="s">
        <v>721</v>
      </c>
      <c r="O653" s="25">
        <f t="shared" si="17"/>
        <v>1.0579923250726209E-2</v>
      </c>
    </row>
    <row r="654" spans="1:15">
      <c r="A654" s="74">
        <v>467.80647748105235</v>
      </c>
      <c r="B654" s="74">
        <v>467.94418334069775</v>
      </c>
      <c r="C654" s="74">
        <v>463.56710423054074</v>
      </c>
      <c r="D654" s="74">
        <v>464.46219231823574</v>
      </c>
      <c r="E654" s="74">
        <v>4626053.8341683242</v>
      </c>
      <c r="F654" s="74" t="s">
        <v>722</v>
      </c>
      <c r="G654" s="25">
        <f t="shared" si="16"/>
        <v>7.2003388394747958E-3</v>
      </c>
      <c r="I654" s="73">
        <v>271.9240096658761</v>
      </c>
      <c r="J654" s="73">
        <v>272.50072042364184</v>
      </c>
      <c r="K654" s="73">
        <v>263.00942981702173</v>
      </c>
      <c r="L654" s="73">
        <v>266.36217201894829</v>
      </c>
      <c r="M654" s="73">
        <v>1358699.5377641497</v>
      </c>
      <c r="N654" s="73" t="s">
        <v>722</v>
      </c>
      <c r="O654" s="25">
        <f t="shared" si="17"/>
        <v>2.0880733944954377E-2</v>
      </c>
    </row>
    <row r="655" spans="1:15">
      <c r="A655" s="74">
        <v>465.1999022806217</v>
      </c>
      <c r="B655" s="74">
        <v>467.49073761715113</v>
      </c>
      <c r="C655" s="74">
        <v>464.75727630319011</v>
      </c>
      <c r="D655" s="74">
        <v>466.1835155638031</v>
      </c>
      <c r="E655" s="74">
        <v>4004729.366056887</v>
      </c>
      <c r="F655" s="74" t="s">
        <v>723</v>
      </c>
      <c r="G655" s="25">
        <f t="shared" si="16"/>
        <v>-2.1099272075114639E-3</v>
      </c>
      <c r="I655" s="73">
        <v>271.9044601486637</v>
      </c>
      <c r="J655" s="73">
        <v>277.48095993350074</v>
      </c>
      <c r="K655" s="73">
        <v>271.74806401096447</v>
      </c>
      <c r="L655" s="73">
        <v>273.9278351801471</v>
      </c>
      <c r="M655" s="73">
        <v>580208.70166581322</v>
      </c>
      <c r="N655" s="73" t="s">
        <v>723</v>
      </c>
      <c r="O655" s="25">
        <f t="shared" si="17"/>
        <v>-7.3865258349986584E-3</v>
      </c>
    </row>
    <row r="656" spans="1:15">
      <c r="A656" s="74">
        <v>462.30807922806855</v>
      </c>
      <c r="B656" s="74">
        <v>464.05045179789602</v>
      </c>
      <c r="C656" s="74">
        <v>461.03931645409295</v>
      </c>
      <c r="D656" s="74">
        <v>462.70152454134114</v>
      </c>
      <c r="E656" s="74">
        <v>6920491.128366488</v>
      </c>
      <c r="F656" s="74" t="s">
        <v>724</v>
      </c>
      <c r="G656" s="25">
        <f t="shared" si="16"/>
        <v>-8.5032205948010198E-4</v>
      </c>
      <c r="I656" s="73">
        <v>274.55341973094386</v>
      </c>
      <c r="J656" s="73">
        <v>274.62184304118728</v>
      </c>
      <c r="K656" s="73">
        <v>271.48414552859708</v>
      </c>
      <c r="L656" s="73">
        <v>271.83603683842028</v>
      </c>
      <c r="M656" s="73">
        <v>1404627.0146550115</v>
      </c>
      <c r="N656" s="73" t="s">
        <v>724</v>
      </c>
      <c r="O656" s="25">
        <f t="shared" si="17"/>
        <v>9.9964041711613216E-3</v>
      </c>
    </row>
    <row r="657" spans="1:15">
      <c r="A657" s="74">
        <v>465.51465853123977</v>
      </c>
      <c r="B657" s="74">
        <v>467.53598382817745</v>
      </c>
      <c r="C657" s="74">
        <v>462.74086907266832</v>
      </c>
      <c r="D657" s="74">
        <v>467.37368763645253</v>
      </c>
      <c r="E657" s="74">
        <v>5238827.1774181742</v>
      </c>
      <c r="F657" s="74" t="s">
        <v>725</v>
      </c>
      <c r="G657" s="25">
        <f t="shared" si="16"/>
        <v>-3.9776075427224722E-3</v>
      </c>
      <c r="I657" s="73">
        <v>273.69324097359828</v>
      </c>
      <c r="J657" s="73">
        <v>281.99201103026201</v>
      </c>
      <c r="K657" s="73">
        <v>270.94653380525608</v>
      </c>
      <c r="L657" s="73">
        <v>279.40169999961898</v>
      </c>
      <c r="M657" s="73">
        <v>992637.30091970868</v>
      </c>
      <c r="N657" s="73" t="s">
        <v>725</v>
      </c>
      <c r="O657" s="25">
        <f t="shared" si="17"/>
        <v>-2.0431010355443369E-2</v>
      </c>
    </row>
    <row r="658" spans="1:15">
      <c r="A658" s="74">
        <v>466.5376163457484</v>
      </c>
      <c r="B658" s="74">
        <v>467.67860775423878</v>
      </c>
      <c r="C658" s="74">
        <v>465.15072161646265</v>
      </c>
      <c r="D658" s="74">
        <v>467.52122962892975</v>
      </c>
      <c r="E658" s="74">
        <v>3603576.792431822</v>
      </c>
      <c r="F658" s="74" t="s">
        <v>726</v>
      </c>
      <c r="G658" s="25">
        <f t="shared" si="16"/>
        <v>-2.1038900927815574E-3</v>
      </c>
      <c r="I658" s="73">
        <v>277.97458524311384</v>
      </c>
      <c r="J658" s="73">
        <v>281.28578472096405</v>
      </c>
      <c r="K658" s="73">
        <v>274.91508579937323</v>
      </c>
      <c r="L658" s="73">
        <v>275.54067035017005</v>
      </c>
      <c r="M658" s="73">
        <v>844746.18071515602</v>
      </c>
      <c r="N658" s="73" t="s">
        <v>726</v>
      </c>
      <c r="O658" s="25">
        <f t="shared" si="17"/>
        <v>8.8332328213132083E-3</v>
      </c>
    </row>
    <row r="659" spans="1:15">
      <c r="A659" s="74">
        <v>467.2458179096389</v>
      </c>
      <c r="B659" s="74">
        <v>467.75729681689324</v>
      </c>
      <c r="C659" s="74">
        <v>461.87528938346873</v>
      </c>
      <c r="D659" s="74">
        <v>464.18678059894495</v>
      </c>
      <c r="E659" s="74">
        <v>4891186.4878841415</v>
      </c>
      <c r="F659" s="74" t="s">
        <v>727</v>
      </c>
      <c r="G659" s="25">
        <f t="shared" si="16"/>
        <v>6.5901000169519275E-3</v>
      </c>
      <c r="I659" s="73">
        <v>277.48584731280386</v>
      </c>
      <c r="J659" s="73">
        <v>279.3235019307694</v>
      </c>
      <c r="K659" s="73">
        <v>273.49774580147425</v>
      </c>
      <c r="L659" s="73">
        <v>278.46332317342382</v>
      </c>
      <c r="M659" s="73">
        <v>997294.19341535843</v>
      </c>
      <c r="N659" s="73" t="s">
        <v>727</v>
      </c>
      <c r="O659" s="25">
        <f t="shared" si="17"/>
        <v>-3.510249929794873E-3</v>
      </c>
    </row>
    <row r="660" spans="1:15">
      <c r="A660" s="74">
        <v>462.29824309523673</v>
      </c>
      <c r="B660" s="74">
        <v>462.74578713908426</v>
      </c>
      <c r="C660" s="74">
        <v>459.73101242613342</v>
      </c>
      <c r="D660" s="74">
        <v>461.51135246869165</v>
      </c>
      <c r="E660" s="74">
        <v>5412560.0894497139</v>
      </c>
      <c r="F660" s="74" t="s">
        <v>728</v>
      </c>
      <c r="G660" s="25">
        <f t="shared" si="16"/>
        <v>1.7050298380221207E-3</v>
      </c>
      <c r="I660" s="73">
        <v>278.37535034596806</v>
      </c>
      <c r="J660" s="73">
        <v>286.69357217225809</v>
      </c>
      <c r="K660" s="73">
        <v>276.72341614152026</v>
      </c>
      <c r="L660" s="73">
        <v>284.60187157811743</v>
      </c>
      <c r="M660" s="73">
        <v>1288511.6152138333</v>
      </c>
      <c r="N660" s="73" t="s">
        <v>728</v>
      </c>
      <c r="O660" s="25">
        <f t="shared" si="17"/>
        <v>-2.1878005220497321E-2</v>
      </c>
    </row>
    <row r="661" spans="1:15">
      <c r="A661" s="74">
        <v>462.68185227567744</v>
      </c>
      <c r="B661" s="74">
        <v>468.49441661130936</v>
      </c>
      <c r="C661" s="74">
        <v>462.1211927042641</v>
      </c>
      <c r="D661" s="74">
        <v>466.00646517283042</v>
      </c>
      <c r="E661" s="74">
        <v>6390341.7201423468</v>
      </c>
      <c r="F661" s="74" t="s">
        <v>729</v>
      </c>
      <c r="G661" s="25">
        <f t="shared" si="16"/>
        <v>-7.1342634611731848E-3</v>
      </c>
      <c r="I661" s="73">
        <v>287.95461378004393</v>
      </c>
      <c r="J661" s="73">
        <v>291.89872887764562</v>
      </c>
      <c r="K661" s="73">
        <v>285.57934743873744</v>
      </c>
      <c r="L661" s="73">
        <v>289.81181791522198</v>
      </c>
      <c r="M661" s="73">
        <v>655062.72410028125</v>
      </c>
      <c r="N661" s="73" t="s">
        <v>729</v>
      </c>
      <c r="O661" s="25">
        <f t="shared" si="17"/>
        <v>-6.4083105669671125E-3</v>
      </c>
    </row>
    <row r="662" spans="1:15">
      <c r="A662" s="74">
        <v>465.50482239840795</v>
      </c>
      <c r="B662" s="74">
        <v>466.4195827517666</v>
      </c>
      <c r="C662" s="74">
        <v>463.06546145611816</v>
      </c>
      <c r="D662" s="74">
        <v>463.90153274682234</v>
      </c>
      <c r="E662" s="74">
        <v>7268915.6625406686</v>
      </c>
      <c r="F662" s="74" t="s">
        <v>730</v>
      </c>
      <c r="G662" s="25">
        <f t="shared" si="16"/>
        <v>3.4560990607044317E-3</v>
      </c>
      <c r="I662" s="73">
        <v>287.51474964276497</v>
      </c>
      <c r="J662" s="73">
        <v>289.76841798701042</v>
      </c>
      <c r="K662" s="73">
        <v>284.09358413059499</v>
      </c>
      <c r="L662" s="73">
        <v>287.56362343579599</v>
      </c>
      <c r="M662" s="73">
        <v>569785.93788161303</v>
      </c>
      <c r="N662" s="73" t="s">
        <v>730</v>
      </c>
      <c r="O662" s="25">
        <f t="shared" si="17"/>
        <v>-1.6995819028531312E-4</v>
      </c>
    </row>
    <row r="663" spans="1:15">
      <c r="A663" s="74">
        <v>460.94085676444649</v>
      </c>
      <c r="B663" s="74">
        <v>462.94742786213646</v>
      </c>
      <c r="C663" s="74">
        <v>459.66206113498242</v>
      </c>
      <c r="D663" s="74">
        <v>461.56053313285071</v>
      </c>
      <c r="E663" s="74">
        <v>5413763.8145520939</v>
      </c>
      <c r="F663" s="74" t="s">
        <v>731</v>
      </c>
      <c r="G663" s="25">
        <f t="shared" si="16"/>
        <v>-1.3425679275438362E-3</v>
      </c>
      <c r="I663" s="73">
        <v>284.62142109532982</v>
      </c>
      <c r="J663" s="73">
        <v>285.57446005943427</v>
      </c>
      <c r="K663" s="73">
        <v>280.2960904120863</v>
      </c>
      <c r="L663" s="73">
        <v>281.20025558315984</v>
      </c>
      <c r="M663" s="73">
        <v>797062.13870675687</v>
      </c>
      <c r="N663" s="73" t="s">
        <v>731</v>
      </c>
      <c r="O663" s="25">
        <f t="shared" si="17"/>
        <v>1.2166295884315836E-2</v>
      </c>
    </row>
    <row r="664" spans="1:15">
      <c r="A664" s="74">
        <v>458.51133195498852</v>
      </c>
      <c r="B664" s="74">
        <v>461.68840285966428</v>
      </c>
      <c r="C664" s="74">
        <v>456.4555801931395</v>
      </c>
      <c r="D664" s="74">
        <v>461.26544914789633</v>
      </c>
      <c r="E664" s="74">
        <v>4693412.6235755878</v>
      </c>
      <c r="F664" s="74" t="s">
        <v>732</v>
      </c>
      <c r="G664" s="25">
        <f t="shared" si="16"/>
        <v>-5.9707857980595413E-3</v>
      </c>
      <c r="I664" s="73">
        <v>281.20025558315984</v>
      </c>
      <c r="J664" s="73">
        <v>282.1141955128395</v>
      </c>
      <c r="K664" s="73">
        <v>277.99413476032623</v>
      </c>
      <c r="L664" s="73">
        <v>280.86791379054898</v>
      </c>
      <c r="M664" s="73">
        <v>682386.16100138251</v>
      </c>
      <c r="N664" s="73" t="s">
        <v>732</v>
      </c>
      <c r="O664" s="25">
        <f t="shared" si="17"/>
        <v>1.1832672095777319E-3</v>
      </c>
    </row>
    <row r="665" spans="1:15">
      <c r="A665" s="74">
        <v>463.1539866516045</v>
      </c>
      <c r="B665" s="74">
        <v>464.85563763150827</v>
      </c>
      <c r="C665" s="74">
        <v>462.88841106514559</v>
      </c>
      <c r="D665" s="74">
        <v>462.89824719797735</v>
      </c>
      <c r="E665" s="74">
        <v>4036385.0995981134</v>
      </c>
      <c r="F665" s="74" t="s">
        <v>733</v>
      </c>
      <c r="G665" s="25">
        <f t="shared" si="16"/>
        <v>5.5247444805672785E-4</v>
      </c>
      <c r="I665" s="73">
        <v>281.67921875486365</v>
      </c>
      <c r="J665" s="73">
        <v>283.61950833819429</v>
      </c>
      <c r="K665" s="73">
        <v>278.08210758778205</v>
      </c>
      <c r="L665" s="73">
        <v>283.2920539248866</v>
      </c>
      <c r="M665" s="73">
        <v>1532107.4006370888</v>
      </c>
      <c r="N665" s="73" t="s">
        <v>733</v>
      </c>
      <c r="O665" s="25">
        <f t="shared" si="17"/>
        <v>-5.6931888758537941E-3</v>
      </c>
    </row>
    <row r="666" spans="1:15">
      <c r="A666" s="74">
        <v>463.70481009018607</v>
      </c>
      <c r="B666" s="74">
        <v>464.03923860646773</v>
      </c>
      <c r="C666" s="74">
        <v>459.77035695746065</v>
      </c>
      <c r="D666" s="74">
        <v>460.16380227073319</v>
      </c>
      <c r="E666" s="74">
        <v>4920044.3738901056</v>
      </c>
      <c r="F666" s="74" t="s">
        <v>734</v>
      </c>
      <c r="G666" s="25">
        <f t="shared" si="16"/>
        <v>7.6951029220015954E-3</v>
      </c>
      <c r="I666" s="73">
        <v>282.53939751220923</v>
      </c>
      <c r="J666" s="73">
        <v>283.1063335113688</v>
      </c>
      <c r="K666" s="73">
        <v>278.58062027669826</v>
      </c>
      <c r="L666" s="73">
        <v>278.58062027669826</v>
      </c>
      <c r="M666" s="73">
        <v>901138.36616006028</v>
      </c>
      <c r="N666" s="73" t="s">
        <v>734</v>
      </c>
      <c r="O666" s="25">
        <f t="shared" si="17"/>
        <v>1.4210526315789451E-2</v>
      </c>
    </row>
    <row r="667" spans="1:15">
      <c r="A667" s="74">
        <v>459.27855031587001</v>
      </c>
      <c r="B667" s="74">
        <v>460.81298703763292</v>
      </c>
      <c r="C667" s="74">
        <v>456.85886163924386</v>
      </c>
      <c r="D667" s="74">
        <v>459.31789484719724</v>
      </c>
      <c r="E667" s="74">
        <v>7455085.3728639456</v>
      </c>
      <c r="F667" s="74" t="s">
        <v>735</v>
      </c>
      <c r="G667" s="25">
        <f t="shared" si="16"/>
        <v>-8.5658607619332194E-5</v>
      </c>
      <c r="I667" s="73">
        <v>278.65881834554784</v>
      </c>
      <c r="J667" s="73">
        <v>281.27845365200943</v>
      </c>
      <c r="K667" s="73">
        <v>276.38129959030323</v>
      </c>
      <c r="L667" s="73">
        <v>281.11228275570397</v>
      </c>
      <c r="M667" s="73">
        <v>1181981.1072031783</v>
      </c>
      <c r="N667" s="73" t="s">
        <v>735</v>
      </c>
      <c r="O667" s="25">
        <f t="shared" si="17"/>
        <v>-8.7277026322193363E-3</v>
      </c>
    </row>
    <row r="668" spans="1:15">
      <c r="A668" s="74">
        <v>457.58673546879805</v>
      </c>
      <c r="B668" s="74">
        <v>458.1965757043705</v>
      </c>
      <c r="C668" s="74">
        <v>456.50476085729855</v>
      </c>
      <c r="D668" s="74">
        <v>456.8785339049075</v>
      </c>
      <c r="E668" s="74">
        <v>2847259.2307231338</v>
      </c>
      <c r="F668" s="74" t="s">
        <v>736</v>
      </c>
      <c r="G668" s="25">
        <f t="shared" si="16"/>
        <v>1.55008719240457E-3</v>
      </c>
      <c r="I668" s="73">
        <v>279.95886124017244</v>
      </c>
      <c r="J668" s="73">
        <v>280.18368068811503</v>
      </c>
      <c r="K668" s="73">
        <v>273.69324097359828</v>
      </c>
      <c r="L668" s="73">
        <v>273.69324097359828</v>
      </c>
      <c r="M668" s="73">
        <v>1255646.3534777288</v>
      </c>
      <c r="N668" s="73" t="s">
        <v>736</v>
      </c>
      <c r="O668" s="25">
        <f t="shared" si="17"/>
        <v>2.2892857142857048E-2</v>
      </c>
    </row>
    <row r="669" spans="1:15">
      <c r="A669" s="74">
        <v>458.29493703268861</v>
      </c>
      <c r="B669" s="74">
        <v>458.48182355649311</v>
      </c>
      <c r="C669" s="74">
        <v>456.30803820066234</v>
      </c>
      <c r="D669" s="74">
        <v>458.0785421103887</v>
      </c>
      <c r="E669" s="74">
        <v>3646700.4475565357</v>
      </c>
      <c r="F669" s="74" t="s">
        <v>737</v>
      </c>
      <c r="G669" s="25">
        <f t="shared" si="16"/>
        <v>4.7239698524825791E-4</v>
      </c>
      <c r="I669" s="73">
        <v>274.64139255839967</v>
      </c>
      <c r="J669" s="73">
        <v>275.31585090222745</v>
      </c>
      <c r="K669" s="73">
        <v>272.49094566503567</v>
      </c>
      <c r="L669" s="73">
        <v>273.39999821541227</v>
      </c>
      <c r="M669" s="73">
        <v>804043.38527756382</v>
      </c>
      <c r="N669" s="73" t="s">
        <v>737</v>
      </c>
      <c r="O669" s="25">
        <f t="shared" si="17"/>
        <v>4.5405791919914673E-3</v>
      </c>
    </row>
    <row r="670" spans="1:15">
      <c r="A670" s="74">
        <v>457.44902960915266</v>
      </c>
      <c r="B670" s="74">
        <v>459.92773508276963</v>
      </c>
      <c r="C670" s="74">
        <v>457.32115988233909</v>
      </c>
      <c r="D670" s="74">
        <v>459.53428976949715</v>
      </c>
      <c r="E670" s="74">
        <v>3508293.4106368246</v>
      </c>
      <c r="F670" s="74" t="s">
        <v>738</v>
      </c>
      <c r="G670" s="25">
        <f t="shared" si="16"/>
        <v>-4.5377683597680463E-3</v>
      </c>
      <c r="I670" s="73">
        <v>271.5525688388405</v>
      </c>
      <c r="J670" s="73">
        <v>275.15456738522516</v>
      </c>
      <c r="K670" s="73">
        <v>270.30139973724687</v>
      </c>
      <c r="L670" s="73">
        <v>273.30225062935028</v>
      </c>
      <c r="M670" s="73">
        <v>783290.95463734982</v>
      </c>
      <c r="N670" s="73" t="s">
        <v>738</v>
      </c>
      <c r="O670" s="25">
        <f t="shared" si="17"/>
        <v>-6.4020028612302715E-3</v>
      </c>
    </row>
    <row r="671" spans="1:15">
      <c r="A671" s="74">
        <v>459.13100832339273</v>
      </c>
      <c r="B671" s="74">
        <v>461.18676008524181</v>
      </c>
      <c r="C671" s="74">
        <v>458.4530036872959</v>
      </c>
      <c r="D671" s="74">
        <v>460.41954172436033</v>
      </c>
      <c r="E671" s="74">
        <v>4118103.1908178921</v>
      </c>
      <c r="F671" s="74" t="s">
        <v>739</v>
      </c>
      <c r="G671" s="25">
        <f t="shared" si="16"/>
        <v>-2.7986071054711958E-3</v>
      </c>
      <c r="I671" s="73">
        <v>274.19175366251443</v>
      </c>
      <c r="J671" s="73">
        <v>276.66476758988307</v>
      </c>
      <c r="K671" s="73">
        <v>272.56914373388531</v>
      </c>
      <c r="L671" s="73">
        <v>272.56914373388531</v>
      </c>
      <c r="M671" s="73">
        <v>810274.74120704597</v>
      </c>
      <c r="N671" s="73" t="s">
        <v>739</v>
      </c>
      <c r="O671" s="25">
        <f t="shared" si="17"/>
        <v>5.9530213376364216E-3</v>
      </c>
    </row>
    <row r="672" spans="1:15">
      <c r="A672" s="74">
        <v>458.9244495339247</v>
      </c>
      <c r="B672" s="74">
        <v>459.67199562914249</v>
      </c>
      <c r="C672" s="74">
        <v>454.73917501398802</v>
      </c>
      <c r="D672" s="74">
        <v>455.62934503526719</v>
      </c>
      <c r="E672" s="74">
        <v>4400648.1754699135</v>
      </c>
      <c r="F672" s="74" t="s">
        <v>740</v>
      </c>
      <c r="G672" s="25">
        <f t="shared" ref="G672:G735" si="18">A672/D672-1</f>
        <v>7.2319848020379052E-3</v>
      </c>
      <c r="I672" s="73">
        <v>272.34432428594266</v>
      </c>
      <c r="J672" s="73">
        <v>274.05001966272459</v>
      </c>
      <c r="K672" s="73">
        <v>270.0863550479105</v>
      </c>
      <c r="L672" s="73">
        <v>271.80671256260166</v>
      </c>
      <c r="M672" s="73">
        <v>1079353.5088741807</v>
      </c>
      <c r="N672" s="73" t="s">
        <v>740</v>
      </c>
      <c r="O672" s="25">
        <f t="shared" ref="O672:O735" si="19">I672/L672-1</f>
        <v>1.977919228971059E-3</v>
      </c>
    </row>
    <row r="673" spans="1:15">
      <c r="A673" s="74">
        <v>449.48176201538371</v>
      </c>
      <c r="B673" s="74">
        <v>449.62930400786092</v>
      </c>
      <c r="C673" s="74">
        <v>446.16698525106256</v>
      </c>
      <c r="D673" s="74">
        <v>447.85880009813445</v>
      </c>
      <c r="E673" s="74">
        <v>4293433.275261458</v>
      </c>
      <c r="F673" s="74" t="s">
        <v>741</v>
      </c>
      <c r="G673" s="25">
        <f t="shared" si="18"/>
        <v>3.6238250021962681E-3</v>
      </c>
      <c r="I673" s="73">
        <v>268.44419560206887</v>
      </c>
      <c r="J673" s="73">
        <v>268.77458244295849</v>
      </c>
      <c r="K673" s="73">
        <v>262.54512878322726</v>
      </c>
      <c r="L673" s="73">
        <v>264.80798540056253</v>
      </c>
      <c r="M673" s="73">
        <v>992382.56317115494</v>
      </c>
      <c r="N673" s="73" t="s">
        <v>741</v>
      </c>
      <c r="O673" s="25">
        <f t="shared" si="19"/>
        <v>1.3731497545310223E-2</v>
      </c>
    </row>
    <row r="674" spans="1:15">
      <c r="A674" s="74">
        <v>449.02929990512024</v>
      </c>
      <c r="B674" s="74">
        <v>450.55390049405139</v>
      </c>
      <c r="C674" s="74">
        <v>446.98338427610304</v>
      </c>
      <c r="D674" s="74">
        <v>449.94406025847894</v>
      </c>
      <c r="E674" s="74">
        <v>5395193.508200678</v>
      </c>
      <c r="F674" s="74" t="s">
        <v>742</v>
      </c>
      <c r="G674" s="25">
        <f t="shared" si="18"/>
        <v>-2.0330535152152107E-3</v>
      </c>
      <c r="I674" s="73">
        <v>266.47946912222272</v>
      </c>
      <c r="J674" s="73">
        <v>279.46034855125623</v>
      </c>
      <c r="K674" s="73">
        <v>265.7463622267577</v>
      </c>
      <c r="L674" s="73">
        <v>270.0863550479105</v>
      </c>
      <c r="M674" s="73">
        <v>1875641.2039036076</v>
      </c>
      <c r="N674" s="73" t="s">
        <v>742</v>
      </c>
      <c r="O674" s="25">
        <f t="shared" si="19"/>
        <v>-1.3354565524229978E-2</v>
      </c>
    </row>
    <row r="675" spans="1:15">
      <c r="A675" s="74">
        <v>451.50800537873727</v>
      </c>
      <c r="B675" s="74">
        <v>454.5768788222631</v>
      </c>
      <c r="C675" s="74">
        <v>450.888329010333</v>
      </c>
      <c r="D675" s="74">
        <v>453.52441260925906</v>
      </c>
      <c r="E675" s="74">
        <v>5619986.1210910352</v>
      </c>
      <c r="F675" s="74" t="s">
        <v>743</v>
      </c>
      <c r="G675" s="25">
        <f t="shared" si="18"/>
        <v>-4.4460831092218989E-3</v>
      </c>
      <c r="I675" s="73">
        <v>273.41954773262472</v>
      </c>
      <c r="J675" s="73">
        <v>277.51517158862248</v>
      </c>
      <c r="K675" s="73">
        <v>273.30225062935028</v>
      </c>
      <c r="L675" s="73">
        <v>273.61504290474869</v>
      </c>
      <c r="M675" s="73">
        <v>1179400.9923363004</v>
      </c>
      <c r="N675" s="73" t="s">
        <v>743</v>
      </c>
      <c r="O675" s="25">
        <f t="shared" si="19"/>
        <v>-7.1448985424393818E-4</v>
      </c>
    </row>
    <row r="676" spans="1:15">
      <c r="A676" s="74">
        <v>453.82933272704526</v>
      </c>
      <c r="B676" s="74">
        <v>453.97687471952253</v>
      </c>
      <c r="C676" s="74">
        <v>450.91783740882846</v>
      </c>
      <c r="D676" s="74">
        <v>451.38013565192369</v>
      </c>
      <c r="E676" s="74">
        <v>5790599.9211174203</v>
      </c>
      <c r="F676" s="74" t="s">
        <v>744</v>
      </c>
      <c r="G676" s="25">
        <f t="shared" si="18"/>
        <v>5.4260187404662208E-3</v>
      </c>
      <c r="I676" s="73">
        <v>273.82031283547883</v>
      </c>
      <c r="J676" s="73">
        <v>276.15096764122535</v>
      </c>
      <c r="K676" s="73">
        <v>271.67941906819595</v>
      </c>
      <c r="L676" s="73">
        <v>272.98341799917733</v>
      </c>
      <c r="M676" s="73">
        <v>1507025.4532502035</v>
      </c>
      <c r="N676" s="73" t="s">
        <v>744</v>
      </c>
      <c r="O676" s="25">
        <f t="shared" si="19"/>
        <v>3.0657350634535341E-3</v>
      </c>
    </row>
    <row r="677" spans="1:15">
      <c r="A677" s="74">
        <v>450.78013154918312</v>
      </c>
      <c r="B677" s="74">
        <v>451.15390459679202</v>
      </c>
      <c r="C677" s="74">
        <v>446.95387587760757</v>
      </c>
      <c r="D677" s="74">
        <v>449.09323476852705</v>
      </c>
      <c r="E677" s="74">
        <v>5717703.3862433787</v>
      </c>
      <c r="F677" s="74" t="s">
        <v>745</v>
      </c>
      <c r="G677" s="25">
        <f t="shared" si="18"/>
        <v>3.7562284400154411E-3</v>
      </c>
      <c r="I677" s="73">
        <v>272.40926921613328</v>
      </c>
      <c r="J677" s="73">
        <v>272.86664197550732</v>
      </c>
      <c r="K677" s="73">
        <v>269.14927188867983</v>
      </c>
      <c r="L677" s="73">
        <v>271.70861307411343</v>
      </c>
      <c r="M677" s="73">
        <v>1067798.988878066</v>
      </c>
      <c r="N677" s="73" t="s">
        <v>745</v>
      </c>
      <c r="O677" s="25">
        <f t="shared" si="19"/>
        <v>2.5787042011389261E-3</v>
      </c>
    </row>
    <row r="678" spans="1:15">
      <c r="A678" s="74">
        <v>446.53092216583963</v>
      </c>
      <c r="B678" s="74">
        <v>448.23257314574334</v>
      </c>
      <c r="C678" s="74">
        <v>443.60467264837507</v>
      </c>
      <c r="D678" s="74">
        <v>447.03256494026215</v>
      </c>
      <c r="E678" s="74">
        <v>8288056.0270930398</v>
      </c>
      <c r="F678" s="74" t="s">
        <v>746</v>
      </c>
      <c r="G678" s="25">
        <f t="shared" si="18"/>
        <v>-1.1221615912692107E-3</v>
      </c>
      <c r="I678" s="73">
        <v>270.90091224372946</v>
      </c>
      <c r="J678" s="73">
        <v>272.47738856327408</v>
      </c>
      <c r="K678" s="73">
        <v>266.22013996162462</v>
      </c>
      <c r="L678" s="73">
        <v>269.86939070131132</v>
      </c>
      <c r="M678" s="73">
        <v>1491288.6612080843</v>
      </c>
      <c r="N678" s="73" t="s">
        <v>746</v>
      </c>
      <c r="O678" s="25">
        <f t="shared" si="19"/>
        <v>3.8222991489977876E-3</v>
      </c>
    </row>
    <row r="679" spans="1:15">
      <c r="A679" s="74">
        <v>452.91457237368661</v>
      </c>
      <c r="B679" s="74">
        <v>455.15721065934014</v>
      </c>
      <c r="C679" s="74">
        <v>452.21620694262788</v>
      </c>
      <c r="D679" s="74">
        <v>453.06211436616383</v>
      </c>
      <c r="E679" s="74">
        <v>4640271.8202804755</v>
      </c>
      <c r="F679" s="74" t="s">
        <v>747</v>
      </c>
      <c r="G679" s="25">
        <f t="shared" si="18"/>
        <v>-3.2565510952864418E-4</v>
      </c>
      <c r="I679" s="73">
        <v>273.14885069937645</v>
      </c>
      <c r="J679" s="73">
        <v>278.90980120042855</v>
      </c>
      <c r="K679" s="73">
        <v>272.27303052185169</v>
      </c>
      <c r="L679" s="73">
        <v>275.88335592031501</v>
      </c>
      <c r="M679" s="73">
        <v>1366965.5378156507</v>
      </c>
      <c r="N679" s="73" t="s">
        <v>747</v>
      </c>
      <c r="O679" s="25">
        <f t="shared" si="19"/>
        <v>-9.911816578483168E-3</v>
      </c>
    </row>
    <row r="680" spans="1:15">
      <c r="A680" s="74">
        <v>453.1211311631547</v>
      </c>
      <c r="B680" s="74">
        <v>453.47523194509995</v>
      </c>
      <c r="C680" s="74">
        <v>450.66209795520132</v>
      </c>
      <c r="D680" s="74">
        <v>451.02603486997845</v>
      </c>
      <c r="E680" s="74">
        <v>4069276.0746928803</v>
      </c>
      <c r="F680" s="74" t="s">
        <v>748</v>
      </c>
      <c r="G680" s="25">
        <f t="shared" si="18"/>
        <v>4.6451781742049558E-3</v>
      </c>
      <c r="I680" s="73">
        <v>275.88335592031501</v>
      </c>
      <c r="J680" s="73">
        <v>276.93434013334479</v>
      </c>
      <c r="K680" s="73">
        <v>271.19285230290438</v>
      </c>
      <c r="L680" s="73">
        <v>271.50425503269099</v>
      </c>
      <c r="M680" s="73">
        <v>1545362.4325316029</v>
      </c>
      <c r="N680" s="73" t="s">
        <v>748</v>
      </c>
      <c r="O680" s="25">
        <f t="shared" si="19"/>
        <v>1.6129032258064502E-2</v>
      </c>
    </row>
    <row r="681" spans="1:15">
      <c r="A681" s="74">
        <v>450.56373662688316</v>
      </c>
      <c r="B681" s="74">
        <v>450.8194760805103</v>
      </c>
      <c r="C681" s="74">
        <v>449.54077881237453</v>
      </c>
      <c r="D681" s="74">
        <v>450.30799717325601</v>
      </c>
      <c r="E681" s="74">
        <v>4254306.1094758129</v>
      </c>
      <c r="F681" s="74" t="s">
        <v>749</v>
      </c>
      <c r="G681" s="25">
        <f t="shared" si="18"/>
        <v>5.6792119001336516E-4</v>
      </c>
      <c r="I681" s="73">
        <v>271.22204630882186</v>
      </c>
      <c r="J681" s="73">
        <v>272.25356785123995</v>
      </c>
      <c r="K681" s="73">
        <v>262.96014263417118</v>
      </c>
      <c r="L681" s="73">
        <v>263.22288868742862</v>
      </c>
      <c r="M681" s="73">
        <v>2085057.1234393266</v>
      </c>
      <c r="N681" s="73" t="s">
        <v>749</v>
      </c>
      <c r="O681" s="25">
        <f t="shared" si="19"/>
        <v>3.0389293504380799E-2</v>
      </c>
    </row>
    <row r="682" spans="1:15">
      <c r="A682" s="74">
        <v>450.25881650909696</v>
      </c>
      <c r="B682" s="74">
        <v>450.67193408803314</v>
      </c>
      <c r="C682" s="74">
        <v>447.80961943397534</v>
      </c>
      <c r="D682" s="74">
        <v>448.67519912317493</v>
      </c>
      <c r="E682" s="74">
        <v>6876091.5652996404</v>
      </c>
      <c r="F682" s="74" t="s">
        <v>750</v>
      </c>
      <c r="G682" s="25">
        <f t="shared" si="18"/>
        <v>3.5295407212541097E-3</v>
      </c>
      <c r="I682" s="73">
        <v>261.79238239747139</v>
      </c>
      <c r="J682" s="73">
        <v>262.92608296060075</v>
      </c>
      <c r="K682" s="73">
        <v>254.3673735591222</v>
      </c>
      <c r="L682" s="73">
        <v>254.46468691218053</v>
      </c>
      <c r="M682" s="73">
        <v>1919320.3618015326</v>
      </c>
      <c r="N682" s="73" t="s">
        <v>750</v>
      </c>
      <c r="O682" s="25">
        <f t="shared" si="19"/>
        <v>2.879651229492497E-2</v>
      </c>
    </row>
    <row r="683" spans="1:15">
      <c r="A683" s="74">
        <v>446.5899389628305</v>
      </c>
      <c r="B683" s="74">
        <v>446.8456784164577</v>
      </c>
      <c r="C683" s="74">
        <v>444.79976278744044</v>
      </c>
      <c r="D683" s="74">
        <v>446.14731298539886</v>
      </c>
      <c r="E683" s="74">
        <v>4456630.5426680259</v>
      </c>
      <c r="F683" s="74" t="s">
        <v>751</v>
      </c>
      <c r="G683" s="25">
        <f t="shared" si="18"/>
        <v>9.9210723576881321E-4</v>
      </c>
      <c r="I683" s="73">
        <v>252.99525528100003</v>
      </c>
      <c r="J683" s="73">
        <v>260.16724940139761</v>
      </c>
      <c r="K683" s="73">
        <v>252.86874792202423</v>
      </c>
      <c r="L683" s="73">
        <v>260.16724940139761</v>
      </c>
      <c r="M683" s="73">
        <v>1814584.4783930897</v>
      </c>
      <c r="N683" s="73" t="s">
        <v>751</v>
      </c>
      <c r="O683" s="25">
        <f t="shared" si="19"/>
        <v>-2.7566859921451248E-2</v>
      </c>
    </row>
    <row r="684" spans="1:15">
      <c r="A684" s="74">
        <v>445.2030442335448</v>
      </c>
      <c r="B684" s="74">
        <v>446.70797255681225</v>
      </c>
      <c r="C684" s="74">
        <v>443.1571286045276</v>
      </c>
      <c r="D684" s="74">
        <v>446.29485497787613</v>
      </c>
      <c r="E684" s="74">
        <v>7220171.9125122745</v>
      </c>
      <c r="F684" s="74" t="s">
        <v>752</v>
      </c>
      <c r="G684" s="25">
        <f t="shared" si="18"/>
        <v>-2.4463888215459084E-3</v>
      </c>
      <c r="I684" s="73">
        <v>259.164921864897</v>
      </c>
      <c r="J684" s="73">
        <v>262.01133744185262</v>
      </c>
      <c r="K684" s="73">
        <v>256.41095397334675</v>
      </c>
      <c r="L684" s="73">
        <v>258.75620578205206</v>
      </c>
      <c r="M684" s="73">
        <v>1268886.5003552849</v>
      </c>
      <c r="N684" s="73" t="s">
        <v>752</v>
      </c>
      <c r="O684" s="25">
        <f t="shared" si="19"/>
        <v>1.5795411808952053E-3</v>
      </c>
    </row>
    <row r="685" spans="1:15">
      <c r="A685" s="74">
        <v>446.83584228362582</v>
      </c>
      <c r="B685" s="74">
        <v>448.40962353671603</v>
      </c>
      <c r="C685" s="74">
        <v>442.32105731382342</v>
      </c>
      <c r="D685" s="74">
        <v>442.63581356444143</v>
      </c>
      <c r="E685" s="74">
        <v>6357663.2269279826</v>
      </c>
      <c r="F685" s="74" t="s">
        <v>753</v>
      </c>
      <c r="G685" s="25">
        <f t="shared" si="18"/>
        <v>9.488678029377029E-3</v>
      </c>
      <c r="I685" s="73">
        <v>260.80951753158246</v>
      </c>
      <c r="J685" s="73">
        <v>263.65593310853808</v>
      </c>
      <c r="K685" s="73">
        <v>252.61573320407257</v>
      </c>
      <c r="L685" s="73">
        <v>254.71770163013213</v>
      </c>
      <c r="M685" s="73">
        <v>1757427.8824563834</v>
      </c>
      <c r="N685" s="73" t="s">
        <v>753</v>
      </c>
      <c r="O685" s="25">
        <f t="shared" si="19"/>
        <v>2.3915950334288505E-2</v>
      </c>
    </row>
    <row r="686" spans="1:15">
      <c r="A686" s="74">
        <v>442.29154891532801</v>
      </c>
      <c r="B686" s="74">
        <v>442.29154891532801</v>
      </c>
      <c r="C686" s="74">
        <v>437.36384308924602</v>
      </c>
      <c r="D686" s="74">
        <v>438.05217566481639</v>
      </c>
      <c r="E686" s="74">
        <v>6240623.3272352358</v>
      </c>
      <c r="F686" s="74" t="s">
        <v>754</v>
      </c>
      <c r="G686" s="25">
        <f t="shared" si="18"/>
        <v>9.6777815201527506E-3</v>
      </c>
      <c r="I686" s="73">
        <v>255.94384987866687</v>
      </c>
      <c r="J686" s="73">
        <v>258.18205699900807</v>
      </c>
      <c r="K686" s="73">
        <v>250.6597348076005</v>
      </c>
      <c r="L686" s="73">
        <v>251.1171075669746</v>
      </c>
      <c r="M686" s="73">
        <v>2137524.7431393745</v>
      </c>
      <c r="N686" s="73" t="s">
        <v>754</v>
      </c>
      <c r="O686" s="25">
        <f t="shared" si="19"/>
        <v>1.9221081185816669E-2</v>
      </c>
    </row>
    <row r="687" spans="1:15">
      <c r="A687" s="74">
        <v>436.54724734154888</v>
      </c>
      <c r="B687" s="74">
        <v>442.09974432510762</v>
      </c>
      <c r="C687" s="74">
        <v>436.47839441172619</v>
      </c>
      <c r="D687" s="74">
        <v>441.68170867975556</v>
      </c>
      <c r="E687" s="74">
        <v>7226460.9695083257</v>
      </c>
      <c r="F687" s="74" t="s">
        <v>755</v>
      </c>
      <c r="G687" s="25">
        <f t="shared" si="18"/>
        <v>-1.1624799572421129E-2</v>
      </c>
      <c r="I687" s="73">
        <v>246.4752606260931</v>
      </c>
      <c r="J687" s="73">
        <v>265.38811079297602</v>
      </c>
      <c r="K687" s="73">
        <v>245.33669439531084</v>
      </c>
      <c r="L687" s="73">
        <v>256.80993872088584</v>
      </c>
      <c r="M687" s="73">
        <v>6644755.1099439543</v>
      </c>
      <c r="N687" s="73" t="s">
        <v>755</v>
      </c>
      <c r="O687" s="25">
        <f t="shared" si="19"/>
        <v>-4.0242516104584958E-2</v>
      </c>
    </row>
    <row r="688" spans="1:15">
      <c r="A688" s="74">
        <v>443.77680497293187</v>
      </c>
      <c r="B688" s="74">
        <v>444.40631747416791</v>
      </c>
      <c r="C688" s="74">
        <v>443.05876727620944</v>
      </c>
      <c r="D688" s="74">
        <v>443.45221258948197</v>
      </c>
      <c r="E688" s="74">
        <v>3466761.8446255634</v>
      </c>
      <c r="F688" s="74" t="s">
        <v>756</v>
      </c>
      <c r="G688" s="25">
        <f t="shared" si="18"/>
        <v>7.3196699494282313E-4</v>
      </c>
      <c r="I688" s="73">
        <v>298.9660832657467</v>
      </c>
      <c r="J688" s="73">
        <v>299.43902616161012</v>
      </c>
      <c r="K688" s="73">
        <v>293.3122747664118</v>
      </c>
      <c r="L688" s="73">
        <v>294.87892243729755</v>
      </c>
      <c r="M688" s="73">
        <v>780530.08773097757</v>
      </c>
      <c r="N688" s="73" t="s">
        <v>756</v>
      </c>
      <c r="O688" s="25">
        <f t="shared" si="19"/>
        <v>1.3860471256022855E-2</v>
      </c>
    </row>
    <row r="689" spans="1:15">
      <c r="A689" s="74">
        <v>444.09156122354989</v>
      </c>
      <c r="B689" s="74">
        <v>444.20939809487498</v>
      </c>
      <c r="C689" s="74">
        <v>440.37468334906418</v>
      </c>
      <c r="D689" s="74">
        <v>440.88498192037866</v>
      </c>
      <c r="E689" s="74">
        <v>4618941.2828032468</v>
      </c>
      <c r="F689" s="74" t="s">
        <v>757</v>
      </c>
      <c r="G689" s="25">
        <f t="shared" si="18"/>
        <v>7.2730517814514339E-3</v>
      </c>
      <c r="I689" s="73">
        <v>296.43593608623058</v>
      </c>
      <c r="J689" s="73">
        <v>296.65002546295881</v>
      </c>
      <c r="K689" s="73">
        <v>292.53367062859223</v>
      </c>
      <c r="L689" s="73">
        <v>293.59438617692786</v>
      </c>
      <c r="M689" s="73">
        <v>549369.62215211161</v>
      </c>
      <c r="N689" s="73" t="s">
        <v>757</v>
      </c>
      <c r="O689" s="25">
        <f t="shared" si="19"/>
        <v>9.6784885647995811E-3</v>
      </c>
    </row>
    <row r="690" spans="1:15">
      <c r="A690" s="74">
        <v>440.88498192037866</v>
      </c>
      <c r="B690" s="74">
        <v>442.14400692285079</v>
      </c>
      <c r="C690" s="74">
        <v>439.83251570737463</v>
      </c>
      <c r="D690" s="74">
        <v>440.75711219356509</v>
      </c>
      <c r="E690" s="74">
        <v>6510712.1970609371</v>
      </c>
      <c r="F690" s="74" t="s">
        <v>758</v>
      </c>
      <c r="G690" s="25">
        <f t="shared" si="18"/>
        <v>2.9011381388088786E-4</v>
      </c>
      <c r="I690" s="73">
        <v>294.85945976668592</v>
      </c>
      <c r="J690" s="73">
        <v>298.08053175291604</v>
      </c>
      <c r="K690" s="73">
        <v>294.32423632486518</v>
      </c>
      <c r="L690" s="73">
        <v>297.54530831109531</v>
      </c>
      <c r="M690" s="73">
        <v>396177.90147358301</v>
      </c>
      <c r="N690" s="73" t="s">
        <v>758</v>
      </c>
      <c r="O690" s="25">
        <f t="shared" si="19"/>
        <v>-9.0266875981160899E-3</v>
      </c>
    </row>
    <row r="691" spans="1:15">
      <c r="A691" s="74">
        <v>441.15055750683763</v>
      </c>
      <c r="B691" s="74">
        <v>441.40629696046477</v>
      </c>
      <c r="C691" s="74">
        <v>438.79972176003417</v>
      </c>
      <c r="D691" s="74">
        <v>440.79645672489232</v>
      </c>
      <c r="E691" s="74">
        <v>4236476.9480565209</v>
      </c>
      <c r="F691" s="74" t="s">
        <v>759</v>
      </c>
      <c r="G691" s="25">
        <f t="shared" si="18"/>
        <v>8.033203909492137E-4</v>
      </c>
      <c r="I691" s="73">
        <v>296.06614534460897</v>
      </c>
      <c r="J691" s="73">
        <v>298.73253121840673</v>
      </c>
      <c r="K691" s="73">
        <v>295.07783093094878</v>
      </c>
      <c r="L691" s="73">
        <v>295.14166849055505</v>
      </c>
      <c r="M691" s="73">
        <v>562122.23996866518</v>
      </c>
      <c r="N691" s="73" t="s">
        <v>759</v>
      </c>
      <c r="O691" s="25">
        <f t="shared" si="19"/>
        <v>3.1323156055258483E-3</v>
      </c>
    </row>
    <row r="692" spans="1:15">
      <c r="A692" s="74">
        <v>438.68168816605242</v>
      </c>
      <c r="B692" s="74">
        <v>441.82885722691947</v>
      </c>
      <c r="C692" s="74">
        <v>438.44562097808887</v>
      </c>
      <c r="D692" s="74">
        <v>440.97350711586495</v>
      </c>
      <c r="E692" s="74">
        <v>4644308.9760081377</v>
      </c>
      <c r="F692" s="74" t="s">
        <v>760</v>
      </c>
      <c r="G692" s="25">
        <f t="shared" si="18"/>
        <v>-5.1971805852961683E-3</v>
      </c>
      <c r="I692" s="73">
        <v>292.28065591064063</v>
      </c>
      <c r="J692" s="73">
        <v>299.04393394819334</v>
      </c>
      <c r="K692" s="73">
        <v>292.25146190472316</v>
      </c>
      <c r="L692" s="73">
        <v>299.04393394819334</v>
      </c>
      <c r="M692" s="73">
        <v>558646.86902139813</v>
      </c>
      <c r="N692" s="73" t="s">
        <v>760</v>
      </c>
      <c r="O692" s="25">
        <f t="shared" si="19"/>
        <v>-2.2616335828181011E-2</v>
      </c>
    </row>
    <row r="693" spans="1:15">
      <c r="A693" s="74">
        <v>438.3177512512753</v>
      </c>
      <c r="B693" s="74">
        <v>438.51447390791157</v>
      </c>
      <c r="C693" s="74">
        <v>436.50790281022159</v>
      </c>
      <c r="D693" s="74">
        <v>437.54069675756205</v>
      </c>
      <c r="E693" s="74">
        <v>3305756.4955642079</v>
      </c>
      <c r="F693" s="74" t="s">
        <v>761</v>
      </c>
      <c r="G693" s="25">
        <f t="shared" si="18"/>
        <v>1.7759593552593156E-3</v>
      </c>
      <c r="I693" s="73">
        <v>296.09533935052644</v>
      </c>
      <c r="J693" s="73">
        <v>299.06339661880497</v>
      </c>
      <c r="K693" s="73">
        <v>295.41414587911828</v>
      </c>
      <c r="L693" s="73">
        <v>298.55736718290177</v>
      </c>
      <c r="M693" s="73">
        <v>439074.37835788698</v>
      </c>
      <c r="N693" s="73" t="s">
        <v>761</v>
      </c>
      <c r="O693" s="25">
        <f t="shared" si="19"/>
        <v>-8.2464146023468743E-3</v>
      </c>
    </row>
    <row r="694" spans="1:15">
      <c r="A694" s="74">
        <v>437.01938171747594</v>
      </c>
      <c r="B694" s="74">
        <v>438.61283523622973</v>
      </c>
      <c r="C694" s="74">
        <v>436.40954148190349</v>
      </c>
      <c r="D694" s="74">
        <v>437.48167996057117</v>
      </c>
      <c r="E694" s="74">
        <v>5968211.3899611058</v>
      </c>
      <c r="F694" s="74" t="s">
        <v>762</v>
      </c>
      <c r="G694" s="25">
        <f t="shared" si="18"/>
        <v>-1.0567259482429092E-3</v>
      </c>
      <c r="I694" s="73">
        <v>297.42853228742536</v>
      </c>
      <c r="J694" s="73">
        <v>298.68611274899791</v>
      </c>
      <c r="K694" s="73">
        <v>295.91044397971564</v>
      </c>
      <c r="L694" s="73">
        <v>295.99802599746818</v>
      </c>
      <c r="M694" s="73">
        <v>578221.77770693635</v>
      </c>
      <c r="N694" s="73" t="s">
        <v>762</v>
      </c>
      <c r="O694" s="25">
        <f t="shared" si="19"/>
        <v>4.8328237498767024E-3</v>
      </c>
    </row>
    <row r="695" spans="1:15">
      <c r="A695" s="74">
        <v>436.02593230146277</v>
      </c>
      <c r="B695" s="74">
        <v>436.34068855208079</v>
      </c>
      <c r="C695" s="74">
        <v>431.1275381512196</v>
      </c>
      <c r="D695" s="74">
        <v>431.80623131661474</v>
      </c>
      <c r="E695" s="74">
        <v>4917381.7420969186</v>
      </c>
      <c r="F695" s="74" t="s">
        <v>763</v>
      </c>
      <c r="G695" s="25">
        <f t="shared" si="18"/>
        <v>9.7722095671981535E-3</v>
      </c>
      <c r="I695" s="73">
        <v>295.29736985544832</v>
      </c>
      <c r="J695" s="73">
        <v>296.80572682785214</v>
      </c>
      <c r="K695" s="73">
        <v>290.36358285539188</v>
      </c>
      <c r="L695" s="73">
        <v>293.29271478244709</v>
      </c>
      <c r="M695" s="73">
        <v>621247.73322499427</v>
      </c>
      <c r="N695" s="73" t="s">
        <v>763</v>
      </c>
      <c r="O695" s="25">
        <f t="shared" si="19"/>
        <v>6.8349978433259739E-3</v>
      </c>
    </row>
    <row r="696" spans="1:15">
      <c r="A696" s="74">
        <v>430.7537651036107</v>
      </c>
      <c r="B696" s="74">
        <v>431.20622721387412</v>
      </c>
      <c r="C696" s="74">
        <v>427.04554302601701</v>
      </c>
      <c r="D696" s="74">
        <v>428.44227388813448</v>
      </c>
      <c r="E696" s="74">
        <v>4403442.9730260307</v>
      </c>
      <c r="F696" s="74" t="s">
        <v>764</v>
      </c>
      <c r="G696" s="25">
        <f t="shared" si="18"/>
        <v>5.395105376739151E-3</v>
      </c>
      <c r="I696" s="73">
        <v>292.08602920452398</v>
      </c>
      <c r="J696" s="73">
        <v>292.37796926369896</v>
      </c>
      <c r="K696" s="73">
        <v>288.52436048258977</v>
      </c>
      <c r="L696" s="73">
        <v>288.52436048258977</v>
      </c>
      <c r="M696" s="73">
        <v>543790.73721044615</v>
      </c>
      <c r="N696" s="73" t="s">
        <v>764</v>
      </c>
      <c r="O696" s="25">
        <f t="shared" si="19"/>
        <v>1.2344429828999193E-2</v>
      </c>
    </row>
    <row r="697" spans="1:15">
      <c r="A697" s="74">
        <v>426.95701783053067</v>
      </c>
      <c r="B697" s="74">
        <v>427.36029927663503</v>
      </c>
      <c r="C697" s="74">
        <v>424.73405181054079</v>
      </c>
      <c r="D697" s="74">
        <v>426.49471958743544</v>
      </c>
      <c r="E697" s="74">
        <v>6145312.4956279369</v>
      </c>
      <c r="F697" s="74" t="s">
        <v>765</v>
      </c>
      <c r="G697" s="25">
        <f t="shared" si="18"/>
        <v>1.0839483394833316E-3</v>
      </c>
      <c r="I697" s="73">
        <v>287.44418226364252</v>
      </c>
      <c r="J697" s="73">
        <v>288.58274849442478</v>
      </c>
      <c r="K697" s="73">
        <v>285.63415389675788</v>
      </c>
      <c r="L697" s="73">
        <v>287.43445092833667</v>
      </c>
      <c r="M697" s="73">
        <v>590904.51816559106</v>
      </c>
      <c r="N697" s="73" t="s">
        <v>765</v>
      </c>
      <c r="O697" s="25">
        <f t="shared" si="19"/>
        <v>3.3855841825580768E-5</v>
      </c>
    </row>
    <row r="698" spans="1:15">
      <c r="A698" s="74">
        <v>429.34719810866136</v>
      </c>
      <c r="B698" s="74">
        <v>430.80294576776976</v>
      </c>
      <c r="C698" s="74">
        <v>427.61603873026218</v>
      </c>
      <c r="D698" s="74">
        <v>429.63244596078397</v>
      </c>
      <c r="E698" s="74">
        <v>5826313.1435806062</v>
      </c>
      <c r="F698" s="74" t="s">
        <v>766</v>
      </c>
      <c r="G698" s="25">
        <f t="shared" si="18"/>
        <v>-6.6393461388769559E-4</v>
      </c>
      <c r="I698" s="73">
        <v>290.36358285539188</v>
      </c>
      <c r="J698" s="73">
        <v>294.80107175485091</v>
      </c>
      <c r="K698" s="73">
        <v>289.61427003684287</v>
      </c>
      <c r="L698" s="73">
        <v>294.80107175485091</v>
      </c>
      <c r="M698" s="73">
        <v>578904.10955465527</v>
      </c>
      <c r="N698" s="73" t="s">
        <v>766</v>
      </c>
      <c r="O698" s="25">
        <f t="shared" si="19"/>
        <v>-1.5052485640720925E-2</v>
      </c>
    </row>
    <row r="699" spans="1:15">
      <c r="A699" s="74">
        <v>430.81278190060158</v>
      </c>
      <c r="B699" s="74">
        <v>432.59312194315982</v>
      </c>
      <c r="C699" s="74">
        <v>429.57342916379309</v>
      </c>
      <c r="D699" s="74">
        <v>431.91442877776473</v>
      </c>
      <c r="E699" s="74">
        <v>5269010.787692301</v>
      </c>
      <c r="F699" s="74" t="s">
        <v>767</v>
      </c>
      <c r="G699" s="25">
        <f t="shared" si="18"/>
        <v>-2.5506137414316177E-3</v>
      </c>
      <c r="I699" s="73">
        <v>296.40674208031305</v>
      </c>
      <c r="J699" s="73">
        <v>299.38453068389742</v>
      </c>
      <c r="K699" s="73">
        <v>294.16853495997191</v>
      </c>
      <c r="L699" s="73">
        <v>299.0925906247225</v>
      </c>
      <c r="M699" s="73">
        <v>467746.70247694239</v>
      </c>
      <c r="N699" s="73" t="s">
        <v>767</v>
      </c>
      <c r="O699" s="25">
        <f t="shared" si="19"/>
        <v>-8.9799902391412001E-3</v>
      </c>
    </row>
    <row r="700" spans="1:15">
      <c r="A700" s="74">
        <v>430.61605924396531</v>
      </c>
      <c r="B700" s="74">
        <v>432.15541403214417</v>
      </c>
      <c r="C700" s="74">
        <v>426.88816490070798</v>
      </c>
      <c r="D700" s="74">
        <v>431.74721451962387</v>
      </c>
      <c r="E700" s="74">
        <v>4876496.7716643009</v>
      </c>
      <c r="F700" s="74" t="s">
        <v>768</v>
      </c>
      <c r="G700" s="25">
        <f t="shared" si="18"/>
        <v>-2.6199480566819755E-3</v>
      </c>
      <c r="I700" s="73">
        <v>296.90304018091047</v>
      </c>
      <c r="J700" s="73">
        <v>297.40906961681367</v>
      </c>
      <c r="K700" s="73">
        <v>291.71623846290242</v>
      </c>
      <c r="L700" s="73">
        <v>294.81080309015675</v>
      </c>
      <c r="M700" s="73">
        <v>722851.46682643809</v>
      </c>
      <c r="N700" s="73" t="s">
        <v>768</v>
      </c>
      <c r="O700" s="25">
        <f t="shared" si="19"/>
        <v>7.0968806733784362E-3</v>
      </c>
    </row>
    <row r="701" spans="1:15">
      <c r="A701" s="74">
        <v>430.76360123644253</v>
      </c>
      <c r="B701" s="74">
        <v>431.54557379657172</v>
      </c>
      <c r="C701" s="74">
        <v>428.34391255981637</v>
      </c>
      <c r="D701" s="74">
        <v>428.62916041193893</v>
      </c>
      <c r="E701" s="74">
        <v>4350125.2709405348</v>
      </c>
      <c r="F701" s="74" t="s">
        <v>769</v>
      </c>
      <c r="G701" s="25">
        <f t="shared" si="18"/>
        <v>4.9796911214632367E-3</v>
      </c>
      <c r="I701" s="73">
        <v>293.95444558324357</v>
      </c>
      <c r="J701" s="73">
        <v>296.12453335644398</v>
      </c>
      <c r="K701" s="73">
        <v>293.07862540571881</v>
      </c>
      <c r="L701" s="73">
        <v>294.66483306056926</v>
      </c>
      <c r="M701" s="73">
        <v>708279.98248810368</v>
      </c>
      <c r="N701" s="73" t="s">
        <v>769</v>
      </c>
      <c r="O701" s="25">
        <f t="shared" si="19"/>
        <v>-2.410832232496718E-3</v>
      </c>
    </row>
    <row r="702" spans="1:15">
      <c r="A702" s="74">
        <v>427.94063111371202</v>
      </c>
      <c r="B702" s="74">
        <v>429.27834517883866</v>
      </c>
      <c r="C702" s="74">
        <v>426.06517566667014</v>
      </c>
      <c r="D702" s="74">
        <v>426.51439185309908</v>
      </c>
      <c r="E702" s="74">
        <v>8071837.922237711</v>
      </c>
      <c r="F702" s="74" t="s">
        <v>770</v>
      </c>
      <c r="G702" s="25">
        <f t="shared" si="18"/>
        <v>3.3439417001059901E-3</v>
      </c>
      <c r="I702" s="73">
        <v>294.83026576076844</v>
      </c>
      <c r="J702" s="73">
        <v>297.54530831109531</v>
      </c>
      <c r="K702" s="73">
        <v>294.2366543071127</v>
      </c>
      <c r="L702" s="73">
        <v>295.87151863849238</v>
      </c>
      <c r="M702" s="73">
        <v>594463.12537741417</v>
      </c>
      <c r="N702" s="73" t="s">
        <v>770</v>
      </c>
      <c r="O702" s="25">
        <f t="shared" si="19"/>
        <v>-3.5192737797657969E-3</v>
      </c>
    </row>
    <row r="703" spans="1:15">
      <c r="A703" s="74">
        <v>428.98326119388423</v>
      </c>
      <c r="B703" s="74">
        <v>429.12096705352963</v>
      </c>
      <c r="C703" s="74">
        <v>423.31764868275968</v>
      </c>
      <c r="D703" s="74">
        <v>423.39633774541414</v>
      </c>
      <c r="E703" s="74">
        <v>7342684.4914500499</v>
      </c>
      <c r="F703" s="74" t="s">
        <v>771</v>
      </c>
      <c r="G703" s="25">
        <f t="shared" si="18"/>
        <v>1.3195493088628218E-2</v>
      </c>
      <c r="I703" s="73">
        <v>297.83724837027023</v>
      </c>
      <c r="J703" s="73">
        <v>298.5768298535134</v>
      </c>
      <c r="K703" s="73">
        <v>295.01194979092827</v>
      </c>
      <c r="L703" s="73">
        <v>297.01981620458048</v>
      </c>
      <c r="M703" s="73">
        <v>564608.02421509894</v>
      </c>
      <c r="N703" s="73" t="s">
        <v>771</v>
      </c>
      <c r="O703" s="25">
        <f t="shared" si="19"/>
        <v>2.7521132298011786E-3</v>
      </c>
    </row>
    <row r="704" spans="1:15">
      <c r="A704" s="74">
        <v>422.93403950231897</v>
      </c>
      <c r="B704" s="74">
        <v>425.21602231929967</v>
      </c>
      <c r="C704" s="74">
        <v>421.61599770285591</v>
      </c>
      <c r="D704" s="74">
        <v>422.5504303218782</v>
      </c>
      <c r="E704" s="74">
        <v>5819978.3368973872</v>
      </c>
      <c r="F704" s="74" t="s">
        <v>772</v>
      </c>
      <c r="G704" s="25">
        <f t="shared" si="18"/>
        <v>9.0784236132135376E-4</v>
      </c>
      <c r="I704" s="73">
        <v>296.8543835043813</v>
      </c>
      <c r="J704" s="73">
        <v>297.82751703496444</v>
      </c>
      <c r="K704" s="73">
        <v>292.87426736429632</v>
      </c>
      <c r="L704" s="73">
        <v>294.00310225977279</v>
      </c>
      <c r="M704" s="73">
        <v>652747.0075143429</v>
      </c>
      <c r="N704" s="73" t="s">
        <v>772</v>
      </c>
      <c r="O704" s="25">
        <f t="shared" si="19"/>
        <v>9.698133192108882E-3</v>
      </c>
    </row>
    <row r="705" spans="1:15">
      <c r="A705" s="74">
        <v>422.39305219656916</v>
      </c>
      <c r="B705" s="74">
        <v>425.68815669522667</v>
      </c>
      <c r="C705" s="74">
        <v>422.17665727426925</v>
      </c>
      <c r="D705" s="74">
        <v>423.27830415143239</v>
      </c>
      <c r="E705" s="74">
        <v>4010985.8899420621</v>
      </c>
      <c r="F705" s="74" t="s">
        <v>773</v>
      </c>
      <c r="G705" s="25">
        <f t="shared" si="18"/>
        <v>-2.0914182139288862E-3</v>
      </c>
      <c r="I705" s="73">
        <v>296.48459276275975</v>
      </c>
      <c r="J705" s="73">
        <v>299.43318736042659</v>
      </c>
      <c r="K705" s="73">
        <v>295.3216981937129</v>
      </c>
      <c r="L705" s="73">
        <v>295.61850392054072</v>
      </c>
      <c r="M705" s="73">
        <v>774800.14438326587</v>
      </c>
      <c r="N705" s="73" t="s">
        <v>773</v>
      </c>
      <c r="O705" s="25">
        <f t="shared" si="19"/>
        <v>2.9297517940616302E-3</v>
      </c>
    </row>
    <row r="706" spans="1:15">
      <c r="A706" s="74">
        <v>423.73076626169586</v>
      </c>
      <c r="B706" s="74">
        <v>425.90455161752664</v>
      </c>
      <c r="C706" s="74">
        <v>423.19961508877788</v>
      </c>
      <c r="D706" s="74">
        <v>425.23569458496331</v>
      </c>
      <c r="E706" s="74">
        <v>4885099.7461713459</v>
      </c>
      <c r="F706" s="74" t="s">
        <v>774</v>
      </c>
      <c r="G706" s="25">
        <f t="shared" si="18"/>
        <v>-3.5390451517394172E-3</v>
      </c>
      <c r="I706" s="73">
        <v>295.69635460298741</v>
      </c>
      <c r="J706" s="73">
        <v>300.36739554978641</v>
      </c>
      <c r="K706" s="73">
        <v>294.91784777852092</v>
      </c>
      <c r="L706" s="73">
        <v>299.23856065430994</v>
      </c>
      <c r="M706" s="73">
        <v>846428.54666248022</v>
      </c>
      <c r="N706" s="73" t="s">
        <v>774</v>
      </c>
      <c r="O706" s="25">
        <f t="shared" si="19"/>
        <v>-1.1837398373983565E-2</v>
      </c>
    </row>
    <row r="707" spans="1:15">
      <c r="A707" s="74">
        <v>426.8980010335398</v>
      </c>
      <c r="B707" s="74">
        <v>428.13735377034828</v>
      </c>
      <c r="C707" s="74">
        <v>425.27503911629054</v>
      </c>
      <c r="D707" s="74">
        <v>426.79963970522169</v>
      </c>
      <c r="E707" s="74">
        <v>9227245.2550100368</v>
      </c>
      <c r="F707" s="74" t="s">
        <v>775</v>
      </c>
      <c r="G707" s="25">
        <f t="shared" si="18"/>
        <v>2.3046253831426888E-4</v>
      </c>
      <c r="I707" s="73">
        <v>298.14865110005684</v>
      </c>
      <c r="J707" s="73">
        <v>301.67139448076773</v>
      </c>
      <c r="K707" s="73">
        <v>296.78626415724051</v>
      </c>
      <c r="L707" s="73">
        <v>299.02447127758165</v>
      </c>
      <c r="M707" s="73">
        <v>426513.92327555543</v>
      </c>
      <c r="N707" s="73" t="s">
        <v>775</v>
      </c>
      <c r="O707" s="25">
        <f t="shared" si="19"/>
        <v>-2.928924759177276E-3</v>
      </c>
    </row>
    <row r="708" spans="1:15">
      <c r="A708" s="74">
        <v>429.64228209361579</v>
      </c>
      <c r="B708" s="74">
        <v>431.15704654971501</v>
      </c>
      <c r="C708" s="74">
        <v>427.81276138689844</v>
      </c>
      <c r="D708" s="74">
        <v>430.69474830661983</v>
      </c>
      <c r="E708" s="74">
        <v>4449802.6560231056</v>
      </c>
      <c r="F708" s="74" t="s">
        <v>776</v>
      </c>
      <c r="G708" s="25">
        <f t="shared" si="18"/>
        <v>-2.4436476579806632E-3</v>
      </c>
      <c r="I708" s="73">
        <v>302.13849857544767</v>
      </c>
      <c r="J708" s="73">
        <v>304.15288498375475</v>
      </c>
      <c r="K708" s="73">
        <v>299.93921679632984</v>
      </c>
      <c r="L708" s="73">
        <v>301.9049465281077</v>
      </c>
      <c r="M708" s="73">
        <v>335007.46789050609</v>
      </c>
      <c r="N708" s="73" t="s">
        <v>776</v>
      </c>
      <c r="O708" s="25">
        <f t="shared" si="19"/>
        <v>7.7359463641069048E-4</v>
      </c>
    </row>
    <row r="709" spans="1:15">
      <c r="A709" s="74">
        <v>430.79310963493799</v>
      </c>
      <c r="B709" s="74">
        <v>431.6488531913057</v>
      </c>
      <c r="C709" s="74">
        <v>430.48818951715174</v>
      </c>
      <c r="D709" s="74">
        <v>431.06852135422872</v>
      </c>
      <c r="E709" s="74">
        <v>4782016.5510440329</v>
      </c>
      <c r="F709" s="74" t="s">
        <v>777</v>
      </c>
      <c r="G709" s="25">
        <f t="shared" si="18"/>
        <v>-6.3890473474037535E-4</v>
      </c>
      <c r="I709" s="73">
        <v>302.27473726972931</v>
      </c>
      <c r="J709" s="73">
        <v>302.92673673522</v>
      </c>
      <c r="K709" s="73">
        <v>300.6301416030438</v>
      </c>
      <c r="L709" s="73">
        <v>301.45730510403945</v>
      </c>
      <c r="M709" s="73">
        <v>341143.31647895422</v>
      </c>
      <c r="N709" s="73" t="s">
        <v>777</v>
      </c>
      <c r="O709" s="25">
        <f t="shared" si="19"/>
        <v>2.7116017819099891E-3</v>
      </c>
    </row>
    <row r="710" spans="1:15">
      <c r="A710" s="74">
        <v>430.72425670511524</v>
      </c>
      <c r="B710" s="74">
        <v>430.84229029909699</v>
      </c>
      <c r="C710" s="74">
        <v>429.26850904600684</v>
      </c>
      <c r="D710" s="74">
        <v>429.73572535551796</v>
      </c>
      <c r="E710" s="74">
        <v>4342162.7920538438</v>
      </c>
      <c r="F710" s="74" t="s">
        <v>778</v>
      </c>
      <c r="G710" s="25">
        <f t="shared" si="18"/>
        <v>2.3003238764462974E-3</v>
      </c>
      <c r="I710" s="73">
        <v>302.85861738807921</v>
      </c>
      <c r="J710" s="73">
        <v>304.35237735752423</v>
      </c>
      <c r="K710" s="73">
        <v>301.97306587524855</v>
      </c>
      <c r="L710" s="73">
        <v>303.28679614153577</v>
      </c>
      <c r="M710" s="73">
        <v>319243.95803507243</v>
      </c>
      <c r="N710" s="73" t="s">
        <v>778</v>
      </c>
      <c r="O710" s="25">
        <f t="shared" si="19"/>
        <v>-1.4117949047037781E-3</v>
      </c>
    </row>
    <row r="711" spans="1:15">
      <c r="A711" s="74">
        <v>429.93736607857016</v>
      </c>
      <c r="B711" s="74">
        <v>430.74392897077888</v>
      </c>
      <c r="C711" s="74">
        <v>428.44227388813448</v>
      </c>
      <c r="D711" s="74">
        <v>428.52647118517484</v>
      </c>
      <c r="E711" s="74">
        <v>3899740.9506239491</v>
      </c>
      <c r="F711" s="74" t="s">
        <v>779</v>
      </c>
      <c r="G711" s="25">
        <f t="shared" si="18"/>
        <v>3.2924334627291163E-3</v>
      </c>
      <c r="I711" s="73">
        <v>302.68345335257425</v>
      </c>
      <c r="J711" s="73">
        <v>303.42303483581736</v>
      </c>
      <c r="K711" s="73">
        <v>300.46957457049757</v>
      </c>
      <c r="L711" s="73">
        <v>300.8150369738546</v>
      </c>
      <c r="M711" s="73">
        <v>418843.85563794419</v>
      </c>
      <c r="N711" s="73" t="s">
        <v>779</v>
      </c>
      <c r="O711" s="25">
        <f t="shared" si="19"/>
        <v>6.2111801242237252E-3</v>
      </c>
    </row>
    <row r="712" spans="1:15">
      <c r="A712" s="74">
        <v>428.15702603601193</v>
      </c>
      <c r="B712" s="74">
        <v>429.67965939837666</v>
      </c>
      <c r="C712" s="74">
        <v>426.37668599345369</v>
      </c>
      <c r="D712" s="74">
        <v>428.32424029415273</v>
      </c>
      <c r="E712" s="74">
        <v>4105098.0797455548</v>
      </c>
      <c r="F712" s="74" t="s">
        <v>780</v>
      </c>
      <c r="G712" s="25">
        <f t="shared" si="18"/>
        <v>-3.9039176962285538E-4</v>
      </c>
      <c r="I712" s="73">
        <v>299.51103804287322</v>
      </c>
      <c r="J712" s="73">
        <v>302.34285661687011</v>
      </c>
      <c r="K712" s="73">
        <v>297.88590504679945</v>
      </c>
      <c r="L712" s="73">
        <v>301.04858902119457</v>
      </c>
      <c r="M712" s="73">
        <v>320154.41890416719</v>
      </c>
      <c r="N712" s="73" t="s">
        <v>780</v>
      </c>
      <c r="O712" s="25">
        <f t="shared" si="19"/>
        <v>-5.1073183346264095E-3</v>
      </c>
    </row>
    <row r="713" spans="1:15">
      <c r="A713" s="74">
        <v>427.16357661999871</v>
      </c>
      <c r="B713" s="74">
        <v>427.51767740194401</v>
      </c>
      <c r="C713" s="74">
        <v>423.79489784775927</v>
      </c>
      <c r="D713" s="74">
        <v>426.03242134434021</v>
      </c>
      <c r="E713" s="74">
        <v>4698600.6381004583</v>
      </c>
      <c r="F713" s="74" t="s">
        <v>781</v>
      </c>
      <c r="G713" s="25">
        <f t="shared" si="18"/>
        <v>2.6550920047097026E-3</v>
      </c>
      <c r="I713" s="73">
        <v>298.50871050637261</v>
      </c>
      <c r="J713" s="73">
        <v>298.98554593635833</v>
      </c>
      <c r="K713" s="73">
        <v>295.5795785793174</v>
      </c>
      <c r="L713" s="73">
        <v>298.01241240577525</v>
      </c>
      <c r="M713" s="73">
        <v>514835.8208351818</v>
      </c>
      <c r="N713" s="73" t="s">
        <v>781</v>
      </c>
      <c r="O713" s="25">
        <f t="shared" si="19"/>
        <v>1.6653605015672923E-3</v>
      </c>
    </row>
    <row r="714" spans="1:15">
      <c r="A714" s="74">
        <v>423.04223696346884</v>
      </c>
      <c r="B714" s="74">
        <v>430.13900680162237</v>
      </c>
      <c r="C714" s="74">
        <v>422.85535043966439</v>
      </c>
      <c r="D714" s="74">
        <v>428.37342095831178</v>
      </c>
      <c r="E714" s="74">
        <v>5879581.0293400744</v>
      </c>
      <c r="F714" s="74" t="s">
        <v>782</v>
      </c>
      <c r="G714" s="25">
        <f t="shared" si="18"/>
        <v>-1.2445179215173074E-2</v>
      </c>
      <c r="I714" s="73">
        <v>295.40441454381244</v>
      </c>
      <c r="J714" s="73">
        <v>302.52775198768092</v>
      </c>
      <c r="K714" s="73">
        <v>295.27790718483664</v>
      </c>
      <c r="L714" s="73">
        <v>301.194559050782</v>
      </c>
      <c r="M714" s="73">
        <v>483302.63547508809</v>
      </c>
      <c r="N714" s="73" t="s">
        <v>782</v>
      </c>
      <c r="O714" s="25">
        <f t="shared" si="19"/>
        <v>-1.922393460631322E-2</v>
      </c>
    </row>
    <row r="715" spans="1:15">
      <c r="A715" s="74">
        <v>429.23791867290009</v>
      </c>
      <c r="B715" s="74">
        <v>429.2673057825105</v>
      </c>
      <c r="C715" s="74">
        <v>427.04368115532253</v>
      </c>
      <c r="D715" s="74">
        <v>427.13184248415382</v>
      </c>
      <c r="E715" s="74">
        <v>4146213.8201173837</v>
      </c>
      <c r="F715" s="74" t="s">
        <v>783</v>
      </c>
      <c r="G715" s="25">
        <f t="shared" si="18"/>
        <v>4.9307402990550475E-3</v>
      </c>
      <c r="I715" s="73">
        <v>302.13849857544767</v>
      </c>
      <c r="J715" s="73">
        <v>303.97772094824978</v>
      </c>
      <c r="K715" s="73">
        <v>301.18482771547622</v>
      </c>
      <c r="L715" s="73">
        <v>302.23581192850594</v>
      </c>
      <c r="M715" s="73">
        <v>646894.77879030805</v>
      </c>
      <c r="N715" s="73" t="s">
        <v>783</v>
      </c>
      <c r="O715" s="25">
        <f t="shared" si="19"/>
        <v>-3.2197823427126959E-4</v>
      </c>
    </row>
    <row r="716" spans="1:15">
      <c r="A716" s="74">
        <v>426.64205732398028</v>
      </c>
      <c r="B716" s="74">
        <v>427.48448779947876</v>
      </c>
      <c r="C716" s="74">
        <v>425.57432567480186</v>
      </c>
      <c r="D716" s="74">
        <v>425.76044403566783</v>
      </c>
      <c r="E716" s="74">
        <v>4369747.5424563875</v>
      </c>
      <c r="F716" s="74" t="s">
        <v>784</v>
      </c>
      <c r="G716" s="25">
        <f t="shared" si="18"/>
        <v>2.0706791827720394E-3</v>
      </c>
      <c r="I716" s="73">
        <v>297.09766688702712</v>
      </c>
      <c r="J716" s="73">
        <v>298.58656118881925</v>
      </c>
      <c r="K716" s="73">
        <v>293.68196819468034</v>
      </c>
      <c r="L716" s="73">
        <v>296.55271210990054</v>
      </c>
      <c r="M716" s="73">
        <v>550898.70316025277</v>
      </c>
      <c r="N716" s="73" t="s">
        <v>784</v>
      </c>
      <c r="O716" s="25">
        <f t="shared" si="19"/>
        <v>1.8376320798059176E-3</v>
      </c>
    </row>
    <row r="717" spans="1:15">
      <c r="A717" s="74">
        <v>424.24211003912978</v>
      </c>
      <c r="B717" s="74">
        <v>425.37841161073248</v>
      </c>
      <c r="C717" s="74">
        <v>423.40947526683476</v>
      </c>
      <c r="D717" s="74">
        <v>424.34006707116453</v>
      </c>
      <c r="E717" s="74">
        <v>5437119.6119056791</v>
      </c>
      <c r="F717" s="74" t="s">
        <v>785</v>
      </c>
      <c r="G717" s="25">
        <f t="shared" si="18"/>
        <v>-2.3084558738661887E-4</v>
      </c>
      <c r="I717" s="73">
        <v>296.19265270358477</v>
      </c>
      <c r="J717" s="73">
        <v>301.46703643934535</v>
      </c>
      <c r="K717" s="73">
        <v>295.6428322588053</v>
      </c>
      <c r="L717" s="73">
        <v>297.9442930586344</v>
      </c>
      <c r="M717" s="73">
        <v>1757373.4192215505</v>
      </c>
      <c r="N717" s="73" t="s">
        <v>785</v>
      </c>
      <c r="O717" s="25">
        <f t="shared" si="19"/>
        <v>-5.8790867818532266E-3</v>
      </c>
    </row>
    <row r="718" spans="1:15">
      <c r="A718" s="74">
        <v>424.88862645055889</v>
      </c>
      <c r="B718" s="74">
        <v>426.46984886166319</v>
      </c>
      <c r="C718" s="74">
        <v>422.42990494648768</v>
      </c>
      <c r="D718" s="74">
        <v>425.34902450112207</v>
      </c>
      <c r="E718" s="74">
        <v>8523270.6897872202</v>
      </c>
      <c r="F718" s="74" t="s">
        <v>786</v>
      </c>
      <c r="G718" s="25">
        <f t="shared" si="18"/>
        <v>-1.082400626410629E-3</v>
      </c>
      <c r="I718" s="73">
        <v>298.60602385943093</v>
      </c>
      <c r="J718" s="73">
        <v>298.9350403061211</v>
      </c>
      <c r="K718" s="73">
        <v>284.90430374882055</v>
      </c>
      <c r="L718" s="73">
        <v>287.0743915220209</v>
      </c>
      <c r="M718" s="73">
        <v>1683683.6348843179</v>
      </c>
      <c r="N718" s="73" t="s">
        <v>786</v>
      </c>
      <c r="O718" s="25">
        <f t="shared" si="19"/>
        <v>4.0169491525423817E-2</v>
      </c>
    </row>
    <row r="719" spans="1:15">
      <c r="A719" s="74">
        <v>423.64457214371811</v>
      </c>
      <c r="B719" s="74">
        <v>423.7719162853632</v>
      </c>
      <c r="C719" s="74">
        <v>417.79653733124582</v>
      </c>
      <c r="D719" s="74">
        <v>418.15897834977426</v>
      </c>
      <c r="E719" s="74">
        <v>8839708.4110629745</v>
      </c>
      <c r="F719" s="74" t="s">
        <v>787</v>
      </c>
      <c r="G719" s="25">
        <f t="shared" si="18"/>
        <v>1.311844077961033E-2</v>
      </c>
      <c r="I719" s="73">
        <v>283.15266339377098</v>
      </c>
      <c r="J719" s="73">
        <v>283.43973778529295</v>
      </c>
      <c r="K719" s="73">
        <v>275.19243111360106</v>
      </c>
      <c r="L719" s="73">
        <v>276.66186274478156</v>
      </c>
      <c r="M719" s="73">
        <v>1006778.5860928309</v>
      </c>
      <c r="N719" s="73" t="s">
        <v>787</v>
      </c>
      <c r="O719" s="25">
        <f t="shared" si="19"/>
        <v>2.3461132606401591E-2</v>
      </c>
    </row>
    <row r="720" spans="1:15">
      <c r="A720" s="74">
        <v>417.95326858250138</v>
      </c>
      <c r="B720" s="74">
        <v>417.95326858250138</v>
      </c>
      <c r="C720" s="74">
        <v>414.62654981757061</v>
      </c>
      <c r="D720" s="74">
        <v>415.553321297651</v>
      </c>
      <c r="E720" s="74">
        <v>6107327.7494566049</v>
      </c>
      <c r="F720" s="74" t="s">
        <v>788</v>
      </c>
      <c r="G720" s="25">
        <f t="shared" si="18"/>
        <v>5.7753052661353443E-3</v>
      </c>
      <c r="I720" s="73">
        <v>276.06825129112582</v>
      </c>
      <c r="J720" s="73">
        <v>277.83935431678708</v>
      </c>
      <c r="K720" s="73">
        <v>271.97135912737087</v>
      </c>
      <c r="L720" s="73">
        <v>273.16831336998808</v>
      </c>
      <c r="M720" s="73">
        <v>861449.09578613564</v>
      </c>
      <c r="N720" s="73" t="s">
        <v>788</v>
      </c>
      <c r="O720" s="25">
        <f t="shared" si="19"/>
        <v>1.0615938156816718E-2</v>
      </c>
    </row>
    <row r="721" spans="1:15">
      <c r="A721" s="74">
        <v>415.88637520656897</v>
      </c>
      <c r="B721" s="74">
        <v>416.03331075462103</v>
      </c>
      <c r="C721" s="74">
        <v>413.59418065695678</v>
      </c>
      <c r="D721" s="74">
        <v>413.7802990178227</v>
      </c>
      <c r="E721" s="74">
        <v>5356517.9456853075</v>
      </c>
      <c r="F721" s="74" t="s">
        <v>789</v>
      </c>
      <c r="G721" s="25">
        <f t="shared" si="18"/>
        <v>5.0898416230675814E-3</v>
      </c>
      <c r="I721" s="73">
        <v>272.27303052185169</v>
      </c>
      <c r="J721" s="73">
        <v>276.62780307121108</v>
      </c>
      <c r="K721" s="73">
        <v>271.13446429106938</v>
      </c>
      <c r="L721" s="73">
        <v>271.80592642717176</v>
      </c>
      <c r="M721" s="73">
        <v>756734.79214998521</v>
      </c>
      <c r="N721" s="73" t="s">
        <v>789</v>
      </c>
      <c r="O721" s="25">
        <f t="shared" si="19"/>
        <v>1.7185206401491016E-3</v>
      </c>
    </row>
    <row r="722" spans="1:15">
      <c r="A722" s="74">
        <v>414.27987988119975</v>
      </c>
      <c r="B722" s="74">
        <v>414.72068652535592</v>
      </c>
      <c r="C722" s="74">
        <v>411.56647009383818</v>
      </c>
      <c r="D722" s="74">
        <v>411.78197556431456</v>
      </c>
      <c r="E722" s="74">
        <v>5232169.5477501424</v>
      </c>
      <c r="F722" s="74" t="s">
        <v>790</v>
      </c>
      <c r="G722" s="25">
        <f t="shared" si="18"/>
        <v>6.0660846397222468E-3</v>
      </c>
      <c r="I722" s="73">
        <v>271.0468822733169</v>
      </c>
      <c r="J722" s="73">
        <v>273.06126868162397</v>
      </c>
      <c r="K722" s="73">
        <v>269.25631657704395</v>
      </c>
      <c r="L722" s="73">
        <v>270.15159942518045</v>
      </c>
      <c r="M722" s="73">
        <v>761478.23162147694</v>
      </c>
      <c r="N722" s="73" t="s">
        <v>790</v>
      </c>
      <c r="O722" s="25">
        <f t="shared" si="19"/>
        <v>3.314001657000798E-3</v>
      </c>
    </row>
    <row r="723" spans="1:15">
      <c r="A723" s="74">
        <v>412.52644900777841</v>
      </c>
      <c r="B723" s="74">
        <v>413.05541698076587</v>
      </c>
      <c r="C723" s="74">
        <v>410.71424391513619</v>
      </c>
      <c r="D723" s="74">
        <v>411.2334161849202</v>
      </c>
      <c r="E723" s="74">
        <v>3315995.7305045594</v>
      </c>
      <c r="F723" s="74" t="s">
        <v>791</v>
      </c>
      <c r="G723" s="25">
        <f t="shared" si="18"/>
        <v>3.1442795550369329E-3</v>
      </c>
      <c r="I723" s="73">
        <v>270.42407681374368</v>
      </c>
      <c r="J723" s="73">
        <v>271.8832905428531</v>
      </c>
      <c r="K723" s="73">
        <v>268.86219749715781</v>
      </c>
      <c r="L723" s="73">
        <v>271.74753841533675</v>
      </c>
      <c r="M723" s="73">
        <v>504608.03637682903</v>
      </c>
      <c r="N723" s="73" t="s">
        <v>791</v>
      </c>
      <c r="O723" s="25">
        <f t="shared" si="19"/>
        <v>-4.8701880035810774E-3</v>
      </c>
    </row>
    <row r="724" spans="1:15">
      <c r="A724" s="74">
        <v>409.32325406024336</v>
      </c>
      <c r="B724" s="74">
        <v>413.05541698076587</v>
      </c>
      <c r="C724" s="74">
        <v>408.9314259321045</v>
      </c>
      <c r="D724" s="74">
        <v>412.99664276154499</v>
      </c>
      <c r="E724" s="74">
        <v>4289432.7367034713</v>
      </c>
      <c r="F724" s="74" t="s">
        <v>792</v>
      </c>
      <c r="G724" s="25">
        <f t="shared" si="18"/>
        <v>-8.8944759374777194E-3</v>
      </c>
      <c r="I724" s="73">
        <v>270.63816619047202</v>
      </c>
      <c r="J724" s="73">
        <v>273.93708885914879</v>
      </c>
      <c r="K724" s="73">
        <v>269.01303319439819</v>
      </c>
      <c r="L724" s="73">
        <v>269.30497325357311</v>
      </c>
      <c r="M724" s="73">
        <v>962199.91457793082</v>
      </c>
      <c r="N724" s="73" t="s">
        <v>792</v>
      </c>
      <c r="O724" s="25">
        <f t="shared" si="19"/>
        <v>4.9504950495051769E-3</v>
      </c>
    </row>
    <row r="725" spans="1:15">
      <c r="A725" s="74">
        <v>411.03750212085077</v>
      </c>
      <c r="B725" s="74">
        <v>411.87993259634931</v>
      </c>
      <c r="C725" s="74">
        <v>409.46039390509196</v>
      </c>
      <c r="D725" s="74">
        <v>409.79344781400994</v>
      </c>
      <c r="E725" s="74">
        <v>3490594.7321764301</v>
      </c>
      <c r="F725" s="74" t="s">
        <v>793</v>
      </c>
      <c r="G725" s="25">
        <f t="shared" si="18"/>
        <v>3.0358081942918336E-3</v>
      </c>
      <c r="I725" s="73">
        <v>267.61172091035849</v>
      </c>
      <c r="J725" s="73">
        <v>271.80592642717176</v>
      </c>
      <c r="K725" s="73">
        <v>266.93539310660321</v>
      </c>
      <c r="L725" s="73">
        <v>270.53112150210785</v>
      </c>
      <c r="M725" s="73">
        <v>631857.78793538222</v>
      </c>
      <c r="N725" s="73" t="s">
        <v>793</v>
      </c>
      <c r="O725" s="25">
        <f t="shared" si="19"/>
        <v>-1.0791366906474864E-2</v>
      </c>
    </row>
    <row r="726" spans="1:15">
      <c r="A726" s="74">
        <v>411.16484626249593</v>
      </c>
      <c r="B726" s="74">
        <v>411.29219040414102</v>
      </c>
      <c r="C726" s="74">
        <v>408.97060874491837</v>
      </c>
      <c r="D726" s="74">
        <v>410.09711461331756</v>
      </c>
      <c r="E726" s="74">
        <v>5927169.1673371857</v>
      </c>
      <c r="F726" s="74" t="s">
        <v>794</v>
      </c>
      <c r="G726" s="25">
        <f t="shared" si="18"/>
        <v>2.6036068314820859E-3</v>
      </c>
      <c r="I726" s="73">
        <v>271.99082179798256</v>
      </c>
      <c r="J726" s="73">
        <v>275.55249051991677</v>
      </c>
      <c r="K726" s="73">
        <v>270.50192749619038</v>
      </c>
      <c r="L726" s="73">
        <v>270.82306156128283</v>
      </c>
      <c r="M726" s="73">
        <v>989825.10593670676</v>
      </c>
      <c r="N726" s="73" t="s">
        <v>794</v>
      </c>
      <c r="O726" s="25">
        <f t="shared" si="19"/>
        <v>4.3118936399568764E-3</v>
      </c>
    </row>
    <row r="727" spans="1:15">
      <c r="A727" s="74">
        <v>413.24153534163179</v>
      </c>
      <c r="B727" s="74">
        <v>413.74111620500884</v>
      </c>
      <c r="C727" s="74">
        <v>409.7052864851787</v>
      </c>
      <c r="D727" s="74">
        <v>410.27343727098003</v>
      </c>
      <c r="E727" s="74">
        <v>5077353.7097751191</v>
      </c>
      <c r="F727" s="74" t="s">
        <v>795</v>
      </c>
      <c r="G727" s="25">
        <f t="shared" si="18"/>
        <v>7.2344387937828269E-3</v>
      </c>
      <c r="I727" s="73">
        <v>273.90789485323131</v>
      </c>
      <c r="J727" s="73">
        <v>273.93708885914879</v>
      </c>
      <c r="K727" s="73">
        <v>268.1712726904438</v>
      </c>
      <c r="L727" s="73">
        <v>268.28318304646086</v>
      </c>
      <c r="M727" s="73">
        <v>1116802.5413210951</v>
      </c>
      <c r="N727" s="73" t="s">
        <v>795</v>
      </c>
      <c r="O727" s="25">
        <f t="shared" si="19"/>
        <v>2.0965577278827752E-2</v>
      </c>
    </row>
    <row r="728" spans="1:15">
      <c r="A728" s="74">
        <v>410.83179235357784</v>
      </c>
      <c r="B728" s="74">
        <v>411.12566344968201</v>
      </c>
      <c r="C728" s="74">
        <v>408.05960834699556</v>
      </c>
      <c r="D728" s="74">
        <v>409.98936187807942</v>
      </c>
      <c r="E728" s="74">
        <v>4497573.9959524777</v>
      </c>
      <c r="F728" s="74" t="s">
        <v>796</v>
      </c>
      <c r="G728" s="25">
        <f t="shared" si="18"/>
        <v>2.0547617909874027E-3</v>
      </c>
      <c r="I728" s="73">
        <v>268.03989966381505</v>
      </c>
      <c r="J728" s="73">
        <v>268.37076506421329</v>
      </c>
      <c r="K728" s="73">
        <v>263.36885871701605</v>
      </c>
      <c r="L728" s="73">
        <v>265.13023040737153</v>
      </c>
      <c r="M728" s="73">
        <v>1948689.4042831683</v>
      </c>
      <c r="N728" s="73" t="s">
        <v>796</v>
      </c>
      <c r="O728" s="25">
        <f t="shared" si="19"/>
        <v>1.0974490732244435E-2</v>
      </c>
    </row>
    <row r="729" spans="1:15">
      <c r="A729" s="74">
        <v>409.24488843461552</v>
      </c>
      <c r="B729" s="74">
        <v>412.5166533045749</v>
      </c>
      <c r="C729" s="74">
        <v>408.83836675167151</v>
      </c>
      <c r="D729" s="74">
        <v>411.47772102281476</v>
      </c>
      <c r="E729" s="74">
        <v>4177972.6426886683</v>
      </c>
      <c r="F729" s="74" t="s">
        <v>797</v>
      </c>
      <c r="G729" s="25">
        <f t="shared" si="18"/>
        <v>-5.4263754126203656E-3</v>
      </c>
      <c r="I729" s="73">
        <v>263.29100803456942</v>
      </c>
      <c r="J729" s="73">
        <v>265.63625984327479</v>
      </c>
      <c r="K729" s="73">
        <v>261.67560637380143</v>
      </c>
      <c r="L729" s="73">
        <v>265.17888708390069</v>
      </c>
      <c r="M729" s="73">
        <v>913007.28222529287</v>
      </c>
      <c r="N729" s="73" t="s">
        <v>797</v>
      </c>
      <c r="O729" s="25">
        <f t="shared" si="19"/>
        <v>-7.1192660550459808E-3</v>
      </c>
    </row>
    <row r="730" spans="1:15">
      <c r="A730" s="74">
        <v>409.50937242110928</v>
      </c>
      <c r="B730" s="74">
        <v>410.68485680552584</v>
      </c>
      <c r="C730" s="74">
        <v>408.19674819184416</v>
      </c>
      <c r="D730" s="74">
        <v>408.72571616483162</v>
      </c>
      <c r="E730" s="74">
        <v>3452985.3852671185</v>
      </c>
      <c r="F730" s="74" t="s">
        <v>798</v>
      </c>
      <c r="G730" s="25">
        <f t="shared" si="18"/>
        <v>1.9173157579388533E-3</v>
      </c>
      <c r="I730" s="73">
        <v>262.01620310950557</v>
      </c>
      <c r="J730" s="73">
        <v>264.0208581825068</v>
      </c>
      <c r="K730" s="73">
        <v>261.15984560259238</v>
      </c>
      <c r="L730" s="73">
        <v>263.34939604640442</v>
      </c>
      <c r="M730" s="73">
        <v>1140014.1554419904</v>
      </c>
      <c r="N730" s="73" t="s">
        <v>798</v>
      </c>
      <c r="O730" s="25">
        <f t="shared" si="19"/>
        <v>-5.0624491907470537E-3</v>
      </c>
    </row>
    <row r="731" spans="1:15">
      <c r="A731" s="74">
        <v>409.10774858976697</v>
      </c>
      <c r="B731" s="74">
        <v>409.97692133501101</v>
      </c>
      <c r="C731" s="74">
        <v>408.70612475842466</v>
      </c>
      <c r="D731" s="74">
        <v>409.25468413781908</v>
      </c>
      <c r="E731" s="74">
        <v>3708311.6184173571</v>
      </c>
      <c r="F731" s="74" t="s">
        <v>799</v>
      </c>
      <c r="G731" s="25">
        <f t="shared" si="18"/>
        <v>-3.5903204959442103E-4</v>
      </c>
      <c r="I731" s="73">
        <v>263.77757479986099</v>
      </c>
      <c r="J731" s="73">
        <v>267.12515414506692</v>
      </c>
      <c r="K731" s="73">
        <v>263.07691865784113</v>
      </c>
      <c r="L731" s="73">
        <v>265.21781242512401</v>
      </c>
      <c r="M731" s="73">
        <v>1083800.9038369195</v>
      </c>
      <c r="N731" s="73" t="s">
        <v>799</v>
      </c>
      <c r="O731" s="25">
        <f t="shared" si="19"/>
        <v>-5.4303955382696278E-3</v>
      </c>
    </row>
    <row r="732" spans="1:15">
      <c r="A732" s="74">
        <v>409.82283492362035</v>
      </c>
      <c r="B732" s="74">
        <v>409.94038336206205</v>
      </c>
      <c r="C732" s="74">
        <v>409.3036626538364</v>
      </c>
      <c r="D732" s="74">
        <v>409.64651226595788</v>
      </c>
      <c r="E732" s="74">
        <v>1379453.7992139023</v>
      </c>
      <c r="F732" s="74" t="s">
        <v>800</v>
      </c>
      <c r="G732" s="25">
        <f t="shared" si="18"/>
        <v>4.304263612233683E-4</v>
      </c>
      <c r="I732" s="73">
        <v>265.66545384919226</v>
      </c>
      <c r="J732" s="73">
        <v>266.72616939752783</v>
      </c>
      <c r="K732" s="73">
        <v>264.72151432452659</v>
      </c>
      <c r="L732" s="73">
        <v>264.9842603777841</v>
      </c>
      <c r="M732" s="73">
        <v>324174.42219976411</v>
      </c>
      <c r="N732" s="73" t="s">
        <v>800</v>
      </c>
      <c r="O732" s="25">
        <f t="shared" si="19"/>
        <v>2.5706940874035134E-3</v>
      </c>
    </row>
    <row r="733" spans="1:15">
      <c r="A733" s="74">
        <v>409.59753374994051</v>
      </c>
      <c r="B733" s="74">
        <v>410.74363102474666</v>
      </c>
      <c r="C733" s="74">
        <v>408.53959780396565</v>
      </c>
      <c r="D733" s="74">
        <v>409.52896382751624</v>
      </c>
      <c r="E733" s="74">
        <v>3771106.4976846292</v>
      </c>
      <c r="F733" s="74" t="s">
        <v>801</v>
      </c>
      <c r="G733" s="25">
        <f t="shared" si="18"/>
        <v>1.6743607529834392E-4</v>
      </c>
      <c r="I733" s="73">
        <v>265.47082714307561</v>
      </c>
      <c r="J733" s="73">
        <v>267.45601954546515</v>
      </c>
      <c r="K733" s="73">
        <v>262.30814316868049</v>
      </c>
      <c r="L733" s="73">
        <v>262.7460532574429</v>
      </c>
      <c r="M733" s="73">
        <v>1062779.1227995919</v>
      </c>
      <c r="N733" s="73" t="s">
        <v>801</v>
      </c>
      <c r="O733" s="25">
        <f t="shared" si="19"/>
        <v>1.0370370370370363E-2</v>
      </c>
    </row>
    <row r="734" spans="1:15">
      <c r="A734" s="74">
        <v>407.83430717331572</v>
      </c>
      <c r="B734" s="74">
        <v>408.32409233348926</v>
      </c>
      <c r="C734" s="74">
        <v>406.81555404015472</v>
      </c>
      <c r="D734" s="74">
        <v>407.89308139253654</v>
      </c>
      <c r="E734" s="74">
        <v>5357641.9078727392</v>
      </c>
      <c r="F734" s="74" t="s">
        <v>802</v>
      </c>
      <c r="G734" s="25">
        <f t="shared" si="18"/>
        <v>-1.4409221902011993E-4</v>
      </c>
      <c r="I734" s="73">
        <v>262.15244180378716</v>
      </c>
      <c r="J734" s="73">
        <v>263.98679850893632</v>
      </c>
      <c r="K734" s="73">
        <v>262.02593444481136</v>
      </c>
      <c r="L734" s="73">
        <v>262.7460532574429</v>
      </c>
      <c r="M734" s="73">
        <v>1121074.3086267689</v>
      </c>
      <c r="N734" s="73" t="s">
        <v>802</v>
      </c>
      <c r="O734" s="25">
        <f t="shared" si="19"/>
        <v>-2.2592592592594052E-3</v>
      </c>
    </row>
    <row r="735" spans="1:15">
      <c r="A735" s="74">
        <v>408.90203882249409</v>
      </c>
      <c r="B735" s="74">
        <v>409.65630796916133</v>
      </c>
      <c r="C735" s="74">
        <v>405.52242326026453</v>
      </c>
      <c r="D735" s="74">
        <v>405.53231692050002</v>
      </c>
      <c r="E735" s="74">
        <v>3597916.2769561326</v>
      </c>
      <c r="F735" s="74" t="s">
        <v>803</v>
      </c>
      <c r="G735" s="25">
        <f t="shared" si="18"/>
        <v>8.3093794536099885E-3</v>
      </c>
      <c r="I735" s="73">
        <v>263.83596281169599</v>
      </c>
      <c r="J735" s="73">
        <v>265.45798178047198</v>
      </c>
      <c r="K735" s="73">
        <v>262.64387423673162</v>
      </c>
      <c r="L735" s="73">
        <v>263.6413361055794</v>
      </c>
      <c r="M735" s="73">
        <v>1327846.548690706</v>
      </c>
      <c r="N735" s="73" t="s">
        <v>803</v>
      </c>
      <c r="O735" s="25">
        <f t="shared" si="19"/>
        <v>7.3822530636347139E-4</v>
      </c>
    </row>
    <row r="736" spans="1:15">
      <c r="A736" s="74">
        <v>405.84577942301109</v>
      </c>
      <c r="B736" s="74">
        <v>406.31597317677773</v>
      </c>
      <c r="C736" s="74">
        <v>404.43519816171124</v>
      </c>
      <c r="D736" s="74">
        <v>405.48333840448265</v>
      </c>
      <c r="E736" s="74">
        <v>4798163.9524710281</v>
      </c>
      <c r="F736" s="74" t="s">
        <v>804</v>
      </c>
      <c r="G736" s="25">
        <f t="shared" ref="G736:G799" si="20">A736/D736-1</f>
        <v>8.9384935014735767E-4</v>
      </c>
      <c r="I736" s="73">
        <v>267.86473562831009</v>
      </c>
      <c r="J736" s="73">
        <v>268.09828767565006</v>
      </c>
      <c r="K736" s="73">
        <v>265.01491408399744</v>
      </c>
      <c r="L736" s="73">
        <v>267.61172091035849</v>
      </c>
      <c r="M736" s="73">
        <v>671157.6361043005</v>
      </c>
      <c r="N736" s="73" t="s">
        <v>804</v>
      </c>
      <c r="O736" s="25">
        <f t="shared" ref="O736:O799" si="21">I736/L736-1</f>
        <v>9.4545454545458263E-4</v>
      </c>
    </row>
    <row r="737" spans="1:15">
      <c r="A737" s="74">
        <v>405.24824152759936</v>
      </c>
      <c r="B737" s="74">
        <v>405.4931341076861</v>
      </c>
      <c r="C737" s="74">
        <v>403.33807940292252</v>
      </c>
      <c r="D737" s="74">
        <v>404.30785402006615</v>
      </c>
      <c r="E737" s="74">
        <v>3878117.7023144872</v>
      </c>
      <c r="F737" s="74" t="s">
        <v>805</v>
      </c>
      <c r="G737" s="25">
        <f t="shared" si="20"/>
        <v>2.3259194650384618E-3</v>
      </c>
      <c r="I737" s="73">
        <v>265.45136447246392</v>
      </c>
      <c r="J737" s="73">
        <v>269.96670405436964</v>
      </c>
      <c r="K737" s="73">
        <v>262.91148595764201</v>
      </c>
      <c r="L737" s="73">
        <v>263.95273883536595</v>
      </c>
      <c r="M737" s="73">
        <v>991398.3740976369</v>
      </c>
      <c r="N737" s="73" t="s">
        <v>805</v>
      </c>
      <c r="O737" s="25">
        <f t="shared" si="21"/>
        <v>5.6776286683377641E-3</v>
      </c>
    </row>
    <row r="738" spans="1:15">
      <c r="A738" s="74">
        <v>404.68009074179804</v>
      </c>
      <c r="B738" s="74">
        <v>406.24740325435346</v>
      </c>
      <c r="C738" s="74">
        <v>403.9454130015377</v>
      </c>
      <c r="D738" s="74">
        <v>405.09151027634385</v>
      </c>
      <c r="E738" s="74">
        <v>4506881.1378805526</v>
      </c>
      <c r="F738" s="74" t="s">
        <v>806</v>
      </c>
      <c r="G738" s="25">
        <f t="shared" si="20"/>
        <v>-1.0156212216473337E-3</v>
      </c>
      <c r="I738" s="73">
        <v>262.91148595764201</v>
      </c>
      <c r="J738" s="73">
        <v>266.48288601488207</v>
      </c>
      <c r="K738" s="73">
        <v>260.91656221994663</v>
      </c>
      <c r="L738" s="73">
        <v>261.73399438563644</v>
      </c>
      <c r="M738" s="73">
        <v>1069098.9132566268</v>
      </c>
      <c r="N738" s="73" t="s">
        <v>806</v>
      </c>
      <c r="O738" s="25">
        <f t="shared" si="21"/>
        <v>4.498810232004713E-3</v>
      </c>
    </row>
    <row r="739" spans="1:15">
      <c r="A739" s="74">
        <v>403.79847745348565</v>
      </c>
      <c r="B739" s="74">
        <v>405.06212316673339</v>
      </c>
      <c r="C739" s="74">
        <v>401.51176849766733</v>
      </c>
      <c r="D739" s="74">
        <v>401.66301415512896</v>
      </c>
      <c r="E739" s="74">
        <v>7118544.5854760921</v>
      </c>
      <c r="F739" s="74" t="s">
        <v>807</v>
      </c>
      <c r="G739" s="25">
        <f t="shared" si="20"/>
        <v>5.3165544824895772E-3</v>
      </c>
      <c r="I739" s="73">
        <v>260.36187610751426</v>
      </c>
      <c r="J739" s="73">
        <v>263.41751539354522</v>
      </c>
      <c r="K739" s="73">
        <v>259.01895183530957</v>
      </c>
      <c r="L739" s="73">
        <v>260.3132194309851</v>
      </c>
      <c r="M739" s="73">
        <v>1010522.1627814453</v>
      </c>
      <c r="N739" s="73" t="s">
        <v>807</v>
      </c>
      <c r="O739" s="25">
        <f t="shared" si="21"/>
        <v>1.8691588785046953E-4</v>
      </c>
    </row>
    <row r="740" spans="1:15">
      <c r="A740" s="74">
        <v>396.18721606438856</v>
      </c>
      <c r="B740" s="74">
        <v>397.20596919754962</v>
      </c>
      <c r="C740" s="74">
        <v>394.59051644222279</v>
      </c>
      <c r="D740" s="74">
        <v>395.34478558889003</v>
      </c>
      <c r="E740" s="74">
        <v>2932858.3566945717</v>
      </c>
      <c r="F740" s="74" t="s">
        <v>808</v>
      </c>
      <c r="G740" s="25">
        <f t="shared" si="20"/>
        <v>2.1308753933446667E-3</v>
      </c>
      <c r="I740" s="73">
        <v>254.33817955320472</v>
      </c>
      <c r="J740" s="73">
        <v>256.15793925539515</v>
      </c>
      <c r="K740" s="73">
        <v>250.53789848957149</v>
      </c>
      <c r="L740" s="73">
        <v>250.71812281943548</v>
      </c>
      <c r="M740" s="73">
        <v>1014979.9271721148</v>
      </c>
      <c r="N740" s="73" t="s">
        <v>808</v>
      </c>
      <c r="O740" s="25">
        <f t="shared" si="21"/>
        <v>1.4438751746623346E-2</v>
      </c>
    </row>
    <row r="741" spans="1:15">
      <c r="A741" s="74">
        <v>396.58883989573093</v>
      </c>
      <c r="B741" s="74">
        <v>396.83275290549733</v>
      </c>
      <c r="C741" s="74">
        <v>390.98569766334543</v>
      </c>
      <c r="D741" s="74">
        <v>392.40607462784874</v>
      </c>
      <c r="E741" s="74">
        <v>4077746.0454136403</v>
      </c>
      <c r="F741" s="74" t="s">
        <v>809</v>
      </c>
      <c r="G741" s="25">
        <f t="shared" si="20"/>
        <v>1.065927756559093E-2</v>
      </c>
      <c r="I741" s="73">
        <v>251.48689830859618</v>
      </c>
      <c r="J741" s="73">
        <v>252.30919614193888</v>
      </c>
      <c r="K741" s="73">
        <v>247.25376745055959</v>
      </c>
      <c r="L741" s="73">
        <v>250.04666068333313</v>
      </c>
      <c r="M741" s="73">
        <v>1156626.4696742552</v>
      </c>
      <c r="N741" s="73" t="s">
        <v>809</v>
      </c>
      <c r="O741" s="25">
        <f t="shared" si="21"/>
        <v>5.7598754621523973E-3</v>
      </c>
    </row>
    <row r="742" spans="1:15">
      <c r="A742" s="74">
        <v>390.49591250317189</v>
      </c>
      <c r="B742" s="74">
        <v>394.64929066144362</v>
      </c>
      <c r="C742" s="74">
        <v>390.07469726542263</v>
      </c>
      <c r="D742" s="74">
        <v>394.58072073901934</v>
      </c>
      <c r="E742" s="74">
        <v>4232074.935193019</v>
      </c>
      <c r="F742" s="74" t="s">
        <v>810</v>
      </c>
      <c r="G742" s="25">
        <f t="shared" si="20"/>
        <v>-1.0352275266254596E-2</v>
      </c>
      <c r="I742" s="73">
        <v>248.98594513499748</v>
      </c>
      <c r="J742" s="73">
        <v>251.22295471557328</v>
      </c>
      <c r="K742" s="73">
        <v>247.27187285897188</v>
      </c>
      <c r="L742" s="73">
        <v>250.87432984587315</v>
      </c>
      <c r="M742" s="73">
        <v>1033766.524774899</v>
      </c>
      <c r="N742" s="73" t="s">
        <v>810</v>
      </c>
      <c r="O742" s="25">
        <f t="shared" si="21"/>
        <v>-7.527213772871133E-3</v>
      </c>
    </row>
    <row r="743" spans="1:15">
      <c r="A743" s="74">
        <v>393.46401057382366</v>
      </c>
      <c r="B743" s="74">
        <v>394.27960082254458</v>
      </c>
      <c r="C743" s="74">
        <v>391.39711719789125</v>
      </c>
      <c r="D743" s="74">
        <v>393.77747307633473</v>
      </c>
      <c r="E743" s="74">
        <v>3809688.7201294741</v>
      </c>
      <c r="F743" s="74" t="s">
        <v>811</v>
      </c>
      <c r="G743" s="25">
        <f t="shared" si="20"/>
        <v>-7.9603970248010025E-4</v>
      </c>
      <c r="I743" s="73">
        <v>248.99562915915581</v>
      </c>
      <c r="J743" s="73">
        <v>253.60522465852412</v>
      </c>
      <c r="K743" s="73">
        <v>247.73670601857202</v>
      </c>
      <c r="L743" s="73">
        <v>249.81877121261445</v>
      </c>
      <c r="M743" s="73">
        <v>1093652.7859528763</v>
      </c>
      <c r="N743" s="73" t="s">
        <v>811</v>
      </c>
      <c r="O743" s="25">
        <f t="shared" si="21"/>
        <v>-3.2949567779199107E-3</v>
      </c>
    </row>
    <row r="744" spans="1:15">
      <c r="A744" s="74">
        <v>393.14075236810908</v>
      </c>
      <c r="B744" s="74">
        <v>393.8264515923521</v>
      </c>
      <c r="C744" s="74">
        <v>391.07385899217672</v>
      </c>
      <c r="D744" s="74">
        <v>392.08281642213421</v>
      </c>
      <c r="E744" s="74">
        <v>3428623.6835043048</v>
      </c>
      <c r="F744" s="74" t="s">
        <v>812</v>
      </c>
      <c r="G744" s="25">
        <f t="shared" si="20"/>
        <v>2.6982461400089086E-3</v>
      </c>
      <c r="I744" s="73">
        <v>248.89878891757243</v>
      </c>
      <c r="J744" s="73">
        <v>251.84273226170683</v>
      </c>
      <c r="K744" s="73">
        <v>248.16280308153884</v>
      </c>
      <c r="L744" s="73">
        <v>249.48951439123098</v>
      </c>
      <c r="M744" s="73">
        <v>1428311.1828146831</v>
      </c>
      <c r="N744" s="73" t="s">
        <v>812</v>
      </c>
      <c r="O744" s="25">
        <f t="shared" si="21"/>
        <v>-2.3677366766292618E-3</v>
      </c>
    </row>
    <row r="745" spans="1:15">
      <c r="A745" s="74">
        <v>392.03383790611684</v>
      </c>
      <c r="B745" s="74">
        <v>392.54615318365842</v>
      </c>
      <c r="C745" s="74">
        <v>390.31958984550937</v>
      </c>
      <c r="D745" s="74">
        <v>391.94567657728561</v>
      </c>
      <c r="E745" s="74">
        <v>4090676.2044200012</v>
      </c>
      <c r="F745" s="74" t="s">
        <v>813</v>
      </c>
      <c r="G745" s="25">
        <f t="shared" si="20"/>
        <v>2.2493252024391452E-4</v>
      </c>
      <c r="I745" s="73">
        <v>250.33202449300629</v>
      </c>
      <c r="J745" s="73">
        <v>255.95844252899997</v>
      </c>
      <c r="K745" s="73">
        <v>248.40490368549726</v>
      </c>
      <c r="L745" s="73">
        <v>255.36771705534142</v>
      </c>
      <c r="M745" s="73">
        <v>1234804.8501826257</v>
      </c>
      <c r="N745" s="73" t="s">
        <v>813</v>
      </c>
      <c r="O745" s="25">
        <f t="shared" si="21"/>
        <v>-1.9719378081152761E-2</v>
      </c>
    </row>
    <row r="746" spans="1:15">
      <c r="A746" s="74">
        <v>391.27956875944955</v>
      </c>
      <c r="B746" s="74">
        <v>392.66076291113905</v>
      </c>
      <c r="C746" s="74">
        <v>389.71225624689419</v>
      </c>
      <c r="D746" s="74">
        <v>389.79062187252197</v>
      </c>
      <c r="E746" s="74">
        <v>6106182.3492982965</v>
      </c>
      <c r="F746" s="74" t="s">
        <v>814</v>
      </c>
      <c r="G746" s="25">
        <f t="shared" si="20"/>
        <v>3.8198632891033313E-3</v>
      </c>
      <c r="I746" s="73">
        <v>255.36771705534142</v>
      </c>
      <c r="J746" s="73">
        <v>257.05273725889202</v>
      </c>
      <c r="K746" s="73">
        <v>251.53284348864005</v>
      </c>
      <c r="L746" s="73">
        <v>253.57617258604913</v>
      </c>
      <c r="M746" s="73">
        <v>1508491.6932413892</v>
      </c>
      <c r="N746" s="73" t="s">
        <v>814</v>
      </c>
      <c r="O746" s="25">
        <f t="shared" si="21"/>
        <v>7.0651136146648863E-3</v>
      </c>
    </row>
    <row r="747" spans="1:15">
      <c r="A747" s="74">
        <v>387.69434138697915</v>
      </c>
      <c r="B747" s="74">
        <v>387.82129370049614</v>
      </c>
      <c r="C747" s="74">
        <v>383.91319995043932</v>
      </c>
      <c r="D747" s="74">
        <v>383.92299565364277</v>
      </c>
      <c r="E747" s="74">
        <v>4851273.9731804803</v>
      </c>
      <c r="F747" s="74" t="s">
        <v>815</v>
      </c>
      <c r="G747" s="25">
        <f t="shared" si="20"/>
        <v>9.8231827111985304E-3</v>
      </c>
      <c r="I747" s="73">
        <v>250.42886473458967</v>
      </c>
      <c r="J747" s="73">
        <v>253.18881161971564</v>
      </c>
      <c r="K747" s="73">
        <v>244.22140524909577</v>
      </c>
      <c r="L747" s="73">
        <v>247.5236574870886</v>
      </c>
      <c r="M747" s="73">
        <v>2322484.9124976527</v>
      </c>
      <c r="N747" s="73" t="s">
        <v>815</v>
      </c>
      <c r="O747" s="25">
        <f t="shared" si="21"/>
        <v>1.1737089201877993E-2</v>
      </c>
    </row>
    <row r="748" spans="1:15">
      <c r="A748" s="74">
        <v>380.46511242281747</v>
      </c>
      <c r="B748" s="74">
        <v>381.13122024065348</v>
      </c>
      <c r="C748" s="74">
        <v>376.76233661190543</v>
      </c>
      <c r="D748" s="74">
        <v>377.2227346624685</v>
      </c>
      <c r="E748" s="74">
        <v>5664890.9064881224</v>
      </c>
      <c r="F748" s="74" t="s">
        <v>816</v>
      </c>
      <c r="G748" s="25">
        <f t="shared" si="20"/>
        <v>8.5953932846867254E-3</v>
      </c>
      <c r="I748" s="73">
        <v>258.54407697927593</v>
      </c>
      <c r="J748" s="73">
        <v>258.70870538996758</v>
      </c>
      <c r="K748" s="73">
        <v>249.83813926093111</v>
      </c>
      <c r="L748" s="73">
        <v>255.86160228741659</v>
      </c>
      <c r="M748" s="73">
        <v>1424093.9277425918</v>
      </c>
      <c r="N748" s="73" t="s">
        <v>816</v>
      </c>
      <c r="O748" s="25">
        <f t="shared" si="21"/>
        <v>1.0484084629650781E-2</v>
      </c>
    </row>
    <row r="749" spans="1:15">
      <c r="A749" s="74">
        <v>376.3215299677492</v>
      </c>
      <c r="B749" s="74">
        <v>376.62519676705682</v>
      </c>
      <c r="C749" s="74">
        <v>372.78528111129611</v>
      </c>
      <c r="D749" s="74">
        <v>374.53871198471751</v>
      </c>
      <c r="E749" s="74">
        <v>4617493.921617819</v>
      </c>
      <c r="F749" s="74" t="s">
        <v>817</v>
      </c>
      <c r="G749" s="25">
        <f t="shared" si="20"/>
        <v>4.7600366156661522E-3</v>
      </c>
      <c r="I749" s="73">
        <v>254.50583890524945</v>
      </c>
      <c r="J749" s="73">
        <v>256.72348043750861</v>
      </c>
      <c r="K749" s="73">
        <v>253.35344003040737</v>
      </c>
      <c r="L749" s="73">
        <v>254.3896306153494</v>
      </c>
      <c r="M749" s="73">
        <v>839222.40043190832</v>
      </c>
      <c r="N749" s="73" t="s">
        <v>817</v>
      </c>
      <c r="O749" s="25">
        <f t="shared" si="21"/>
        <v>4.568122121131335E-4</v>
      </c>
    </row>
    <row r="750" spans="1:15">
      <c r="A750" s="74">
        <v>374.05872252774742</v>
      </c>
      <c r="B750" s="74">
        <v>374.97951862887368</v>
      </c>
      <c r="C750" s="74">
        <v>370.97307601865396</v>
      </c>
      <c r="D750" s="74">
        <v>372.14856040307052</v>
      </c>
      <c r="E750" s="74">
        <v>5916635.9776460733</v>
      </c>
      <c r="F750" s="74" t="s">
        <v>818</v>
      </c>
      <c r="G750" s="25">
        <f t="shared" si="20"/>
        <v>5.1327946092496468E-3</v>
      </c>
      <c r="I750" s="73">
        <v>255.13530047554133</v>
      </c>
      <c r="J750" s="73">
        <v>256.55885202681685</v>
      </c>
      <c r="K750" s="73">
        <v>252.77239858090715</v>
      </c>
      <c r="L750" s="73">
        <v>256.55885202681685</v>
      </c>
      <c r="M750" s="73">
        <v>794652.08617588424</v>
      </c>
      <c r="N750" s="73" t="s">
        <v>818</v>
      </c>
      <c r="O750" s="25">
        <f t="shared" si="21"/>
        <v>-5.5486354886197242E-3</v>
      </c>
    </row>
    <row r="751" spans="1:15">
      <c r="A751" s="74">
        <v>369.61147327337147</v>
      </c>
      <c r="B751" s="74">
        <v>373.1085393170107</v>
      </c>
      <c r="C751" s="74">
        <v>368.2645640828942</v>
      </c>
      <c r="D751" s="74">
        <v>372.7558940016857</v>
      </c>
      <c r="E751" s="74">
        <v>5756352.4362415485</v>
      </c>
      <c r="F751" s="74" t="s">
        <v>819</v>
      </c>
      <c r="G751" s="25">
        <f t="shared" si="20"/>
        <v>-8.4356029747982841E-3</v>
      </c>
      <c r="I751" s="73">
        <v>253.72143294842417</v>
      </c>
      <c r="J751" s="73">
        <v>255.81318216662496</v>
      </c>
      <c r="K751" s="73">
        <v>252.37535359041536</v>
      </c>
      <c r="L751" s="73">
        <v>255.7841300941499</v>
      </c>
      <c r="M751" s="73">
        <v>732230.72186323896</v>
      </c>
      <c r="N751" s="73" t="s">
        <v>819</v>
      </c>
      <c r="O751" s="25">
        <f t="shared" si="21"/>
        <v>-8.064210805285299E-3</v>
      </c>
    </row>
    <row r="752" spans="1:15">
      <c r="A752" s="74">
        <v>371.25715141155467</v>
      </c>
      <c r="B752" s="74">
        <v>375.56442006715292</v>
      </c>
      <c r="C752" s="74">
        <v>370.42451663925959</v>
      </c>
      <c r="D752" s="74">
        <v>374.81299167441466</v>
      </c>
      <c r="E752" s="74">
        <v>7104544.5696373712</v>
      </c>
      <c r="F752" s="74" t="s">
        <v>820</v>
      </c>
      <c r="G752" s="25">
        <f t="shared" si="20"/>
        <v>-9.4869717481639304E-3</v>
      </c>
      <c r="I752" s="73">
        <v>254.30247439792439</v>
      </c>
      <c r="J752" s="73">
        <v>259.58026756421793</v>
      </c>
      <c r="K752" s="73">
        <v>254.22500220465767</v>
      </c>
      <c r="L752" s="73">
        <v>256.50074788186686</v>
      </c>
      <c r="M752" s="73">
        <v>783441.87044066819</v>
      </c>
      <c r="N752" s="73" t="s">
        <v>820</v>
      </c>
      <c r="O752" s="25">
        <f t="shared" si="21"/>
        <v>-8.570242005512263E-3</v>
      </c>
    </row>
    <row r="753" spans="1:15">
      <c r="A753" s="74">
        <v>375.87092762038952</v>
      </c>
      <c r="B753" s="74">
        <v>379.75982179216754</v>
      </c>
      <c r="C753" s="74">
        <v>375.29298113138475</v>
      </c>
      <c r="D753" s="74">
        <v>379.68145616653982</v>
      </c>
      <c r="E753" s="74">
        <v>5585320.3045813804</v>
      </c>
      <c r="F753" s="74" t="s">
        <v>821</v>
      </c>
      <c r="G753" s="25">
        <f t="shared" si="20"/>
        <v>-1.0036119711042457E-2</v>
      </c>
      <c r="I753" s="73">
        <v>254.99972413732462</v>
      </c>
      <c r="J753" s="73">
        <v>258.08718471948555</v>
      </c>
      <c r="K753" s="73">
        <v>252.91765894328222</v>
      </c>
      <c r="L753" s="73">
        <v>256.62664019592523</v>
      </c>
      <c r="M753" s="73">
        <v>667911.38624243892</v>
      </c>
      <c r="N753" s="73" t="s">
        <v>821</v>
      </c>
      <c r="O753" s="25">
        <f t="shared" si="21"/>
        <v>-6.3396226415095569E-3</v>
      </c>
    </row>
    <row r="754" spans="1:15">
      <c r="A754" s="74">
        <v>381.24876867909518</v>
      </c>
      <c r="B754" s="74">
        <v>382.28711321866308</v>
      </c>
      <c r="C754" s="74">
        <v>378.65290733017537</v>
      </c>
      <c r="D754" s="74">
        <v>380.34756398437582</v>
      </c>
      <c r="E754" s="74">
        <v>4544352.6692627948</v>
      </c>
      <c r="F754" s="74" t="s">
        <v>822</v>
      </c>
      <c r="G754" s="25">
        <f t="shared" si="20"/>
        <v>2.3694241269187621E-3</v>
      </c>
      <c r="I754" s="73">
        <v>257.4594662735422</v>
      </c>
      <c r="J754" s="73">
        <v>261.8269611689521</v>
      </c>
      <c r="K754" s="73">
        <v>255.77444606999157</v>
      </c>
      <c r="L754" s="73">
        <v>261.0038191154934</v>
      </c>
      <c r="M754" s="73">
        <v>539006.29683027091</v>
      </c>
      <c r="N754" s="73" t="s">
        <v>822</v>
      </c>
      <c r="O754" s="25">
        <f t="shared" si="21"/>
        <v>-1.357969723953667E-2</v>
      </c>
    </row>
    <row r="755" spans="1:15">
      <c r="A755" s="74">
        <v>378.41781045329202</v>
      </c>
      <c r="B755" s="74">
        <v>381.97365071615201</v>
      </c>
      <c r="C755" s="74">
        <v>376.00806746523813</v>
      </c>
      <c r="D755" s="74">
        <v>377.60476708740396</v>
      </c>
      <c r="E755" s="74">
        <v>5652612.0534541337</v>
      </c>
      <c r="F755" s="74" t="s">
        <v>823</v>
      </c>
      <c r="G755" s="25">
        <f t="shared" si="20"/>
        <v>2.1531596970010281E-3</v>
      </c>
      <c r="I755" s="73">
        <v>258.41818466521755</v>
      </c>
      <c r="J755" s="73">
        <v>261.11518539331433</v>
      </c>
      <c r="K755" s="73">
        <v>256.71379641335022</v>
      </c>
      <c r="L755" s="73">
        <v>258.3891325927425</v>
      </c>
      <c r="M755" s="73">
        <v>759404.34263260255</v>
      </c>
      <c r="N755" s="73" t="s">
        <v>823</v>
      </c>
      <c r="O755" s="25">
        <f t="shared" si="21"/>
        <v>1.1243534967420032E-4</v>
      </c>
    </row>
    <row r="756" spans="1:15">
      <c r="A756" s="74">
        <v>379.08391827112808</v>
      </c>
      <c r="B756" s="74">
        <v>383.81524291840458</v>
      </c>
      <c r="C756" s="74">
        <v>378.93698272307597</v>
      </c>
      <c r="D756" s="74">
        <v>383.38423197745186</v>
      </c>
      <c r="E756" s="74">
        <v>7707066.9079937013</v>
      </c>
      <c r="F756" s="74" t="s">
        <v>824</v>
      </c>
      <c r="G756" s="25">
        <f t="shared" si="20"/>
        <v>-1.1216720322959728E-2</v>
      </c>
      <c r="I756" s="73">
        <v>257.65314675670891</v>
      </c>
      <c r="J756" s="73">
        <v>263.50713936042354</v>
      </c>
      <c r="K756" s="73">
        <v>256.83484671532943</v>
      </c>
      <c r="L756" s="73">
        <v>262.75662748815239</v>
      </c>
      <c r="M756" s="73">
        <v>1156939.4930055835</v>
      </c>
      <c r="N756" s="73" t="s">
        <v>824</v>
      </c>
      <c r="O756" s="25">
        <f t="shared" si="21"/>
        <v>-1.9422843032469661E-2</v>
      </c>
    </row>
    <row r="757" spans="1:15">
      <c r="A757" s="74">
        <v>383.86422143442195</v>
      </c>
      <c r="B757" s="74">
        <v>389.4771593700109</v>
      </c>
      <c r="C757" s="74">
        <v>383.14423724896682</v>
      </c>
      <c r="D757" s="74">
        <v>387.88045974784512</v>
      </c>
      <c r="E757" s="74">
        <v>6848822.2444537785</v>
      </c>
      <c r="F757" s="74" t="s">
        <v>825</v>
      </c>
      <c r="G757" s="25">
        <f t="shared" si="20"/>
        <v>-1.0354319771699982E-2</v>
      </c>
      <c r="I757" s="73">
        <v>262.94062394716076</v>
      </c>
      <c r="J757" s="73">
        <v>269.13839940849635</v>
      </c>
      <c r="K757" s="73">
        <v>261.50738837172696</v>
      </c>
      <c r="L757" s="73">
        <v>267.92789638870426</v>
      </c>
      <c r="M757" s="73">
        <v>1002684.4048753039</v>
      </c>
      <c r="N757" s="73" t="s">
        <v>825</v>
      </c>
      <c r="O757" s="25">
        <f t="shared" si="21"/>
        <v>-1.8614233563451155E-2</v>
      </c>
    </row>
    <row r="758" spans="1:15">
      <c r="A758" s="74">
        <v>387.14578200758478</v>
      </c>
      <c r="B758" s="74">
        <v>391.64200977797799</v>
      </c>
      <c r="C758" s="74">
        <v>386.16621168723771</v>
      </c>
      <c r="D758" s="74">
        <v>390.74080508325864</v>
      </c>
      <c r="E758" s="74">
        <v>7482118.2795767868</v>
      </c>
      <c r="F758" s="74" t="s">
        <v>826</v>
      </c>
      <c r="G758" s="25">
        <f t="shared" si="20"/>
        <v>-9.2005314748425659E-3</v>
      </c>
      <c r="I758" s="73">
        <v>266.8626537312872</v>
      </c>
      <c r="J758" s="73">
        <v>276.28520923734891</v>
      </c>
      <c r="K758" s="73">
        <v>266.8336016588122</v>
      </c>
      <c r="L758" s="73">
        <v>275.02628609676515</v>
      </c>
      <c r="M758" s="73">
        <v>1525145.9267875911</v>
      </c>
      <c r="N758" s="73" t="s">
        <v>826</v>
      </c>
      <c r="O758" s="25">
        <f t="shared" si="21"/>
        <v>-2.9683098591549384E-2</v>
      </c>
    </row>
    <row r="759" spans="1:15">
      <c r="A759" s="74">
        <v>392.39627892464529</v>
      </c>
      <c r="B759" s="74">
        <v>394.27705393971172</v>
      </c>
      <c r="C759" s="74">
        <v>389.19063505130936</v>
      </c>
      <c r="D759" s="74">
        <v>389.50654647962131</v>
      </c>
      <c r="E759" s="74">
        <v>4302507.8572271941</v>
      </c>
      <c r="F759" s="74" t="s">
        <v>827</v>
      </c>
      <c r="G759" s="25">
        <f t="shared" si="20"/>
        <v>7.4189573221337124E-3</v>
      </c>
      <c r="I759" s="73">
        <v>281.36932192047573</v>
      </c>
      <c r="J759" s="73">
        <v>286.04186357687325</v>
      </c>
      <c r="K759" s="73">
        <v>279.17104843653323</v>
      </c>
      <c r="L759" s="73">
        <v>280.60428401196714</v>
      </c>
      <c r="M759" s="73">
        <v>658910.99564294156</v>
      </c>
      <c r="N759" s="73" t="s">
        <v>827</v>
      </c>
      <c r="O759" s="25">
        <f t="shared" si="21"/>
        <v>2.7263942573163558E-3</v>
      </c>
    </row>
    <row r="760" spans="1:15">
      <c r="A760" s="74">
        <v>392.38648322144178</v>
      </c>
      <c r="B760" s="74">
        <v>393.39544065139933</v>
      </c>
      <c r="C760" s="74">
        <v>390.20204140706772</v>
      </c>
      <c r="D760" s="74">
        <v>390.42734258074756</v>
      </c>
      <c r="E760" s="74">
        <v>5258367.7690181229</v>
      </c>
      <c r="F760" s="74" t="s">
        <v>828</v>
      </c>
      <c r="G760" s="25">
        <f t="shared" si="20"/>
        <v>5.0179391323983413E-3</v>
      </c>
      <c r="I760" s="73">
        <v>282.56045689195111</v>
      </c>
      <c r="J760" s="73">
        <v>284.57473391688524</v>
      </c>
      <c r="K760" s="73">
        <v>279.72303781355851</v>
      </c>
      <c r="L760" s="73">
        <v>282.68634920600954</v>
      </c>
      <c r="M760" s="73">
        <v>532695.90365065541</v>
      </c>
      <c r="N760" s="73" t="s">
        <v>828</v>
      </c>
      <c r="O760" s="25">
        <f t="shared" si="21"/>
        <v>-4.4534274262630902E-4</v>
      </c>
    </row>
    <row r="761" spans="1:15">
      <c r="A761" s="74">
        <v>388.32126639200129</v>
      </c>
      <c r="B761" s="74">
        <v>392.76851564637718</v>
      </c>
      <c r="C761" s="74">
        <v>386.89109372429448</v>
      </c>
      <c r="D761" s="74">
        <v>391.64200977797799</v>
      </c>
      <c r="E761" s="74">
        <v>3850891.479300146</v>
      </c>
      <c r="F761" s="74" t="s">
        <v>829</v>
      </c>
      <c r="G761" s="25">
        <f t="shared" si="20"/>
        <v>-8.4790275380806079E-3</v>
      </c>
      <c r="I761" s="73">
        <v>279.20978453316661</v>
      </c>
      <c r="J761" s="73">
        <v>291.39228692435432</v>
      </c>
      <c r="K761" s="73">
        <v>275.73321986032374</v>
      </c>
      <c r="L761" s="73">
        <v>289.07780515051184</v>
      </c>
      <c r="M761" s="73">
        <v>1326216.22891591</v>
      </c>
      <c r="N761" s="73" t="s">
        <v>829</v>
      </c>
      <c r="O761" s="25">
        <f t="shared" si="21"/>
        <v>-3.4136209842216436E-2</v>
      </c>
    </row>
    <row r="762" spans="1:15">
      <c r="A762" s="74">
        <v>390.37836406473019</v>
      </c>
      <c r="B762" s="74">
        <v>393.59135471546875</v>
      </c>
      <c r="C762" s="74">
        <v>388.1057609215249</v>
      </c>
      <c r="D762" s="74">
        <v>393.27789221295768</v>
      </c>
      <c r="E762" s="74">
        <v>3953701.8624937828</v>
      </c>
      <c r="F762" s="74" t="s">
        <v>830</v>
      </c>
      <c r="G762" s="25">
        <f t="shared" si="20"/>
        <v>-7.3727209325497034E-3</v>
      </c>
      <c r="I762" s="73">
        <v>290.54977682257902</v>
      </c>
      <c r="J762" s="73">
        <v>293.54214028750511</v>
      </c>
      <c r="K762" s="73">
        <v>287.43152104359456</v>
      </c>
      <c r="L762" s="73">
        <v>291.34386680356266</v>
      </c>
      <c r="M762" s="73">
        <v>770754.99585307925</v>
      </c>
      <c r="N762" s="73" t="s">
        <v>830</v>
      </c>
      <c r="O762" s="25">
        <f t="shared" si="21"/>
        <v>-2.7256107694865195E-3</v>
      </c>
    </row>
    <row r="763" spans="1:15">
      <c r="A763" s="74">
        <v>392.73912853676677</v>
      </c>
      <c r="B763" s="74">
        <v>392.89585978802228</v>
      </c>
      <c r="C763" s="74">
        <v>389.8591917949463</v>
      </c>
      <c r="D763" s="74">
        <v>392.09261212533767</v>
      </c>
      <c r="E763" s="74">
        <v>4268998.2670342531</v>
      </c>
      <c r="F763" s="74" t="s">
        <v>831</v>
      </c>
      <c r="G763" s="25">
        <f t="shared" si="20"/>
        <v>1.6488870012740797E-3</v>
      </c>
      <c r="I763" s="73">
        <v>290.44325255683731</v>
      </c>
      <c r="J763" s="73">
        <v>290.78219340237911</v>
      </c>
      <c r="K763" s="73">
        <v>282.98655395491801</v>
      </c>
      <c r="L763" s="73">
        <v>282.98655395491801</v>
      </c>
      <c r="M763" s="73">
        <v>702800.80767259235</v>
      </c>
      <c r="N763" s="73" t="s">
        <v>831</v>
      </c>
      <c r="O763" s="25">
        <f t="shared" si="21"/>
        <v>2.6350010266237733E-2</v>
      </c>
    </row>
    <row r="764" spans="1:15">
      <c r="A764" s="74">
        <v>391.08365469538018</v>
      </c>
      <c r="B764" s="74">
        <v>393.47380627702711</v>
      </c>
      <c r="C764" s="74">
        <v>389.26900067693714</v>
      </c>
      <c r="D764" s="74">
        <v>389.64368632446991</v>
      </c>
      <c r="E764" s="74">
        <v>3358247.9293924696</v>
      </c>
      <c r="F764" s="74" t="s">
        <v>832</v>
      </c>
      <c r="G764" s="25">
        <f t="shared" si="20"/>
        <v>3.6956029866506146E-3</v>
      </c>
      <c r="I764" s="73">
        <v>282.48298469868445</v>
      </c>
      <c r="J764" s="73">
        <v>286.55995886934426</v>
      </c>
      <c r="K764" s="73">
        <v>280.94322485750894</v>
      </c>
      <c r="L764" s="73">
        <v>281.91162727334262</v>
      </c>
      <c r="M764" s="73">
        <v>539276.84551511123</v>
      </c>
      <c r="N764" s="73" t="s">
        <v>832</v>
      </c>
      <c r="O764" s="25">
        <f t="shared" si="21"/>
        <v>2.0267252928445334E-3</v>
      </c>
    </row>
    <row r="765" spans="1:15">
      <c r="A765" s="74">
        <v>389.07553553866859</v>
      </c>
      <c r="B765" s="74">
        <v>389.56532069884213</v>
      </c>
      <c r="C765" s="74">
        <v>384.29523237537467</v>
      </c>
      <c r="D765" s="74">
        <v>384.77522183234476</v>
      </c>
      <c r="E765" s="74">
        <v>3021224.6517955987</v>
      </c>
      <c r="F765" s="74" t="s">
        <v>833</v>
      </c>
      <c r="G765" s="25">
        <f t="shared" si="20"/>
        <v>1.1176171079429809E-2</v>
      </c>
      <c r="I765" s="73">
        <v>281.29184972720907</v>
      </c>
      <c r="J765" s="73">
        <v>282.35709238462607</v>
      </c>
      <c r="K765" s="73">
        <v>276.54667788962399</v>
      </c>
      <c r="L765" s="73">
        <v>279.2485206298</v>
      </c>
      <c r="M765" s="73">
        <v>452207.66991065745</v>
      </c>
      <c r="N765" s="73" t="s">
        <v>833</v>
      </c>
      <c r="O765" s="25">
        <f t="shared" si="21"/>
        <v>7.3172423359688654E-3</v>
      </c>
    </row>
    <row r="766" spans="1:15">
      <c r="A766" s="74">
        <v>386.49926559615568</v>
      </c>
      <c r="B766" s="74">
        <v>387.99311033468501</v>
      </c>
      <c r="C766" s="74">
        <v>378.51615931345486</v>
      </c>
      <c r="D766" s="74">
        <v>379.76961749537105</v>
      </c>
      <c r="E766" s="74">
        <v>4999354.2048769658</v>
      </c>
      <c r="F766" s="74" t="s">
        <v>834</v>
      </c>
      <c r="G766" s="25">
        <f t="shared" si="20"/>
        <v>1.7720343573473629E-2</v>
      </c>
      <c r="I766" s="73">
        <v>281.13690534067564</v>
      </c>
      <c r="J766" s="73">
        <v>283.71285576679327</v>
      </c>
      <c r="K766" s="73">
        <v>273.23474162747277</v>
      </c>
      <c r="L766" s="73">
        <v>275.56859144963198</v>
      </c>
      <c r="M766" s="73">
        <v>573327.77254797332</v>
      </c>
      <c r="N766" s="73" t="s">
        <v>834</v>
      </c>
      <c r="O766" s="25">
        <f t="shared" si="21"/>
        <v>2.0206634804610601E-2</v>
      </c>
    </row>
    <row r="767" spans="1:15">
      <c r="A767" s="74">
        <v>381.94426360654165</v>
      </c>
      <c r="B767" s="74">
        <v>382.80520796109471</v>
      </c>
      <c r="C767" s="74">
        <v>379.04473545831416</v>
      </c>
      <c r="D767" s="74">
        <v>381.92467220013464</v>
      </c>
      <c r="E767" s="74">
        <v>3398521.7098251195</v>
      </c>
      <c r="F767" s="74" t="s">
        <v>835</v>
      </c>
      <c r="G767" s="25">
        <f t="shared" si="20"/>
        <v>5.1296519531396356E-5</v>
      </c>
      <c r="I767" s="73">
        <v>277.11803531496588</v>
      </c>
      <c r="J767" s="73">
        <v>280.83670059176723</v>
      </c>
      <c r="K767" s="73">
        <v>273.17663748252278</v>
      </c>
      <c r="L767" s="73">
        <v>278.08643773079956</v>
      </c>
      <c r="M767" s="73">
        <v>846161.66440949228</v>
      </c>
      <c r="N767" s="73" t="s">
        <v>835</v>
      </c>
      <c r="O767" s="25">
        <f t="shared" si="21"/>
        <v>-3.4823791614431165E-3</v>
      </c>
    </row>
    <row r="768" spans="1:15">
      <c r="A768" s="74">
        <v>382.26752181225618</v>
      </c>
      <c r="B768" s="74">
        <v>382.86505970766791</v>
      </c>
      <c r="C768" s="74">
        <v>378.50597178212325</v>
      </c>
      <c r="D768" s="74">
        <v>379.80880030818491</v>
      </c>
      <c r="E768" s="74">
        <v>4424123.4243033649</v>
      </c>
      <c r="F768" s="74" t="s">
        <v>836</v>
      </c>
      <c r="G768" s="25">
        <f t="shared" si="20"/>
        <v>6.4735769736672388E-3</v>
      </c>
      <c r="I768" s="73">
        <v>279.67461769276679</v>
      </c>
      <c r="J768" s="73">
        <v>280.69047182697631</v>
      </c>
      <c r="K768" s="73">
        <v>273.85451917360638</v>
      </c>
      <c r="L768" s="73">
        <v>275.52985535299865</v>
      </c>
      <c r="M768" s="73">
        <v>872315.04815358017</v>
      </c>
      <c r="N768" s="73" t="s">
        <v>836</v>
      </c>
      <c r="O768" s="25">
        <f t="shared" si="21"/>
        <v>1.5042879235203088E-2</v>
      </c>
    </row>
    <row r="769" spans="1:15">
      <c r="A769" s="74">
        <v>379.47574639926688</v>
      </c>
      <c r="B769" s="74">
        <v>383.92299565364277</v>
      </c>
      <c r="C769" s="74">
        <v>378.14353076359481</v>
      </c>
      <c r="D769" s="74">
        <v>382.60057572117415</v>
      </c>
      <c r="E769" s="74">
        <v>7030289.5636524763</v>
      </c>
      <c r="F769" s="74" t="s">
        <v>837</v>
      </c>
      <c r="G769" s="25">
        <f t="shared" si="20"/>
        <v>-8.167340877669127E-3</v>
      </c>
      <c r="I769" s="73">
        <v>275.33617486983189</v>
      </c>
      <c r="J769" s="73">
        <v>276.52730984130733</v>
      </c>
      <c r="K769" s="73">
        <v>272.80864456450598</v>
      </c>
      <c r="L769" s="73">
        <v>273.76736295618133</v>
      </c>
      <c r="M769" s="73">
        <v>875261.13745834911</v>
      </c>
      <c r="N769" s="73" t="s">
        <v>837</v>
      </c>
      <c r="O769" s="25">
        <f t="shared" si="21"/>
        <v>5.7304563141138409E-3</v>
      </c>
    </row>
    <row r="770" spans="1:15">
      <c r="A770" s="74">
        <v>384.64787769069966</v>
      </c>
      <c r="B770" s="74">
        <v>385.71551138284599</v>
      </c>
      <c r="C770" s="74">
        <v>382.00303782576248</v>
      </c>
      <c r="D770" s="74">
        <v>383.89360854403236</v>
      </c>
      <c r="E770" s="74">
        <v>6008913.1711485982</v>
      </c>
      <c r="F770" s="74" t="s">
        <v>838</v>
      </c>
      <c r="G770" s="25">
        <f t="shared" si="20"/>
        <v>1.964786935442886E-3</v>
      </c>
      <c r="I770" s="73">
        <v>274.97786597597343</v>
      </c>
      <c r="J770" s="73">
        <v>280.0910307315753</v>
      </c>
      <c r="K770" s="73">
        <v>273.21537357915616</v>
      </c>
      <c r="L770" s="73">
        <v>276.67257020368237</v>
      </c>
      <c r="M770" s="73">
        <v>651733.19446612801</v>
      </c>
      <c r="N770" s="73" t="s">
        <v>838</v>
      </c>
      <c r="O770" s="25">
        <f t="shared" si="21"/>
        <v>-6.1253062653132684E-3</v>
      </c>
    </row>
    <row r="771" spans="1:15">
      <c r="A771" s="74">
        <v>384.67726480031007</v>
      </c>
      <c r="B771" s="74">
        <v>388.63472889451236</v>
      </c>
      <c r="C771" s="74">
        <v>383.30586635182414</v>
      </c>
      <c r="D771" s="74">
        <v>388.51718045607072</v>
      </c>
      <c r="E771" s="74">
        <v>5886851.490107025</v>
      </c>
      <c r="F771" s="74" t="s">
        <v>839</v>
      </c>
      <c r="G771" s="25">
        <f t="shared" si="20"/>
        <v>-9.8835157077302727E-3</v>
      </c>
      <c r="I771" s="73">
        <v>276.83719861437413</v>
      </c>
      <c r="J771" s="73">
        <v>282.49751073492195</v>
      </c>
      <c r="K771" s="73">
        <v>276.04310863339049</v>
      </c>
      <c r="L771" s="73">
        <v>281.64047459690914</v>
      </c>
      <c r="M771" s="73">
        <v>614685.5793286605</v>
      </c>
      <c r="N771" s="73" t="s">
        <v>839</v>
      </c>
      <c r="O771" s="25">
        <f t="shared" si="21"/>
        <v>-1.7054636729360695E-2</v>
      </c>
    </row>
    <row r="772" spans="1:15">
      <c r="A772" s="74">
        <v>385.59806090143633</v>
      </c>
      <c r="B772" s="74">
        <v>387.1947605236021</v>
      </c>
      <c r="C772" s="74">
        <v>382.35568314108741</v>
      </c>
      <c r="D772" s="74">
        <v>382.88465111407487</v>
      </c>
      <c r="E772" s="74">
        <v>4150569.8116285275</v>
      </c>
      <c r="F772" s="74" t="s">
        <v>840</v>
      </c>
      <c r="G772" s="25">
        <f t="shared" si="20"/>
        <v>7.0867551871465206E-3</v>
      </c>
      <c r="I772" s="73">
        <v>277.3601359189243</v>
      </c>
      <c r="J772" s="73">
        <v>280.20239700939618</v>
      </c>
      <c r="K772" s="73">
        <v>274.39682452647327</v>
      </c>
      <c r="L772" s="73">
        <v>275.16186243498186</v>
      </c>
      <c r="M772" s="73">
        <v>517397.51141435973</v>
      </c>
      <c r="N772" s="73" t="s">
        <v>840</v>
      </c>
      <c r="O772" s="25">
        <f t="shared" si="21"/>
        <v>7.9890194974308049E-3</v>
      </c>
    </row>
    <row r="773" spans="1:15">
      <c r="A773" s="74">
        <v>383.36219164524408</v>
      </c>
      <c r="B773" s="74">
        <v>384.86499876025914</v>
      </c>
      <c r="C773" s="74">
        <v>380.04430580689905</v>
      </c>
      <c r="D773" s="74">
        <v>384.32828193346802</v>
      </c>
      <c r="E773" s="74">
        <v>4957425.903540004</v>
      </c>
      <c r="F773" s="74" t="s">
        <v>841</v>
      </c>
      <c r="G773" s="25">
        <f t="shared" si="20"/>
        <v>-2.5137111517365973E-3</v>
      </c>
      <c r="I773" s="73">
        <v>275.80100802943207</v>
      </c>
      <c r="J773" s="73">
        <v>278.3914844917872</v>
      </c>
      <c r="K773" s="73">
        <v>272.57622798470595</v>
      </c>
      <c r="L773" s="73">
        <v>273.16695345836445</v>
      </c>
      <c r="M773" s="73">
        <v>843047.25664812431</v>
      </c>
      <c r="N773" s="73" t="s">
        <v>841</v>
      </c>
      <c r="O773" s="25">
        <f t="shared" si="21"/>
        <v>9.6426545660805996E-3</v>
      </c>
    </row>
    <row r="774" spans="1:15">
      <c r="A774" s="74">
        <v>383.27436525540548</v>
      </c>
      <c r="B774" s="74">
        <v>386.78742084894725</v>
      </c>
      <c r="C774" s="74">
        <v>382.49368623461845</v>
      </c>
      <c r="D774" s="74">
        <v>386.16287763231765</v>
      </c>
      <c r="E774" s="74">
        <v>5876662.5947943795</v>
      </c>
      <c r="F774" s="74" t="s">
        <v>842</v>
      </c>
      <c r="G774" s="25">
        <f t="shared" si="20"/>
        <v>-7.4800363893663402E-3</v>
      </c>
      <c r="I774" s="73">
        <v>270.23269413838841</v>
      </c>
      <c r="J774" s="73">
        <v>274.27577422449406</v>
      </c>
      <c r="K774" s="73">
        <v>269.89375329284661</v>
      </c>
      <c r="L774" s="73">
        <v>272.14044689758072</v>
      </c>
      <c r="M774" s="73">
        <v>509828.34401023906</v>
      </c>
      <c r="N774" s="73" t="s">
        <v>842</v>
      </c>
      <c r="O774" s="25">
        <f t="shared" si="21"/>
        <v>-7.0101772115862548E-3</v>
      </c>
    </row>
    <row r="775" spans="1:15">
      <c r="A775" s="74">
        <v>388.98308059491086</v>
      </c>
      <c r="B775" s="74">
        <v>389.01157537916959</v>
      </c>
      <c r="C775" s="74">
        <v>385.82133056072325</v>
      </c>
      <c r="D775" s="74">
        <v>386.20191158335695</v>
      </c>
      <c r="E775" s="74">
        <v>3307787.1074293554</v>
      </c>
      <c r="F775" s="74" t="s">
        <v>843</v>
      </c>
      <c r="G775" s="25">
        <f t="shared" si="20"/>
        <v>7.2013341419041588E-3</v>
      </c>
      <c r="I775" s="73">
        <v>275.43301511141527</v>
      </c>
      <c r="J775" s="73">
        <v>276.16900094744886</v>
      </c>
      <c r="K775" s="73">
        <v>270.47479474234683</v>
      </c>
      <c r="L775" s="73">
        <v>271.37540898907218</v>
      </c>
      <c r="M775" s="73">
        <v>450030.88888911769</v>
      </c>
      <c r="N775" s="73" t="s">
        <v>843</v>
      </c>
      <c r="O775" s="25">
        <f t="shared" si="21"/>
        <v>1.4952003711237172E-2</v>
      </c>
    </row>
    <row r="776" spans="1:15">
      <c r="A776" s="74">
        <v>387.37293011453755</v>
      </c>
      <c r="B776" s="74">
        <v>390.65763709449914</v>
      </c>
      <c r="C776" s="74">
        <v>386.9777113602641</v>
      </c>
      <c r="D776" s="74">
        <v>389.16361261846788</v>
      </c>
      <c r="E776" s="74">
        <v>7384881.9380181106</v>
      </c>
      <c r="F776" s="74" t="s">
        <v>844</v>
      </c>
      <c r="G776" s="25">
        <f t="shared" si="20"/>
        <v>-4.6013616018255599E-3</v>
      </c>
      <c r="I776" s="73">
        <v>272.46970371896424</v>
      </c>
      <c r="J776" s="73">
        <v>274.56145293716497</v>
      </c>
      <c r="K776" s="73">
        <v>270.27143023502174</v>
      </c>
      <c r="L776" s="73">
        <v>270.35858645244679</v>
      </c>
      <c r="M776" s="73">
        <v>751679.24831469986</v>
      </c>
      <c r="N776" s="73" t="s">
        <v>844</v>
      </c>
      <c r="O776" s="25">
        <f t="shared" si="21"/>
        <v>7.8085822766675861E-3</v>
      </c>
    </row>
    <row r="777" spans="1:15">
      <c r="A777" s="74">
        <v>388.30974493948202</v>
      </c>
      <c r="B777" s="74">
        <v>392.34000038429519</v>
      </c>
      <c r="C777" s="74">
        <v>388.08529972100575</v>
      </c>
      <c r="D777" s="74">
        <v>392.09603819029928</v>
      </c>
      <c r="E777" s="74">
        <v>4747804.284868842</v>
      </c>
      <c r="F777" s="74" t="s">
        <v>845</v>
      </c>
      <c r="G777" s="25">
        <f t="shared" si="20"/>
        <v>-9.656545545047357E-3</v>
      </c>
      <c r="I777" s="73">
        <v>270.1261698726467</v>
      </c>
      <c r="J777" s="73">
        <v>274.92944585518171</v>
      </c>
      <c r="K777" s="73">
        <v>269.35144793997978</v>
      </c>
      <c r="L777" s="73">
        <v>274.72608134785668</v>
      </c>
      <c r="M777" s="73">
        <v>973705.74936891394</v>
      </c>
      <c r="N777" s="73" t="s">
        <v>845</v>
      </c>
      <c r="O777" s="25">
        <f t="shared" si="21"/>
        <v>-1.6743628608692607E-2</v>
      </c>
    </row>
    <row r="778" spans="1:15">
      <c r="A778" s="74">
        <v>394.77962232425477</v>
      </c>
      <c r="B778" s="74">
        <v>399.94186234920915</v>
      </c>
      <c r="C778" s="74">
        <v>394.56493559353828</v>
      </c>
      <c r="D778" s="74">
        <v>399.57103981433528</v>
      </c>
      <c r="E778" s="74">
        <v>4108643.7762427176</v>
      </c>
      <c r="F778" s="74" t="s">
        <v>846</v>
      </c>
      <c r="G778" s="25">
        <f t="shared" si="20"/>
        <v>-1.1991403311678694E-2</v>
      </c>
      <c r="I778" s="73">
        <v>276.15931692329053</v>
      </c>
      <c r="J778" s="73">
        <v>283.14149834145138</v>
      </c>
      <c r="K778" s="73">
        <v>275.68479973953202</v>
      </c>
      <c r="L778" s="73">
        <v>281.00132900245893</v>
      </c>
      <c r="M778" s="73">
        <v>473069.86487183749</v>
      </c>
      <c r="N778" s="73" t="s">
        <v>846</v>
      </c>
      <c r="O778" s="25">
        <f t="shared" si="21"/>
        <v>-1.723127821621806E-2</v>
      </c>
    </row>
    <row r="779" spans="1:15">
      <c r="A779" s="74">
        <v>398.50736464851298</v>
      </c>
      <c r="B779" s="74">
        <v>398.93185886606591</v>
      </c>
      <c r="C779" s="74">
        <v>395.91160690439597</v>
      </c>
      <c r="D779" s="74">
        <v>398.36098733211543</v>
      </c>
      <c r="E779" s="74">
        <v>3719606.0386923924</v>
      </c>
      <c r="F779" s="74" t="s">
        <v>847</v>
      </c>
      <c r="G779" s="25">
        <f t="shared" si="20"/>
        <v>3.6744892459950051E-4</v>
      </c>
      <c r="I779" s="73">
        <v>278.66747918029978</v>
      </c>
      <c r="J779" s="73">
        <v>280.07940990258527</v>
      </c>
      <c r="K779" s="73">
        <v>274.85197366191505</v>
      </c>
      <c r="L779" s="73">
        <v>279.56809342702508</v>
      </c>
      <c r="M779" s="73">
        <v>688555.69657575141</v>
      </c>
      <c r="N779" s="73" t="s">
        <v>847</v>
      </c>
      <c r="O779" s="25">
        <f t="shared" si="21"/>
        <v>-3.2214486126986852E-3</v>
      </c>
    </row>
    <row r="780" spans="1:15">
      <c r="A780" s="74">
        <v>399.30756064481966</v>
      </c>
      <c r="B780" s="74">
        <v>400.42978673720103</v>
      </c>
      <c r="C780" s="74">
        <v>398.30243640555636</v>
      </c>
      <c r="D780" s="74">
        <v>398.71229289146953</v>
      </c>
      <c r="E780" s="74">
        <v>3089178.4405435175</v>
      </c>
      <c r="F780" s="74" t="s">
        <v>848</v>
      </c>
      <c r="G780" s="25">
        <f t="shared" si="20"/>
        <v>1.4929756718391474E-3</v>
      </c>
      <c r="I780" s="73">
        <v>279.60682952365846</v>
      </c>
      <c r="J780" s="73">
        <v>282.87518767709713</v>
      </c>
      <c r="K780" s="73">
        <v>275.99468851259883</v>
      </c>
      <c r="L780" s="73">
        <v>276.02374058507377</v>
      </c>
      <c r="M780" s="73">
        <v>912957.24333657906</v>
      </c>
      <c r="N780" s="73" t="s">
        <v>848</v>
      </c>
      <c r="O780" s="25">
        <f t="shared" si="21"/>
        <v>1.2981089709855453E-2</v>
      </c>
    </row>
    <row r="781" spans="1:15">
      <c r="A781" s="74">
        <v>398.86842869562696</v>
      </c>
      <c r="B781" s="74">
        <v>402.70351438524341</v>
      </c>
      <c r="C781" s="74">
        <v>398.61470801387117</v>
      </c>
      <c r="D781" s="74">
        <v>402.38148428916867</v>
      </c>
      <c r="E781" s="74">
        <v>4103125.5031941393</v>
      </c>
      <c r="F781" s="74" t="s">
        <v>849</v>
      </c>
      <c r="G781" s="25">
        <f t="shared" si="20"/>
        <v>-8.7306591647667853E-3</v>
      </c>
      <c r="I781" s="73">
        <v>276.18836899576553</v>
      </c>
      <c r="J781" s="73">
        <v>279.92640232088354</v>
      </c>
      <c r="K781" s="73">
        <v>275.09407426587347</v>
      </c>
      <c r="L781" s="73">
        <v>276.13994887497381</v>
      </c>
      <c r="M781" s="73">
        <v>1127523.0029863222</v>
      </c>
      <c r="N781" s="73" t="s">
        <v>849</v>
      </c>
      <c r="O781" s="25">
        <f t="shared" si="21"/>
        <v>1.7534630896021142E-4</v>
      </c>
    </row>
    <row r="782" spans="1:15">
      <c r="A782" s="74">
        <v>403.90380837970343</v>
      </c>
      <c r="B782" s="74">
        <v>404.49907613305362</v>
      </c>
      <c r="C782" s="74">
        <v>401.48370341526362</v>
      </c>
      <c r="D782" s="74">
        <v>402.70351438524341</v>
      </c>
      <c r="E782" s="74">
        <v>3751504.4237353187</v>
      </c>
      <c r="F782" s="74" t="s">
        <v>850</v>
      </c>
      <c r="G782" s="25">
        <f t="shared" si="20"/>
        <v>2.9805898175294665E-3</v>
      </c>
      <c r="I782" s="73">
        <v>278.00896553753284</v>
      </c>
      <c r="J782" s="73">
        <v>280.79796449513384</v>
      </c>
      <c r="K782" s="73">
        <v>275.05533816924009</v>
      </c>
      <c r="L782" s="73">
        <v>279.64556562029179</v>
      </c>
      <c r="M782" s="73">
        <v>870877.62918679498</v>
      </c>
      <c r="N782" s="73" t="s">
        <v>850</v>
      </c>
      <c r="O782" s="25">
        <f t="shared" si="21"/>
        <v>-5.8524084911868446E-3</v>
      </c>
    </row>
    <row r="783" spans="1:15">
      <c r="A783" s="74">
        <v>400.43954522496091</v>
      </c>
      <c r="B783" s="74">
        <v>401.46418643974391</v>
      </c>
      <c r="C783" s="74">
        <v>399.11239088962293</v>
      </c>
      <c r="D783" s="74">
        <v>400.12727361664605</v>
      </c>
      <c r="E783" s="74">
        <v>2592356.5846046028</v>
      </c>
      <c r="F783" s="74" t="s">
        <v>851</v>
      </c>
      <c r="G783" s="25">
        <f t="shared" si="20"/>
        <v>7.8043070019284677E-4</v>
      </c>
      <c r="I783" s="73">
        <v>276.44983764804067</v>
      </c>
      <c r="J783" s="73">
        <v>280.42028755295871</v>
      </c>
      <c r="K783" s="73">
        <v>275.4717512080486</v>
      </c>
      <c r="L783" s="73">
        <v>278.51253479376641</v>
      </c>
      <c r="M783" s="73">
        <v>1004959.2856108125</v>
      </c>
      <c r="N783" s="73" t="s">
        <v>851</v>
      </c>
      <c r="O783" s="25">
        <f t="shared" si="21"/>
        <v>-7.4061196105702498E-3</v>
      </c>
    </row>
    <row r="784" spans="1:15">
      <c r="A784" s="74">
        <v>399.97113781248868</v>
      </c>
      <c r="B784" s="74">
        <v>402.19607302173176</v>
      </c>
      <c r="C784" s="74">
        <v>399.40514552241808</v>
      </c>
      <c r="D784" s="74">
        <v>400.78109229655524</v>
      </c>
      <c r="E784" s="74">
        <v>7783271.5344061935</v>
      </c>
      <c r="F784" s="74" t="s">
        <v>852</v>
      </c>
      <c r="G784" s="25">
        <f t="shared" si="20"/>
        <v>-2.020939858777715E-3</v>
      </c>
      <c r="I784" s="73">
        <v>279.9457703692002</v>
      </c>
      <c r="J784" s="73">
        <v>286.26217512647543</v>
      </c>
      <c r="K784" s="73">
        <v>279.66493366860846</v>
      </c>
      <c r="L784" s="73">
        <v>282.78318944759292</v>
      </c>
      <c r="M784" s="73">
        <v>961748.94317896664</v>
      </c>
      <c r="N784" s="73" t="s">
        <v>852</v>
      </c>
      <c r="O784" s="25">
        <f t="shared" si="21"/>
        <v>-1.0033902948529239E-2</v>
      </c>
    </row>
    <row r="785" spans="1:15">
      <c r="A785" s="74">
        <v>402.12776360741293</v>
      </c>
      <c r="B785" s="74">
        <v>402.42051824020808</v>
      </c>
      <c r="C785" s="74">
        <v>400.3809942984019</v>
      </c>
      <c r="D785" s="74">
        <v>401.93259385221614</v>
      </c>
      <c r="E785" s="74">
        <v>3429386.8910437454</v>
      </c>
      <c r="F785" s="74" t="s">
        <v>853</v>
      </c>
      <c r="G785" s="25">
        <f t="shared" si="20"/>
        <v>4.8557832378359755E-4</v>
      </c>
      <c r="I785" s="73">
        <v>284.60378598936023</v>
      </c>
      <c r="J785" s="73">
        <v>290.50135670178736</v>
      </c>
      <c r="K785" s="73">
        <v>283.37391492125147</v>
      </c>
      <c r="L785" s="73">
        <v>288.45802760437829</v>
      </c>
      <c r="M785" s="73">
        <v>1090385.5491634305</v>
      </c>
      <c r="N785" s="73" t="s">
        <v>853</v>
      </c>
      <c r="O785" s="25">
        <f t="shared" si="21"/>
        <v>-1.3361533554906546E-2</v>
      </c>
    </row>
    <row r="786" spans="1:15">
      <c r="A786" s="74">
        <v>399.50273040001645</v>
      </c>
      <c r="B786" s="74">
        <v>400.91771112519297</v>
      </c>
      <c r="C786" s="74">
        <v>398.62446650163099</v>
      </c>
      <c r="D786" s="74">
        <v>398.94649659770567</v>
      </c>
      <c r="E786" s="74">
        <v>4227317.901629867</v>
      </c>
      <c r="F786" s="74" t="s">
        <v>854</v>
      </c>
      <c r="G786" s="25">
        <f t="shared" si="20"/>
        <v>1.3942566410645174E-3</v>
      </c>
      <c r="I786" s="73">
        <v>287.47994116438628</v>
      </c>
      <c r="J786" s="73">
        <v>294.8397995247222</v>
      </c>
      <c r="K786" s="73">
        <v>287.39278494696123</v>
      </c>
      <c r="L786" s="73">
        <v>293.65834857740515</v>
      </c>
      <c r="M786" s="73">
        <v>894398.84271081409</v>
      </c>
      <c r="N786" s="73" t="s">
        <v>854</v>
      </c>
      <c r="O786" s="25">
        <f t="shared" si="21"/>
        <v>-2.1039440707030677E-2</v>
      </c>
    </row>
    <row r="787" spans="1:15">
      <c r="A787" s="74">
        <v>398.9562550854655</v>
      </c>
      <c r="B787" s="74">
        <v>399.5417643510558</v>
      </c>
      <c r="C787" s="74">
        <v>397.02895375289745</v>
      </c>
      <c r="D787" s="74">
        <v>397.33634611733237</v>
      </c>
      <c r="E787" s="74">
        <v>2301339.1575307297</v>
      </c>
      <c r="F787" s="74" t="s">
        <v>855</v>
      </c>
      <c r="G787" s="25">
        <f t="shared" si="20"/>
        <v>4.0769211877103029E-3</v>
      </c>
      <c r="I787" s="73">
        <v>294.82043147640553</v>
      </c>
      <c r="J787" s="73">
        <v>299.02329796112372</v>
      </c>
      <c r="K787" s="73">
        <v>294.67517111403049</v>
      </c>
      <c r="L787" s="73">
        <v>297.27048958846478</v>
      </c>
      <c r="M787" s="73">
        <v>951098.41212765686</v>
      </c>
      <c r="N787" s="73" t="s">
        <v>855</v>
      </c>
      <c r="O787" s="25">
        <f t="shared" si="21"/>
        <v>-8.2418477375640897E-3</v>
      </c>
    </row>
    <row r="788" spans="1:15">
      <c r="A788" s="74">
        <v>400.14679059216576</v>
      </c>
      <c r="B788" s="74">
        <v>402.17655604621211</v>
      </c>
      <c r="C788" s="74">
        <v>397.98040630948168</v>
      </c>
      <c r="D788" s="74">
        <v>402.14728058293264</v>
      </c>
      <c r="E788" s="74">
        <v>3836729.7189314449</v>
      </c>
      <c r="F788" s="74" t="s">
        <v>856</v>
      </c>
      <c r="G788" s="25">
        <f t="shared" si="20"/>
        <v>-4.9745207473915753E-3</v>
      </c>
      <c r="I788" s="73">
        <v>300.669582068041</v>
      </c>
      <c r="J788" s="73">
        <v>301.90913716030809</v>
      </c>
      <c r="K788" s="73">
        <v>297.31435821790205</v>
      </c>
      <c r="L788" s="73">
        <v>297.5706943373732</v>
      </c>
      <c r="M788" s="73">
        <v>426761.63673571317</v>
      </c>
      <c r="N788" s="73" t="s">
        <v>856</v>
      </c>
      <c r="O788" s="25">
        <f t="shared" si="21"/>
        <v>1.0413954699297179E-2</v>
      </c>
    </row>
    <row r="789" spans="1:15">
      <c r="A789" s="74">
        <v>402.92795960371961</v>
      </c>
      <c r="B789" s="74">
        <v>404.46004218201426</v>
      </c>
      <c r="C789" s="74">
        <v>402.80109926284172</v>
      </c>
      <c r="D789" s="74">
        <v>404.19656301249859</v>
      </c>
      <c r="E789" s="74">
        <v>4536242.8164519137</v>
      </c>
      <c r="F789" s="74" t="s">
        <v>857</v>
      </c>
      <c r="G789" s="25">
        <f t="shared" si="20"/>
        <v>-3.1385803959439462E-3</v>
      </c>
      <c r="I789" s="73">
        <v>297.49322214410648</v>
      </c>
      <c r="J789" s="73">
        <v>304.00088637850882</v>
      </c>
      <c r="K789" s="73">
        <v>296.43766351084781</v>
      </c>
      <c r="L789" s="73">
        <v>304.00088637850882</v>
      </c>
      <c r="M789" s="73">
        <v>769486.92797146121</v>
      </c>
      <c r="N789" s="73" t="s">
        <v>857</v>
      </c>
      <c r="O789" s="25">
        <f t="shared" si="21"/>
        <v>-2.1406727828746197E-2</v>
      </c>
    </row>
    <row r="790" spans="1:15">
      <c r="A790" s="74">
        <v>404.69424588825035</v>
      </c>
      <c r="B790" s="74">
        <v>406.81183773213525</v>
      </c>
      <c r="C790" s="74">
        <v>403.23047272427465</v>
      </c>
      <c r="D790" s="74">
        <v>406.40198124622202</v>
      </c>
      <c r="E790" s="74">
        <v>3676769.4834506679</v>
      </c>
      <c r="F790" s="74" t="s">
        <v>858</v>
      </c>
      <c r="G790" s="25">
        <f t="shared" si="20"/>
        <v>-4.2020842337798792E-3</v>
      </c>
      <c r="I790" s="73">
        <v>304.1267786925672</v>
      </c>
      <c r="J790" s="73">
        <v>304.85792251652163</v>
      </c>
      <c r="K790" s="73">
        <v>300.63084597140761</v>
      </c>
      <c r="L790" s="73">
        <v>304.01057040266716</v>
      </c>
      <c r="M790" s="73">
        <v>908726.56409310258</v>
      </c>
      <c r="N790" s="73" t="s">
        <v>858</v>
      </c>
      <c r="O790" s="25">
        <f t="shared" si="21"/>
        <v>3.8225082024645474E-4</v>
      </c>
    </row>
    <row r="791" spans="1:15">
      <c r="A791" s="74">
        <v>403.8354989653846</v>
      </c>
      <c r="B791" s="74">
        <v>406.07019266238757</v>
      </c>
      <c r="C791" s="74">
        <v>403.6696046734674</v>
      </c>
      <c r="D791" s="74">
        <v>404.95967675531801</v>
      </c>
      <c r="E791" s="74">
        <v>4868716.4619436599</v>
      </c>
      <c r="F791" s="74" t="s">
        <v>859</v>
      </c>
      <c r="G791" s="25">
        <f t="shared" si="20"/>
        <v>-2.7760240203190678E-3</v>
      </c>
      <c r="I791" s="73">
        <v>302.21902593337484</v>
      </c>
      <c r="J791" s="73">
        <v>303.96215028187549</v>
      </c>
      <c r="K791" s="73">
        <v>299.10077015439043</v>
      </c>
      <c r="L791" s="73">
        <v>300.61147792309094</v>
      </c>
      <c r="M791" s="73">
        <v>882540.13623483572</v>
      </c>
      <c r="N791" s="73" t="s">
        <v>859</v>
      </c>
      <c r="O791" s="25">
        <f t="shared" si="21"/>
        <v>5.3475935828877219E-3</v>
      </c>
    </row>
    <row r="792" spans="1:15">
      <c r="A792" s="74">
        <v>404.35269881665607</v>
      </c>
      <c r="B792" s="74">
        <v>405.0057368175444</v>
      </c>
      <c r="C792" s="74">
        <v>402.44003521572773</v>
      </c>
      <c r="D792" s="74">
        <v>403.05481994459751</v>
      </c>
      <c r="E792" s="74">
        <v>3078874.5899393465</v>
      </c>
      <c r="F792" s="74" t="s">
        <v>860</v>
      </c>
      <c r="G792" s="25">
        <f t="shared" si="20"/>
        <v>3.2201050771132333E-3</v>
      </c>
      <c r="I792" s="73">
        <v>299.78833586963231</v>
      </c>
      <c r="J792" s="73">
        <v>302.83880347950844</v>
      </c>
      <c r="K792" s="73">
        <v>296.6700800906479</v>
      </c>
      <c r="L792" s="73">
        <v>302.14155374010818</v>
      </c>
      <c r="M792" s="73">
        <v>1177168.6866545225</v>
      </c>
      <c r="N792" s="73" t="s">
        <v>860</v>
      </c>
      <c r="O792" s="25">
        <f t="shared" si="21"/>
        <v>-7.7884615384616884E-3</v>
      </c>
    </row>
    <row r="793" spans="1:15">
      <c r="A793" s="74">
        <v>402.67423892196388</v>
      </c>
      <c r="B793" s="74">
        <v>403.00602750579839</v>
      </c>
      <c r="C793" s="74">
        <v>396.75083685174206</v>
      </c>
      <c r="D793" s="74">
        <v>396.95576509469862</v>
      </c>
      <c r="E793" s="74">
        <v>3568856.2466954826</v>
      </c>
      <c r="F793" s="74" t="s">
        <v>861</v>
      </c>
      <c r="G793" s="25">
        <f t="shared" si="20"/>
        <v>1.4405821328482338E-2</v>
      </c>
      <c r="I793" s="73">
        <v>307.225666423235</v>
      </c>
      <c r="J793" s="73">
        <v>307.70018360699351</v>
      </c>
      <c r="K793" s="73">
        <v>299.50749916904056</v>
      </c>
      <c r="L793" s="73">
        <v>299.50749916904056</v>
      </c>
      <c r="M793" s="73">
        <v>863974.50720909412</v>
      </c>
      <c r="N793" s="73" t="s">
        <v>861</v>
      </c>
      <c r="O793" s="25">
        <f t="shared" si="21"/>
        <v>2.5769529229177524E-2</v>
      </c>
    </row>
    <row r="794" spans="1:15">
      <c r="A794" s="74">
        <v>397.03383299677739</v>
      </c>
      <c r="B794" s="74">
        <v>397.59982528684799</v>
      </c>
      <c r="C794" s="74">
        <v>395.3163391510459</v>
      </c>
      <c r="D794" s="74">
        <v>396.54590860878545</v>
      </c>
      <c r="E794" s="74">
        <v>3316816.1703506233</v>
      </c>
      <c r="F794" s="74" t="s">
        <v>862</v>
      </c>
      <c r="G794" s="25">
        <f t="shared" si="20"/>
        <v>1.2304360665420511E-3</v>
      </c>
      <c r="I794" s="73">
        <v>299.2847666133988</v>
      </c>
      <c r="J794" s="73">
        <v>301.04725901021612</v>
      </c>
      <c r="K794" s="73">
        <v>294.93663976630557</v>
      </c>
      <c r="L794" s="73">
        <v>295.15937232194733</v>
      </c>
      <c r="M794" s="73">
        <v>906886.41998476104</v>
      </c>
      <c r="N794" s="73" t="s">
        <v>862</v>
      </c>
      <c r="O794" s="25">
        <f t="shared" si="21"/>
        <v>1.3976836510384283E-2</v>
      </c>
    </row>
    <row r="795" spans="1:15">
      <c r="A795" s="74">
        <v>394.43807525266038</v>
      </c>
      <c r="B795" s="74">
        <v>395.99943329423456</v>
      </c>
      <c r="C795" s="74">
        <v>390.05651424849304</v>
      </c>
      <c r="D795" s="74">
        <v>393.34512462355855</v>
      </c>
      <c r="E795" s="74">
        <v>4527171.7388240546</v>
      </c>
      <c r="F795" s="74" t="s">
        <v>863</v>
      </c>
      <c r="G795" s="25">
        <f t="shared" si="20"/>
        <v>2.7786047434750216E-3</v>
      </c>
      <c r="I795" s="73">
        <v>293.72613674651348</v>
      </c>
      <c r="J795" s="73">
        <v>294.49020625260624</v>
      </c>
      <c r="K795" s="73">
        <v>287.65909561131548</v>
      </c>
      <c r="L795" s="73">
        <v>290.50135670178736</v>
      </c>
      <c r="M795" s="73">
        <v>685151.12018674926</v>
      </c>
      <c r="N795" s="73" t="s">
        <v>863</v>
      </c>
      <c r="O795" s="25">
        <f t="shared" si="21"/>
        <v>1.1100740049336588E-2</v>
      </c>
    </row>
    <row r="796" spans="1:15">
      <c r="A796" s="74">
        <v>391.84231750854349</v>
      </c>
      <c r="B796" s="74">
        <v>399.1992414306855</v>
      </c>
      <c r="C796" s="74">
        <v>391.70569867990571</v>
      </c>
      <c r="D796" s="74">
        <v>398.73180986698924</v>
      </c>
      <c r="E796" s="74">
        <v>3544392.4152212543</v>
      </c>
      <c r="F796" s="74" t="s">
        <v>864</v>
      </c>
      <c r="G796" s="25">
        <f t="shared" si="20"/>
        <v>-1.7278511992168344E-2</v>
      </c>
      <c r="I796" s="73">
        <v>289.03906905387851</v>
      </c>
      <c r="J796" s="73">
        <v>294.97537586293896</v>
      </c>
      <c r="K796" s="73">
        <v>288.94707082437429</v>
      </c>
      <c r="L796" s="73">
        <v>291.97332837385454</v>
      </c>
      <c r="M796" s="73">
        <v>748265.37826858484</v>
      </c>
      <c r="N796" s="73" t="s">
        <v>864</v>
      </c>
      <c r="O796" s="25">
        <f t="shared" si="21"/>
        <v>-1.0049751243781047E-2</v>
      </c>
    </row>
    <row r="797" spans="1:15">
      <c r="A797" s="74">
        <v>397.12165938661593</v>
      </c>
      <c r="B797" s="74">
        <v>397.82427050532431</v>
      </c>
      <c r="C797" s="74">
        <v>393.72570564619224</v>
      </c>
      <c r="D797" s="74">
        <v>393.81353203603078</v>
      </c>
      <c r="E797" s="74">
        <v>3330397.1680688797</v>
      </c>
      <c r="F797" s="74" t="s">
        <v>865</v>
      </c>
      <c r="G797" s="25">
        <f t="shared" si="20"/>
        <v>8.4002378828427204E-3</v>
      </c>
      <c r="I797" s="73">
        <v>288.13845480715315</v>
      </c>
      <c r="J797" s="73">
        <v>289.38769392357858</v>
      </c>
      <c r="K797" s="73">
        <v>284.5795759289644</v>
      </c>
      <c r="L797" s="73">
        <v>285.38819194618549</v>
      </c>
      <c r="M797" s="73">
        <v>482670.21266939683</v>
      </c>
      <c r="N797" s="73" t="s">
        <v>865</v>
      </c>
      <c r="O797" s="25">
        <f t="shared" si="21"/>
        <v>9.6369189005769407E-3</v>
      </c>
    </row>
    <row r="798" spans="1:15">
      <c r="A798" s="74">
        <v>392.88647569884614</v>
      </c>
      <c r="B798" s="74">
        <v>395.60909378384099</v>
      </c>
      <c r="C798" s="74">
        <v>392.34975887205502</v>
      </c>
      <c r="D798" s="74">
        <v>395.56030134504181</v>
      </c>
      <c r="E798" s="74">
        <v>2713587.4586001462</v>
      </c>
      <c r="F798" s="74" t="s">
        <v>866</v>
      </c>
      <c r="G798" s="25">
        <f t="shared" si="20"/>
        <v>-6.7595904773651849E-3</v>
      </c>
      <c r="I798" s="73">
        <v>283.39328296956813</v>
      </c>
      <c r="J798" s="73">
        <v>287.40246897111956</v>
      </c>
      <c r="K798" s="73">
        <v>282.26993616720108</v>
      </c>
      <c r="L798" s="73">
        <v>285.833657057469</v>
      </c>
      <c r="M798" s="73">
        <v>553203.90701297962</v>
      </c>
      <c r="N798" s="73" t="s">
        <v>866</v>
      </c>
      <c r="O798" s="25">
        <f t="shared" si="21"/>
        <v>-8.5377422414960602E-3</v>
      </c>
    </row>
    <row r="799" spans="1:15">
      <c r="A799" s="74">
        <v>393.98918481570786</v>
      </c>
      <c r="B799" s="74">
        <v>394.62348652009734</v>
      </c>
      <c r="C799" s="74">
        <v>390.32975190576855</v>
      </c>
      <c r="D799" s="74">
        <v>392.42782677413373</v>
      </c>
      <c r="E799" s="74">
        <v>3373918.2556033526</v>
      </c>
      <c r="F799" s="74" t="s">
        <v>867</v>
      </c>
      <c r="G799" s="25">
        <f t="shared" si="20"/>
        <v>3.9787138807381162E-3</v>
      </c>
      <c r="I799" s="73">
        <v>283.5772794285765</v>
      </c>
      <c r="J799" s="73">
        <v>284.46578864510394</v>
      </c>
      <c r="K799" s="73">
        <v>281.3015337513674</v>
      </c>
      <c r="L799" s="73">
        <v>282.59919298858449</v>
      </c>
      <c r="M799" s="73">
        <v>432579.46608834836</v>
      </c>
      <c r="N799" s="73" t="s">
        <v>867</v>
      </c>
      <c r="O799" s="25">
        <f t="shared" si="21"/>
        <v>3.4610376259338604E-3</v>
      </c>
    </row>
    <row r="800" spans="1:15">
      <c r="A800" s="74">
        <v>391.40318555935073</v>
      </c>
      <c r="B800" s="74">
        <v>392.31072492101566</v>
      </c>
      <c r="C800" s="74">
        <v>388.24143552516318</v>
      </c>
      <c r="D800" s="74">
        <v>388.55370713347799</v>
      </c>
      <c r="E800" s="74">
        <v>4260564.8562794654</v>
      </c>
      <c r="F800" s="74" t="s">
        <v>868</v>
      </c>
      <c r="G800" s="25">
        <f t="shared" ref="G800:G863" si="22">A800/D800-1</f>
        <v>7.3335509958056821E-3</v>
      </c>
      <c r="I800" s="73">
        <v>282.32804031215107</v>
      </c>
      <c r="J800" s="73">
        <v>284.26484514381843</v>
      </c>
      <c r="K800" s="73">
        <v>278.80102187344323</v>
      </c>
      <c r="L800" s="73">
        <v>279.69398574108345</v>
      </c>
      <c r="M800" s="73">
        <v>450059.8024890243</v>
      </c>
      <c r="N800" s="73" t="s">
        <v>868</v>
      </c>
      <c r="O800" s="25">
        <f t="shared" ref="O800:O863" si="23">I800/L800-1</f>
        <v>9.4176303580084664E-3</v>
      </c>
    </row>
    <row r="801" spans="1:15">
      <c r="A801" s="74">
        <v>391.04212151223675</v>
      </c>
      <c r="B801" s="74">
        <v>395.78474656351807</v>
      </c>
      <c r="C801" s="74">
        <v>390.70057444064236</v>
      </c>
      <c r="D801" s="74">
        <v>395.5407843695221</v>
      </c>
      <c r="E801" s="74">
        <v>7278283.4541545361</v>
      </c>
      <c r="F801" s="74" t="s">
        <v>869</v>
      </c>
      <c r="G801" s="25">
        <f t="shared" si="22"/>
        <v>-1.137344879480906E-2</v>
      </c>
      <c r="I801" s="73">
        <v>282.27962019135941</v>
      </c>
      <c r="J801" s="73">
        <v>287.47025714022794</v>
      </c>
      <c r="K801" s="73">
        <v>282.26993616720108</v>
      </c>
      <c r="L801" s="73">
        <v>286.58901094181925</v>
      </c>
      <c r="M801" s="73">
        <v>529766.33640297607</v>
      </c>
      <c r="N801" s="73" t="s">
        <v>869</v>
      </c>
      <c r="O801" s="25">
        <f t="shared" si="23"/>
        <v>-1.5036831790227634E-2</v>
      </c>
    </row>
    <row r="802" spans="1:15">
      <c r="A802" s="74">
        <v>394.23314700970383</v>
      </c>
      <c r="B802" s="74">
        <v>398.25364396675718</v>
      </c>
      <c r="C802" s="74">
        <v>394.11604515658576</v>
      </c>
      <c r="D802" s="74">
        <v>396.77035382726172</v>
      </c>
      <c r="E802" s="74">
        <v>3436652.3610371388</v>
      </c>
      <c r="F802" s="74" t="s">
        <v>870</v>
      </c>
      <c r="G802" s="25">
        <f t="shared" si="22"/>
        <v>-6.3946481713764713E-3</v>
      </c>
      <c r="I802" s="73">
        <v>285.82397303331066</v>
      </c>
      <c r="J802" s="73">
        <v>290.89840169227915</v>
      </c>
      <c r="K802" s="73">
        <v>285.44629609113554</v>
      </c>
      <c r="L802" s="73">
        <v>288.77760040160337</v>
      </c>
      <c r="M802" s="73">
        <v>512990.25268573943</v>
      </c>
      <c r="N802" s="73" t="s">
        <v>870</v>
      </c>
      <c r="O802" s="25">
        <f t="shared" si="23"/>
        <v>-1.0228034875922165E-2</v>
      </c>
    </row>
    <row r="803" spans="1:15">
      <c r="A803" s="74">
        <v>397.17045182541511</v>
      </c>
      <c r="B803" s="74">
        <v>401.76913918223886</v>
      </c>
      <c r="C803" s="74">
        <v>396.59470104758469</v>
      </c>
      <c r="D803" s="74">
        <v>400.18582454320511</v>
      </c>
      <c r="E803" s="74">
        <v>4802095.4837757498</v>
      </c>
      <c r="F803" s="74" t="s">
        <v>871</v>
      </c>
      <c r="G803" s="25">
        <f t="shared" si="22"/>
        <v>-7.5349313565314935E-3</v>
      </c>
      <c r="I803" s="73">
        <v>288.2546630970532</v>
      </c>
      <c r="J803" s="73">
        <v>289.41674599605363</v>
      </c>
      <c r="K803" s="73">
        <v>286.11449375806075</v>
      </c>
      <c r="L803" s="73">
        <v>288.21592700041987</v>
      </c>
      <c r="M803" s="73">
        <v>375332.60353041632</v>
      </c>
      <c r="N803" s="73" t="s">
        <v>871</v>
      </c>
      <c r="O803" s="25">
        <f t="shared" si="23"/>
        <v>1.3439956992122859E-4</v>
      </c>
    </row>
    <row r="804" spans="1:15">
      <c r="A804" s="74">
        <v>401.77645804805877</v>
      </c>
      <c r="B804" s="74">
        <v>401.79597502357842</v>
      </c>
      <c r="C804" s="74">
        <v>398.44881372195391</v>
      </c>
      <c r="D804" s="74">
        <v>398.69277591594988</v>
      </c>
      <c r="E804" s="74">
        <v>2841538.6361523434</v>
      </c>
      <c r="F804" s="74" t="s">
        <v>872</v>
      </c>
      <c r="G804" s="25">
        <f t="shared" si="22"/>
        <v>7.7344820834148731E-3</v>
      </c>
      <c r="I804" s="73">
        <v>289.70726672080372</v>
      </c>
      <c r="J804" s="73">
        <v>289.98810342139546</v>
      </c>
      <c r="K804" s="73">
        <v>286.05638961311075</v>
      </c>
      <c r="L804" s="73">
        <v>286.58901094181925</v>
      </c>
      <c r="M804" s="73">
        <v>483247.45203896071</v>
      </c>
      <c r="N804" s="73" t="s">
        <v>872</v>
      </c>
      <c r="O804" s="25">
        <f t="shared" si="23"/>
        <v>1.0880583902142416E-2</v>
      </c>
    </row>
    <row r="805" spans="1:15">
      <c r="A805" s="74">
        <v>399.52224737553615</v>
      </c>
      <c r="B805" s="74">
        <v>400.49809615151997</v>
      </c>
      <c r="C805" s="74">
        <v>397.50224040924957</v>
      </c>
      <c r="D805" s="74">
        <v>398.09750816259975</v>
      </c>
      <c r="E805" s="74">
        <v>2991100.7441263557</v>
      </c>
      <c r="F805" s="74" t="s">
        <v>873</v>
      </c>
      <c r="G805" s="25">
        <f t="shared" si="22"/>
        <v>3.5788699595540319E-3</v>
      </c>
      <c r="I805" s="73">
        <v>286.82142752161934</v>
      </c>
      <c r="J805" s="73">
        <v>288.7872844257617</v>
      </c>
      <c r="K805" s="73">
        <v>284.71031025510194</v>
      </c>
      <c r="L805" s="73">
        <v>287.67362164755298</v>
      </c>
      <c r="M805" s="73">
        <v>742974.18948567705</v>
      </c>
      <c r="N805" s="73" t="s">
        <v>873</v>
      </c>
      <c r="O805" s="25">
        <f t="shared" si="23"/>
        <v>-2.9623645054871472E-3</v>
      </c>
    </row>
    <row r="806" spans="1:15">
      <c r="A806" s="74">
        <v>399.89306991041002</v>
      </c>
      <c r="B806" s="74">
        <v>405.02603447208486</v>
      </c>
      <c r="C806" s="74">
        <v>398.75132684250889</v>
      </c>
      <c r="D806" s="74">
        <v>401.85452595013749</v>
      </c>
      <c r="E806" s="74">
        <v>4701882.2105650436</v>
      </c>
      <c r="F806" s="74" t="s">
        <v>874</v>
      </c>
      <c r="G806" s="25">
        <f t="shared" si="22"/>
        <v>-4.8810101991257904E-3</v>
      </c>
      <c r="I806" s="73">
        <v>288.66139211170344</v>
      </c>
      <c r="J806" s="73">
        <v>293.88461418710568</v>
      </c>
      <c r="K806" s="73">
        <v>286.15347384835246</v>
      </c>
      <c r="L806" s="73">
        <v>291.20789373295219</v>
      </c>
      <c r="M806" s="73">
        <v>1544061.5655574854</v>
      </c>
      <c r="N806" s="73" t="s">
        <v>874</v>
      </c>
      <c r="O806" s="25">
        <f t="shared" si="23"/>
        <v>-8.7446174229878215E-3</v>
      </c>
    </row>
    <row r="807" spans="1:15">
      <c r="A807" s="74">
        <v>399.65886620417388</v>
      </c>
      <c r="B807" s="74">
        <v>402.76206531180242</v>
      </c>
      <c r="C807" s="74">
        <v>398.97577206098521</v>
      </c>
      <c r="D807" s="74">
        <v>402.69375589748358</v>
      </c>
      <c r="E807" s="74">
        <v>3223792.5357116582</v>
      </c>
      <c r="F807" s="74" t="s">
        <v>875</v>
      </c>
      <c r="G807" s="25">
        <f t="shared" si="22"/>
        <v>-7.5364707022731459E-3</v>
      </c>
      <c r="I807" s="73">
        <v>293.04060323309335</v>
      </c>
      <c r="J807" s="73">
        <v>296.15620938333325</v>
      </c>
      <c r="K807" s="73">
        <v>292.23517563697862</v>
      </c>
      <c r="L807" s="73">
        <v>294.88295857270884</v>
      </c>
      <c r="M807" s="73">
        <v>762502.84068063321</v>
      </c>
      <c r="N807" s="73" t="s">
        <v>875</v>
      </c>
      <c r="O807" s="25">
        <f t="shared" si="23"/>
        <v>-6.2477511366979543E-3</v>
      </c>
    </row>
    <row r="808" spans="1:15">
      <c r="A808" s="74">
        <v>402.33269185036954</v>
      </c>
      <c r="B808" s="74">
        <v>402.77182379956224</v>
      </c>
      <c r="C808" s="74">
        <v>399.24413047438071</v>
      </c>
      <c r="D808" s="74">
        <v>401.81549199909807</v>
      </c>
      <c r="E808" s="74">
        <v>3873639.1262970357</v>
      </c>
      <c r="F808" s="74" t="s">
        <v>876</v>
      </c>
      <c r="G808" s="25">
        <f t="shared" si="22"/>
        <v>1.2871575675150737E-3</v>
      </c>
      <c r="I808" s="73">
        <v>294.72862514111807</v>
      </c>
      <c r="J808" s="73">
        <v>297.28477260184121</v>
      </c>
      <c r="K808" s="73">
        <v>293.6772286384055</v>
      </c>
      <c r="L808" s="73">
        <v>296.33948033334741</v>
      </c>
      <c r="M808" s="73">
        <v>837662.70643644023</v>
      </c>
      <c r="N808" s="73" t="s">
        <v>876</v>
      </c>
      <c r="O808" s="25">
        <f t="shared" si="23"/>
        <v>-5.435844020571623E-3</v>
      </c>
    </row>
    <row r="809" spans="1:15">
      <c r="A809" s="74">
        <v>404.07946115938057</v>
      </c>
      <c r="B809" s="74">
        <v>404.235596963538</v>
      </c>
      <c r="C809" s="74">
        <v>401.69839014598006</v>
      </c>
      <c r="D809" s="74">
        <v>402.33269185036954</v>
      </c>
      <c r="E809" s="74">
        <v>2662274.1801164825</v>
      </c>
      <c r="F809" s="74" t="s">
        <v>877</v>
      </c>
      <c r="G809" s="25">
        <f t="shared" si="22"/>
        <v>4.341604210628347E-3</v>
      </c>
      <c r="I809" s="73">
        <v>299.4647323230617</v>
      </c>
      <c r="J809" s="73">
        <v>300.22675364154145</v>
      </c>
      <c r="K809" s="73">
        <v>289.91535124337895</v>
      </c>
      <c r="L809" s="73">
        <v>290.19508058813739</v>
      </c>
      <c r="M809" s="73">
        <v>1055047.6220323483</v>
      </c>
      <c r="N809" s="73" t="s">
        <v>877</v>
      </c>
      <c r="O809" s="25">
        <f t="shared" si="23"/>
        <v>3.1942828652151922E-2</v>
      </c>
    </row>
    <row r="810" spans="1:15">
      <c r="A810" s="74">
        <v>400.46882068824044</v>
      </c>
      <c r="B810" s="74">
        <v>406.07848737698339</v>
      </c>
      <c r="C810" s="74">
        <v>400.12727361664605</v>
      </c>
      <c r="D810" s="74">
        <v>404.1477705736994</v>
      </c>
      <c r="E810" s="74">
        <v>5858762.280288795</v>
      </c>
      <c r="F810" s="74" t="s">
        <v>878</v>
      </c>
      <c r="G810" s="25">
        <f t="shared" si="22"/>
        <v>-9.1029820113484039E-3</v>
      </c>
      <c r="I810" s="73">
        <v>288.23697517482867</v>
      </c>
      <c r="J810" s="73">
        <v>292.73675928964889</v>
      </c>
      <c r="K810" s="73">
        <v>286.2885156009944</v>
      </c>
      <c r="L810" s="73">
        <v>291.97956089090633</v>
      </c>
      <c r="M810" s="73">
        <v>764127.37528350984</v>
      </c>
      <c r="N810" s="73" t="s">
        <v>878</v>
      </c>
      <c r="O810" s="25">
        <f t="shared" si="23"/>
        <v>-1.2817971589031973E-2</v>
      </c>
    </row>
    <row r="811" spans="1:15">
      <c r="A811" s="74">
        <v>402.44003521572773</v>
      </c>
      <c r="B811" s="74">
        <v>404.18680452473876</v>
      </c>
      <c r="C811" s="74">
        <v>401.16167331918894</v>
      </c>
      <c r="D811" s="74">
        <v>401.73742409701941</v>
      </c>
      <c r="E811" s="74">
        <v>3103143.719114739</v>
      </c>
      <c r="F811" s="74" t="s">
        <v>879</v>
      </c>
      <c r="G811" s="25">
        <f t="shared" si="22"/>
        <v>1.748931208705784E-3</v>
      </c>
      <c r="I811" s="73">
        <v>291.35258132506857</v>
      </c>
      <c r="J811" s="73">
        <v>294.23668732792231</v>
      </c>
      <c r="K811" s="73">
        <v>287.68233940504911</v>
      </c>
      <c r="L811" s="73">
        <v>292.70299885148836</v>
      </c>
      <c r="M811" s="73">
        <v>1135670.9832298656</v>
      </c>
      <c r="N811" s="73" t="s">
        <v>879</v>
      </c>
      <c r="O811" s="25">
        <f t="shared" si="23"/>
        <v>-4.6136101499423265E-3</v>
      </c>
    </row>
    <row r="812" spans="1:15">
      <c r="A812" s="74">
        <v>403.58177828362881</v>
      </c>
      <c r="B812" s="74">
        <v>406.63618495245817</v>
      </c>
      <c r="C812" s="74">
        <v>402.90844262819996</v>
      </c>
      <c r="D812" s="74">
        <v>406.40198124622202</v>
      </c>
      <c r="E812" s="74">
        <v>5102294.661363136</v>
      </c>
      <c r="F812" s="74" t="s">
        <v>880</v>
      </c>
      <c r="G812" s="25">
        <f t="shared" si="22"/>
        <v>-6.9394419632137216E-3</v>
      </c>
      <c r="I812" s="73">
        <v>293.50360352786578</v>
      </c>
      <c r="J812" s="73">
        <v>300.43896210997889</v>
      </c>
      <c r="K812" s="73">
        <v>293.30104089890284</v>
      </c>
      <c r="L812" s="73">
        <v>299.03066954671249</v>
      </c>
      <c r="M812" s="73">
        <v>1658250.6937220329</v>
      </c>
      <c r="N812" s="73" t="s">
        <v>880</v>
      </c>
      <c r="O812" s="25">
        <f t="shared" si="23"/>
        <v>-1.8483274733073207E-2</v>
      </c>
    </row>
    <row r="813" spans="1:15">
      <c r="A813" s="74">
        <v>409.25145967209482</v>
      </c>
      <c r="B813" s="74">
        <v>409.93455381528349</v>
      </c>
      <c r="C813" s="74">
        <v>408.44150518802826</v>
      </c>
      <c r="D813" s="74">
        <v>409.13435781897675</v>
      </c>
      <c r="E813" s="74">
        <v>3214919.2346294592</v>
      </c>
      <c r="F813" s="74" t="s">
        <v>881</v>
      </c>
      <c r="G813" s="25">
        <f t="shared" si="22"/>
        <v>2.8621857558563946E-4</v>
      </c>
      <c r="I813" s="73">
        <v>299.89879509941096</v>
      </c>
      <c r="J813" s="73">
        <v>303.02848417528355</v>
      </c>
      <c r="K813" s="73">
        <v>290.2328922788771</v>
      </c>
      <c r="L813" s="73">
        <v>291.30435212769646</v>
      </c>
      <c r="M813" s="73">
        <v>2751940.8829449513</v>
      </c>
      <c r="N813" s="73" t="s">
        <v>881</v>
      </c>
      <c r="O813" s="25">
        <f t="shared" si="23"/>
        <v>2.9503311258278098E-2</v>
      </c>
    </row>
    <row r="814" spans="1:15">
      <c r="A814" s="74">
        <v>410.5200630808738</v>
      </c>
      <c r="B814" s="74">
        <v>410.80305922590912</v>
      </c>
      <c r="C814" s="74">
        <v>408.92942957602014</v>
      </c>
      <c r="D814" s="74">
        <v>410.16875752151958</v>
      </c>
      <c r="E814" s="74">
        <v>3540033.1332252184</v>
      </c>
      <c r="F814" s="74" t="s">
        <v>882</v>
      </c>
      <c r="G814" s="25">
        <f t="shared" si="22"/>
        <v>8.5649029311007929E-4</v>
      </c>
      <c r="I814" s="73">
        <v>324.37993568550678</v>
      </c>
      <c r="J814" s="73">
        <v>327.62093774891423</v>
      </c>
      <c r="K814" s="73">
        <v>322.47005946957023</v>
      </c>
      <c r="L814" s="73">
        <v>324.17737305654379</v>
      </c>
      <c r="M814" s="73">
        <v>1146434.1729216748</v>
      </c>
      <c r="N814" s="73" t="s">
        <v>882</v>
      </c>
      <c r="O814" s="25">
        <f t="shared" si="23"/>
        <v>6.2485122589861497E-4</v>
      </c>
    </row>
    <row r="815" spans="1:15">
      <c r="A815" s="74">
        <v>409.72962557232688</v>
      </c>
      <c r="B815" s="74">
        <v>410.46151215431473</v>
      </c>
      <c r="C815" s="74">
        <v>408.06092416539457</v>
      </c>
      <c r="D815" s="74">
        <v>408.81232772290213</v>
      </c>
      <c r="E815" s="74">
        <v>2769618.6812092797</v>
      </c>
      <c r="F815" s="74" t="s">
        <v>883</v>
      </c>
      <c r="G815" s="25">
        <f t="shared" si="22"/>
        <v>2.2438116153056242E-3</v>
      </c>
      <c r="I815" s="73">
        <v>321.4958296826531</v>
      </c>
      <c r="J815" s="73">
        <v>322.84624720907283</v>
      </c>
      <c r="K815" s="73">
        <v>318.30305681661775</v>
      </c>
      <c r="L815" s="73">
        <v>321.30291289316455</v>
      </c>
      <c r="M815" s="73">
        <v>745474.77376790275</v>
      </c>
      <c r="N815" s="73" t="s">
        <v>883</v>
      </c>
      <c r="O815" s="25">
        <f t="shared" si="23"/>
        <v>6.0042029420603882E-4</v>
      </c>
    </row>
    <row r="816" spans="1:15">
      <c r="A816" s="74">
        <v>405.77743802959242</v>
      </c>
      <c r="B816" s="74">
        <v>411.95456078156997</v>
      </c>
      <c r="C816" s="74">
        <v>404.89917413120696</v>
      </c>
      <c r="D816" s="74">
        <v>411.60325522221586</v>
      </c>
      <c r="E816" s="74">
        <v>4252137.3209867058</v>
      </c>
      <c r="F816" s="74" t="s">
        <v>884</v>
      </c>
      <c r="G816" s="25">
        <f t="shared" si="22"/>
        <v>-1.4153962872519577E-2</v>
      </c>
      <c r="I816" s="73">
        <v>318.61172367979941</v>
      </c>
      <c r="J816" s="73">
        <v>326.4481965856134</v>
      </c>
      <c r="K816" s="73">
        <v>318.1004941876547</v>
      </c>
      <c r="L816" s="73">
        <v>323.58897684860375</v>
      </c>
      <c r="M816" s="73">
        <v>828586.25433166372</v>
      </c>
      <c r="N816" s="73" t="s">
        <v>884</v>
      </c>
      <c r="O816" s="25">
        <f t="shared" si="23"/>
        <v>-1.5381405192714692E-2</v>
      </c>
    </row>
    <row r="817" spans="1:15">
      <c r="A817" s="74">
        <v>408.54884855338651</v>
      </c>
      <c r="B817" s="74">
        <v>409.74914254784653</v>
      </c>
      <c r="C817" s="74">
        <v>406.51908309934009</v>
      </c>
      <c r="D817" s="74">
        <v>407.53396582636327</v>
      </c>
      <c r="E817" s="74">
        <v>6290766.7161963824</v>
      </c>
      <c r="F817" s="74" t="s">
        <v>885</v>
      </c>
      <c r="G817" s="25">
        <f t="shared" si="22"/>
        <v>2.4903021885926968E-3</v>
      </c>
      <c r="I817" s="73">
        <v>322.13245508796524</v>
      </c>
      <c r="J817" s="73">
        <v>324.93939437502354</v>
      </c>
      <c r="K817" s="73">
        <v>318.34164017451542</v>
      </c>
      <c r="L817" s="73">
        <v>323.65649772492475</v>
      </c>
      <c r="M817" s="73">
        <v>701177.95531754382</v>
      </c>
      <c r="N817" s="73" t="s">
        <v>885</v>
      </c>
      <c r="O817" s="25">
        <f t="shared" si="23"/>
        <v>-4.7088275615426722E-3</v>
      </c>
    </row>
    <row r="818" spans="1:15">
      <c r="A818" s="74">
        <v>408.45126367578808</v>
      </c>
      <c r="B818" s="74">
        <v>409.51493884161044</v>
      </c>
      <c r="C818" s="74">
        <v>406.99471179275463</v>
      </c>
      <c r="D818" s="74">
        <v>407.00700748733203</v>
      </c>
      <c r="E818" s="74">
        <v>4047049.1916315909</v>
      </c>
      <c r="F818" s="74" t="s">
        <v>886</v>
      </c>
      <c r="G818" s="25">
        <f t="shared" si="22"/>
        <v>3.548479907931279E-3</v>
      </c>
      <c r="I818" s="73">
        <v>325.92327000141506</v>
      </c>
      <c r="J818" s="73">
        <v>327.51965643443276</v>
      </c>
      <c r="K818" s="73">
        <v>323.30924750384537</v>
      </c>
      <c r="L818" s="73">
        <v>324.70789422763727</v>
      </c>
      <c r="M818" s="73">
        <v>445557.90207728802</v>
      </c>
      <c r="N818" s="73" t="s">
        <v>886</v>
      </c>
      <c r="O818" s="25">
        <f t="shared" si="23"/>
        <v>3.7429819089207506E-3</v>
      </c>
    </row>
    <row r="819" spans="1:15">
      <c r="A819" s="74">
        <v>407.25096968132794</v>
      </c>
      <c r="B819" s="74">
        <v>408.00237323883556</v>
      </c>
      <c r="C819" s="74">
        <v>405.96772854090926</v>
      </c>
      <c r="D819" s="74">
        <v>406.51908309934009</v>
      </c>
      <c r="E819" s="74">
        <v>3557032.6934114527</v>
      </c>
      <c r="F819" s="74" t="s">
        <v>887</v>
      </c>
      <c r="G819" s="25">
        <f t="shared" si="22"/>
        <v>1.8003744778913866E-3</v>
      </c>
      <c r="I819" s="73">
        <v>326.15477014880133</v>
      </c>
      <c r="J819" s="73">
        <v>327.69810446470967</v>
      </c>
      <c r="K819" s="73">
        <v>324.26418561181367</v>
      </c>
      <c r="L819" s="73">
        <v>326.30910358039216</v>
      </c>
      <c r="M819" s="73">
        <v>442084.90212857281</v>
      </c>
      <c r="N819" s="73" t="s">
        <v>887</v>
      </c>
      <c r="O819" s="25">
        <f t="shared" si="23"/>
        <v>-4.7296698099263956E-4</v>
      </c>
    </row>
    <row r="820" spans="1:15">
      <c r="A820" s="74">
        <v>405.53347583559645</v>
      </c>
      <c r="B820" s="74">
        <v>407.22169421804847</v>
      </c>
      <c r="C820" s="74">
        <v>405.44564944575791</v>
      </c>
      <c r="D820" s="74">
        <v>407.03628295061156</v>
      </c>
      <c r="E820" s="74">
        <v>3255333.2833740916</v>
      </c>
      <c r="F820" s="74" t="s">
        <v>888</v>
      </c>
      <c r="G820" s="25">
        <f t="shared" si="22"/>
        <v>-3.6920716357795591E-3</v>
      </c>
      <c r="I820" s="73">
        <v>325.14195700398648</v>
      </c>
      <c r="J820" s="73">
        <v>331.81687792028998</v>
      </c>
      <c r="K820" s="73">
        <v>324.84293598027921</v>
      </c>
      <c r="L820" s="73">
        <v>331.43104434131294</v>
      </c>
      <c r="M820" s="73">
        <v>678923.80101929896</v>
      </c>
      <c r="N820" s="73" t="s">
        <v>888</v>
      </c>
      <c r="O820" s="25">
        <f t="shared" si="23"/>
        <v>-1.8975552968568232E-2</v>
      </c>
    </row>
    <row r="821" spans="1:15">
      <c r="A821" s="74">
        <v>405.48468339679727</v>
      </c>
      <c r="B821" s="74">
        <v>408.06092416539457</v>
      </c>
      <c r="C821" s="74">
        <v>404.8015892536086</v>
      </c>
      <c r="D821" s="74">
        <v>407.22169421804847</v>
      </c>
      <c r="E821" s="74">
        <v>4186096.3507195371</v>
      </c>
      <c r="F821" s="74" t="s">
        <v>889</v>
      </c>
      <c r="G821" s="25">
        <f t="shared" si="22"/>
        <v>-4.2655164150491309E-3</v>
      </c>
      <c r="I821" s="73">
        <v>330.42787703597253</v>
      </c>
      <c r="J821" s="73">
        <v>332.33293033217188</v>
      </c>
      <c r="K821" s="73">
        <v>328.47941746213826</v>
      </c>
      <c r="L821" s="73">
        <v>331.77829456239226</v>
      </c>
      <c r="M821" s="73">
        <v>853544.16500789335</v>
      </c>
      <c r="N821" s="73" t="s">
        <v>889</v>
      </c>
      <c r="O821" s="25">
        <f t="shared" si="23"/>
        <v>-4.0702407256656414E-3</v>
      </c>
    </row>
    <row r="822" spans="1:15">
      <c r="A822" s="74">
        <v>408.14875055523311</v>
      </c>
      <c r="B822" s="74">
        <v>409.241701184335</v>
      </c>
      <c r="C822" s="74">
        <v>407.40710548548543</v>
      </c>
      <c r="D822" s="74">
        <v>407.97309777555603</v>
      </c>
      <c r="E822" s="74">
        <v>3581411.4707235582</v>
      </c>
      <c r="F822" s="74" t="s">
        <v>890</v>
      </c>
      <c r="G822" s="25">
        <f t="shared" si="22"/>
        <v>4.3054990791024927E-4</v>
      </c>
      <c r="I822" s="73">
        <v>331.81687792028998</v>
      </c>
      <c r="J822" s="73">
        <v>333.27339968092849</v>
      </c>
      <c r="K822" s="73">
        <v>327.00360402255092</v>
      </c>
      <c r="L822" s="73">
        <v>333.18658712565866</v>
      </c>
      <c r="M822" s="73">
        <v>663231.02483311936</v>
      </c>
      <c r="N822" s="73" t="s">
        <v>890</v>
      </c>
      <c r="O822" s="25">
        <f t="shared" si="23"/>
        <v>-4.1109374095305018E-3</v>
      </c>
    </row>
    <row r="823" spans="1:15">
      <c r="A823" s="74">
        <v>407.27048665684771</v>
      </c>
      <c r="B823" s="74">
        <v>407.83647894691831</v>
      </c>
      <c r="C823" s="74">
        <v>403.55250282034933</v>
      </c>
      <c r="D823" s="74">
        <v>403.91356686746332</v>
      </c>
      <c r="E823" s="74">
        <v>3686312.9703404387</v>
      </c>
      <c r="F823" s="74" t="s">
        <v>891</v>
      </c>
      <c r="G823" s="25">
        <f t="shared" si="22"/>
        <v>8.3109854799354732E-3</v>
      </c>
      <c r="I823" s="73">
        <v>334.60452552839939</v>
      </c>
      <c r="J823" s="73">
        <v>336.17679736273101</v>
      </c>
      <c r="K823" s="73">
        <v>329.8877100254046</v>
      </c>
      <c r="L823" s="73">
        <v>329.8877100254046</v>
      </c>
      <c r="M823" s="73">
        <v>688871.09490226081</v>
      </c>
      <c r="N823" s="73" t="s">
        <v>891</v>
      </c>
      <c r="O823" s="25">
        <f t="shared" si="23"/>
        <v>1.4298245614035032E-2</v>
      </c>
    </row>
    <row r="824" spans="1:15">
      <c r="A824" s="74">
        <v>404.20632150025847</v>
      </c>
      <c r="B824" s="74">
        <v>405.22071630289366</v>
      </c>
      <c r="C824" s="74">
        <v>402.66448043420399</v>
      </c>
      <c r="D824" s="74">
        <v>402.6839974097237</v>
      </c>
      <c r="E824" s="74">
        <v>3041728.4655683292</v>
      </c>
      <c r="F824" s="74" t="s">
        <v>892</v>
      </c>
      <c r="G824" s="25">
        <f t="shared" si="22"/>
        <v>3.7804434750998706E-3</v>
      </c>
      <c r="I824" s="73">
        <v>330.44716871492136</v>
      </c>
      <c r="J824" s="73">
        <v>331.49856521763394</v>
      </c>
      <c r="K824" s="73">
        <v>326.52131204882954</v>
      </c>
      <c r="L824" s="73">
        <v>327.2158124909883</v>
      </c>
      <c r="M824" s="73">
        <v>574535.7897249466</v>
      </c>
      <c r="N824" s="73" t="s">
        <v>892</v>
      </c>
      <c r="O824" s="25">
        <f t="shared" si="23"/>
        <v>9.8753058396958693E-3</v>
      </c>
    </row>
    <row r="825" spans="1:15">
      <c r="A825" s="74">
        <v>402.80109926284172</v>
      </c>
      <c r="B825" s="74">
        <v>404.69424588825035</v>
      </c>
      <c r="C825" s="74">
        <v>402.12776360741293</v>
      </c>
      <c r="D825" s="74">
        <v>403.94284233074285</v>
      </c>
      <c r="E825" s="74">
        <v>3772044.4915135377</v>
      </c>
      <c r="F825" s="74" t="s">
        <v>893</v>
      </c>
      <c r="G825" s="25">
        <f t="shared" si="22"/>
        <v>-2.8264965937093711E-3</v>
      </c>
      <c r="I825" s="73">
        <v>329.14498038587374</v>
      </c>
      <c r="J825" s="73">
        <v>330.26389776490726</v>
      </c>
      <c r="K825" s="73">
        <v>326.56954124620171</v>
      </c>
      <c r="L825" s="73">
        <v>329.72373075433933</v>
      </c>
      <c r="M825" s="73">
        <v>398260.82635780022</v>
      </c>
      <c r="N825" s="73" t="s">
        <v>893</v>
      </c>
      <c r="O825" s="25">
        <f t="shared" si="23"/>
        <v>-1.7552584618084621E-3</v>
      </c>
    </row>
    <row r="826" spans="1:15">
      <c r="A826" s="74">
        <v>403.12312935891646</v>
      </c>
      <c r="B826" s="74">
        <v>403.81598198986495</v>
      </c>
      <c r="C826" s="74">
        <v>401.20070727022829</v>
      </c>
      <c r="D826" s="74">
        <v>401.60080526838169</v>
      </c>
      <c r="E826" s="74">
        <v>3354440.8524771994</v>
      </c>
      <c r="F826" s="74" t="s">
        <v>894</v>
      </c>
      <c r="G826" s="25">
        <f t="shared" si="22"/>
        <v>3.7906400349905223E-3</v>
      </c>
      <c r="I826" s="73">
        <v>330.3314186412282</v>
      </c>
      <c r="J826" s="73">
        <v>331.48882291976474</v>
      </c>
      <c r="K826" s="73">
        <v>325.46991554611702</v>
      </c>
      <c r="L826" s="73">
        <v>328.11287556211005</v>
      </c>
      <c r="M826" s="73">
        <v>482886.94958576193</v>
      </c>
      <c r="N826" s="73" t="s">
        <v>894</v>
      </c>
      <c r="O826" s="25">
        <f t="shared" si="23"/>
        <v>6.7615239887108824E-3</v>
      </c>
    </row>
    <row r="827" spans="1:15">
      <c r="A827" s="74">
        <v>399.86379444713043</v>
      </c>
      <c r="B827" s="74">
        <v>401.20070727022829</v>
      </c>
      <c r="C827" s="74">
        <v>398.9172211344262</v>
      </c>
      <c r="D827" s="74">
        <v>400.28340942080348</v>
      </c>
      <c r="E827" s="74">
        <v>4351451.8893759446</v>
      </c>
      <c r="F827" s="74" t="s">
        <v>895</v>
      </c>
      <c r="G827" s="25">
        <f t="shared" si="22"/>
        <v>-1.0482946927033998E-3</v>
      </c>
      <c r="I827" s="73">
        <v>327.52447935416996</v>
      </c>
      <c r="J827" s="73">
        <v>329.53081396485078</v>
      </c>
      <c r="K827" s="73">
        <v>326.11618679090361</v>
      </c>
      <c r="L827" s="73">
        <v>329.3861263727344</v>
      </c>
      <c r="M827" s="73">
        <v>525209.86000556755</v>
      </c>
      <c r="N827" s="73" t="s">
        <v>895</v>
      </c>
      <c r="O827" s="25">
        <f t="shared" si="23"/>
        <v>-5.6518683378236068E-3</v>
      </c>
    </row>
    <row r="828" spans="1:15">
      <c r="A828" s="74">
        <v>396.74107836398224</v>
      </c>
      <c r="B828" s="74">
        <v>397.17045182541511</v>
      </c>
      <c r="C828" s="74">
        <v>394.01846027898733</v>
      </c>
      <c r="D828" s="74">
        <v>394.99430905497115</v>
      </c>
      <c r="E828" s="74">
        <v>3260618.9384130086</v>
      </c>
      <c r="F828" s="74" t="s">
        <v>896</v>
      </c>
      <c r="G828" s="25">
        <f t="shared" si="22"/>
        <v>4.4222644958866741E-3</v>
      </c>
      <c r="I828" s="73">
        <v>326.16441598827572</v>
      </c>
      <c r="J828" s="73">
        <v>329.57904316222294</v>
      </c>
      <c r="K828" s="73">
        <v>324.85258181975365</v>
      </c>
      <c r="L828" s="73">
        <v>326.43449949355971</v>
      </c>
      <c r="M828" s="73">
        <v>775256.52586543746</v>
      </c>
      <c r="N828" s="73" t="s">
        <v>896</v>
      </c>
      <c r="O828" s="25">
        <f t="shared" si="23"/>
        <v>-8.2737426866030805E-4</v>
      </c>
    </row>
    <row r="829" spans="1:15">
      <c r="A829" s="74">
        <v>394.21363003418418</v>
      </c>
      <c r="B829" s="74">
        <v>394.3502488628219</v>
      </c>
      <c r="C829" s="74">
        <v>392.34975887205502</v>
      </c>
      <c r="D829" s="74">
        <v>392.90599267436579</v>
      </c>
      <c r="E829" s="74">
        <v>3445489.7959063947</v>
      </c>
      <c r="F829" s="74" t="s">
        <v>897</v>
      </c>
      <c r="G829" s="25">
        <f t="shared" si="22"/>
        <v>3.3281176266053425E-3</v>
      </c>
      <c r="I829" s="73">
        <v>323.85906035388768</v>
      </c>
      <c r="J829" s="73">
        <v>323.9651645881064</v>
      </c>
      <c r="K829" s="73">
        <v>313.71163722679046</v>
      </c>
      <c r="L829" s="73">
        <v>313.71163722679046</v>
      </c>
      <c r="M829" s="73">
        <v>625951.73971197032</v>
      </c>
      <c r="N829" s="73" t="s">
        <v>897</v>
      </c>
      <c r="O829" s="25">
        <f t="shared" si="23"/>
        <v>3.2346339513575018E-2</v>
      </c>
    </row>
    <row r="830" spans="1:15">
      <c r="A830" s="74">
        <v>393.15971335612159</v>
      </c>
      <c r="B830" s="74">
        <v>396.85720436832429</v>
      </c>
      <c r="C830" s="74">
        <v>392.98406057644451</v>
      </c>
      <c r="D830" s="74">
        <v>393.29633218475931</v>
      </c>
      <c r="E830" s="74">
        <v>3764158.0236617527</v>
      </c>
      <c r="F830" s="74" t="s">
        <v>898</v>
      </c>
      <c r="G830" s="25">
        <f t="shared" si="22"/>
        <v>-3.4736868223206319E-4</v>
      </c>
      <c r="I830" s="73">
        <v>313.85632481890684</v>
      </c>
      <c r="J830" s="73">
        <v>316.78866001913269</v>
      </c>
      <c r="K830" s="73">
        <v>310.21984333704791</v>
      </c>
      <c r="L830" s="73">
        <v>311.06867721079743</v>
      </c>
      <c r="M830" s="73">
        <v>541070.58424896863</v>
      </c>
      <c r="N830" s="73" t="s">
        <v>898</v>
      </c>
      <c r="O830" s="25">
        <f t="shared" si="23"/>
        <v>8.9615181866105065E-3</v>
      </c>
    </row>
    <row r="831" spans="1:15">
      <c r="A831" s="74">
        <v>394.0770112055464</v>
      </c>
      <c r="B831" s="74">
        <v>394.58445256905799</v>
      </c>
      <c r="C831" s="74">
        <v>391.86183448406314</v>
      </c>
      <c r="D831" s="74">
        <v>394.02821876674716</v>
      </c>
      <c r="E831" s="74">
        <v>6189761.3120540967</v>
      </c>
      <c r="F831" s="74" t="s">
        <v>899</v>
      </c>
      <c r="G831" s="25">
        <f t="shared" si="22"/>
        <v>1.2382980831149304E-4</v>
      </c>
      <c r="I831" s="73">
        <v>312.99784510568287</v>
      </c>
      <c r="J831" s="73">
        <v>313.76951226363701</v>
      </c>
      <c r="K831" s="73">
        <v>310.38382260811312</v>
      </c>
      <c r="L831" s="73">
        <v>312.66024072407788</v>
      </c>
      <c r="M831" s="73">
        <v>602703.37438363058</v>
      </c>
      <c r="N831" s="73" t="s">
        <v>899</v>
      </c>
      <c r="O831" s="25">
        <f t="shared" si="23"/>
        <v>1.0797803418276519E-3</v>
      </c>
    </row>
    <row r="832" spans="1:15">
      <c r="A832" s="74">
        <v>397.31682914181266</v>
      </c>
      <c r="B832" s="74">
        <v>397.9901647972415</v>
      </c>
      <c r="C832" s="74">
        <v>396.20436153719112</v>
      </c>
      <c r="D832" s="74">
        <v>396.20436153719112</v>
      </c>
      <c r="E832" s="74">
        <v>4338914.0860798694</v>
      </c>
      <c r="F832" s="74" t="s">
        <v>900</v>
      </c>
      <c r="G832" s="25">
        <f t="shared" si="22"/>
        <v>2.8078126154527094E-3</v>
      </c>
      <c r="I832" s="73">
        <v>315.50576336903384</v>
      </c>
      <c r="J832" s="73">
        <v>317.11661856126318</v>
      </c>
      <c r="K832" s="73">
        <v>313.49942875835308</v>
      </c>
      <c r="L832" s="73">
        <v>315.04276307426142</v>
      </c>
      <c r="M832" s="73">
        <v>601760.99917366577</v>
      </c>
      <c r="N832" s="73" t="s">
        <v>900</v>
      </c>
      <c r="O832" s="25">
        <f t="shared" si="23"/>
        <v>1.4696426931199991E-3</v>
      </c>
    </row>
    <row r="833" spans="1:15">
      <c r="A833" s="74">
        <v>398.20485152795794</v>
      </c>
      <c r="B833" s="74">
        <v>398.20485152795794</v>
      </c>
      <c r="C833" s="74">
        <v>396.85818021710031</v>
      </c>
      <c r="D833" s="74">
        <v>397.0923839233364</v>
      </c>
      <c r="E833" s="74">
        <v>2430723.9588517216</v>
      </c>
      <c r="F833" s="74" t="s">
        <v>901</v>
      </c>
      <c r="G833" s="25">
        <f t="shared" si="22"/>
        <v>2.8015334709525774E-3</v>
      </c>
      <c r="I833" s="73">
        <v>317.80147316394755</v>
      </c>
      <c r="J833" s="73">
        <v>318.34164017451542</v>
      </c>
      <c r="K833" s="73">
        <v>314.6183461373866</v>
      </c>
      <c r="L833" s="73">
        <v>317.78218148499866</v>
      </c>
      <c r="M833" s="73">
        <v>356979.81592260918</v>
      </c>
      <c r="N833" s="73" t="s">
        <v>901</v>
      </c>
      <c r="O833" s="25">
        <f t="shared" si="23"/>
        <v>6.0707239338375629E-5</v>
      </c>
    </row>
    <row r="834" spans="1:15">
      <c r="A834" s="74">
        <v>397.44368948269056</v>
      </c>
      <c r="B834" s="74">
        <v>398.36098733211543</v>
      </c>
      <c r="C834" s="74">
        <v>395.5017504184828</v>
      </c>
      <c r="D834" s="74">
        <v>395.60909378384099</v>
      </c>
      <c r="E834" s="74">
        <v>5301735.3993030749</v>
      </c>
      <c r="F834" s="74" t="s">
        <v>902</v>
      </c>
      <c r="G834" s="25">
        <f t="shared" si="22"/>
        <v>4.6373951652687317E-3</v>
      </c>
      <c r="I834" s="73">
        <v>317.78218148499866</v>
      </c>
      <c r="J834" s="73">
        <v>319.66312018251193</v>
      </c>
      <c r="K834" s="73">
        <v>313.9141998557534</v>
      </c>
      <c r="L834" s="73">
        <v>315.5636384058804</v>
      </c>
      <c r="M834" s="73">
        <v>640037.60547411756</v>
      </c>
      <c r="N834" s="73" t="s">
        <v>902</v>
      </c>
      <c r="O834" s="25">
        <f t="shared" si="23"/>
        <v>7.0304141830965783E-3</v>
      </c>
    </row>
    <row r="835" spans="1:15">
      <c r="A835" s="74">
        <v>392.78889082124778</v>
      </c>
      <c r="B835" s="74">
        <v>392.94502662540521</v>
      </c>
      <c r="C835" s="74">
        <v>390.52492166096528</v>
      </c>
      <c r="D835" s="74">
        <v>390.92501965911868</v>
      </c>
      <c r="E835" s="74">
        <v>4011737.3678653939</v>
      </c>
      <c r="F835" s="74" t="s">
        <v>903</v>
      </c>
      <c r="G835" s="25">
        <f t="shared" si="22"/>
        <v>4.7678482276585221E-3</v>
      </c>
      <c r="I835" s="73">
        <v>312.75669911882221</v>
      </c>
      <c r="J835" s="73">
        <v>313.7212830662649</v>
      </c>
      <c r="K835" s="73">
        <v>308.42571719480446</v>
      </c>
      <c r="L835" s="73">
        <v>309.21667603170744</v>
      </c>
      <c r="M835" s="73">
        <v>555947.46462630085</v>
      </c>
      <c r="N835" s="73" t="s">
        <v>903</v>
      </c>
      <c r="O835" s="25">
        <f t="shared" si="23"/>
        <v>1.1448357613002003E-2</v>
      </c>
    </row>
    <row r="836" spans="1:15">
      <c r="A836" s="74">
        <v>391.28979193158125</v>
      </c>
      <c r="B836" s="74">
        <v>392.1986379270005</v>
      </c>
      <c r="C836" s="74">
        <v>389.50126077482031</v>
      </c>
      <c r="D836" s="74">
        <v>390.12335856847631</v>
      </c>
      <c r="E836" s="74">
        <v>4445008.6597304381</v>
      </c>
      <c r="F836" s="74" t="s">
        <v>904</v>
      </c>
      <c r="G836" s="25">
        <f t="shared" si="22"/>
        <v>2.9899090569327491E-3</v>
      </c>
      <c r="I836" s="73">
        <v>309.83400975807075</v>
      </c>
      <c r="J836" s="73">
        <v>315.28390906112207</v>
      </c>
      <c r="K836" s="73">
        <v>303.5979745378537</v>
      </c>
      <c r="L836" s="73">
        <v>312.7663449582966</v>
      </c>
      <c r="M836" s="73">
        <v>882967.21323012782</v>
      </c>
      <c r="N836" s="73" t="s">
        <v>904</v>
      </c>
      <c r="O836" s="25">
        <f t="shared" si="23"/>
        <v>-9.3754818812645802E-3</v>
      </c>
    </row>
    <row r="837" spans="1:15">
      <c r="A837" s="74">
        <v>391.11482692711547</v>
      </c>
      <c r="B837" s="74">
        <v>391.65916249656448</v>
      </c>
      <c r="C837" s="74">
        <v>387.24615627281742</v>
      </c>
      <c r="D837" s="74">
        <v>387.64468767187827</v>
      </c>
      <c r="E837" s="74">
        <v>4426170.7211948764</v>
      </c>
      <c r="F837" s="74" t="s">
        <v>905</v>
      </c>
      <c r="G837" s="25">
        <f t="shared" si="22"/>
        <v>8.9518555667000843E-3</v>
      </c>
      <c r="I837" s="73">
        <v>311.2326564818627</v>
      </c>
      <c r="J837" s="73">
        <v>313.25828277149236</v>
      </c>
      <c r="K837" s="73">
        <v>306.01425732619771</v>
      </c>
      <c r="L837" s="73">
        <v>306.25540331305837</v>
      </c>
      <c r="M837" s="73">
        <v>626730.31373032404</v>
      </c>
      <c r="N837" s="73" t="s">
        <v>905</v>
      </c>
      <c r="O837" s="25">
        <f t="shared" si="23"/>
        <v>1.6251968503937064E-2</v>
      </c>
    </row>
    <row r="838" spans="1:15">
      <c r="A838" s="74">
        <v>386.82818431770477</v>
      </c>
      <c r="B838" s="74">
        <v>389.64706494520846</v>
      </c>
      <c r="C838" s="74">
        <v>386.60461792310969</v>
      </c>
      <c r="D838" s="74">
        <v>387.87797434449925</v>
      </c>
      <c r="E838" s="74">
        <v>3344245.9066982488</v>
      </c>
      <c r="F838" s="74" t="s">
        <v>906</v>
      </c>
      <c r="G838" s="25">
        <f t="shared" si="22"/>
        <v>-2.7064955894147147E-3</v>
      </c>
      <c r="I838" s="73">
        <v>306.77627864467746</v>
      </c>
      <c r="J838" s="73">
        <v>308.36301923822066</v>
      </c>
      <c r="K838" s="73">
        <v>302.04981730220817</v>
      </c>
      <c r="L838" s="73">
        <v>302.25237993117116</v>
      </c>
      <c r="M838" s="73">
        <v>737217.3276211815</v>
      </c>
      <c r="N838" s="73" t="s">
        <v>906</v>
      </c>
      <c r="O838" s="25">
        <f t="shared" si="23"/>
        <v>1.4967288973990911E-2</v>
      </c>
    </row>
    <row r="839" spans="1:15">
      <c r="A839" s="74">
        <v>388.43203019197409</v>
      </c>
      <c r="B839" s="74">
        <v>390.05531662229515</v>
      </c>
      <c r="C839" s="74">
        <v>387.77105128621463</v>
      </c>
      <c r="D839" s="74">
        <v>388.15986240724959</v>
      </c>
      <c r="E839" s="74">
        <v>4336611.5545040993</v>
      </c>
      <c r="F839" s="74" t="s">
        <v>907</v>
      </c>
      <c r="G839" s="25">
        <f t="shared" si="22"/>
        <v>7.0117446723272359E-4</v>
      </c>
      <c r="I839" s="73">
        <v>302.17521321537572</v>
      </c>
      <c r="J839" s="73">
        <v>304.13814154842163</v>
      </c>
      <c r="K839" s="73">
        <v>299.0210237072381</v>
      </c>
      <c r="L839" s="73">
        <v>300.02419101257851</v>
      </c>
      <c r="M839" s="73">
        <v>1667807.145521214</v>
      </c>
      <c r="N839" s="73" t="s">
        <v>907</v>
      </c>
      <c r="O839" s="25">
        <f t="shared" si="23"/>
        <v>7.1694958847736689E-3</v>
      </c>
    </row>
    <row r="840" spans="1:15">
      <c r="A840" s="74">
        <v>391.36755415578824</v>
      </c>
      <c r="B840" s="74">
        <v>391.45503665802113</v>
      </c>
      <c r="C840" s="74">
        <v>388.76251964485385</v>
      </c>
      <c r="D840" s="74">
        <v>389.08328881970766</v>
      </c>
      <c r="E840" s="74">
        <v>3231410.6568133757</v>
      </c>
      <c r="F840" s="74" t="s">
        <v>908</v>
      </c>
      <c r="G840" s="25">
        <f t="shared" si="22"/>
        <v>5.8708903767363818E-3</v>
      </c>
      <c r="I840" s="73">
        <v>303.82465176550278</v>
      </c>
      <c r="J840" s="73">
        <v>307.50936244473388</v>
      </c>
      <c r="K840" s="73">
        <v>301.96300474693834</v>
      </c>
      <c r="L840" s="73">
        <v>306.92096623679384</v>
      </c>
      <c r="M840" s="73">
        <v>763549.92424726079</v>
      </c>
      <c r="N840" s="73" t="s">
        <v>908</v>
      </c>
      <c r="O840" s="25">
        <f t="shared" si="23"/>
        <v>-1.0088312014833845E-2</v>
      </c>
    </row>
    <row r="841" spans="1:15">
      <c r="A841" s="74">
        <v>389.94839356401053</v>
      </c>
      <c r="B841" s="74">
        <v>391.78552611090083</v>
      </c>
      <c r="C841" s="74">
        <v>389.46237966271684</v>
      </c>
      <c r="D841" s="74">
        <v>391.05650525896021</v>
      </c>
      <c r="E841" s="74">
        <v>3522062.8369752495</v>
      </c>
      <c r="F841" s="74" t="s">
        <v>909</v>
      </c>
      <c r="G841" s="25">
        <f t="shared" si="22"/>
        <v>-2.8336357535233558E-3</v>
      </c>
      <c r="I841" s="73">
        <v>309.39030114224715</v>
      </c>
      <c r="J841" s="73">
        <v>310.29701005284329</v>
      </c>
      <c r="K841" s="73">
        <v>301.41319189689602</v>
      </c>
      <c r="L841" s="73">
        <v>302.22344241274783</v>
      </c>
      <c r="M841" s="73">
        <v>739146.65684642293</v>
      </c>
      <c r="N841" s="73" t="s">
        <v>909</v>
      </c>
      <c r="O841" s="25">
        <f t="shared" si="23"/>
        <v>2.3713775054257757E-2</v>
      </c>
    </row>
    <row r="842" spans="1:15">
      <c r="A842" s="74">
        <v>392.0965750077288</v>
      </c>
      <c r="B842" s="74">
        <v>393.01028114216103</v>
      </c>
      <c r="C842" s="74">
        <v>390.03587606624342</v>
      </c>
      <c r="D842" s="74">
        <v>392.20349806601342</v>
      </c>
      <c r="E842" s="74">
        <v>4369094.1644829009</v>
      </c>
      <c r="F842" s="74" t="s">
        <v>910</v>
      </c>
      <c r="G842" s="25">
        <f t="shared" si="22"/>
        <v>-2.7262137847283707E-4</v>
      </c>
      <c r="I842" s="73">
        <v>304.22013118395427</v>
      </c>
      <c r="J842" s="73">
        <v>305.56090287089961</v>
      </c>
      <c r="K842" s="73">
        <v>299.92840782659744</v>
      </c>
      <c r="L842" s="73">
        <v>301.91477554956617</v>
      </c>
      <c r="M842" s="73">
        <v>620502.75829989661</v>
      </c>
      <c r="N842" s="73" t="s">
        <v>910</v>
      </c>
      <c r="O842" s="25">
        <f t="shared" si="23"/>
        <v>7.6357827476039031E-3</v>
      </c>
    </row>
    <row r="843" spans="1:15">
      <c r="A843" s="74">
        <v>393.91426699856737</v>
      </c>
      <c r="B843" s="74">
        <v>397.32608458564931</v>
      </c>
      <c r="C843" s="74">
        <v>393.56433698963588</v>
      </c>
      <c r="D843" s="74">
        <v>397.25804263946821</v>
      </c>
      <c r="E843" s="74">
        <v>5289853.8357778713</v>
      </c>
      <c r="F843" s="74" t="s">
        <v>911</v>
      </c>
      <c r="G843" s="25">
        <f t="shared" si="22"/>
        <v>-8.4171376838190204E-3</v>
      </c>
      <c r="I843" s="73">
        <v>304.61561060240575</v>
      </c>
      <c r="J843" s="73">
        <v>310.53815603970395</v>
      </c>
      <c r="K843" s="73">
        <v>303.37129731020468</v>
      </c>
      <c r="L843" s="73">
        <v>309.94011399228947</v>
      </c>
      <c r="M843" s="73">
        <v>1484348.7742004415</v>
      </c>
      <c r="N843" s="73" t="s">
        <v>911</v>
      </c>
      <c r="O843" s="25">
        <f t="shared" si="23"/>
        <v>-1.717913606373711E-2</v>
      </c>
    </row>
    <row r="844" spans="1:15">
      <c r="A844" s="74">
        <v>395.37230870244855</v>
      </c>
      <c r="B844" s="74">
        <v>396.51930150950176</v>
      </c>
      <c r="C844" s="74">
        <v>389.67622577928603</v>
      </c>
      <c r="D844" s="74">
        <v>389.78314883757065</v>
      </c>
      <c r="E844" s="74">
        <v>5437070.8182747522</v>
      </c>
      <c r="F844" s="74" t="s">
        <v>912</v>
      </c>
      <c r="G844" s="25">
        <f t="shared" si="22"/>
        <v>1.4339152119700715E-2</v>
      </c>
      <c r="I844" s="73">
        <v>308.09775865267392</v>
      </c>
      <c r="J844" s="73">
        <v>308.3774879974323</v>
      </c>
      <c r="K844" s="73">
        <v>299.6576491125503</v>
      </c>
      <c r="L844" s="73">
        <v>301.01771247844448</v>
      </c>
      <c r="M844" s="73">
        <v>516637.2520724553</v>
      </c>
      <c r="N844" s="73" t="s">
        <v>912</v>
      </c>
      <c r="O844" s="25">
        <f t="shared" si="23"/>
        <v>2.3520364020892748E-2</v>
      </c>
    </row>
    <row r="845" spans="1:15">
      <c r="A845" s="74">
        <v>390.36636551912318</v>
      </c>
      <c r="B845" s="74">
        <v>392.1510085646737</v>
      </c>
      <c r="C845" s="74">
        <v>387.31419821899851</v>
      </c>
      <c r="D845" s="74">
        <v>390.37608579714902</v>
      </c>
      <c r="E845" s="74">
        <v>5309804.9111981187</v>
      </c>
      <c r="F845" s="74" t="s">
        <v>913</v>
      </c>
      <c r="G845" s="25">
        <f t="shared" si="22"/>
        <v>-2.4899778391929139E-5</v>
      </c>
      <c r="I845" s="73">
        <v>302.03052562325934</v>
      </c>
      <c r="J845" s="73">
        <v>306.41938258412364</v>
      </c>
      <c r="K845" s="73">
        <v>298.4519191782469</v>
      </c>
      <c r="L845" s="73">
        <v>304.72171483662447</v>
      </c>
      <c r="M845" s="73">
        <v>744656.80452625011</v>
      </c>
      <c r="N845" s="73" t="s">
        <v>913</v>
      </c>
      <c r="O845" s="25">
        <f t="shared" si="23"/>
        <v>-8.831629261498497E-3</v>
      </c>
    </row>
    <row r="846" spans="1:15">
      <c r="A846" s="74">
        <v>390.06503690032105</v>
      </c>
      <c r="B846" s="74">
        <v>390.60937246977005</v>
      </c>
      <c r="C846" s="74">
        <v>388.22790435343069</v>
      </c>
      <c r="D846" s="74">
        <v>388.82958956323239</v>
      </c>
      <c r="E846" s="74">
        <v>4025692.4643345485</v>
      </c>
      <c r="F846" s="74" t="s">
        <v>914</v>
      </c>
      <c r="G846" s="25">
        <f t="shared" si="22"/>
        <v>3.1773490759188228E-3</v>
      </c>
      <c r="I846" s="73">
        <v>304.29729789974971</v>
      </c>
      <c r="J846" s="73">
        <v>304.61078768266856</v>
      </c>
      <c r="K846" s="73">
        <v>299.0210237072381</v>
      </c>
      <c r="L846" s="73">
        <v>299.0210237072381</v>
      </c>
      <c r="M846" s="73">
        <v>965651.56663601694</v>
      </c>
      <c r="N846" s="73" t="s">
        <v>914</v>
      </c>
      <c r="O846" s="25">
        <f t="shared" si="23"/>
        <v>1.7645161290322564E-2</v>
      </c>
    </row>
    <row r="847" spans="1:15">
      <c r="A847" s="74">
        <v>387.50860377951602</v>
      </c>
      <c r="B847" s="74">
        <v>387.53290447458073</v>
      </c>
      <c r="C847" s="74">
        <v>384.24259036282217</v>
      </c>
      <c r="D847" s="74">
        <v>384.90356926858163</v>
      </c>
      <c r="E847" s="74">
        <v>3906518.9183807769</v>
      </c>
      <c r="F847" s="74" t="s">
        <v>915</v>
      </c>
      <c r="G847" s="25">
        <f t="shared" si="22"/>
        <v>6.7680185867973197E-3</v>
      </c>
      <c r="I847" s="73">
        <v>298.80881523880066</v>
      </c>
      <c r="J847" s="73">
        <v>298.94385699144266</v>
      </c>
      <c r="K847" s="73">
        <v>292.06637344617621</v>
      </c>
      <c r="L847" s="73">
        <v>294.19810397002459</v>
      </c>
      <c r="M847" s="73">
        <v>766108.54032888135</v>
      </c>
      <c r="N847" s="73" t="s">
        <v>915</v>
      </c>
      <c r="O847" s="25">
        <f t="shared" si="23"/>
        <v>1.5672131147540735E-2</v>
      </c>
    </row>
    <row r="848" spans="1:15">
      <c r="A848" s="74">
        <v>383.98014285612351</v>
      </c>
      <c r="B848" s="74">
        <v>385.8269956810397</v>
      </c>
      <c r="C848" s="74">
        <v>383.05671644366544</v>
      </c>
      <c r="D848" s="74">
        <v>383.9995834121753</v>
      </c>
      <c r="E848" s="74">
        <v>3151008.635603732</v>
      </c>
      <c r="F848" s="74" t="s">
        <v>916</v>
      </c>
      <c r="G848" s="25">
        <f t="shared" si="22"/>
        <v>-5.0626502974382426E-5</v>
      </c>
      <c r="I848" s="73">
        <v>294.68039594374591</v>
      </c>
      <c r="J848" s="73">
        <v>295.54852149644432</v>
      </c>
      <c r="K848" s="73">
        <v>290.45551825394688</v>
      </c>
      <c r="L848" s="73">
        <v>293.14670746731201</v>
      </c>
      <c r="M848" s="73">
        <v>910830.00326644699</v>
      </c>
      <c r="N848" s="73" t="s">
        <v>916</v>
      </c>
      <c r="O848" s="25">
        <f t="shared" si="23"/>
        <v>5.2318120496199771E-3</v>
      </c>
    </row>
    <row r="849" spans="1:15">
      <c r="A849" s="74">
        <v>383.33860450641583</v>
      </c>
      <c r="B849" s="74">
        <v>383.68853451534733</v>
      </c>
      <c r="C849" s="74">
        <v>380.34475887444648</v>
      </c>
      <c r="D849" s="74">
        <v>380.99601750218005</v>
      </c>
      <c r="E849" s="74">
        <v>3559930.066597715</v>
      </c>
      <c r="F849" s="74" t="s">
        <v>917</v>
      </c>
      <c r="G849" s="25">
        <f t="shared" si="22"/>
        <v>6.1485865904684633E-3</v>
      </c>
      <c r="I849" s="73">
        <v>292.19176935934377</v>
      </c>
      <c r="J849" s="73">
        <v>293.1033011896771</v>
      </c>
      <c r="K849" s="73">
        <v>286.7921248799542</v>
      </c>
      <c r="L849" s="73">
        <v>287.49424553529781</v>
      </c>
      <c r="M849" s="73">
        <v>827053.98748861859</v>
      </c>
      <c r="N849" s="73" t="s">
        <v>917</v>
      </c>
      <c r="O849" s="25">
        <f t="shared" si="23"/>
        <v>1.6339540345579495E-2</v>
      </c>
    </row>
    <row r="850" spans="1:15">
      <c r="A850" s="74">
        <v>381.05433917033525</v>
      </c>
      <c r="B850" s="74">
        <v>383.7176953494249</v>
      </c>
      <c r="C850" s="74">
        <v>380.58776582509336</v>
      </c>
      <c r="D850" s="74">
        <v>382.65818504460464</v>
      </c>
      <c r="E850" s="74">
        <v>4056358.2538527637</v>
      </c>
      <c r="F850" s="74" t="s">
        <v>918</v>
      </c>
      <c r="G850" s="25">
        <f t="shared" si="22"/>
        <v>-4.1913277618311762E-3</v>
      </c>
      <c r="I850" s="73">
        <v>288.50705868011261</v>
      </c>
      <c r="J850" s="73">
        <v>289.46199678808085</v>
      </c>
      <c r="K850" s="73">
        <v>280.2502200900031</v>
      </c>
      <c r="L850" s="73">
        <v>280.84826213741758</v>
      </c>
      <c r="M850" s="73">
        <v>904011.51948653662</v>
      </c>
      <c r="N850" s="73" t="s">
        <v>918</v>
      </c>
      <c r="O850" s="25">
        <f t="shared" si="23"/>
        <v>2.7270229427118986E-2</v>
      </c>
    </row>
    <row r="851" spans="1:15">
      <c r="A851" s="74">
        <v>382.30825503567314</v>
      </c>
      <c r="B851" s="74">
        <v>382.7748283809151</v>
      </c>
      <c r="C851" s="74">
        <v>380.46140221075694</v>
      </c>
      <c r="D851" s="74">
        <v>381.08350000441294</v>
      </c>
      <c r="E851" s="74">
        <v>2977963.1737843766</v>
      </c>
      <c r="F851" s="74" t="s">
        <v>919</v>
      </c>
      <c r="G851" s="25">
        <f t="shared" si="22"/>
        <v>3.2138757811503993E-3</v>
      </c>
      <c r="I851" s="73">
        <v>281.648866813795</v>
      </c>
      <c r="J851" s="73">
        <v>285.5843693193612</v>
      </c>
      <c r="K851" s="73">
        <v>279.08307351359736</v>
      </c>
      <c r="L851" s="73">
        <v>280.69392870582669</v>
      </c>
      <c r="M851" s="73">
        <v>659521.65354461106</v>
      </c>
      <c r="N851" s="73" t="s">
        <v>919</v>
      </c>
      <c r="O851" s="25">
        <f t="shared" si="23"/>
        <v>3.4020618556702686E-3</v>
      </c>
    </row>
    <row r="852" spans="1:15">
      <c r="A852" s="74">
        <v>381.52091251557727</v>
      </c>
      <c r="B852" s="74">
        <v>383.7274156274508</v>
      </c>
      <c r="C852" s="74">
        <v>380.83077277574017</v>
      </c>
      <c r="D852" s="74">
        <v>382.53182143026822</v>
      </c>
      <c r="E852" s="74">
        <v>4127225.568364379</v>
      </c>
      <c r="F852" s="74" t="s">
        <v>920</v>
      </c>
      <c r="G852" s="25">
        <f t="shared" si="22"/>
        <v>-2.642679270213999E-3</v>
      </c>
      <c r="I852" s="73">
        <v>281.378783308511</v>
      </c>
      <c r="J852" s="73">
        <v>281.7115647703788</v>
      </c>
      <c r="K852" s="73">
        <v>278.12813540562911</v>
      </c>
      <c r="L852" s="73">
        <v>281.56205425852511</v>
      </c>
      <c r="M852" s="73">
        <v>595818.54075395374</v>
      </c>
      <c r="N852" s="73" t="s">
        <v>920</v>
      </c>
      <c r="O852" s="25">
        <f t="shared" si="23"/>
        <v>-6.5090784515242639E-4</v>
      </c>
    </row>
    <row r="853" spans="1:15">
      <c r="A853" s="74">
        <v>382.25965364554372</v>
      </c>
      <c r="B853" s="74">
        <v>382.94007310735492</v>
      </c>
      <c r="C853" s="74">
        <v>378.64371021991843</v>
      </c>
      <c r="D853" s="74">
        <v>379.16860523331559</v>
      </c>
      <c r="E853" s="74">
        <v>7580958.055299025</v>
      </c>
      <c r="F853" s="74" t="s">
        <v>921</v>
      </c>
      <c r="G853" s="25">
        <f t="shared" si="22"/>
        <v>8.152173913043459E-3</v>
      </c>
      <c r="I853" s="73">
        <v>282.46876316912125</v>
      </c>
      <c r="J853" s="73">
        <v>284.0024516455552</v>
      </c>
      <c r="K853" s="73">
        <v>270.59473477610157</v>
      </c>
      <c r="L853" s="73">
        <v>273.82609100003464</v>
      </c>
      <c r="M853" s="73">
        <v>796746.62017496489</v>
      </c>
      <c r="N853" s="73" t="s">
        <v>921</v>
      </c>
      <c r="O853" s="25">
        <f t="shared" si="23"/>
        <v>3.1562632098069532E-2</v>
      </c>
    </row>
    <row r="854" spans="1:15">
      <c r="A854" s="74">
        <v>376.72881544882108</v>
      </c>
      <c r="B854" s="74">
        <v>377.70084325140857</v>
      </c>
      <c r="C854" s="74">
        <v>372.25748755691882</v>
      </c>
      <c r="D854" s="74">
        <v>373.45308175410133</v>
      </c>
      <c r="E854" s="74">
        <v>3666103.9843861563</v>
      </c>
      <c r="F854" s="74" t="s">
        <v>922</v>
      </c>
      <c r="G854" s="25">
        <f t="shared" si="22"/>
        <v>8.7714731910464305E-3</v>
      </c>
      <c r="I854" s="73">
        <v>270.53685973925508</v>
      </c>
      <c r="J854" s="73">
        <v>272.85186121311756</v>
      </c>
      <c r="K854" s="73">
        <v>266.13835693891633</v>
      </c>
      <c r="L854" s="73">
        <v>268.36654585750898</v>
      </c>
      <c r="M854" s="73">
        <v>576453.7150697594</v>
      </c>
      <c r="N854" s="73" t="s">
        <v>922</v>
      </c>
      <c r="O854" s="25">
        <f t="shared" si="23"/>
        <v>8.0871252965279972E-3</v>
      </c>
    </row>
    <row r="855" spans="1:15">
      <c r="A855" s="74">
        <v>373.15175313529926</v>
      </c>
      <c r="B855" s="74">
        <v>374.38622844458536</v>
      </c>
      <c r="C855" s="74">
        <v>371.72287226549571</v>
      </c>
      <c r="D855" s="74">
        <v>373.56000481238601</v>
      </c>
      <c r="E855" s="74">
        <v>4326365.9627900664</v>
      </c>
      <c r="F855" s="74" t="s">
        <v>923</v>
      </c>
      <c r="G855" s="25">
        <f t="shared" si="22"/>
        <v>-1.0928677369832496E-3</v>
      </c>
      <c r="I855" s="73">
        <v>268.73308775753719</v>
      </c>
      <c r="J855" s="73">
        <v>274.76173742905411</v>
      </c>
      <c r="K855" s="73">
        <v>267.12223256530785</v>
      </c>
      <c r="L855" s="73">
        <v>274.29873713428157</v>
      </c>
      <c r="M855" s="73">
        <v>1526058.9852263096</v>
      </c>
      <c r="N855" s="73" t="s">
        <v>923</v>
      </c>
      <c r="O855" s="25">
        <f t="shared" si="23"/>
        <v>-2.0290466645567329E-2</v>
      </c>
    </row>
    <row r="856" spans="1:15">
      <c r="A856" s="74">
        <v>375.19301152073291</v>
      </c>
      <c r="B856" s="74">
        <v>377.39951463260644</v>
      </c>
      <c r="C856" s="74">
        <v>373.99741732355034</v>
      </c>
      <c r="D856" s="74">
        <v>376.91350073131269</v>
      </c>
      <c r="E856" s="74">
        <v>4082651.7404505406</v>
      </c>
      <c r="F856" s="74" t="s">
        <v>924</v>
      </c>
      <c r="G856" s="25">
        <f t="shared" si="22"/>
        <v>-4.5646791829997424E-3</v>
      </c>
      <c r="I856" s="73">
        <v>276.63303028709294</v>
      </c>
      <c r="J856" s="73">
        <v>280.34667848474731</v>
      </c>
      <c r="K856" s="73">
        <v>274.25050793690946</v>
      </c>
      <c r="L856" s="73">
        <v>277.74230182665201</v>
      </c>
      <c r="M856" s="73">
        <v>798176.2520941525</v>
      </c>
      <c r="N856" s="73" t="s">
        <v>924</v>
      </c>
      <c r="O856" s="25">
        <f t="shared" si="23"/>
        <v>-3.9938876154753666E-3</v>
      </c>
    </row>
    <row r="857" spans="1:15">
      <c r="A857" s="74">
        <v>375.07636818442245</v>
      </c>
      <c r="B857" s="74">
        <v>375.75678764623365</v>
      </c>
      <c r="C857" s="74">
        <v>370.86262766020582</v>
      </c>
      <c r="D857" s="74">
        <v>370.96469057947746</v>
      </c>
      <c r="E857" s="74">
        <v>3130354.9053847413</v>
      </c>
      <c r="F857" s="74" t="s">
        <v>925</v>
      </c>
      <c r="G857" s="25">
        <f t="shared" si="22"/>
        <v>1.1083743842364546E-2</v>
      </c>
      <c r="I857" s="73">
        <v>276.09286327652501</v>
      </c>
      <c r="J857" s="73">
        <v>276.70055116341393</v>
      </c>
      <c r="K857" s="73">
        <v>264.94005430100827</v>
      </c>
      <c r="L857" s="73">
        <v>265.39562729938541</v>
      </c>
      <c r="M857" s="73">
        <v>938255.29898086842</v>
      </c>
      <c r="N857" s="73" t="s">
        <v>925</v>
      </c>
      <c r="O857" s="25">
        <f t="shared" si="23"/>
        <v>4.0306752925783229E-2</v>
      </c>
    </row>
    <row r="858" spans="1:15">
      <c r="A858" s="74">
        <v>370.26483056161453</v>
      </c>
      <c r="B858" s="74">
        <v>371.5867883731334</v>
      </c>
      <c r="C858" s="74">
        <v>368.32077495643961</v>
      </c>
      <c r="D858" s="74">
        <v>370.33287250779563</v>
      </c>
      <c r="E858" s="74">
        <v>3411293.3716231384</v>
      </c>
      <c r="F858" s="74" t="s">
        <v>926</v>
      </c>
      <c r="G858" s="25">
        <f t="shared" si="22"/>
        <v>-1.8373185647913015E-4</v>
      </c>
      <c r="I858" s="73">
        <v>263.74618874925841</v>
      </c>
      <c r="J858" s="73">
        <v>265.7332316809904</v>
      </c>
      <c r="K858" s="73">
        <v>260.25439485951586</v>
      </c>
      <c r="L858" s="73">
        <v>262.83947983866227</v>
      </c>
      <c r="M858" s="73">
        <v>740293.26518770028</v>
      </c>
      <c r="N858" s="73" t="s">
        <v>926</v>
      </c>
      <c r="O858" s="25">
        <f t="shared" si="23"/>
        <v>3.4496678777202749E-3</v>
      </c>
    </row>
    <row r="859" spans="1:15">
      <c r="A859" s="74">
        <v>367.06685909110178</v>
      </c>
      <c r="B859" s="74">
        <v>368.64154413129347</v>
      </c>
      <c r="C859" s="74">
        <v>366.03650962035908</v>
      </c>
      <c r="D859" s="74">
        <v>368.31105467841377</v>
      </c>
      <c r="E859" s="74">
        <v>3715523.3527129977</v>
      </c>
      <c r="F859" s="74" t="s">
        <v>927</v>
      </c>
      <c r="G859" s="25">
        <f t="shared" si="22"/>
        <v>-3.378110897046871E-3</v>
      </c>
      <c r="I859" s="73">
        <v>260.64987427796734</v>
      </c>
      <c r="J859" s="73">
        <v>267.8215559272038</v>
      </c>
      <c r="K859" s="73">
        <v>259.79139456474331</v>
      </c>
      <c r="L859" s="73">
        <v>267.18975344162885</v>
      </c>
      <c r="M859" s="73">
        <v>598325.32101544423</v>
      </c>
      <c r="N859" s="73" t="s">
        <v>927</v>
      </c>
      <c r="O859" s="25">
        <f t="shared" si="23"/>
        <v>-2.4476534296028807E-2</v>
      </c>
    </row>
    <row r="860" spans="1:15">
      <c r="A860" s="74">
        <v>369.83713832847604</v>
      </c>
      <c r="B860" s="74">
        <v>373.3655992518685</v>
      </c>
      <c r="C860" s="74">
        <v>369.44832720744103</v>
      </c>
      <c r="D860" s="74">
        <v>372.47133367348806</v>
      </c>
      <c r="E860" s="74">
        <v>2970351.2515941835</v>
      </c>
      <c r="F860" s="74" t="s">
        <v>928</v>
      </c>
      <c r="G860" s="25">
        <f t="shared" si="22"/>
        <v>-7.0722096088102759E-3</v>
      </c>
      <c r="I860" s="73">
        <v>268.5980460048952</v>
      </c>
      <c r="J860" s="73">
        <v>271.88727726567481</v>
      </c>
      <c r="K860" s="73">
        <v>267.84567052588989</v>
      </c>
      <c r="L860" s="73">
        <v>270.1220886418547</v>
      </c>
      <c r="M860" s="73">
        <v>956953.51601818996</v>
      </c>
      <c r="N860" s="73" t="s">
        <v>928</v>
      </c>
      <c r="O860" s="25">
        <f t="shared" si="23"/>
        <v>-5.6420511355521619E-3</v>
      </c>
    </row>
    <row r="861" spans="1:15">
      <c r="A861" s="74">
        <v>374.01685787960207</v>
      </c>
      <c r="B861" s="74">
        <v>375.42629819335394</v>
      </c>
      <c r="C861" s="74">
        <v>372.74350145821256</v>
      </c>
      <c r="D861" s="74">
        <v>373.90021454329161</v>
      </c>
      <c r="E861" s="74">
        <v>2864127.9525021706</v>
      </c>
      <c r="F861" s="74" t="s">
        <v>929</v>
      </c>
      <c r="G861" s="25">
        <f t="shared" si="22"/>
        <v>3.1196381219777969E-4</v>
      </c>
      <c r="I861" s="73">
        <v>272.46602763414046</v>
      </c>
      <c r="J861" s="73">
        <v>273.71998676581597</v>
      </c>
      <c r="K861" s="73">
        <v>269.28290060757956</v>
      </c>
      <c r="L861" s="73">
        <v>271.62683959986532</v>
      </c>
      <c r="M861" s="73">
        <v>583118.76482208481</v>
      </c>
      <c r="N861" s="73" t="s">
        <v>929</v>
      </c>
      <c r="O861" s="25">
        <f t="shared" si="23"/>
        <v>3.089488636363491E-3</v>
      </c>
    </row>
    <row r="862" spans="1:15">
      <c r="A862" s="74">
        <v>373.81273204105872</v>
      </c>
      <c r="B862" s="74">
        <v>375.72762681215602</v>
      </c>
      <c r="C862" s="74">
        <v>372.71434062413488</v>
      </c>
      <c r="D862" s="74">
        <v>375.22217235481054</v>
      </c>
      <c r="E862" s="74">
        <v>3754052.0860478966</v>
      </c>
      <c r="F862" s="74" t="s">
        <v>930</v>
      </c>
      <c r="G862" s="25">
        <f t="shared" si="22"/>
        <v>-3.7562820579244427E-3</v>
      </c>
      <c r="I862" s="73">
        <v>271.34711025510694</v>
      </c>
      <c r="J862" s="73">
        <v>274.16369538163963</v>
      </c>
      <c r="K862" s="73">
        <v>268.35690001803454</v>
      </c>
      <c r="L862" s="73">
        <v>273.99971611057435</v>
      </c>
      <c r="M862" s="73">
        <v>711667.4518790663</v>
      </c>
      <c r="N862" s="73" t="s">
        <v>930</v>
      </c>
      <c r="O862" s="25">
        <f t="shared" si="23"/>
        <v>-9.6810532985988074E-3</v>
      </c>
    </row>
    <row r="863" spans="1:15">
      <c r="A863" s="74">
        <v>374.40566900063709</v>
      </c>
      <c r="B863" s="74">
        <v>374.78475984364616</v>
      </c>
      <c r="C863" s="74">
        <v>370.34259278582152</v>
      </c>
      <c r="D863" s="74">
        <v>370.59532001449423</v>
      </c>
      <c r="E863" s="74">
        <v>3436753.5487231379</v>
      </c>
      <c r="F863" s="74" t="s">
        <v>931</v>
      </c>
      <c r="G863" s="25">
        <f t="shared" si="22"/>
        <v>1.0281697529245237E-2</v>
      </c>
      <c r="I863" s="73">
        <v>271.15419346561839</v>
      </c>
      <c r="J863" s="73">
        <v>271.53520412485824</v>
      </c>
      <c r="K863" s="73">
        <v>264.257418241403</v>
      </c>
      <c r="L863" s="73">
        <v>265.78146087836251</v>
      </c>
      <c r="M863" s="73">
        <v>767174.28479075572</v>
      </c>
      <c r="N863" s="73" t="s">
        <v>931</v>
      </c>
      <c r="O863" s="25">
        <f t="shared" si="23"/>
        <v>2.0214850838353948E-2</v>
      </c>
    </row>
    <row r="864" spans="1:15">
      <c r="A864" s="74">
        <v>370.78000529698585</v>
      </c>
      <c r="B864" s="74">
        <v>371.40210309064179</v>
      </c>
      <c r="C864" s="74">
        <v>366.72664936019612</v>
      </c>
      <c r="D864" s="74">
        <v>368.25273301025851</v>
      </c>
      <c r="E864" s="74">
        <v>3315383.5635375697</v>
      </c>
      <c r="F864" s="74" t="s">
        <v>932</v>
      </c>
      <c r="G864" s="25">
        <f t="shared" ref="G864:G927" si="24">A864/D864-1</f>
        <v>6.8628744885836923E-3</v>
      </c>
      <c r="I864" s="73">
        <v>264.90368948618965</v>
      </c>
      <c r="J864" s="73">
        <v>266.27339869155833</v>
      </c>
      <c r="K864" s="73">
        <v>261.71091662015431</v>
      </c>
      <c r="L864" s="73">
        <v>263.02275078867638</v>
      </c>
      <c r="M864" s="73">
        <v>487805.13219970366</v>
      </c>
      <c r="N864" s="73" t="s">
        <v>932</v>
      </c>
      <c r="O864" s="25">
        <f t="shared" ref="O864:O927" si="25">I864/L864-1</f>
        <v>7.151239548188304E-3</v>
      </c>
    </row>
    <row r="865" spans="1:15">
      <c r="A865" s="74">
        <v>366.40588018534231</v>
      </c>
      <c r="B865" s="74">
        <v>368.67070496537104</v>
      </c>
      <c r="C865" s="74">
        <v>366.36699907323884</v>
      </c>
      <c r="D865" s="74">
        <v>367.80560022106823</v>
      </c>
      <c r="E865" s="74">
        <v>2343159.3149261507</v>
      </c>
      <c r="F865" s="74" t="s">
        <v>933</v>
      </c>
      <c r="G865" s="25">
        <f t="shared" si="24"/>
        <v>-3.8055973995083647E-3</v>
      </c>
      <c r="I865" s="73">
        <v>260.41837413058113</v>
      </c>
      <c r="J865" s="73">
        <v>263.28309199609117</v>
      </c>
      <c r="K865" s="73">
        <v>259.34768594891966</v>
      </c>
      <c r="L865" s="73">
        <v>261.80737501489858</v>
      </c>
      <c r="M865" s="73">
        <v>523095.99526066298</v>
      </c>
      <c r="N865" s="73" t="s">
        <v>933</v>
      </c>
      <c r="O865" s="25">
        <f t="shared" si="25"/>
        <v>-5.3054306978113086E-3</v>
      </c>
    </row>
    <row r="866" spans="1:15">
      <c r="A866" s="74">
        <v>368.84566996983682</v>
      </c>
      <c r="B866" s="74">
        <v>369.21504053482005</v>
      </c>
      <c r="C866" s="74">
        <v>366.36699907323884</v>
      </c>
      <c r="D866" s="74">
        <v>368.14580995197389</v>
      </c>
      <c r="E866" s="74">
        <v>3994290.0703713847</v>
      </c>
      <c r="F866" s="74" t="s">
        <v>934</v>
      </c>
      <c r="G866" s="25">
        <f t="shared" si="24"/>
        <v>1.9010402914927393E-3</v>
      </c>
      <c r="I866" s="73">
        <v>264.43104335194272</v>
      </c>
      <c r="J866" s="73">
        <v>265.90203387179287</v>
      </c>
      <c r="K866" s="73">
        <v>261.2768538438051</v>
      </c>
      <c r="L866" s="73">
        <v>263.10956334394621</v>
      </c>
      <c r="M866" s="73">
        <v>528196.63996146258</v>
      </c>
      <c r="N866" s="73" t="s">
        <v>934</v>
      </c>
      <c r="O866" s="25">
        <f t="shared" si="25"/>
        <v>5.022546467720046E-3</v>
      </c>
    </row>
    <row r="867" spans="1:15">
      <c r="A867" s="74">
        <v>367.57231354844726</v>
      </c>
      <c r="B867" s="74">
        <v>369.38028526125993</v>
      </c>
      <c r="C867" s="74">
        <v>365.32206918545728</v>
      </c>
      <c r="D867" s="74">
        <v>369.22476081284594</v>
      </c>
      <c r="E867" s="74">
        <v>2603850.4179228684</v>
      </c>
      <c r="F867" s="74" t="s">
        <v>935</v>
      </c>
      <c r="G867" s="25">
        <f t="shared" si="24"/>
        <v>-4.4754508358563205E-3</v>
      </c>
      <c r="I867" s="73">
        <v>262.2317919517734</v>
      </c>
      <c r="J867" s="73">
        <v>262.44400042021073</v>
      </c>
      <c r="K867" s="73">
        <v>258.91362317257051</v>
      </c>
      <c r="L867" s="73">
        <v>261.78808333594969</v>
      </c>
      <c r="M867" s="73">
        <v>893108.37308037619</v>
      </c>
      <c r="N867" s="73" t="s">
        <v>935</v>
      </c>
      <c r="O867" s="25">
        <f t="shared" si="25"/>
        <v>1.6949152542375945E-3</v>
      </c>
    </row>
    <row r="868" spans="1:15">
      <c r="A868" s="74">
        <v>368.0680477277669</v>
      </c>
      <c r="B868" s="74">
        <v>368.28189384433608</v>
      </c>
      <c r="C868" s="74">
        <v>366.13371240061781</v>
      </c>
      <c r="D868" s="74">
        <v>367.88336244527528</v>
      </c>
      <c r="E868" s="74">
        <v>2753647.5735313874</v>
      </c>
      <c r="F868" s="74" t="s">
        <v>936</v>
      </c>
      <c r="G868" s="25">
        <f t="shared" si="24"/>
        <v>5.0202129627185954E-4</v>
      </c>
      <c r="I868" s="73">
        <v>259.77210288579454</v>
      </c>
      <c r="J868" s="73">
        <v>259.96417808479328</v>
      </c>
      <c r="K868" s="73">
        <v>256.05544778516969</v>
      </c>
      <c r="L868" s="73">
        <v>256.94859746051367</v>
      </c>
      <c r="M868" s="73">
        <v>960716.43274073605</v>
      </c>
      <c r="N868" s="73" t="s">
        <v>936</v>
      </c>
      <c r="O868" s="25">
        <f t="shared" si="25"/>
        <v>1.0988600261633064E-2</v>
      </c>
    </row>
    <row r="869" spans="1:15">
      <c r="A869" s="74">
        <v>368.58322246313821</v>
      </c>
      <c r="B869" s="74">
        <v>370.17734805938164</v>
      </c>
      <c r="C869" s="74">
        <v>365.13252376395269</v>
      </c>
      <c r="D869" s="74">
        <v>369.64273276795853</v>
      </c>
      <c r="E869" s="74">
        <v>3614039.6299867393</v>
      </c>
      <c r="F869" s="74" t="s">
        <v>937</v>
      </c>
      <c r="G869" s="25">
        <f t="shared" si="24"/>
        <v>-2.8663090354474896E-3</v>
      </c>
      <c r="I869" s="73">
        <v>259.38795248779712</v>
      </c>
      <c r="J869" s="73">
        <v>267.05175292784537</v>
      </c>
      <c r="K869" s="73">
        <v>257.11186137966257</v>
      </c>
      <c r="L869" s="73">
        <v>264.1033986232153</v>
      </c>
      <c r="M869" s="73">
        <v>1294362.8396380318</v>
      </c>
      <c r="N869" s="73" t="s">
        <v>937</v>
      </c>
      <c r="O869" s="25">
        <f t="shared" si="25"/>
        <v>-1.7854545454545567E-2</v>
      </c>
    </row>
    <row r="870" spans="1:15">
      <c r="A870" s="74">
        <v>366.97937658886894</v>
      </c>
      <c r="B870" s="74">
        <v>367.99028550355985</v>
      </c>
      <c r="C870" s="74">
        <v>366.77525075032554</v>
      </c>
      <c r="D870" s="74">
        <v>367.14462131530877</v>
      </c>
      <c r="E870" s="74">
        <v>2336403.3353312062</v>
      </c>
      <c r="F870" s="74" t="s">
        <v>938</v>
      </c>
      <c r="G870" s="25">
        <f t="shared" si="24"/>
        <v>-4.500807497814785E-4</v>
      </c>
      <c r="I870" s="73">
        <v>266.75403636939734</v>
      </c>
      <c r="J870" s="73">
        <v>271.56552010431483</v>
      </c>
      <c r="K870" s="73">
        <v>266.64839500994805</v>
      </c>
      <c r="L870" s="73">
        <v>268.63637331958466</v>
      </c>
      <c r="M870" s="73">
        <v>626822.20623815991</v>
      </c>
      <c r="N870" s="73" t="s">
        <v>938</v>
      </c>
      <c r="O870" s="25">
        <f t="shared" si="25"/>
        <v>-7.0070070070071822E-3</v>
      </c>
    </row>
    <row r="871" spans="1:15">
      <c r="A871" s="74">
        <v>368.57350218511232</v>
      </c>
      <c r="B871" s="74">
        <v>369.0011944182508</v>
      </c>
      <c r="C871" s="74">
        <v>367.30986604174865</v>
      </c>
      <c r="D871" s="74">
        <v>368.79706857970746</v>
      </c>
      <c r="E871" s="74">
        <v>3042729.8397505339</v>
      </c>
      <c r="F871" s="74" t="s">
        <v>939</v>
      </c>
      <c r="G871" s="25">
        <f t="shared" si="24"/>
        <v>-6.0620436994285321E-4</v>
      </c>
      <c r="I871" s="73">
        <v>269.96169219267574</v>
      </c>
      <c r="J871" s="73">
        <v>274.48506312909512</v>
      </c>
      <c r="K871" s="73">
        <v>268.07935524248842</v>
      </c>
      <c r="L871" s="73">
        <v>273.60151721370107</v>
      </c>
      <c r="M871" s="73">
        <v>438454.31601280865</v>
      </c>
      <c r="N871" s="73" t="s">
        <v>939</v>
      </c>
      <c r="O871" s="25">
        <f t="shared" si="25"/>
        <v>-1.330338025202682E-2</v>
      </c>
    </row>
    <row r="872" spans="1:15">
      <c r="A872" s="74">
        <v>368.36937634656897</v>
      </c>
      <c r="B872" s="74">
        <v>369.45804748546692</v>
      </c>
      <c r="C872" s="74">
        <v>364.9283979254094</v>
      </c>
      <c r="D872" s="74">
        <v>365.22972654421147</v>
      </c>
      <c r="E872" s="74">
        <v>3229736.8363777162</v>
      </c>
      <c r="F872" s="74" t="s">
        <v>940</v>
      </c>
      <c r="G872" s="25">
        <f t="shared" si="24"/>
        <v>8.5963698302018443E-3</v>
      </c>
      <c r="I872" s="73">
        <v>272.18976450106067</v>
      </c>
      <c r="J872" s="73">
        <v>272.2569908207102</v>
      </c>
      <c r="K872" s="73">
        <v>268.05054396263864</v>
      </c>
      <c r="L872" s="73">
        <v>271.41185994511591</v>
      </c>
      <c r="M872" s="73">
        <v>470345.9919393888</v>
      </c>
      <c r="N872" s="73" t="s">
        <v>940</v>
      </c>
      <c r="O872" s="25">
        <f t="shared" si="25"/>
        <v>2.8661406178125404E-3</v>
      </c>
    </row>
    <row r="873" spans="1:15">
      <c r="A873" s="74">
        <v>361.73042645489659</v>
      </c>
      <c r="B873" s="74">
        <v>363.64532122599394</v>
      </c>
      <c r="C873" s="74">
        <v>360.54455253573997</v>
      </c>
      <c r="D873" s="74">
        <v>363.38287371929528</v>
      </c>
      <c r="E873" s="74">
        <v>4548721.7425575415</v>
      </c>
      <c r="F873" s="74" t="s">
        <v>941</v>
      </c>
      <c r="G873" s="25">
        <f t="shared" si="24"/>
        <v>-4.5473999572009927E-3</v>
      </c>
      <c r="I873" s="73">
        <v>268.13697780218803</v>
      </c>
      <c r="J873" s="73">
        <v>269.73120195387725</v>
      </c>
      <c r="K873" s="73">
        <v>264.37230390181344</v>
      </c>
      <c r="L873" s="73">
        <v>265.92811301370295</v>
      </c>
      <c r="M873" s="73">
        <v>814493.49429572735</v>
      </c>
      <c r="N873" s="73" t="s">
        <v>941</v>
      </c>
      <c r="O873" s="25">
        <f t="shared" si="25"/>
        <v>8.3062477428674786E-3</v>
      </c>
    </row>
    <row r="874" spans="1:15">
      <c r="A874" s="74">
        <v>364.39378263398623</v>
      </c>
      <c r="B874" s="74">
        <v>369.56497054375154</v>
      </c>
      <c r="C874" s="74">
        <v>364.12161484926179</v>
      </c>
      <c r="D874" s="74">
        <v>367.33902687582628</v>
      </c>
      <c r="E874" s="74">
        <v>5671688.5929854512</v>
      </c>
      <c r="F874" s="74" t="s">
        <v>942</v>
      </c>
      <c r="G874" s="25">
        <f t="shared" si="24"/>
        <v>-8.0177820115902021E-3</v>
      </c>
      <c r="I874" s="73">
        <v>267.58956348504171</v>
      </c>
      <c r="J874" s="73">
        <v>272.34342466025959</v>
      </c>
      <c r="K874" s="73">
        <v>267.04214916789545</v>
      </c>
      <c r="L874" s="73">
        <v>268.44429812058593</v>
      </c>
      <c r="M874" s="73">
        <v>702695.61454892508</v>
      </c>
      <c r="N874" s="73" t="s">
        <v>942</v>
      </c>
      <c r="O874" s="25">
        <f t="shared" si="25"/>
        <v>-3.1840297653119576E-3</v>
      </c>
    </row>
    <row r="875" spans="1:15">
      <c r="A875" s="74">
        <v>366.95021575479126</v>
      </c>
      <c r="B875" s="74">
        <v>370.44951584410614</v>
      </c>
      <c r="C875" s="74">
        <v>364.18965679544289</v>
      </c>
      <c r="D875" s="74">
        <v>370.40091445397678</v>
      </c>
      <c r="E875" s="74">
        <v>4435665.3055837518</v>
      </c>
      <c r="F875" s="74" t="s">
        <v>943</v>
      </c>
      <c r="G875" s="25">
        <f t="shared" si="24"/>
        <v>-9.3161181966096018E-3</v>
      </c>
      <c r="I875" s="73">
        <v>267.9641101230892</v>
      </c>
      <c r="J875" s="73">
        <v>271.3542373854163</v>
      </c>
      <c r="K875" s="73">
        <v>264.58358662071203</v>
      </c>
      <c r="L875" s="73">
        <v>270.4898989899221</v>
      </c>
      <c r="M875" s="73">
        <v>786974.06426230737</v>
      </c>
      <c r="N875" s="73" t="s">
        <v>943</v>
      </c>
      <c r="O875" s="25">
        <f t="shared" si="25"/>
        <v>-9.3378306408662404E-3</v>
      </c>
    </row>
    <row r="876" spans="1:15">
      <c r="A876" s="74">
        <v>371.11049474986561</v>
      </c>
      <c r="B876" s="74">
        <v>372.90874618465239</v>
      </c>
      <c r="C876" s="74">
        <v>370.84804724316695</v>
      </c>
      <c r="D876" s="74">
        <v>371.05217308171035</v>
      </c>
      <c r="E876" s="74">
        <v>3157622.6439509075</v>
      </c>
      <c r="F876" s="74" t="s">
        <v>944</v>
      </c>
      <c r="G876" s="25">
        <f t="shared" si="24"/>
        <v>1.5717915804369653E-4</v>
      </c>
      <c r="I876" s="73">
        <v>271.45027498491561</v>
      </c>
      <c r="J876" s="73">
        <v>274.87881728704247</v>
      </c>
      <c r="K876" s="73">
        <v>269.55833427477842</v>
      </c>
      <c r="L876" s="73">
        <v>272.7659900980567</v>
      </c>
      <c r="M876" s="73">
        <v>836349.51746729971</v>
      </c>
      <c r="N876" s="73" t="s">
        <v>944</v>
      </c>
      <c r="O876" s="25">
        <f t="shared" si="25"/>
        <v>-4.823603971551238E-3</v>
      </c>
    </row>
    <row r="877" spans="1:15">
      <c r="A877" s="74">
        <v>371.36322197853838</v>
      </c>
      <c r="B877" s="74">
        <v>371.43126392471947</v>
      </c>
      <c r="C877" s="74">
        <v>367.42650937805911</v>
      </c>
      <c r="D877" s="74">
        <v>367.46539049016263</v>
      </c>
      <c r="E877" s="74">
        <v>3484372.5570239169</v>
      </c>
      <c r="F877" s="74" t="s">
        <v>945</v>
      </c>
      <c r="G877" s="25">
        <f t="shared" si="24"/>
        <v>1.0607343138292258E-2</v>
      </c>
      <c r="I877" s="73">
        <v>272.18016074111074</v>
      </c>
      <c r="J877" s="73">
        <v>276.09369292070926</v>
      </c>
      <c r="K877" s="73">
        <v>270.48029522997217</v>
      </c>
      <c r="L877" s="73">
        <v>273.70715857315037</v>
      </c>
      <c r="M877" s="73">
        <v>884632.69014313619</v>
      </c>
      <c r="N877" s="73" t="s">
        <v>945</v>
      </c>
      <c r="O877" s="25">
        <f t="shared" si="25"/>
        <v>-5.5789473684209057E-3</v>
      </c>
    </row>
    <row r="878" spans="1:15">
      <c r="A878" s="74">
        <v>368.21385189815499</v>
      </c>
      <c r="B878" s="74">
        <v>368.52490079498295</v>
      </c>
      <c r="C878" s="74">
        <v>363.21762899285545</v>
      </c>
      <c r="D878" s="74">
        <v>363.43147510942464</v>
      </c>
      <c r="E878" s="74">
        <v>4426187.1816294007</v>
      </c>
      <c r="F878" s="74" t="s">
        <v>946</v>
      </c>
      <c r="G878" s="25">
        <f t="shared" si="24"/>
        <v>1.315895049346083E-2</v>
      </c>
      <c r="I878" s="73">
        <v>272.38183970005934</v>
      </c>
      <c r="J878" s="73">
        <v>272.5643111391081</v>
      </c>
      <c r="K878" s="73">
        <v>259.58963144674578</v>
      </c>
      <c r="L878" s="73">
        <v>272.5643111391081</v>
      </c>
      <c r="M878" s="73">
        <v>2168045.6517596217</v>
      </c>
      <c r="N878" s="73" t="s">
        <v>946</v>
      </c>
      <c r="O878" s="25">
        <f t="shared" si="25"/>
        <v>-6.6946196398998126E-4</v>
      </c>
    </row>
    <row r="879" spans="1:15">
      <c r="A879" s="74">
        <v>361.05000699308539</v>
      </c>
      <c r="B879" s="74">
        <v>364.19937707346878</v>
      </c>
      <c r="C879" s="74">
        <v>360.60287420389517</v>
      </c>
      <c r="D879" s="74">
        <v>363.20790871482961</v>
      </c>
      <c r="E879" s="74">
        <v>3875296.5604202193</v>
      </c>
      <c r="F879" s="74" t="s">
        <v>947</v>
      </c>
      <c r="G879" s="25">
        <f t="shared" si="24"/>
        <v>-5.9412299951829839E-3</v>
      </c>
      <c r="I879" s="73">
        <v>259.90655552509367</v>
      </c>
      <c r="J879" s="73">
        <v>264.68922798016132</v>
      </c>
      <c r="K879" s="73">
        <v>259.11904720919898</v>
      </c>
      <c r="L879" s="73">
        <v>261.89453383473023</v>
      </c>
      <c r="M879" s="73">
        <v>960475.90194737574</v>
      </c>
      <c r="N879" s="73" t="s">
        <v>947</v>
      </c>
      <c r="O879" s="25">
        <f t="shared" si="25"/>
        <v>-7.5907590759075605E-3</v>
      </c>
    </row>
    <row r="880" spans="1:15">
      <c r="A880" s="74">
        <v>362.66357314538061</v>
      </c>
      <c r="B880" s="74">
        <v>367.13490103728287</v>
      </c>
      <c r="C880" s="74">
        <v>362.58581092117356</v>
      </c>
      <c r="D880" s="74">
        <v>366.62944657993745</v>
      </c>
      <c r="E880" s="74">
        <v>3904649.6302851452</v>
      </c>
      <c r="F880" s="74" t="s">
        <v>948</v>
      </c>
      <c r="G880" s="25">
        <f t="shared" si="24"/>
        <v>-1.081711649610273E-2</v>
      </c>
      <c r="I880" s="73">
        <v>264.03617230356576</v>
      </c>
      <c r="J880" s="73">
        <v>268.50192068028554</v>
      </c>
      <c r="K880" s="73">
        <v>263.66162566551827</v>
      </c>
      <c r="L880" s="73">
        <v>265.21743477740779</v>
      </c>
      <c r="M880" s="73">
        <v>741727.2023805778</v>
      </c>
      <c r="N880" s="73" t="s">
        <v>948</v>
      </c>
      <c r="O880" s="25">
        <f t="shared" si="25"/>
        <v>-4.4539397450753526E-3</v>
      </c>
    </row>
    <row r="881" spans="1:15">
      <c r="A881" s="74">
        <v>368.48601968287943</v>
      </c>
      <c r="B881" s="74">
        <v>368.85539024786272</v>
      </c>
      <c r="C881" s="74">
        <v>366.67804797006681</v>
      </c>
      <c r="D881" s="74">
        <v>367.89308272330112</v>
      </c>
      <c r="E881" s="74">
        <v>2376858.9682825711</v>
      </c>
      <c r="F881" s="74" t="s">
        <v>949</v>
      </c>
      <c r="G881" s="25">
        <f t="shared" si="24"/>
        <v>1.6117099978860683E-3</v>
      </c>
      <c r="I881" s="73">
        <v>265.14060469780827</v>
      </c>
      <c r="J881" s="73">
        <v>266.39869725124976</v>
      </c>
      <c r="K881" s="73">
        <v>264.11300238316522</v>
      </c>
      <c r="L881" s="73">
        <v>264.11300238316522</v>
      </c>
      <c r="M881" s="73">
        <v>571397.03913955938</v>
      </c>
      <c r="N881" s="73" t="s">
        <v>949</v>
      </c>
      <c r="O881" s="25">
        <f t="shared" si="25"/>
        <v>3.8907676084505294E-3</v>
      </c>
    </row>
    <row r="882" spans="1:15">
      <c r="A882" s="74">
        <v>368.00000578158568</v>
      </c>
      <c r="B882" s="74">
        <v>368.49573996090538</v>
      </c>
      <c r="C882" s="74">
        <v>366.2795165710059</v>
      </c>
      <c r="D882" s="74">
        <v>368.08748828381863</v>
      </c>
      <c r="E882" s="74">
        <v>2841797.3155160467</v>
      </c>
      <c r="F882" s="74" t="s">
        <v>950</v>
      </c>
      <c r="G882" s="25">
        <f t="shared" si="24"/>
        <v>-2.376676877576811E-4</v>
      </c>
      <c r="I882" s="73">
        <v>264.53556782096234</v>
      </c>
      <c r="J882" s="73">
        <v>266.04335813310217</v>
      </c>
      <c r="K882" s="73">
        <v>262.84050418979882</v>
      </c>
      <c r="L882" s="73">
        <v>264.3050775821639</v>
      </c>
      <c r="M882" s="73">
        <v>749563.71645343408</v>
      </c>
      <c r="N882" s="73" t="s">
        <v>950</v>
      </c>
      <c r="O882" s="25">
        <f t="shared" si="25"/>
        <v>8.7206133498063387E-4</v>
      </c>
    </row>
    <row r="883" spans="1:15">
      <c r="A883" s="74">
        <v>367.7861596650165</v>
      </c>
      <c r="B883" s="74">
        <v>369.43860692941519</v>
      </c>
      <c r="C883" s="74">
        <v>366.39615990731642</v>
      </c>
      <c r="D883" s="74">
        <v>367.21266326148987</v>
      </c>
      <c r="E883" s="74">
        <v>3038156.9252843349</v>
      </c>
      <c r="F883" s="74" t="s">
        <v>951</v>
      </c>
      <c r="G883" s="25">
        <f t="shared" si="24"/>
        <v>1.5617555190852173E-3</v>
      </c>
      <c r="I883" s="73">
        <v>262.97975870907288</v>
      </c>
      <c r="J883" s="73">
        <v>264.05537982346561</v>
      </c>
      <c r="K883" s="73">
        <v>260.22347960344149</v>
      </c>
      <c r="L883" s="73">
        <v>260.78049768053774</v>
      </c>
      <c r="M883" s="73">
        <v>548043.68574784789</v>
      </c>
      <c r="N883" s="73" t="s">
        <v>951</v>
      </c>
      <c r="O883" s="25">
        <f t="shared" si="25"/>
        <v>8.4333799808500309E-3</v>
      </c>
    </row>
    <row r="884" spans="1:15">
      <c r="A884" s="74">
        <v>369.87601944057951</v>
      </c>
      <c r="B884" s="74">
        <v>370.66336196067533</v>
      </c>
      <c r="C884" s="74">
        <v>368.07776800579273</v>
      </c>
      <c r="D884" s="74">
        <v>368.13608967394799</v>
      </c>
      <c r="E884" s="74">
        <v>2748183.7380465763</v>
      </c>
      <c r="F884" s="74" t="s">
        <v>952</v>
      </c>
      <c r="G884" s="25">
        <f t="shared" si="24"/>
        <v>4.7263221820292856E-3</v>
      </c>
      <c r="I884" s="73">
        <v>263.45034294661968</v>
      </c>
      <c r="J884" s="73">
        <v>264.64120918041164</v>
      </c>
      <c r="K884" s="73">
        <v>261.89453383473023</v>
      </c>
      <c r="L884" s="73">
        <v>263.80568206476727</v>
      </c>
      <c r="M884" s="73">
        <v>574145.96249224886</v>
      </c>
      <c r="N884" s="73" t="s">
        <v>952</v>
      </c>
      <c r="O884" s="25">
        <f t="shared" si="25"/>
        <v>-1.346972951326908E-3</v>
      </c>
    </row>
    <row r="885" spans="1:15">
      <c r="A885" s="74">
        <v>369.8954599966313</v>
      </c>
      <c r="B885" s="74">
        <v>371.23199822518905</v>
      </c>
      <c r="C885" s="74">
        <v>368.63182385326758</v>
      </c>
      <c r="D885" s="74">
        <v>371.15909613999497</v>
      </c>
      <c r="E885" s="74">
        <v>3106153.9515258279</v>
      </c>
      <c r="F885" s="74" t="s">
        <v>953</v>
      </c>
      <c r="G885" s="25">
        <f t="shared" si="24"/>
        <v>-3.4045673580556102E-3</v>
      </c>
      <c r="I885" s="73">
        <v>265.8896979739032</v>
      </c>
      <c r="J885" s="73">
        <v>269.97129595262567</v>
      </c>
      <c r="K885" s="73">
        <v>265.04456709830896</v>
      </c>
      <c r="L885" s="73">
        <v>268.56914699993507</v>
      </c>
      <c r="M885" s="73">
        <v>540740.29620399803</v>
      </c>
      <c r="N885" s="73" t="s">
        <v>953</v>
      </c>
      <c r="O885" s="25">
        <f t="shared" si="25"/>
        <v>-9.9767566601107749E-3</v>
      </c>
    </row>
    <row r="886" spans="1:15">
      <c r="A886" s="74">
        <v>369.64273276795853</v>
      </c>
      <c r="B886" s="74">
        <v>369.681613880062</v>
      </c>
      <c r="C886" s="74">
        <v>367.11546048123114</v>
      </c>
      <c r="D886" s="74">
        <v>368.24301273223256</v>
      </c>
      <c r="E886" s="74">
        <v>2799306.7613466522</v>
      </c>
      <c r="F886" s="74" t="s">
        <v>954</v>
      </c>
      <c r="G886" s="25">
        <f t="shared" si="24"/>
        <v>3.8010769718088699E-3</v>
      </c>
      <c r="I886" s="73">
        <v>266.8308664489968</v>
      </c>
      <c r="J886" s="73">
        <v>268.51152444023546</v>
      </c>
      <c r="K886" s="73">
        <v>265.10218965800857</v>
      </c>
      <c r="L886" s="73">
        <v>266.80205516914702</v>
      </c>
      <c r="M886" s="73">
        <v>575549.57941627363</v>
      </c>
      <c r="N886" s="73" t="s">
        <v>954</v>
      </c>
      <c r="O886" s="25">
        <f t="shared" si="25"/>
        <v>1.0798747345286408E-4</v>
      </c>
    </row>
    <row r="887" spans="1:15">
      <c r="A887" s="74">
        <v>368.3888169026207</v>
      </c>
      <c r="B887" s="74">
        <v>370.66336196067533</v>
      </c>
      <c r="C887" s="74">
        <v>366.18231379074723</v>
      </c>
      <c r="D887" s="74">
        <v>368.66098468734521</v>
      </c>
      <c r="E887" s="74">
        <v>3067456.4987370577</v>
      </c>
      <c r="F887" s="74" t="s">
        <v>955</v>
      </c>
      <c r="G887" s="25">
        <f t="shared" si="24"/>
        <v>-7.3826034223645198E-4</v>
      </c>
      <c r="I887" s="73">
        <v>266.31226341170037</v>
      </c>
      <c r="J887" s="73">
        <v>270.0385222722752</v>
      </c>
      <c r="K887" s="73">
        <v>264.39631330168834</v>
      </c>
      <c r="L887" s="73">
        <v>266.8308664489968</v>
      </c>
      <c r="M887" s="73">
        <v>693524.20663586131</v>
      </c>
      <c r="N887" s="73" t="s">
        <v>955</v>
      </c>
      <c r="O887" s="25">
        <f t="shared" si="25"/>
        <v>-1.9435646415200125E-3</v>
      </c>
    </row>
    <row r="888" spans="1:15">
      <c r="A888" s="74">
        <v>369.14699858863889</v>
      </c>
      <c r="B888" s="74">
        <v>369.53580970967391</v>
      </c>
      <c r="C888" s="74">
        <v>364.94278393688762</v>
      </c>
      <c r="D888" s="74">
        <v>365.39497127065135</v>
      </c>
      <c r="E888" s="74">
        <v>2758017.8188975095</v>
      </c>
      <c r="F888" s="74" t="s">
        <v>956</v>
      </c>
      <c r="G888" s="25">
        <f t="shared" si="24"/>
        <v>1.0268415312175705E-2</v>
      </c>
      <c r="I888" s="73">
        <v>267.09016796764513</v>
      </c>
      <c r="J888" s="73">
        <v>269.50071171507881</v>
      </c>
      <c r="K888" s="73">
        <v>261.55840223648249</v>
      </c>
      <c r="L888" s="73">
        <v>269.1357688369813</v>
      </c>
      <c r="M888" s="73">
        <v>957210.51420721132</v>
      </c>
      <c r="N888" s="73" t="s">
        <v>956</v>
      </c>
      <c r="O888" s="25">
        <f t="shared" si="25"/>
        <v>-7.6006280331144538E-3</v>
      </c>
    </row>
    <row r="889" spans="1:15">
      <c r="A889" s="74">
        <v>364.42294346806392</v>
      </c>
      <c r="B889" s="74">
        <v>368.02916661566337</v>
      </c>
      <c r="C889" s="74">
        <v>363.84944706453729</v>
      </c>
      <c r="D889" s="74">
        <v>367.81532049909407</v>
      </c>
      <c r="E889" s="74">
        <v>3728466.3981346516</v>
      </c>
      <c r="F889" s="74" t="s">
        <v>957</v>
      </c>
      <c r="G889" s="25">
        <f t="shared" si="24"/>
        <v>-9.2230443974627985E-3</v>
      </c>
      <c r="I889" s="73">
        <v>269.98089971257559</v>
      </c>
      <c r="J889" s="73">
        <v>271.42146370506583</v>
      </c>
      <c r="K889" s="73">
        <v>267.33026196639349</v>
      </c>
      <c r="L889" s="73">
        <v>270.64355914912107</v>
      </c>
      <c r="M889" s="73">
        <v>983828.21408024151</v>
      </c>
      <c r="N889" s="73" t="s">
        <v>957</v>
      </c>
      <c r="O889" s="25">
        <f t="shared" si="25"/>
        <v>-2.4484581810437778E-3</v>
      </c>
    </row>
    <row r="890" spans="1:15">
      <c r="A890" s="74">
        <v>365.8809851719451</v>
      </c>
      <c r="B890" s="74">
        <v>367.19322270543813</v>
      </c>
      <c r="C890" s="74">
        <v>365.18112515408211</v>
      </c>
      <c r="D890" s="74">
        <v>366.35727879521289</v>
      </c>
      <c r="E890" s="74">
        <v>3157318.1259122137</v>
      </c>
      <c r="F890" s="74" t="s">
        <v>958</v>
      </c>
      <c r="G890" s="25">
        <f t="shared" si="24"/>
        <v>-1.3000795967098577E-3</v>
      </c>
      <c r="I890" s="73">
        <v>267.48392212559241</v>
      </c>
      <c r="J890" s="73">
        <v>267.70480860444093</v>
      </c>
      <c r="K890" s="73">
        <v>264.42032270156312</v>
      </c>
      <c r="L890" s="73">
        <v>264.91011445900983</v>
      </c>
      <c r="M890" s="73">
        <v>635781.19734669768</v>
      </c>
      <c r="N890" s="73" t="s">
        <v>958</v>
      </c>
      <c r="O890" s="25">
        <f t="shared" si="25"/>
        <v>9.7157772621809801E-3</v>
      </c>
    </row>
    <row r="891" spans="1:15">
      <c r="A891" s="74">
        <v>365.83238378181574</v>
      </c>
      <c r="B891" s="74">
        <v>365.86154461589331</v>
      </c>
      <c r="C891" s="74">
        <v>362.5274892530183</v>
      </c>
      <c r="D891" s="74">
        <v>363.10098565654494</v>
      </c>
      <c r="E891" s="74">
        <v>2747984.155277973</v>
      </c>
      <c r="F891" s="74" t="s">
        <v>959</v>
      </c>
      <c r="G891" s="25">
        <f t="shared" si="24"/>
        <v>7.5224200240933126E-3</v>
      </c>
      <c r="I891" s="73">
        <v>264.32428510206381</v>
      </c>
      <c r="J891" s="73">
        <v>264.36270014186351</v>
      </c>
      <c r="K891" s="73">
        <v>259.51280136714632</v>
      </c>
      <c r="L891" s="73">
        <v>260.32912096289078</v>
      </c>
      <c r="M891" s="73">
        <v>479460.13061593822</v>
      </c>
      <c r="N891" s="73" t="s">
        <v>959</v>
      </c>
      <c r="O891" s="25">
        <f t="shared" si="25"/>
        <v>1.534658944184164E-2</v>
      </c>
    </row>
    <row r="892" spans="1:15">
      <c r="A892" s="74">
        <v>365.43385238275482</v>
      </c>
      <c r="B892" s="74">
        <v>365.66227891636288</v>
      </c>
      <c r="C892" s="74">
        <v>362.29420258039738</v>
      </c>
      <c r="D892" s="74">
        <v>363.21762899285545</v>
      </c>
      <c r="E892" s="74">
        <v>3164747.9545454849</v>
      </c>
      <c r="F892" s="74" t="s">
        <v>960</v>
      </c>
      <c r="G892" s="25">
        <f t="shared" si="24"/>
        <v>6.1016404849196793E-3</v>
      </c>
      <c r="I892" s="73">
        <v>261.36632703748376</v>
      </c>
      <c r="J892" s="73">
        <v>263.61360686576859</v>
      </c>
      <c r="K892" s="73">
        <v>260.20427208354164</v>
      </c>
      <c r="L892" s="73">
        <v>261.39513831733359</v>
      </c>
      <c r="M892" s="73">
        <v>574541.64085362083</v>
      </c>
      <c r="N892" s="73" t="s">
        <v>960</v>
      </c>
      <c r="O892" s="25">
        <f t="shared" si="25"/>
        <v>-1.1022117716230628E-4</v>
      </c>
    </row>
    <row r="893" spans="1:15">
      <c r="A893" s="74">
        <v>364.04385262505474</v>
      </c>
      <c r="B893" s="74">
        <v>364.9186776473835</v>
      </c>
      <c r="C893" s="74">
        <v>362.45944730683721</v>
      </c>
      <c r="D893" s="74">
        <v>364.22853790754635</v>
      </c>
      <c r="E893" s="74">
        <v>3320620.0392705179</v>
      </c>
      <c r="F893" s="74" t="s">
        <v>961</v>
      </c>
      <c r="G893" s="25">
        <f t="shared" si="24"/>
        <v>-5.0705879213253091E-4</v>
      </c>
      <c r="I893" s="73">
        <v>262.34591055237718</v>
      </c>
      <c r="J893" s="73">
        <v>267.02774352797053</v>
      </c>
      <c r="K893" s="73">
        <v>261.81770375513071</v>
      </c>
      <c r="L893" s="73">
        <v>265.45752877615615</v>
      </c>
      <c r="M893" s="73">
        <v>822627.80839845829</v>
      </c>
      <c r="N893" s="73" t="s">
        <v>961</v>
      </c>
      <c r="O893" s="25">
        <f t="shared" si="25"/>
        <v>-1.1721717738142678E-2</v>
      </c>
    </row>
    <row r="894" spans="1:15">
      <c r="A894" s="74">
        <v>364.9283979254094</v>
      </c>
      <c r="B894" s="74">
        <v>367.81532049909407</v>
      </c>
      <c r="C894" s="74">
        <v>363.66476178204567</v>
      </c>
      <c r="D894" s="74">
        <v>367.61119466055072</v>
      </c>
      <c r="E894" s="74">
        <v>2791358.4290258749</v>
      </c>
      <c r="F894" s="74" t="s">
        <v>962</v>
      </c>
      <c r="G894" s="25">
        <f t="shared" si="24"/>
        <v>-7.2979190354053314E-3</v>
      </c>
      <c r="I894" s="73">
        <v>267.71441236439085</v>
      </c>
      <c r="J894" s="73">
        <v>281.52461917239754</v>
      </c>
      <c r="K894" s="73">
        <v>266.14899949255147</v>
      </c>
      <c r="L894" s="73">
        <v>280.33375293860558</v>
      </c>
      <c r="M894" s="73">
        <v>782015.58963900921</v>
      </c>
      <c r="N894" s="73" t="s">
        <v>962</v>
      </c>
      <c r="O894" s="25">
        <f t="shared" si="25"/>
        <v>-4.5015416238437855E-2</v>
      </c>
    </row>
    <row r="895" spans="1:15">
      <c r="A895" s="74">
        <v>366.99881714492068</v>
      </c>
      <c r="B895" s="74">
        <v>367.33902687582628</v>
      </c>
      <c r="C895" s="74">
        <v>364.72427208686605</v>
      </c>
      <c r="D895" s="74">
        <v>365.09364265184928</v>
      </c>
      <c r="E895" s="74">
        <v>3626743.9991077953</v>
      </c>
      <c r="F895" s="74" t="s">
        <v>963</v>
      </c>
      <c r="G895" s="25">
        <f t="shared" si="24"/>
        <v>5.2183173588924436E-3</v>
      </c>
      <c r="I895" s="73">
        <v>279.74792358165956</v>
      </c>
      <c r="J895" s="73">
        <v>282.44658012759135</v>
      </c>
      <c r="K895" s="73">
        <v>277.37579487402559</v>
      </c>
      <c r="L895" s="73">
        <v>279.63267846226034</v>
      </c>
      <c r="M895" s="73">
        <v>759654.55592726474</v>
      </c>
      <c r="N895" s="73" t="s">
        <v>963</v>
      </c>
      <c r="O895" s="25">
        <f t="shared" si="25"/>
        <v>4.1213037057397095E-4</v>
      </c>
    </row>
    <row r="896" spans="1:15">
      <c r="A896" s="74">
        <v>365.55049571906534</v>
      </c>
      <c r="B896" s="74">
        <v>365.81294322576395</v>
      </c>
      <c r="C896" s="74">
        <v>361.25413283162874</v>
      </c>
      <c r="D896" s="74">
        <v>361.38049644596509</v>
      </c>
      <c r="E896" s="74">
        <v>4279552.4870038051</v>
      </c>
      <c r="F896" s="74" t="s">
        <v>964</v>
      </c>
      <c r="G896" s="25">
        <f t="shared" si="24"/>
        <v>1.1539082252945532E-2</v>
      </c>
      <c r="I896" s="73">
        <v>281.82233573084551</v>
      </c>
      <c r="J896" s="73">
        <v>282.06723160956886</v>
      </c>
      <c r="K896" s="73">
        <v>277.23173847477659</v>
      </c>
      <c r="L896" s="73">
        <v>277.65430391257371</v>
      </c>
      <c r="M896" s="73">
        <v>619300.15233670978</v>
      </c>
      <c r="N896" s="73" t="s">
        <v>964</v>
      </c>
      <c r="O896" s="25">
        <f t="shared" si="25"/>
        <v>1.5011587285116201E-2</v>
      </c>
    </row>
    <row r="897" spans="1:15">
      <c r="A897" s="74">
        <v>360.51539170166228</v>
      </c>
      <c r="B897" s="74">
        <v>361.08888810518891</v>
      </c>
      <c r="C897" s="74">
        <v>358.77740599063588</v>
      </c>
      <c r="D897" s="74">
        <v>360.84588115454204</v>
      </c>
      <c r="E897" s="74">
        <v>3412188.4077503812</v>
      </c>
      <c r="F897" s="74" t="s">
        <v>965</v>
      </c>
      <c r="G897" s="25">
        <f t="shared" si="24"/>
        <v>-9.1587425585226701E-4</v>
      </c>
      <c r="I897" s="73">
        <v>276.13690984048395</v>
      </c>
      <c r="J897" s="73">
        <v>276.45383391883183</v>
      </c>
      <c r="K897" s="73">
        <v>275.09010000594105</v>
      </c>
      <c r="L897" s="73">
        <v>275.62791056313739</v>
      </c>
      <c r="M897" s="73">
        <v>448232.77783292468</v>
      </c>
      <c r="N897" s="73" t="s">
        <v>965</v>
      </c>
      <c r="O897" s="25">
        <f t="shared" si="25"/>
        <v>1.8466898954703215E-3</v>
      </c>
    </row>
    <row r="898" spans="1:15">
      <c r="A898" s="74">
        <v>358.3769305359699</v>
      </c>
      <c r="B898" s="74">
        <v>358.61993748661678</v>
      </c>
      <c r="C898" s="74">
        <v>356.04406380976002</v>
      </c>
      <c r="D898" s="74">
        <v>357.12301467063207</v>
      </c>
      <c r="E898" s="74">
        <v>3740704.7312032469</v>
      </c>
      <c r="F898" s="74" t="s">
        <v>966</v>
      </c>
      <c r="G898" s="25">
        <f t="shared" si="24"/>
        <v>3.5111594991834583E-3</v>
      </c>
      <c r="I898" s="73">
        <v>273.2653856154534</v>
      </c>
      <c r="J898" s="73">
        <v>274.3121954499963</v>
      </c>
      <c r="K898" s="73">
        <v>270.35544635062303</v>
      </c>
      <c r="L898" s="73">
        <v>270.80682306826998</v>
      </c>
      <c r="M898" s="73">
        <v>601097.90645475371</v>
      </c>
      <c r="N898" s="73" t="s">
        <v>966</v>
      </c>
      <c r="O898" s="25">
        <f t="shared" si="25"/>
        <v>9.0786580608555045E-3</v>
      </c>
    </row>
    <row r="899" spans="1:15">
      <c r="A899" s="74">
        <v>353.35154679659274</v>
      </c>
      <c r="B899" s="74">
        <v>354.01252570235221</v>
      </c>
      <c r="C899" s="74">
        <v>351.56495969543698</v>
      </c>
      <c r="D899" s="74">
        <v>353.37098735264453</v>
      </c>
      <c r="E899" s="74">
        <v>2483111.0731350011</v>
      </c>
      <c r="F899" s="74" t="s">
        <v>967</v>
      </c>
      <c r="G899" s="25">
        <f t="shared" si="24"/>
        <v>-5.5014578863477048E-5</v>
      </c>
      <c r="I899" s="73">
        <v>267.7336198842907</v>
      </c>
      <c r="J899" s="73">
        <v>269.06854251733176</v>
      </c>
      <c r="K899" s="73">
        <v>266.49473485074913</v>
      </c>
      <c r="L899" s="73">
        <v>267.63758228479139</v>
      </c>
      <c r="M899" s="73">
        <v>648951.03922730975</v>
      </c>
      <c r="N899" s="73" t="s">
        <v>967</v>
      </c>
      <c r="O899" s="25">
        <f t="shared" si="25"/>
        <v>3.5883450552587348E-4</v>
      </c>
    </row>
    <row r="900" spans="1:15">
      <c r="A900" s="74">
        <v>353.97364459024874</v>
      </c>
      <c r="B900" s="74">
        <v>356.18014770212227</v>
      </c>
      <c r="C900" s="74">
        <v>353.23490346028223</v>
      </c>
      <c r="D900" s="74">
        <v>355.4948681012981</v>
      </c>
      <c r="E900" s="74">
        <v>4264070.4195568245</v>
      </c>
      <c r="F900" s="74" t="s">
        <v>968</v>
      </c>
      <c r="G900" s="25">
        <f t="shared" si="24"/>
        <v>-4.279171508647206E-3</v>
      </c>
      <c r="I900" s="73">
        <v>267.3686770061932</v>
      </c>
      <c r="J900" s="73">
        <v>269.65437187427773</v>
      </c>
      <c r="K900" s="73">
        <v>265.10218965800857</v>
      </c>
      <c r="L900" s="73">
        <v>268.78042971883366</v>
      </c>
      <c r="M900" s="73">
        <v>596234.18638641573</v>
      </c>
      <c r="N900" s="73" t="s">
        <v>968</v>
      </c>
      <c r="O900" s="25">
        <f t="shared" si="25"/>
        <v>-5.2524386322221339E-3</v>
      </c>
    </row>
    <row r="901" spans="1:15">
      <c r="A901" s="74">
        <v>353.39042790869627</v>
      </c>
      <c r="B901" s="74">
        <v>353.45846985487736</v>
      </c>
      <c r="C901" s="74">
        <v>347.71378554158554</v>
      </c>
      <c r="D901" s="74">
        <v>349.91056837543317</v>
      </c>
      <c r="E901" s="74">
        <v>3848594.6492908155</v>
      </c>
      <c r="F901" s="74" t="s">
        <v>969</v>
      </c>
      <c r="G901" s="25">
        <f t="shared" si="24"/>
        <v>9.9449969442746422E-3</v>
      </c>
      <c r="I901" s="73">
        <v>266.60037621019842</v>
      </c>
      <c r="J901" s="73">
        <v>266.98452660819584</v>
      </c>
      <c r="K901" s="73">
        <v>260.33872472284071</v>
      </c>
      <c r="L901" s="73">
        <v>264.18022870281476</v>
      </c>
      <c r="M901" s="73">
        <v>674373.37394545833</v>
      </c>
      <c r="N901" s="73" t="s">
        <v>969</v>
      </c>
      <c r="O901" s="25">
        <f t="shared" si="25"/>
        <v>9.1609713537881277E-3</v>
      </c>
    </row>
    <row r="902" spans="1:15">
      <c r="A902" s="74">
        <v>351.0503681767471</v>
      </c>
      <c r="B902" s="74">
        <v>356.51592735037912</v>
      </c>
      <c r="C902" s="74">
        <v>348.61090499616745</v>
      </c>
      <c r="D902" s="74">
        <v>352.83156351494813</v>
      </c>
      <c r="E902" s="74">
        <v>4945238.139291577</v>
      </c>
      <c r="F902" s="74" t="s">
        <v>970</v>
      </c>
      <c r="G902" s="25">
        <f t="shared" si="24"/>
        <v>-5.0482879719052631E-3</v>
      </c>
      <c r="I902" s="73">
        <v>267.3878845260931</v>
      </c>
      <c r="J902" s="73">
        <v>273.87330362028428</v>
      </c>
      <c r="K902" s="73">
        <v>265.41911373635639</v>
      </c>
      <c r="L902" s="73">
        <v>269.09735379718154</v>
      </c>
      <c r="M902" s="73">
        <v>665693.4402075723</v>
      </c>
      <c r="N902" s="73" t="s">
        <v>970</v>
      </c>
      <c r="O902" s="25">
        <f t="shared" si="25"/>
        <v>-6.3526052819414813E-3</v>
      </c>
    </row>
    <row r="903" spans="1:15">
      <c r="A903" s="74">
        <v>350.21785296432705</v>
      </c>
      <c r="B903" s="74">
        <v>359.3551914411093</v>
      </c>
      <c r="C903" s="74">
        <v>350.10168805096617</v>
      </c>
      <c r="D903" s="74">
        <v>356.02609863237382</v>
      </c>
      <c r="E903" s="74">
        <v>4230027.6889393684</v>
      </c>
      <c r="F903" s="74" t="s">
        <v>971</v>
      </c>
      <c r="G903" s="25">
        <f t="shared" si="24"/>
        <v>-1.631410082114304E-2</v>
      </c>
      <c r="I903" s="73">
        <v>266.6291874900482</v>
      </c>
      <c r="J903" s="73">
        <v>274.4754593691452</v>
      </c>
      <c r="K903" s="73">
        <v>266.46592357089929</v>
      </c>
      <c r="L903" s="73">
        <v>272.7659900980567</v>
      </c>
      <c r="M903" s="73">
        <v>809064.37067416578</v>
      </c>
      <c r="N903" s="73" t="s">
        <v>971</v>
      </c>
      <c r="O903" s="25">
        <f t="shared" si="25"/>
        <v>-2.2498415604534805E-2</v>
      </c>
    </row>
    <row r="904" spans="1:15">
      <c r="A904" s="74">
        <v>356.12290272684129</v>
      </c>
      <c r="B904" s="74">
        <v>356.63596442751879</v>
      </c>
      <c r="C904" s="74">
        <v>353.21877989281791</v>
      </c>
      <c r="D904" s="74">
        <v>354.70956294761658</v>
      </c>
      <c r="E904" s="74">
        <v>4253569.048553722</v>
      </c>
      <c r="F904" s="74" t="s">
        <v>972</v>
      </c>
      <c r="G904" s="25">
        <f t="shared" si="24"/>
        <v>3.9844986627366463E-3</v>
      </c>
      <c r="I904" s="73">
        <v>271.94006674236238</v>
      </c>
      <c r="J904" s="73">
        <v>274.57149696864451</v>
      </c>
      <c r="K904" s="73">
        <v>270.21138995137403</v>
      </c>
      <c r="L904" s="73">
        <v>272.02650058191176</v>
      </c>
      <c r="M904" s="73">
        <v>858179.50916772918</v>
      </c>
      <c r="N904" s="73" t="s">
        <v>972</v>
      </c>
      <c r="O904" s="25">
        <f t="shared" si="25"/>
        <v>-3.177405119151322E-4</v>
      </c>
    </row>
    <row r="905" spans="1:15">
      <c r="A905" s="74">
        <v>351.52470823963756</v>
      </c>
      <c r="B905" s="74">
        <v>351.9603266647411</v>
      </c>
      <c r="C905" s="74">
        <v>348.32049271276509</v>
      </c>
      <c r="D905" s="74">
        <v>348.94971932680352</v>
      </c>
      <c r="E905" s="74">
        <v>3202088.7309083808</v>
      </c>
      <c r="F905" s="74" t="s">
        <v>973</v>
      </c>
      <c r="G905" s="25">
        <f t="shared" si="24"/>
        <v>7.3792548617082065E-3</v>
      </c>
      <c r="I905" s="73">
        <v>267.30145068654366</v>
      </c>
      <c r="J905" s="73">
        <v>267.97371388303912</v>
      </c>
      <c r="K905" s="73">
        <v>263.28707902747078</v>
      </c>
      <c r="L905" s="73">
        <v>263.94973846401632</v>
      </c>
      <c r="M905" s="73">
        <v>716064.33686906879</v>
      </c>
      <c r="N905" s="73" t="s">
        <v>973</v>
      </c>
      <c r="O905" s="25">
        <f t="shared" si="25"/>
        <v>1.2698297191092944E-2</v>
      </c>
    </row>
    <row r="906" spans="1:15">
      <c r="A906" s="74">
        <v>348.37857516944558</v>
      </c>
      <c r="B906" s="74">
        <v>352.16361526312278</v>
      </c>
      <c r="C906" s="74">
        <v>346.96533219431535</v>
      </c>
      <c r="D906" s="74">
        <v>351.16653309010803</v>
      </c>
      <c r="E906" s="74">
        <v>5361247.4023454525</v>
      </c>
      <c r="F906" s="74" t="s">
        <v>974</v>
      </c>
      <c r="G906" s="25">
        <f t="shared" si="24"/>
        <v>-7.9391333112801554E-3</v>
      </c>
      <c r="I906" s="73">
        <v>261.90413759468015</v>
      </c>
      <c r="J906" s="73">
        <v>267.27263940669388</v>
      </c>
      <c r="K906" s="73">
        <v>259.70967844611999</v>
      </c>
      <c r="L906" s="73">
        <v>266.94611156839608</v>
      </c>
      <c r="M906" s="73">
        <v>1327042.7485108187</v>
      </c>
      <c r="N906" s="73" t="s">
        <v>974</v>
      </c>
      <c r="O906" s="25">
        <f t="shared" si="25"/>
        <v>-1.8887609728018395E-2</v>
      </c>
    </row>
    <row r="907" spans="1:15">
      <c r="A907" s="74">
        <v>352.23137812924995</v>
      </c>
      <c r="B907" s="74">
        <v>352.61859450711972</v>
      </c>
      <c r="C907" s="74">
        <v>343.64485494998746</v>
      </c>
      <c r="D907" s="74">
        <v>344.17727746955842</v>
      </c>
      <c r="E907" s="74">
        <v>5216558.2745037554</v>
      </c>
      <c r="F907" s="74" t="s">
        <v>975</v>
      </c>
      <c r="G907" s="25">
        <f t="shared" si="24"/>
        <v>2.3401023794791032E-2</v>
      </c>
      <c r="I907" s="73">
        <v>270.84523810806968</v>
      </c>
      <c r="J907" s="73">
        <v>271.8248216229631</v>
      </c>
      <c r="K907" s="73">
        <v>261.94255263447991</v>
      </c>
      <c r="L907" s="73">
        <v>263.64241814561836</v>
      </c>
      <c r="M907" s="73">
        <v>1017720.1482494415</v>
      </c>
      <c r="N907" s="73" t="s">
        <v>975</v>
      </c>
      <c r="O907" s="25">
        <f t="shared" si="25"/>
        <v>2.7320413813201272E-2</v>
      </c>
    </row>
    <row r="908" spans="1:15">
      <c r="A908" s="74">
        <v>346.30696754784225</v>
      </c>
      <c r="B908" s="74">
        <v>346.44249328009664</v>
      </c>
      <c r="C908" s="74">
        <v>341.29735565915189</v>
      </c>
      <c r="D908" s="74">
        <v>343.13179324930996</v>
      </c>
      <c r="E908" s="74">
        <v>6828629.549572384</v>
      </c>
      <c r="F908" s="74" t="s">
        <v>976</v>
      </c>
      <c r="G908" s="25">
        <f t="shared" si="24"/>
        <v>9.2535123850365775E-3</v>
      </c>
      <c r="I908" s="73">
        <v>265.69762277490452</v>
      </c>
      <c r="J908" s="73">
        <v>278.48022726826815</v>
      </c>
      <c r="K908" s="73">
        <v>260.68446008103837</v>
      </c>
      <c r="L908" s="73">
        <v>277.94241671107181</v>
      </c>
      <c r="M908" s="73">
        <v>1171810.8385326779</v>
      </c>
      <c r="N908" s="73" t="s">
        <v>976</v>
      </c>
      <c r="O908" s="25">
        <f t="shared" si="25"/>
        <v>-4.4055146677723811E-2</v>
      </c>
    </row>
    <row r="909" spans="1:15">
      <c r="A909" s="74">
        <v>348.45601844501954</v>
      </c>
      <c r="B909" s="74">
        <v>349.95648190926494</v>
      </c>
      <c r="C909" s="74">
        <v>344.2644011545791</v>
      </c>
      <c r="D909" s="74">
        <v>347.41053422477114</v>
      </c>
      <c r="E909" s="74">
        <v>4957239.6977627501</v>
      </c>
      <c r="F909" s="74" t="s">
        <v>977</v>
      </c>
      <c r="G909" s="25">
        <f t="shared" si="24"/>
        <v>3.0093624609897063E-3</v>
      </c>
      <c r="I909" s="73">
        <v>282.63865532659003</v>
      </c>
      <c r="J909" s="73">
        <v>285.93274498941781</v>
      </c>
      <c r="K909" s="73">
        <v>279.02764158541447</v>
      </c>
      <c r="L909" s="73">
        <v>281.03482741495088</v>
      </c>
      <c r="M909" s="73">
        <v>827432.1767125905</v>
      </c>
      <c r="N909" s="73" t="s">
        <v>977</v>
      </c>
      <c r="O909" s="25">
        <f t="shared" si="25"/>
        <v>5.7068653248129042E-3</v>
      </c>
    </row>
    <row r="910" spans="1:15">
      <c r="A910" s="74">
        <v>342.76393769033371</v>
      </c>
      <c r="B910" s="74">
        <v>347.20724562638952</v>
      </c>
      <c r="C910" s="74">
        <v>338.58200080934</v>
      </c>
      <c r="D910" s="74">
        <v>339.5500417540145</v>
      </c>
      <c r="E910" s="74">
        <v>6692581.585150498</v>
      </c>
      <c r="F910" s="74" t="s">
        <v>978</v>
      </c>
      <c r="G910" s="25">
        <f t="shared" si="24"/>
        <v>9.4651613638954135E-3</v>
      </c>
      <c r="I910" s="73">
        <v>274.6771383280938</v>
      </c>
      <c r="J910" s="73">
        <v>277.15490839517707</v>
      </c>
      <c r="K910" s="73">
        <v>271.31582234561654</v>
      </c>
      <c r="L910" s="73">
        <v>273.47666833435193</v>
      </c>
      <c r="M910" s="73">
        <v>1026561.4771084135</v>
      </c>
      <c r="N910" s="73" t="s">
        <v>978</v>
      </c>
      <c r="O910" s="25">
        <f t="shared" si="25"/>
        <v>4.3896614693075264E-3</v>
      </c>
    </row>
    <row r="911" spans="1:15">
      <c r="A911" s="74">
        <v>343.34476225713837</v>
      </c>
      <c r="B911" s="74">
        <v>349.69511085420288</v>
      </c>
      <c r="C911" s="74">
        <v>341.8539792023397</v>
      </c>
      <c r="D911" s="74">
        <v>347.84615264987463</v>
      </c>
      <c r="E911" s="74">
        <v>8636413.6207187772</v>
      </c>
      <c r="F911" s="74" t="s">
        <v>979</v>
      </c>
      <c r="G911" s="25">
        <f t="shared" si="24"/>
        <v>-1.2940750841844539E-2</v>
      </c>
      <c r="I911" s="73">
        <v>277.61588887277395</v>
      </c>
      <c r="J911" s="73">
        <v>286.06719762871688</v>
      </c>
      <c r="K911" s="73">
        <v>275.56068424348786</v>
      </c>
      <c r="L911" s="73">
        <v>286.06719762871688</v>
      </c>
      <c r="M911" s="73">
        <v>575007.08355765569</v>
      </c>
      <c r="N911" s="73" t="s">
        <v>979</v>
      </c>
      <c r="O911" s="25">
        <f t="shared" si="25"/>
        <v>-2.9543089267130118E-2</v>
      </c>
    </row>
    <row r="912" spans="1:15">
      <c r="A912" s="74">
        <v>348.3398535316586</v>
      </c>
      <c r="B912" s="74">
        <v>357.09094367151573</v>
      </c>
      <c r="C912" s="74">
        <v>347.38149299643089</v>
      </c>
      <c r="D912" s="74">
        <v>355.60984102616385</v>
      </c>
      <c r="E912" s="74">
        <v>4555209.1822757469</v>
      </c>
      <c r="F912" s="74" t="s">
        <v>980</v>
      </c>
      <c r="G912" s="25">
        <f t="shared" si="24"/>
        <v>-2.0443718524567944E-2</v>
      </c>
      <c r="I912" s="73">
        <v>287.07559242346008</v>
      </c>
      <c r="J912" s="73">
        <v>297.10191781119232</v>
      </c>
      <c r="K912" s="73">
        <v>286.489763066514</v>
      </c>
      <c r="L912" s="73">
        <v>292.41528295562398</v>
      </c>
      <c r="M912" s="73">
        <v>804846.2310901715</v>
      </c>
      <c r="N912" s="73" t="s">
        <v>980</v>
      </c>
      <c r="O912" s="25">
        <f t="shared" si="25"/>
        <v>-1.8260641093010954E-2</v>
      </c>
    </row>
    <row r="913" spans="1:15">
      <c r="A913" s="74">
        <v>354.83540827042424</v>
      </c>
      <c r="B913" s="74">
        <v>355.56018052570204</v>
      </c>
      <c r="C913" s="74">
        <v>352.79284187716115</v>
      </c>
      <c r="D913" s="74">
        <v>354.40947025476748</v>
      </c>
      <c r="E913" s="74">
        <v>3002205.6566804931</v>
      </c>
      <c r="F913" s="74" t="s">
        <v>981</v>
      </c>
      <c r="G913" s="25">
        <f t="shared" si="24"/>
        <v>1.201824588238587E-3</v>
      </c>
      <c r="I913" s="73">
        <v>290.32166328653813</v>
      </c>
      <c r="J913" s="73">
        <v>291.08036032258298</v>
      </c>
      <c r="K913" s="73">
        <v>287.3300920621333</v>
      </c>
      <c r="L913" s="73">
        <v>287.99755337865383</v>
      </c>
      <c r="M913" s="73">
        <v>611656.27115031087</v>
      </c>
      <c r="N913" s="73" t="s">
        <v>981</v>
      </c>
      <c r="O913" s="25">
        <f t="shared" si="25"/>
        <v>8.0698946245165715E-3</v>
      </c>
    </row>
    <row r="914" spans="1:15">
      <c r="A914" s="74">
        <v>354.28362493195982</v>
      </c>
      <c r="B914" s="74">
        <v>360.00474691498584</v>
      </c>
      <c r="C914" s="74">
        <v>353.70764056987849</v>
      </c>
      <c r="D914" s="74">
        <v>359.75305626937052</v>
      </c>
      <c r="E914" s="74">
        <v>3663213.85423683</v>
      </c>
      <c r="F914" s="74" t="s">
        <v>982</v>
      </c>
      <c r="G914" s="25">
        <f t="shared" si="24"/>
        <v>-1.5203293598471501E-2</v>
      </c>
      <c r="I914" s="73">
        <v>287.46934658140736</v>
      </c>
      <c r="J914" s="73">
        <v>293.85584694811422</v>
      </c>
      <c r="K914" s="73">
        <v>286.95074354411094</v>
      </c>
      <c r="L914" s="73">
        <v>293.46209279016688</v>
      </c>
      <c r="M914" s="73">
        <v>572306.05811186915</v>
      </c>
      <c r="N914" s="73" t="s">
        <v>982</v>
      </c>
      <c r="O914" s="25">
        <f t="shared" si="25"/>
        <v>-2.0420852832411573E-2</v>
      </c>
    </row>
    <row r="915" spans="1:15">
      <c r="A915" s="74">
        <v>359.84986036383799</v>
      </c>
      <c r="B915" s="74">
        <v>362.47325132390574</v>
      </c>
      <c r="C915" s="74">
        <v>359.43360275762797</v>
      </c>
      <c r="D915" s="74">
        <v>360.36292206451543</v>
      </c>
      <c r="E915" s="74">
        <v>2725427.0746649345</v>
      </c>
      <c r="F915" s="74" t="s">
        <v>983</v>
      </c>
      <c r="G915" s="25">
        <f t="shared" si="24"/>
        <v>-1.4237360984257208E-3</v>
      </c>
      <c r="I915" s="73">
        <v>293.45248903021695</v>
      </c>
      <c r="J915" s="73">
        <v>295.10337536561082</v>
      </c>
      <c r="K915" s="73">
        <v>291.22441672183203</v>
      </c>
      <c r="L915" s="73">
        <v>291.43569944073056</v>
      </c>
      <c r="M915" s="73">
        <v>647623.43419902225</v>
      </c>
      <c r="N915" s="73" t="s">
        <v>983</v>
      </c>
      <c r="O915" s="25">
        <f t="shared" si="25"/>
        <v>6.920187174586534E-3</v>
      </c>
    </row>
    <row r="916" spans="1:15">
      <c r="A916" s="74">
        <v>359.41424193873445</v>
      </c>
      <c r="B916" s="74">
        <v>359.7917779071575</v>
      </c>
      <c r="C916" s="74">
        <v>354.98061441212542</v>
      </c>
      <c r="D916" s="74">
        <v>355.55175856948335</v>
      </c>
      <c r="E916" s="74">
        <v>5075817.3267685166</v>
      </c>
      <c r="F916" s="74" t="s">
        <v>984</v>
      </c>
      <c r="G916" s="25">
        <f t="shared" si="24"/>
        <v>1.0863350485992074E-2</v>
      </c>
      <c r="I916" s="73">
        <v>290.60017232508619</v>
      </c>
      <c r="J916" s="73">
        <v>291.18600168203227</v>
      </c>
      <c r="K916" s="73">
        <v>284.8859351548748</v>
      </c>
      <c r="L916" s="73">
        <v>285.85591490981824</v>
      </c>
      <c r="M916" s="73">
        <v>749743.85423374281</v>
      </c>
      <c r="N916" s="73" t="s">
        <v>984</v>
      </c>
      <c r="O916" s="25">
        <f t="shared" si="25"/>
        <v>1.6596673945909579E-2</v>
      </c>
    </row>
    <row r="917" spans="1:15">
      <c r="A917" s="74">
        <v>353.8092848690693</v>
      </c>
      <c r="B917" s="74">
        <v>354.65148049093614</v>
      </c>
      <c r="C917" s="74">
        <v>349.00780178348396</v>
      </c>
      <c r="D917" s="74">
        <v>349.27885324799286</v>
      </c>
      <c r="E917" s="74">
        <v>2820969.5209930725</v>
      </c>
      <c r="F917" s="74" t="s">
        <v>985</v>
      </c>
      <c r="G917" s="25">
        <f t="shared" si="24"/>
        <v>1.297081566475411E-2</v>
      </c>
      <c r="I917" s="73">
        <v>284.78989755537549</v>
      </c>
      <c r="J917" s="73">
        <v>285.90393370956792</v>
      </c>
      <c r="K917" s="73">
        <v>278.6050761476173</v>
      </c>
      <c r="L917" s="73">
        <v>280.12247021970705</v>
      </c>
      <c r="M917" s="73">
        <v>504186.90442514874</v>
      </c>
      <c r="N917" s="73" t="s">
        <v>985</v>
      </c>
      <c r="O917" s="25">
        <f t="shared" si="25"/>
        <v>1.6662095447065095E-2</v>
      </c>
    </row>
    <row r="918" spans="1:15">
      <c r="A918" s="74">
        <v>351.18589390900149</v>
      </c>
      <c r="B918" s="74">
        <v>352.86060474328832</v>
      </c>
      <c r="C918" s="74">
        <v>349.8983994525845</v>
      </c>
      <c r="D918" s="74">
        <v>351.72799683801918</v>
      </c>
      <c r="E918" s="74">
        <v>3889013.1876250538</v>
      </c>
      <c r="F918" s="74" t="s">
        <v>986</v>
      </c>
      <c r="G918" s="25">
        <f t="shared" si="24"/>
        <v>-1.5412561237407862E-3</v>
      </c>
      <c r="I918" s="73">
        <v>281.05403493485073</v>
      </c>
      <c r="J918" s="73">
        <v>285.34211375249674</v>
      </c>
      <c r="K918" s="73">
        <v>279.32535814386245</v>
      </c>
      <c r="L918" s="73">
        <v>281.86075077064527</v>
      </c>
      <c r="M918" s="73">
        <v>515574.1111618955</v>
      </c>
      <c r="N918" s="73" t="s">
        <v>986</v>
      </c>
      <c r="O918" s="25">
        <f t="shared" si="25"/>
        <v>-2.8621077379126225E-3</v>
      </c>
    </row>
    <row r="919" spans="1:15">
      <c r="A919" s="74">
        <v>352.4733883654186</v>
      </c>
      <c r="B919" s="74">
        <v>355.13550096327333</v>
      </c>
      <c r="C919" s="74">
        <v>352.41530590873811</v>
      </c>
      <c r="D919" s="74">
        <v>353.34462521562557</v>
      </c>
      <c r="E919" s="74">
        <v>3121975.3840229558</v>
      </c>
      <c r="F919" s="74" t="s">
        <v>987</v>
      </c>
      <c r="G919" s="25">
        <f t="shared" si="24"/>
        <v>-2.4656858716197716E-3</v>
      </c>
      <c r="I919" s="73">
        <v>283.24369220343596</v>
      </c>
      <c r="J919" s="73">
        <v>286.06719762871688</v>
      </c>
      <c r="K919" s="73">
        <v>282.07203348954386</v>
      </c>
      <c r="L919" s="73">
        <v>282.34093876814205</v>
      </c>
      <c r="M919" s="73">
        <v>783321.32823153667</v>
      </c>
      <c r="N919" s="73" t="s">
        <v>987</v>
      </c>
      <c r="O919" s="25">
        <f t="shared" si="25"/>
        <v>3.19738766624722E-3</v>
      </c>
    </row>
    <row r="920" spans="1:15">
      <c r="A920" s="74">
        <v>353.8092848690693</v>
      </c>
      <c r="B920" s="74">
        <v>356.98445916760153</v>
      </c>
      <c r="C920" s="74">
        <v>352.94153296626314</v>
      </c>
      <c r="D920" s="74">
        <v>355.74536675841824</v>
      </c>
      <c r="E920" s="74">
        <v>3409099.602816686</v>
      </c>
      <c r="F920" s="74" t="s">
        <v>988</v>
      </c>
      <c r="G920" s="25">
        <f t="shared" si="24"/>
        <v>-5.4423249612234326E-3</v>
      </c>
      <c r="I920" s="73">
        <v>282.72508916613941</v>
      </c>
      <c r="J920" s="73">
        <v>283.11116031612681</v>
      </c>
      <c r="K920" s="73">
        <v>280.7563183764027</v>
      </c>
      <c r="L920" s="73">
        <v>281.87035453059519</v>
      </c>
      <c r="M920" s="73">
        <v>459286.78173904243</v>
      </c>
      <c r="N920" s="73" t="s">
        <v>988</v>
      </c>
      <c r="O920" s="25">
        <f t="shared" si="25"/>
        <v>3.0323679727426445E-3</v>
      </c>
    </row>
    <row r="921" spans="1:15">
      <c r="A921" s="74">
        <v>352.58955327877953</v>
      </c>
      <c r="B921" s="74">
        <v>353.36398603451903</v>
      </c>
      <c r="C921" s="74">
        <v>350.16945091709334</v>
      </c>
      <c r="D921" s="74">
        <v>351.69895560967899</v>
      </c>
      <c r="E921" s="74">
        <v>4188879.6360402266</v>
      </c>
      <c r="F921" s="74" t="s">
        <v>989</v>
      </c>
      <c r="G921" s="25">
        <f t="shared" si="24"/>
        <v>2.5322727147616408E-3</v>
      </c>
      <c r="I921" s="73">
        <v>278.88358518616536</v>
      </c>
      <c r="J921" s="73">
        <v>279.71911230180973</v>
      </c>
      <c r="K921" s="73">
        <v>275.4166278442388</v>
      </c>
      <c r="L921" s="73">
        <v>276.06968352083442</v>
      </c>
      <c r="M921" s="73">
        <v>305992.65447277849</v>
      </c>
      <c r="N921" s="73" t="s">
        <v>989</v>
      </c>
      <c r="O921" s="25">
        <f t="shared" si="25"/>
        <v>1.0192722465734327E-2</v>
      </c>
    </row>
    <row r="922" spans="1:15">
      <c r="A922" s="74">
        <v>356.40363460079692</v>
      </c>
      <c r="B922" s="74">
        <v>357.75889192334114</v>
      </c>
      <c r="C922" s="74">
        <v>352.49274918431206</v>
      </c>
      <c r="D922" s="74">
        <v>357.27487145100389</v>
      </c>
      <c r="E922" s="74">
        <v>2961850.9586536069</v>
      </c>
      <c r="F922" s="74" t="s">
        <v>990</v>
      </c>
      <c r="G922" s="25">
        <f t="shared" si="24"/>
        <v>-2.4385617904461032E-3</v>
      </c>
      <c r="I922" s="73">
        <v>280.38177173835527</v>
      </c>
      <c r="J922" s="73">
        <v>281.70709061144629</v>
      </c>
      <c r="K922" s="73">
        <v>275.85840080193583</v>
      </c>
      <c r="L922" s="73">
        <v>280.16088525950681</v>
      </c>
      <c r="M922" s="73">
        <v>711837.86721430882</v>
      </c>
      <c r="N922" s="73" t="s">
        <v>990</v>
      </c>
      <c r="O922" s="25">
        <f t="shared" si="25"/>
        <v>7.8842725901528965E-4</v>
      </c>
    </row>
    <row r="923" spans="1:15">
      <c r="A923" s="74">
        <v>354.62243926259583</v>
      </c>
      <c r="B923" s="74">
        <v>356.81989220700694</v>
      </c>
      <c r="C923" s="74">
        <v>353.18005825503087</v>
      </c>
      <c r="D923" s="74">
        <v>355.44527406556915</v>
      </c>
      <c r="E923" s="74">
        <v>3999834.9463432003</v>
      </c>
      <c r="F923" s="74" t="s">
        <v>991</v>
      </c>
      <c r="G923" s="25">
        <f t="shared" si="24"/>
        <v>-2.3149409009205479E-3</v>
      </c>
      <c r="I923" s="73">
        <v>277.49103999342481</v>
      </c>
      <c r="J923" s="73">
        <v>280.26172473898106</v>
      </c>
      <c r="K923" s="73">
        <v>275.57028800343778</v>
      </c>
      <c r="L923" s="73">
        <v>278.25934078941964</v>
      </c>
      <c r="M923" s="73">
        <v>437139.20609066973</v>
      </c>
      <c r="N923" s="73" t="s">
        <v>991</v>
      </c>
      <c r="O923" s="25">
        <f t="shared" si="25"/>
        <v>-2.7610961551737256E-3</v>
      </c>
    </row>
    <row r="924" spans="1:15">
      <c r="A924" s="74">
        <v>355.06773809714616</v>
      </c>
      <c r="B924" s="74">
        <v>359.46748419069155</v>
      </c>
      <c r="C924" s="74">
        <v>354.76764540429707</v>
      </c>
      <c r="D924" s="74">
        <v>358.56236590742088</v>
      </c>
      <c r="E924" s="74">
        <v>3211822.8233058555</v>
      </c>
      <c r="F924" s="74" t="s">
        <v>992</v>
      </c>
      <c r="G924" s="25">
        <f t="shared" si="24"/>
        <v>-9.7462203023755967E-3</v>
      </c>
      <c r="I924" s="73">
        <v>277.27975727452628</v>
      </c>
      <c r="J924" s="73">
        <v>283.5125974820341</v>
      </c>
      <c r="K924" s="73">
        <v>276.54026775838122</v>
      </c>
      <c r="L924" s="73">
        <v>282.63865532659003</v>
      </c>
      <c r="M924" s="73">
        <v>708015.40599168651</v>
      </c>
      <c r="N924" s="73" t="s">
        <v>992</v>
      </c>
      <c r="O924" s="25">
        <f t="shared" si="25"/>
        <v>-1.8960244648317914E-2</v>
      </c>
    </row>
    <row r="925" spans="1:15">
      <c r="A925" s="74">
        <v>362.26028231607739</v>
      </c>
      <c r="B925" s="74">
        <v>362.48293173335247</v>
      </c>
      <c r="C925" s="74">
        <v>359.45296357652143</v>
      </c>
      <c r="D925" s="74">
        <v>361.25255169267126</v>
      </c>
      <c r="E925" s="74">
        <v>3393789.3000019803</v>
      </c>
      <c r="F925" s="74" t="s">
        <v>993</v>
      </c>
      <c r="G925" s="25">
        <f t="shared" si="24"/>
        <v>2.7895460355487067E-3</v>
      </c>
      <c r="I925" s="73">
        <v>285.92314122946783</v>
      </c>
      <c r="J925" s="73">
        <v>286.03358446889206</v>
      </c>
      <c r="K925" s="73">
        <v>282.14886356914337</v>
      </c>
      <c r="L925" s="73">
        <v>282.20648612884298</v>
      </c>
      <c r="M925" s="73">
        <v>640189.88729945791</v>
      </c>
      <c r="N925" s="73" t="s">
        <v>993</v>
      </c>
      <c r="O925" s="25">
        <f t="shared" si="25"/>
        <v>1.3169984686064229E-2</v>
      </c>
    </row>
    <row r="926" spans="1:15">
      <c r="A926" s="74">
        <v>363.19928203241159</v>
      </c>
      <c r="B926" s="74">
        <v>367.30377563783134</v>
      </c>
      <c r="C926" s="74">
        <v>363.10247793794412</v>
      </c>
      <c r="D926" s="74">
        <v>363.65426127640865</v>
      </c>
      <c r="E926" s="74">
        <v>3179102.099896112</v>
      </c>
      <c r="F926" s="74" t="s">
        <v>994</v>
      </c>
      <c r="G926" s="25">
        <f t="shared" si="24"/>
        <v>-1.2511313421712522E-3</v>
      </c>
      <c r="I926" s="73">
        <v>283.02280572458733</v>
      </c>
      <c r="J926" s="73">
        <v>285.05068306721313</v>
      </c>
      <c r="K926" s="73">
        <v>279.52184767080882</v>
      </c>
      <c r="L926" s="73">
        <v>280.36360807718177</v>
      </c>
      <c r="M926" s="73">
        <v>418662.59963271295</v>
      </c>
      <c r="N926" s="73" t="s">
        <v>994</v>
      </c>
      <c r="O926" s="25">
        <f t="shared" si="25"/>
        <v>9.4848174684407649E-3</v>
      </c>
    </row>
    <row r="927" spans="1:15">
      <c r="A927" s="74">
        <v>368.32021862973954</v>
      </c>
      <c r="B927" s="74">
        <v>368.36862067697319</v>
      </c>
      <c r="C927" s="74">
        <v>364.30284870934048</v>
      </c>
      <c r="D927" s="74">
        <v>365.09664228397355</v>
      </c>
      <c r="E927" s="74">
        <v>2925104.579075662</v>
      </c>
      <c r="F927" s="74" t="s">
        <v>995</v>
      </c>
      <c r="G927" s="25">
        <f t="shared" si="24"/>
        <v>8.8293782314730063E-3</v>
      </c>
      <c r="I927" s="73">
        <v>285.09851036302979</v>
      </c>
      <c r="J927" s="73">
        <v>286.38984735007921</v>
      </c>
      <c r="K927" s="73">
        <v>279.31619029879721</v>
      </c>
      <c r="L927" s="73">
        <v>279.89490057817864</v>
      </c>
      <c r="M927" s="73">
        <v>793301.17566032894</v>
      </c>
      <c r="N927" s="73" t="s">
        <v>995</v>
      </c>
      <c r="O927" s="25">
        <f t="shared" si="25"/>
        <v>1.8591298998667183E-2</v>
      </c>
    </row>
    <row r="928" spans="1:15">
      <c r="A928" s="74">
        <v>367.09080663000293</v>
      </c>
      <c r="B928" s="74">
        <v>369.23017711773355</v>
      </c>
      <c r="C928" s="74">
        <v>363.45097267802697</v>
      </c>
      <c r="D928" s="74">
        <v>365.88075544915984</v>
      </c>
      <c r="E928" s="74">
        <v>4873799.0122789731</v>
      </c>
      <c r="F928" s="74" t="s">
        <v>996</v>
      </c>
      <c r="G928" s="25">
        <f t="shared" ref="G928:G975" si="26">A928/D928-1</f>
        <v>3.3072282781247964E-3</v>
      </c>
      <c r="I928" s="73">
        <v>280.43056629132508</v>
      </c>
      <c r="J928" s="73">
        <v>281.98973613494775</v>
      </c>
      <c r="K928" s="73">
        <v>276.55177260059503</v>
      </c>
      <c r="L928" s="73">
        <v>279.08183654929564</v>
      </c>
      <c r="M928" s="73">
        <v>638394.86382529198</v>
      </c>
      <c r="N928" s="73" t="s">
        <v>996</v>
      </c>
      <c r="O928" s="25">
        <f t="shared" ref="O928:O974" si="27">I928/L928-1</f>
        <v>4.8327392377296441E-3</v>
      </c>
    </row>
    <row r="929" spans="1:15">
      <c r="A929" s="74">
        <v>367.22633236225738</v>
      </c>
      <c r="B929" s="74">
        <v>367.31345604727807</v>
      </c>
      <c r="C929" s="74">
        <v>363.20896244185832</v>
      </c>
      <c r="D929" s="74">
        <v>363.6436128260172</v>
      </c>
      <c r="E929" s="74">
        <v>3079001.995109133</v>
      </c>
      <c r="F929" s="74" t="s">
        <v>997</v>
      </c>
      <c r="G929" s="25">
        <f t="shared" si="26"/>
        <v>9.852282316737071E-3</v>
      </c>
      <c r="I929" s="73">
        <v>281.02362475945154</v>
      </c>
      <c r="J929" s="73">
        <v>281.02362475945154</v>
      </c>
      <c r="K929" s="73">
        <v>273.19907916384813</v>
      </c>
      <c r="L929" s="73">
        <v>274.18432145767105</v>
      </c>
      <c r="M929" s="73">
        <v>700755.69667342282</v>
      </c>
      <c r="N929" s="73" t="s">
        <v>997</v>
      </c>
      <c r="O929" s="25">
        <f t="shared" si="27"/>
        <v>2.494418085403316E-2</v>
      </c>
    </row>
    <row r="930" spans="1:15">
      <c r="A930" s="74">
        <v>363.03471507181695</v>
      </c>
      <c r="B930" s="74">
        <v>363.39289022134648</v>
      </c>
      <c r="C930" s="74">
        <v>360.30483960783494</v>
      </c>
      <c r="D930" s="74">
        <v>361.07927236357455</v>
      </c>
      <c r="E930" s="74">
        <v>3364222.3688122826</v>
      </c>
      <c r="F930" s="74" t="s">
        <v>998</v>
      </c>
      <c r="G930" s="25">
        <f t="shared" si="26"/>
        <v>5.4155495978551738E-3</v>
      </c>
      <c r="I930" s="73">
        <v>272.78776441982495</v>
      </c>
      <c r="J930" s="73">
        <v>274.27997604930437</v>
      </c>
      <c r="K930" s="73">
        <v>270.54944697560586</v>
      </c>
      <c r="L930" s="73">
        <v>273.88779222360785</v>
      </c>
      <c r="M930" s="73">
        <v>574466.9342237229</v>
      </c>
      <c r="N930" s="73" t="s">
        <v>998</v>
      </c>
      <c r="O930" s="25">
        <f t="shared" si="27"/>
        <v>-4.0163447770056315E-3</v>
      </c>
    </row>
    <row r="931" spans="1:15">
      <c r="A931" s="74">
        <v>362.15379781216319</v>
      </c>
      <c r="B931" s="74">
        <v>368.82359992097025</v>
      </c>
      <c r="C931" s="74">
        <v>361.02951505901825</v>
      </c>
      <c r="D931" s="74">
        <v>368.79455869263001</v>
      </c>
      <c r="E931" s="74">
        <v>3437576.7040711897</v>
      </c>
      <c r="F931" s="74" t="s">
        <v>999</v>
      </c>
      <c r="G931" s="25">
        <f t="shared" si="26"/>
        <v>-1.8006667191642345E-2</v>
      </c>
      <c r="I931" s="73">
        <v>275.19826012898392</v>
      </c>
      <c r="J931" s="73">
        <v>277.82876139889947</v>
      </c>
      <c r="K931" s="73">
        <v>274.10779778436444</v>
      </c>
      <c r="L931" s="73">
        <v>276.44176982021673</v>
      </c>
      <c r="M931" s="73">
        <v>560634.87475424842</v>
      </c>
      <c r="N931" s="73" t="s">
        <v>999</v>
      </c>
      <c r="O931" s="25">
        <f t="shared" si="27"/>
        <v>-4.4982698961938405E-3</v>
      </c>
    </row>
    <row r="932" spans="1:15">
      <c r="A932" s="74">
        <v>365.28057006346165</v>
      </c>
      <c r="B932" s="74">
        <v>368.75583705484303</v>
      </c>
      <c r="C932" s="74">
        <v>364.69006508721031</v>
      </c>
      <c r="D932" s="74">
        <v>367.55546628344666</v>
      </c>
      <c r="E932" s="74">
        <v>3017953.9574975902</v>
      </c>
      <c r="F932" s="74" t="s">
        <v>1000</v>
      </c>
      <c r="G932" s="25">
        <f t="shared" si="26"/>
        <v>-6.1892596591957005E-3</v>
      </c>
      <c r="I932" s="73">
        <v>273.0173354397449</v>
      </c>
      <c r="J932" s="73">
        <v>276.47046619770674</v>
      </c>
      <c r="K932" s="73">
        <v>271.72599845269542</v>
      </c>
      <c r="L932" s="73">
        <v>275.10260553735066</v>
      </c>
      <c r="M932" s="73">
        <v>693593.46861618082</v>
      </c>
      <c r="N932" s="73" t="s">
        <v>1000</v>
      </c>
      <c r="O932" s="25">
        <f t="shared" si="27"/>
        <v>-7.5799721835881906E-3</v>
      </c>
    </row>
    <row r="933" spans="1:15">
      <c r="A933" s="74">
        <v>369.32698121220096</v>
      </c>
      <c r="B933" s="74">
        <v>370.51457384312761</v>
      </c>
      <c r="C933" s="74">
        <v>362.64749869394717</v>
      </c>
      <c r="D933" s="74">
        <v>363.78010659921631</v>
      </c>
      <c r="E933" s="74">
        <v>4653349.6592076896</v>
      </c>
      <c r="F933" s="74" t="s">
        <v>1001</v>
      </c>
      <c r="G933" s="25">
        <f t="shared" si="26"/>
        <v>1.5247877804092758E-2</v>
      </c>
      <c r="I933" s="73">
        <v>276.8148227275866</v>
      </c>
      <c r="J933" s="73">
        <v>277.54179762399963</v>
      </c>
      <c r="K933" s="73">
        <v>271.05641631126235</v>
      </c>
      <c r="L933" s="73">
        <v>274.93042727241072</v>
      </c>
      <c r="M933" s="73">
        <v>660632.16538792453</v>
      </c>
      <c r="N933" s="73" t="s">
        <v>1001</v>
      </c>
      <c r="O933" s="25">
        <f t="shared" si="27"/>
        <v>6.8540811356203601E-3</v>
      </c>
    </row>
    <row r="934" spans="1:15">
      <c r="A934" s="74">
        <v>364.62230222108309</v>
      </c>
      <c r="B934" s="74">
        <v>365.85171422081964</v>
      </c>
      <c r="C934" s="74">
        <v>363.03471507181695</v>
      </c>
      <c r="D934" s="74">
        <v>364.54001874078574</v>
      </c>
      <c r="E934" s="74">
        <v>2975182.0063443012</v>
      </c>
      <c r="F934" s="74" t="s">
        <v>1002</v>
      </c>
      <c r="G934" s="25">
        <f t="shared" si="26"/>
        <v>2.2571864834364241E-4</v>
      </c>
      <c r="I934" s="73">
        <v>275.21739104731063</v>
      </c>
      <c r="J934" s="73">
        <v>276.04002053535692</v>
      </c>
      <c r="K934" s="73">
        <v>272.31915257541345</v>
      </c>
      <c r="L934" s="73">
        <v>274.16519053934439</v>
      </c>
      <c r="M934" s="73">
        <v>504855.01192806166</v>
      </c>
      <c r="N934" s="73" t="s">
        <v>1002</v>
      </c>
      <c r="O934" s="25">
        <f t="shared" si="27"/>
        <v>3.8378340660107924E-3</v>
      </c>
    </row>
    <row r="935" spans="1:15">
      <c r="A935" s="74">
        <v>366.74231188992019</v>
      </c>
      <c r="B935" s="74">
        <v>370.95328999925403</v>
      </c>
      <c r="C935" s="74">
        <v>365.71618848856525</v>
      </c>
      <c r="D935" s="74">
        <v>366.14212650422201</v>
      </c>
      <c r="E935" s="74">
        <v>6686193.425606193</v>
      </c>
      <c r="F935" s="74" t="s">
        <v>1003</v>
      </c>
      <c r="G935" s="25">
        <f t="shared" si="26"/>
        <v>1.6392142347250171E-3</v>
      </c>
      <c r="I935" s="73">
        <v>277.36005389989634</v>
      </c>
      <c r="J935" s="73">
        <v>280.59317909710165</v>
      </c>
      <c r="K935" s="73">
        <v>275.11217099651401</v>
      </c>
      <c r="L935" s="73">
        <v>275.51392028137377</v>
      </c>
      <c r="M935" s="73">
        <v>559078.2322820205</v>
      </c>
      <c r="N935" s="73" t="s">
        <v>1003</v>
      </c>
      <c r="O935" s="25">
        <f t="shared" si="27"/>
        <v>6.700690900253603E-3</v>
      </c>
    </row>
    <row r="936" spans="1:15">
      <c r="A936" s="74">
        <v>370.7015993536387</v>
      </c>
      <c r="B936" s="74">
        <v>372.1246195423102</v>
      </c>
      <c r="C936" s="74">
        <v>367.27473440949109</v>
      </c>
      <c r="D936" s="74">
        <v>369.06561015713885</v>
      </c>
      <c r="E936" s="74">
        <v>5379861.2844329085</v>
      </c>
      <c r="F936" s="74" t="s">
        <v>1004</v>
      </c>
      <c r="G936" s="25">
        <f t="shared" si="26"/>
        <v>4.432786885245843E-3</v>
      </c>
      <c r="I936" s="73">
        <v>278.5079089994959</v>
      </c>
      <c r="J936" s="73">
        <v>280.26317075596683</v>
      </c>
      <c r="K936" s="73">
        <v>270.52075059811591</v>
      </c>
      <c r="L936" s="73">
        <v>272.49123518576175</v>
      </c>
      <c r="M936" s="73">
        <v>1044706.7756360436</v>
      </c>
      <c r="N936" s="73" t="s">
        <v>1004</v>
      </c>
      <c r="O936" s="25">
        <f t="shared" si="27"/>
        <v>2.2080247130269903E-2</v>
      </c>
    </row>
    <row r="937" spans="1:15">
      <c r="A937" s="74">
        <v>365.46449784294981</v>
      </c>
      <c r="B937" s="74">
        <v>368.01044552744372</v>
      </c>
      <c r="C937" s="74">
        <v>357.94281970282924</v>
      </c>
      <c r="D937" s="74">
        <v>360.53716943455686</v>
      </c>
      <c r="E937" s="74">
        <v>5104837.7934693824</v>
      </c>
      <c r="F937" s="74" t="s">
        <v>1005</v>
      </c>
      <c r="G937" s="25">
        <f t="shared" si="26"/>
        <v>1.36666308667166E-2</v>
      </c>
      <c r="I937" s="73">
        <v>270.57814335309592</v>
      </c>
      <c r="J937" s="73">
        <v>273.74431033615792</v>
      </c>
      <c r="K937" s="73">
        <v>265.02061157920156</v>
      </c>
      <c r="L937" s="73">
        <v>267.34501815589061</v>
      </c>
      <c r="M937" s="73">
        <v>869470.02313115029</v>
      </c>
      <c r="N937" s="73" t="s">
        <v>1005</v>
      </c>
      <c r="O937" s="25">
        <f t="shared" si="27"/>
        <v>1.2093455937600694E-2</v>
      </c>
    </row>
    <row r="938" spans="1:15">
      <c r="A938" s="74">
        <v>361.5052103792313</v>
      </c>
      <c r="B938" s="74">
        <v>361.60201447369877</v>
      </c>
      <c r="C938" s="74">
        <v>356.55852115194477</v>
      </c>
      <c r="D938" s="74">
        <v>356.82957261645367</v>
      </c>
      <c r="E938" s="74">
        <v>4319740.8363819132</v>
      </c>
      <c r="F938" s="74" t="s">
        <v>1006</v>
      </c>
      <c r="G938" s="25">
        <f t="shared" si="26"/>
        <v>1.3103279889313812E-2</v>
      </c>
      <c r="I938" s="73">
        <v>269.77464478337623</v>
      </c>
      <c r="J938" s="73">
        <v>269.97551942580617</v>
      </c>
      <c r="K938" s="73">
        <v>261.13703515888989</v>
      </c>
      <c r="L938" s="73">
        <v>266.95283433019409</v>
      </c>
      <c r="M938" s="73">
        <v>1107227.5589866936</v>
      </c>
      <c r="N938" s="73" t="s">
        <v>1006</v>
      </c>
      <c r="O938" s="25">
        <f t="shared" si="27"/>
        <v>1.0570445750322399E-2</v>
      </c>
    </row>
    <row r="939" spans="1:15">
      <c r="A939" s="74">
        <v>356.44235623858384</v>
      </c>
      <c r="B939" s="74">
        <v>360.39196329285568</v>
      </c>
      <c r="C939" s="74">
        <v>356.10354190794783</v>
      </c>
      <c r="D939" s="74">
        <v>358.32035567125229</v>
      </c>
      <c r="E939" s="74">
        <v>3388900.0439988766</v>
      </c>
      <c r="F939" s="74" t="s">
        <v>1007</v>
      </c>
      <c r="G939" s="25">
        <f t="shared" si="26"/>
        <v>-5.2411184654869158E-3</v>
      </c>
      <c r="I939" s="73">
        <v>266.398037698721</v>
      </c>
      <c r="J939" s="73">
        <v>274.42345793675429</v>
      </c>
      <c r="K939" s="73">
        <v>265.69975917979792</v>
      </c>
      <c r="L939" s="73">
        <v>270.89380350548578</v>
      </c>
      <c r="M939" s="73">
        <v>900824.50333736883</v>
      </c>
      <c r="N939" s="73" t="s">
        <v>1007</v>
      </c>
      <c r="O939" s="25">
        <f t="shared" si="27"/>
        <v>-1.6596045197740161E-2</v>
      </c>
    </row>
    <row r="940" spans="1:15">
      <c r="A940" s="74">
        <v>360.95342704076688</v>
      </c>
      <c r="B940" s="74">
        <v>363.09279752849739</v>
      </c>
      <c r="C940" s="74">
        <v>358.91086064750374</v>
      </c>
      <c r="D940" s="74">
        <v>359.0367059703114</v>
      </c>
      <c r="E940" s="74">
        <v>5732734.7882647878</v>
      </c>
      <c r="F940" s="74" t="s">
        <v>1008</v>
      </c>
      <c r="G940" s="25">
        <f t="shared" si="26"/>
        <v>5.3385100703713384E-3</v>
      </c>
      <c r="I940" s="73">
        <v>274.01214319273112</v>
      </c>
      <c r="J940" s="73">
        <v>274.7965108441241</v>
      </c>
      <c r="K940" s="73">
        <v>264.1118929586853</v>
      </c>
      <c r="L940" s="73">
        <v>270.46335784313595</v>
      </c>
      <c r="M940" s="73">
        <v>1074575.702482265</v>
      </c>
      <c r="N940" s="73" t="s">
        <v>1008</v>
      </c>
      <c r="O940" s="25">
        <f t="shared" si="27"/>
        <v>1.312113174182139E-2</v>
      </c>
    </row>
    <row r="941" spans="1:15">
      <c r="A941" s="74">
        <v>359.92730363941195</v>
      </c>
      <c r="B941" s="74">
        <v>360.16931387558054</v>
      </c>
      <c r="C941" s="74">
        <v>355.86153167177918</v>
      </c>
      <c r="D941" s="74">
        <v>358.62044836410138</v>
      </c>
      <c r="E941" s="74">
        <v>3575193.8169969241</v>
      </c>
      <c r="F941" s="74" t="s">
        <v>1009</v>
      </c>
      <c r="G941" s="25">
        <f t="shared" si="26"/>
        <v>3.6441181234143638E-3</v>
      </c>
      <c r="I941" s="73">
        <v>269.62159743676295</v>
      </c>
      <c r="J941" s="73">
        <v>281.4253740443113</v>
      </c>
      <c r="K941" s="73">
        <v>259.51568983070558</v>
      </c>
      <c r="L941" s="73">
        <v>277.80963048057288</v>
      </c>
      <c r="M941" s="73">
        <v>1573796.9022660444</v>
      </c>
      <c r="N941" s="73" t="s">
        <v>1009</v>
      </c>
      <c r="O941" s="25">
        <f t="shared" si="27"/>
        <v>-2.9473539234927681E-2</v>
      </c>
    </row>
    <row r="942" spans="1:15">
      <c r="A942" s="74">
        <v>356.12290272684129</v>
      </c>
      <c r="B942" s="74">
        <v>356.39395419135013</v>
      </c>
      <c r="C942" s="74">
        <v>350.10168805096617</v>
      </c>
      <c r="D942" s="74">
        <v>352.15393485367593</v>
      </c>
      <c r="E942" s="74">
        <v>3162761.8819672936</v>
      </c>
      <c r="F942" s="74" t="s">
        <v>1010</v>
      </c>
      <c r="G942" s="25">
        <f t="shared" si="26"/>
        <v>1.1270548133487379E-2</v>
      </c>
      <c r="I942" s="73">
        <v>265.99628841386112</v>
      </c>
      <c r="J942" s="73">
        <v>266.77109060609081</v>
      </c>
      <c r="K942" s="73">
        <v>260.50571485411012</v>
      </c>
      <c r="L942" s="73">
        <v>261.67270087203633</v>
      </c>
      <c r="M942" s="73">
        <v>851205.34842846822</v>
      </c>
      <c r="N942" s="73" t="s">
        <v>1010</v>
      </c>
      <c r="O942" s="25">
        <f t="shared" si="27"/>
        <v>1.652288346249442E-2</v>
      </c>
    </row>
    <row r="943" spans="1:15">
      <c r="A943" s="74">
        <v>355.99705740403363</v>
      </c>
      <c r="B943" s="74">
        <v>356.82957261645367</v>
      </c>
      <c r="C943" s="74">
        <v>353.74152200294213</v>
      </c>
      <c r="D943" s="74">
        <v>354.85476908931776</v>
      </c>
      <c r="E943" s="74">
        <v>2791596.796464812</v>
      </c>
      <c r="F943" s="74" t="s">
        <v>1011</v>
      </c>
      <c r="G943" s="25">
        <f t="shared" si="26"/>
        <v>3.2190304716697149E-3</v>
      </c>
      <c r="I943" s="73">
        <v>265.90063382222786</v>
      </c>
      <c r="J943" s="73">
        <v>266.32151402541439</v>
      </c>
      <c r="K943" s="73">
        <v>259.36742521367393</v>
      </c>
      <c r="L943" s="73">
        <v>261.47182622960645</v>
      </c>
      <c r="M943" s="73">
        <v>719635.08311127627</v>
      </c>
      <c r="N943" s="73" t="s">
        <v>1011</v>
      </c>
      <c r="O943" s="25">
        <f t="shared" si="27"/>
        <v>1.693799158587872E-2</v>
      </c>
    </row>
    <row r="944" spans="1:15">
      <c r="A944" s="74">
        <v>356.37459337245662</v>
      </c>
      <c r="B944" s="74">
        <v>358.17514952955116</v>
      </c>
      <c r="C944" s="74">
        <v>352.02808953086827</v>
      </c>
      <c r="D944" s="74">
        <v>352.86060474328832</v>
      </c>
      <c r="E944" s="74">
        <v>3350357.2528026351</v>
      </c>
      <c r="F944" s="74" t="s">
        <v>1012</v>
      </c>
      <c r="G944" s="25">
        <f t="shared" si="26"/>
        <v>9.9585745247043889E-3</v>
      </c>
      <c r="I944" s="73">
        <v>263.64318545968217</v>
      </c>
      <c r="J944" s="73">
        <v>265.14496254832483</v>
      </c>
      <c r="K944" s="73">
        <v>258.36305200152441</v>
      </c>
      <c r="L944" s="73">
        <v>260.27614383419024</v>
      </c>
      <c r="M944" s="73">
        <v>608655.57006607961</v>
      </c>
      <c r="N944" s="73" t="s">
        <v>1012</v>
      </c>
      <c r="O944" s="25">
        <f t="shared" si="27"/>
        <v>1.2936420433664164E-2</v>
      </c>
    </row>
    <row r="945" spans="1:15">
      <c r="A945" s="74">
        <v>352.08617198754877</v>
      </c>
      <c r="B945" s="74">
        <v>352.27978017648371</v>
      </c>
      <c r="C945" s="74">
        <v>345.4744523354222</v>
      </c>
      <c r="D945" s="74">
        <v>346.99427661856112</v>
      </c>
      <c r="E945" s="74">
        <v>3372855.2681188406</v>
      </c>
      <c r="F945" s="74" t="s">
        <v>1013</v>
      </c>
      <c r="G945" s="25">
        <f t="shared" si="26"/>
        <v>1.4674292090947061E-2</v>
      </c>
      <c r="I945" s="73">
        <v>258.26739740989109</v>
      </c>
      <c r="J945" s="73">
        <v>258.29609378738104</v>
      </c>
      <c r="K945" s="73">
        <v>254.05859537802621</v>
      </c>
      <c r="L945" s="73">
        <v>255.74211619077218</v>
      </c>
      <c r="M945" s="73">
        <v>901281.35542626318</v>
      </c>
      <c r="N945" s="73" t="s">
        <v>1013</v>
      </c>
      <c r="O945" s="25">
        <f t="shared" si="27"/>
        <v>9.8743267504486365E-3</v>
      </c>
    </row>
    <row r="946" spans="1:15">
      <c r="A946" s="74">
        <v>345.72614298103753</v>
      </c>
      <c r="B946" s="74">
        <v>347.87035367349154</v>
      </c>
      <c r="C946" s="74">
        <v>344.47737016240751</v>
      </c>
      <c r="D946" s="74">
        <v>346.32632836673571</v>
      </c>
      <c r="E946" s="74">
        <v>3630917.699645442</v>
      </c>
      <c r="F946" s="74" t="s">
        <v>1014</v>
      </c>
      <c r="G946" s="25">
        <f t="shared" si="26"/>
        <v>-1.7330053667263812E-3</v>
      </c>
      <c r="I946" s="73">
        <v>253.79076252145296</v>
      </c>
      <c r="J946" s="73">
        <v>260.45788755829352</v>
      </c>
      <c r="K946" s="73">
        <v>253.79076252145296</v>
      </c>
      <c r="L946" s="73">
        <v>260.34310204833355</v>
      </c>
      <c r="M946" s="73">
        <v>916510.10686544643</v>
      </c>
      <c r="N946" s="73" t="s">
        <v>1014</v>
      </c>
      <c r="O946" s="25">
        <f t="shared" si="27"/>
        <v>-2.516809347099247E-2</v>
      </c>
    </row>
    <row r="947" spans="1:15">
      <c r="A947" s="74">
        <v>348.23336902774446</v>
      </c>
      <c r="B947" s="74">
        <v>355.90993371901294</v>
      </c>
      <c r="C947" s="74">
        <v>348.08816288604322</v>
      </c>
      <c r="D947" s="74">
        <v>354.95157318378523</v>
      </c>
      <c r="E947" s="74">
        <v>4061608.1598926638</v>
      </c>
      <c r="F947" s="74" t="s">
        <v>1015</v>
      </c>
      <c r="G947" s="25">
        <f t="shared" si="26"/>
        <v>-1.8927100662721297E-2</v>
      </c>
      <c r="I947" s="73">
        <v>262.49533036008268</v>
      </c>
      <c r="J947" s="73">
        <v>270.75988707719915</v>
      </c>
      <c r="K947" s="73">
        <v>261.82574821864961</v>
      </c>
      <c r="L947" s="73">
        <v>270.64510156723918</v>
      </c>
      <c r="M947" s="73">
        <v>762800.81022899982</v>
      </c>
      <c r="N947" s="73" t="s">
        <v>1015</v>
      </c>
      <c r="O947" s="25">
        <f t="shared" si="27"/>
        <v>-3.0112391319714216E-2</v>
      </c>
    </row>
    <row r="948" spans="1:15">
      <c r="A948" s="74">
        <v>353.98353223911073</v>
      </c>
      <c r="B948" s="74">
        <v>355.96801617569338</v>
      </c>
      <c r="C948" s="74">
        <v>353.20909948337118</v>
      </c>
      <c r="D948" s="74">
        <v>354.48691353034144</v>
      </c>
      <c r="E948" s="74">
        <v>5105159.0608720798</v>
      </c>
      <c r="F948" s="74" t="s">
        <v>1016</v>
      </c>
      <c r="G948" s="25">
        <f t="shared" si="26"/>
        <v>-1.4200278543925471E-3</v>
      </c>
      <c r="I948" s="73">
        <v>269.92769212998951</v>
      </c>
      <c r="J948" s="73">
        <v>273.53865296414631</v>
      </c>
      <c r="K948" s="73">
        <v>269.37289549851641</v>
      </c>
      <c r="L948" s="73">
        <v>271.90774217679865</v>
      </c>
      <c r="M948" s="73">
        <v>772563.01802326716</v>
      </c>
      <c r="N948" s="73" t="s">
        <v>1016</v>
      </c>
      <c r="O948" s="25">
        <f t="shared" si="27"/>
        <v>-7.2820657144866408E-3</v>
      </c>
    </row>
    <row r="949" spans="1:15">
      <c r="A949" s="74">
        <v>354.52563516812842</v>
      </c>
      <c r="B949" s="74">
        <v>355.00936522818222</v>
      </c>
      <c r="C949" s="74">
        <v>349.91776027147802</v>
      </c>
      <c r="D949" s="74">
        <v>350.1217264985209</v>
      </c>
      <c r="E949" s="74">
        <v>3114702.9643606166</v>
      </c>
      <c r="F949" s="74" t="s">
        <v>1017</v>
      </c>
      <c r="G949" s="25">
        <f t="shared" si="26"/>
        <v>1.257822161923472E-2</v>
      </c>
      <c r="I949" s="73">
        <v>272.84515717480497</v>
      </c>
      <c r="J949" s="73">
        <v>272.95037722560158</v>
      </c>
      <c r="K949" s="73">
        <v>266.90500703437743</v>
      </c>
      <c r="L949" s="73">
        <v>266.90500703437743</v>
      </c>
      <c r="M949" s="73">
        <v>548891.580670611</v>
      </c>
      <c r="N949" s="73" t="s">
        <v>1017</v>
      </c>
      <c r="O949" s="25">
        <f t="shared" si="27"/>
        <v>2.2255671433179414E-2</v>
      </c>
    </row>
    <row r="950" spans="1:15">
      <c r="A950" s="74">
        <v>353.15101702669068</v>
      </c>
      <c r="B950" s="74">
        <v>354.44819189255446</v>
      </c>
      <c r="C950" s="74">
        <v>349.07556464961124</v>
      </c>
      <c r="D950" s="74">
        <v>352.83156351494813</v>
      </c>
      <c r="E950" s="74">
        <v>4900061.3311817646</v>
      </c>
      <c r="F950" s="74" t="s">
        <v>1018</v>
      </c>
      <c r="G950" s="25">
        <f t="shared" si="26"/>
        <v>9.0539947322199055E-4</v>
      </c>
      <c r="I950" s="73">
        <v>269.18158631524983</v>
      </c>
      <c r="J950" s="73">
        <v>271.27642187201894</v>
      </c>
      <c r="K950" s="73">
        <v>264.34146397860519</v>
      </c>
      <c r="L950" s="73">
        <v>268.45461141883675</v>
      </c>
      <c r="M950" s="73">
        <v>767263.74287771771</v>
      </c>
      <c r="N950" s="73" t="s">
        <v>1018</v>
      </c>
      <c r="O950" s="25">
        <f t="shared" si="27"/>
        <v>2.7079992873688674E-3</v>
      </c>
    </row>
    <row r="951" spans="1:15">
      <c r="A951" s="74">
        <v>351.83448134193338</v>
      </c>
      <c r="B951" s="74">
        <v>351.89256379861388</v>
      </c>
      <c r="C951" s="74">
        <v>348.16560616161723</v>
      </c>
      <c r="D951" s="74">
        <v>348.89163687012308</v>
      </c>
      <c r="E951" s="74">
        <v>5899060.3976160996</v>
      </c>
      <c r="F951" s="74" t="s">
        <v>1019</v>
      </c>
      <c r="G951" s="25">
        <f t="shared" si="26"/>
        <v>8.4348381010515006E-3</v>
      </c>
      <c r="I951" s="73">
        <v>267.92851116485372</v>
      </c>
      <c r="J951" s="73">
        <v>267.92851116485372</v>
      </c>
      <c r="K951" s="73">
        <v>260.85007138398998</v>
      </c>
      <c r="L951" s="73">
        <v>260.85007138398998</v>
      </c>
      <c r="M951" s="73">
        <v>921972.46879787813</v>
      </c>
      <c r="N951" s="73" t="s">
        <v>1019</v>
      </c>
      <c r="O951" s="25">
        <f t="shared" si="27"/>
        <v>2.7136046938027292E-2</v>
      </c>
    </row>
    <row r="952" spans="1:15">
      <c r="A952" s="74">
        <v>347.40085381532435</v>
      </c>
      <c r="B952" s="74">
        <v>347.47829709089831</v>
      </c>
      <c r="C952" s="74">
        <v>343.61581372164721</v>
      </c>
      <c r="D952" s="74">
        <v>344.46768975296072</v>
      </c>
      <c r="E952" s="74">
        <v>3611127.2144336384</v>
      </c>
      <c r="F952" s="74" t="s">
        <v>1020</v>
      </c>
      <c r="G952" s="25">
        <f t="shared" si="26"/>
        <v>8.5150629496402175E-3</v>
      </c>
      <c r="I952" s="73">
        <v>259.85526363100377</v>
      </c>
      <c r="J952" s="73">
        <v>260.58223852741679</v>
      </c>
      <c r="K952" s="73">
        <v>256.14386547563197</v>
      </c>
      <c r="L952" s="73">
        <v>256.14386547563197</v>
      </c>
      <c r="M952" s="73">
        <v>566939.851752238</v>
      </c>
      <c r="N952" s="73" t="s">
        <v>1020</v>
      </c>
      <c r="O952" s="25">
        <f t="shared" si="27"/>
        <v>1.4489506311150979E-2</v>
      </c>
    </row>
    <row r="953" spans="1:15">
      <c r="A953" s="74">
        <v>344.94202981585124</v>
      </c>
      <c r="B953" s="74">
        <v>350.16945091709334</v>
      </c>
      <c r="C953" s="74">
        <v>344.83690056925963</v>
      </c>
      <c r="D953" s="74">
        <v>347.26532808306996</v>
      </c>
      <c r="E953" s="74">
        <v>3899961.0716565126</v>
      </c>
      <c r="F953" s="74" t="s">
        <v>1021</v>
      </c>
      <c r="G953" s="25">
        <f t="shared" si="26"/>
        <v>-6.6902684470214746E-3</v>
      </c>
      <c r="I953" s="73">
        <v>257.63607710511133</v>
      </c>
      <c r="J953" s="73">
        <v>262.6866395433492</v>
      </c>
      <c r="K953" s="73">
        <v>257.55955343180472</v>
      </c>
      <c r="L953" s="73">
        <v>259.08046143877408</v>
      </c>
      <c r="M953" s="73">
        <v>723906.70241384394</v>
      </c>
      <c r="N953" s="73" t="s">
        <v>1021</v>
      </c>
      <c r="O953" s="25">
        <f t="shared" si="27"/>
        <v>-5.5750415359056005E-3</v>
      </c>
    </row>
    <row r="954" spans="1:15">
      <c r="A954" s="74">
        <v>345.19372046146657</v>
      </c>
      <c r="B954" s="74">
        <v>346.23920468171502</v>
      </c>
      <c r="C954" s="74">
        <v>337.59450224167756</v>
      </c>
      <c r="D954" s="74">
        <v>340.35351573809425</v>
      </c>
      <c r="E954" s="74">
        <v>3579163.6904006698</v>
      </c>
      <c r="F954" s="74" t="s">
        <v>1022</v>
      </c>
      <c r="G954" s="25">
        <f t="shared" si="26"/>
        <v>1.4221109815410138E-2</v>
      </c>
      <c r="I954" s="73">
        <v>255.8951635373854</v>
      </c>
      <c r="J954" s="73">
        <v>257.14919523369792</v>
      </c>
      <c r="K954" s="73">
        <v>248.48193268580519</v>
      </c>
      <c r="L954" s="73">
        <v>250.9976484457608</v>
      </c>
      <c r="M954" s="73">
        <v>575819.71821234806</v>
      </c>
      <c r="N954" s="73" t="s">
        <v>1022</v>
      </c>
      <c r="O954" s="25">
        <f t="shared" si="27"/>
        <v>1.9512195121951237E-2</v>
      </c>
    </row>
    <row r="955" spans="1:15">
      <c r="A955" s="74">
        <v>337.51715577019814</v>
      </c>
      <c r="B955" s="74">
        <v>339.58876339180148</v>
      </c>
      <c r="C955" s="74">
        <v>336.93633120339342</v>
      </c>
      <c r="D955" s="74">
        <v>339.52100052567425</v>
      </c>
      <c r="E955" s="74">
        <v>3322729.2891848423</v>
      </c>
      <c r="F955" s="74" t="s">
        <v>1023</v>
      </c>
      <c r="G955" s="25">
        <f t="shared" si="26"/>
        <v>-5.9019758788810828E-3</v>
      </c>
      <c r="I955" s="73">
        <v>247.34364304536902</v>
      </c>
      <c r="J955" s="73">
        <v>250.72981558918761</v>
      </c>
      <c r="K955" s="73">
        <v>244.39269889348193</v>
      </c>
      <c r="L955" s="73">
        <v>247.51582131030895</v>
      </c>
      <c r="M955" s="73">
        <v>643992.08598533785</v>
      </c>
      <c r="N955" s="73" t="s">
        <v>1023</v>
      </c>
      <c r="O955" s="25">
        <f t="shared" si="27"/>
        <v>-6.9562528984390415E-4</v>
      </c>
    </row>
    <row r="956" spans="1:15">
      <c r="A956" s="74">
        <v>341.24411340719479</v>
      </c>
      <c r="B956" s="74">
        <v>343.23198548708376</v>
      </c>
      <c r="C956" s="74">
        <v>338.03989788032231</v>
      </c>
      <c r="D956" s="74">
        <v>340.84721661987828</v>
      </c>
      <c r="E956" s="74">
        <v>3222061.0266117426</v>
      </c>
      <c r="F956" s="74" t="s">
        <v>1024</v>
      </c>
      <c r="G956" s="25">
        <f t="shared" si="26"/>
        <v>1.1644419199090539E-3</v>
      </c>
      <c r="I956" s="73">
        <v>249.20890758221822</v>
      </c>
      <c r="J956" s="73">
        <v>251.70549242384718</v>
      </c>
      <c r="K956" s="73">
        <v>244.89488549955672</v>
      </c>
      <c r="L956" s="73">
        <v>250.98808298659748</v>
      </c>
      <c r="M956" s="73">
        <v>828729.68925423862</v>
      </c>
      <c r="N956" s="73" t="s">
        <v>1024</v>
      </c>
      <c r="O956" s="25">
        <f t="shared" si="27"/>
        <v>-7.0886847821944876E-3</v>
      </c>
    </row>
    <row r="957" spans="1:15">
      <c r="A957" s="74">
        <v>338.80465022661514</v>
      </c>
      <c r="B957" s="74">
        <v>343.69548349139393</v>
      </c>
      <c r="C957" s="74">
        <v>336.09413558152664</v>
      </c>
      <c r="D957" s="74">
        <v>341.89366888107133</v>
      </c>
      <c r="E957" s="74">
        <v>5120996.2009066427</v>
      </c>
      <c r="F957" s="74" t="s">
        <v>1025</v>
      </c>
      <c r="G957" s="25">
        <f t="shared" si="26"/>
        <v>-9.0350273655717128E-3</v>
      </c>
      <c r="I957" s="73">
        <v>250.06023344775457</v>
      </c>
      <c r="J957" s="73">
        <v>251.00721390492419</v>
      </c>
      <c r="K957" s="73">
        <v>247.29103301997068</v>
      </c>
      <c r="L957" s="73">
        <v>248.46280176747857</v>
      </c>
      <c r="M957" s="73">
        <v>757984.52287537057</v>
      </c>
      <c r="N957" s="73" t="s">
        <v>1025</v>
      </c>
      <c r="O957" s="25">
        <f t="shared" si="27"/>
        <v>6.4292589027912239E-3</v>
      </c>
    </row>
    <row r="958" spans="1:15">
      <c r="A958" s="74">
        <v>340.11150550192565</v>
      </c>
      <c r="B958" s="74">
        <v>340.25671164362683</v>
      </c>
      <c r="C958" s="74">
        <v>336.6493070632975</v>
      </c>
      <c r="D958" s="74">
        <v>338.61104203768025</v>
      </c>
      <c r="E958" s="74">
        <v>5501262.1411286136</v>
      </c>
      <c r="F958" s="74" t="s">
        <v>1026</v>
      </c>
      <c r="G958" s="25">
        <f t="shared" si="26"/>
        <v>4.4312301666713516E-3</v>
      </c>
      <c r="I958" s="73">
        <v>246.37753166987275</v>
      </c>
      <c r="J958" s="73">
        <v>248.01322518680206</v>
      </c>
      <c r="K958" s="73">
        <v>244.23486881728701</v>
      </c>
      <c r="L958" s="73">
        <v>246.86537008720254</v>
      </c>
      <c r="M958" s="73">
        <v>315215.3961996063</v>
      </c>
      <c r="N958" s="73" t="s">
        <v>1026</v>
      </c>
      <c r="O958" s="25">
        <f t="shared" si="27"/>
        <v>-1.9761314321140588E-3</v>
      </c>
    </row>
    <row r="959" spans="1:15">
      <c r="A959" s="74">
        <v>341.0505052182599</v>
      </c>
      <c r="B959" s="74">
        <v>341.83945858816958</v>
      </c>
      <c r="C959" s="74">
        <v>337.33322799070999</v>
      </c>
      <c r="D959" s="74">
        <v>337.75916600636674</v>
      </c>
      <c r="E959" s="74">
        <v>4221489.8269352159</v>
      </c>
      <c r="F959" s="74" t="s">
        <v>1027</v>
      </c>
      <c r="G959" s="25">
        <f t="shared" si="26"/>
        <v>9.7446332865207541E-3</v>
      </c>
      <c r="I959" s="73">
        <v>248.34801625751859</v>
      </c>
      <c r="J959" s="73">
        <v>249.65848416289472</v>
      </c>
      <c r="K959" s="73">
        <v>246.59361539237239</v>
      </c>
      <c r="L959" s="73">
        <v>246.9131973830192</v>
      </c>
      <c r="M959" s="73">
        <v>312963.5440268871</v>
      </c>
      <c r="N959" s="73" t="s">
        <v>1027</v>
      </c>
      <c r="O959" s="25">
        <f t="shared" si="27"/>
        <v>5.8110254522913962E-3</v>
      </c>
    </row>
    <row r="960" spans="1:15">
      <c r="A960" s="74">
        <v>335.10673381795874</v>
      </c>
      <c r="B960" s="74">
        <v>340.9440207143457</v>
      </c>
      <c r="C960" s="74">
        <v>334.84536276289657</v>
      </c>
      <c r="D960" s="74">
        <v>339.22090783282516</v>
      </c>
      <c r="E960" s="74">
        <v>4612040.4561001211</v>
      </c>
      <c r="F960" s="74" t="s">
        <v>1028</v>
      </c>
      <c r="G960" s="25">
        <f t="shared" si="26"/>
        <v>-1.2128303179042121E-2</v>
      </c>
      <c r="I960" s="73">
        <v>244.10095238900038</v>
      </c>
      <c r="J960" s="73">
        <v>247.87930875851546</v>
      </c>
      <c r="K960" s="73">
        <v>243.40267387007736</v>
      </c>
      <c r="L960" s="73">
        <v>246.52101355732273</v>
      </c>
      <c r="M960" s="73">
        <v>418968.91007217753</v>
      </c>
      <c r="N960" s="73" t="s">
        <v>1028</v>
      </c>
      <c r="O960" s="25">
        <f t="shared" si="27"/>
        <v>-9.816855502095434E-3</v>
      </c>
    </row>
    <row r="961" spans="1:15">
      <c r="A961" s="74">
        <v>339.26930988005893</v>
      </c>
      <c r="B961" s="74">
        <v>340.78913416319784</v>
      </c>
      <c r="C961" s="74">
        <v>337.7010835496863</v>
      </c>
      <c r="D961" s="74">
        <v>340.51808269868894</v>
      </c>
      <c r="E961" s="74">
        <v>4445282.0138172004</v>
      </c>
      <c r="F961" s="74" t="s">
        <v>1029</v>
      </c>
      <c r="G961" s="25">
        <f t="shared" si="26"/>
        <v>-3.6672731407776382E-3</v>
      </c>
      <c r="I961" s="73">
        <v>246.35840075154613</v>
      </c>
      <c r="J961" s="73">
        <v>248.7975928381951</v>
      </c>
      <c r="K961" s="73">
        <v>244.68454105255509</v>
      </c>
      <c r="L961" s="73">
        <v>246.32013891489279</v>
      </c>
      <c r="M961" s="73">
        <v>303959.27162037336</v>
      </c>
      <c r="N961" s="73" t="s">
        <v>1029</v>
      </c>
      <c r="O961" s="25">
        <f t="shared" si="27"/>
        <v>1.5533377344567612E-4</v>
      </c>
    </row>
    <row r="962" spans="1:15">
      <c r="A962" s="74">
        <v>340.62456720260315</v>
      </c>
      <c r="B962" s="74">
        <v>340.69997759219331</v>
      </c>
      <c r="C962" s="74">
        <v>336.24902213267461</v>
      </c>
      <c r="D962" s="74">
        <v>337.7785268252602</v>
      </c>
      <c r="E962" s="74">
        <v>4722921.0966251921</v>
      </c>
      <c r="F962" s="74" t="s">
        <v>1030</v>
      </c>
      <c r="G962" s="25">
        <f t="shared" si="26"/>
        <v>8.4257587481730845E-3</v>
      </c>
      <c r="I962" s="73">
        <v>245.58359855931644</v>
      </c>
      <c r="J962" s="73">
        <v>246.63579906728265</v>
      </c>
      <c r="K962" s="73">
        <v>243.75783936881177</v>
      </c>
      <c r="L962" s="73">
        <v>245.35402753939653</v>
      </c>
      <c r="M962" s="73">
        <v>311007.54801242211</v>
      </c>
      <c r="N962" s="73" t="s">
        <v>1030</v>
      </c>
      <c r="O962" s="25">
        <f t="shared" si="27"/>
        <v>9.3567251461990075E-4</v>
      </c>
    </row>
    <row r="963" spans="1:15">
      <c r="A963" s="74">
        <v>338.72720695104124</v>
      </c>
      <c r="B963" s="74">
        <v>340.99242276157946</v>
      </c>
      <c r="C963" s="74">
        <v>333.33521888920438</v>
      </c>
      <c r="D963" s="74">
        <v>340.73105170651735</v>
      </c>
      <c r="E963" s="74">
        <v>6675578.1721331533</v>
      </c>
      <c r="F963" s="74" t="s">
        <v>1031</v>
      </c>
      <c r="G963" s="25">
        <f t="shared" si="26"/>
        <v>-5.8810159668162276E-3</v>
      </c>
      <c r="I963" s="73">
        <v>244.84705820374009</v>
      </c>
      <c r="J963" s="73">
        <v>246.70275728142599</v>
      </c>
      <c r="K963" s="73">
        <v>240.7466328241957</v>
      </c>
      <c r="L963" s="73">
        <v>245.55490218182644</v>
      </c>
      <c r="M963" s="73">
        <v>470307.79424018832</v>
      </c>
      <c r="N963" s="73" t="s">
        <v>1031</v>
      </c>
      <c r="O963" s="25">
        <f t="shared" si="27"/>
        <v>-2.8826302052898933E-3</v>
      </c>
    </row>
    <row r="964" spans="1:15">
      <c r="A964" s="74">
        <v>343.55773126496672</v>
      </c>
      <c r="B964" s="74">
        <v>344.57572312238642</v>
      </c>
      <c r="C964" s="74">
        <v>340.46000024200845</v>
      </c>
      <c r="D964" s="74">
        <v>340.9440207143457</v>
      </c>
      <c r="E964" s="74">
        <v>3958973.0383654321</v>
      </c>
      <c r="F964" s="74" t="s">
        <v>1032</v>
      </c>
      <c r="G964" s="25">
        <f t="shared" si="26"/>
        <v>7.6660988074956915E-3</v>
      </c>
      <c r="I964" s="73">
        <v>248.08974886010873</v>
      </c>
      <c r="J964" s="73">
        <v>251.36113589396732</v>
      </c>
      <c r="K964" s="73">
        <v>244.8853200403934</v>
      </c>
      <c r="L964" s="73">
        <v>245.70794952843971</v>
      </c>
      <c r="M964" s="73">
        <v>672125.60215063347</v>
      </c>
      <c r="N964" s="73" t="s">
        <v>1032</v>
      </c>
      <c r="O964" s="25">
        <f t="shared" si="27"/>
        <v>9.6936193405225968E-3</v>
      </c>
    </row>
    <row r="965" spans="1:15">
      <c r="A965" s="74">
        <v>338.49487712431932</v>
      </c>
      <c r="B965" s="74">
        <v>339.94209833660767</v>
      </c>
      <c r="C965" s="74">
        <v>336.11156031853085</v>
      </c>
      <c r="D965" s="74">
        <v>337.31386717181647</v>
      </c>
      <c r="E965" s="74">
        <v>5235532.6785318591</v>
      </c>
      <c r="F965" s="74" t="s">
        <v>1033</v>
      </c>
      <c r="G965" s="25">
        <f t="shared" si="26"/>
        <v>3.5012196871861967E-3</v>
      </c>
      <c r="I965" s="73">
        <v>243.34528111509738</v>
      </c>
      <c r="J965" s="73">
        <v>244.45391783212725</v>
      </c>
      <c r="K965" s="73">
        <v>238.85908076749595</v>
      </c>
      <c r="L965" s="73">
        <v>239.47127015394901</v>
      </c>
      <c r="M965" s="73">
        <v>494558.59036394302</v>
      </c>
      <c r="N965" s="73" t="s">
        <v>1033</v>
      </c>
      <c r="O965" s="25">
        <f t="shared" si="27"/>
        <v>1.6177351707609366E-2</v>
      </c>
    </row>
    <row r="966" spans="1:15">
      <c r="A966" s="74">
        <v>337.98016975403596</v>
      </c>
      <c r="B966" s="74">
        <v>341.38107052434395</v>
      </c>
      <c r="C966" s="74">
        <v>336.47722210483471</v>
      </c>
      <c r="D966" s="74">
        <v>341.17875064848994</v>
      </c>
      <c r="E966" s="74">
        <v>5748731.7303378517</v>
      </c>
      <c r="F966" s="74" t="s">
        <v>1034</v>
      </c>
      <c r="G966" s="25">
        <f t="shared" si="26"/>
        <v>-9.3750882444300077E-3</v>
      </c>
      <c r="I966" s="73">
        <v>239.76779938801221</v>
      </c>
      <c r="J966" s="73">
        <v>243.08223098810583</v>
      </c>
      <c r="K966" s="73">
        <v>237.90253485116301</v>
      </c>
      <c r="L966" s="73">
        <v>242.28351514796782</v>
      </c>
      <c r="M966" s="73">
        <v>590254.98970766237</v>
      </c>
      <c r="N966" s="73" t="s">
        <v>1034</v>
      </c>
      <c r="O966" s="25">
        <f t="shared" si="27"/>
        <v>-1.0383355047573928E-2</v>
      </c>
    </row>
    <row r="967" spans="1:15">
      <c r="A967" s="74">
        <v>340.91862509382048</v>
      </c>
      <c r="B967" s="74">
        <v>343.7800061951844</v>
      </c>
      <c r="C967" s="74">
        <v>338.92432917468807</v>
      </c>
      <c r="D967" s="74">
        <v>342.64219775050066</v>
      </c>
      <c r="E967" s="74">
        <v>4705150.8705297643</v>
      </c>
      <c r="F967" s="74" t="s">
        <v>1035</v>
      </c>
      <c r="G967" s="25">
        <f t="shared" si="26"/>
        <v>-5.0302404899212894E-3</v>
      </c>
      <c r="I967" s="73">
        <v>242.07307504637458</v>
      </c>
      <c r="J967" s="73">
        <v>244.62705264298353</v>
      </c>
      <c r="K967" s="73">
        <v>238.83038439000595</v>
      </c>
      <c r="L967" s="73">
        <v>242.14003326051787</v>
      </c>
      <c r="M967" s="73">
        <v>1526925.1324592356</v>
      </c>
      <c r="N967" s="73" t="s">
        <v>1035</v>
      </c>
      <c r="O967" s="25">
        <f t="shared" si="27"/>
        <v>-2.7652682310175258E-4</v>
      </c>
    </row>
    <row r="968" spans="1:15">
      <c r="A968" s="74">
        <v>345.03246256951883</v>
      </c>
      <c r="B968" s="74">
        <v>349.95557954863324</v>
      </c>
      <c r="C968" s="74">
        <v>343.42353784248922</v>
      </c>
      <c r="D968" s="74">
        <v>349.2137400038352</v>
      </c>
      <c r="E968" s="74">
        <v>5321365.0683377795</v>
      </c>
      <c r="F968" s="74" t="s">
        <v>1036</v>
      </c>
      <c r="G968" s="25">
        <f t="shared" si="26"/>
        <v>-1.1973404695561074E-2</v>
      </c>
      <c r="I968" s="73">
        <v>245.97578238501291</v>
      </c>
      <c r="J968" s="73">
        <v>252.91074027842666</v>
      </c>
      <c r="K968" s="73">
        <v>245.19141473361992</v>
      </c>
      <c r="L968" s="73">
        <v>252.91074027842666</v>
      </c>
      <c r="M968" s="73">
        <v>716629.47726328752</v>
      </c>
      <c r="N968" s="73" t="s">
        <v>1036</v>
      </c>
      <c r="O968" s="25">
        <f t="shared" si="27"/>
        <v>-2.7420574886535598E-2</v>
      </c>
    </row>
    <row r="969" spans="1:15">
      <c r="A969" s="74">
        <v>353.73221723124158</v>
      </c>
      <c r="B969" s="74">
        <v>359.16595103989226</v>
      </c>
      <c r="C969" s="74">
        <v>350.92864180869304</v>
      </c>
      <c r="D969" s="74">
        <v>355.60126751294058</v>
      </c>
      <c r="E969" s="74">
        <v>4885798.5199301215</v>
      </c>
      <c r="F969" s="74" t="s">
        <v>1037</v>
      </c>
      <c r="G969" s="25">
        <f t="shared" si="26"/>
        <v>-5.2560281766458328E-3</v>
      </c>
      <c r="I969" s="73">
        <v>257.47346429933475</v>
      </c>
      <c r="J969" s="73">
        <v>261.72052816785299</v>
      </c>
      <c r="K969" s="73">
        <v>256.23952006726529</v>
      </c>
      <c r="L969" s="73">
        <v>259.20481240789735</v>
      </c>
      <c r="M969" s="73">
        <v>1060548.1479541562</v>
      </c>
      <c r="N969" s="73" t="s">
        <v>1037</v>
      </c>
      <c r="O969" s="25">
        <f t="shared" si="27"/>
        <v>-6.679459738726079E-3</v>
      </c>
    </row>
    <row r="970" spans="1:15">
      <c r="A970" s="74">
        <v>355.88066162721515</v>
      </c>
      <c r="B970" s="74">
        <v>363.39539987322149</v>
      </c>
      <c r="C970" s="74">
        <v>353.38634658632918</v>
      </c>
      <c r="D970" s="74">
        <v>363.31832563480089</v>
      </c>
      <c r="E970" s="74">
        <v>6395729.7548643742</v>
      </c>
      <c r="F970" s="74" t="s">
        <v>1038</v>
      </c>
      <c r="G970" s="25">
        <f t="shared" si="26"/>
        <v>-2.0471480469889336E-2</v>
      </c>
      <c r="I970" s="73">
        <v>259.92222184514708</v>
      </c>
      <c r="J970" s="73">
        <v>264.79582328886335</v>
      </c>
      <c r="K970" s="73">
        <v>255.45515241587228</v>
      </c>
      <c r="L970" s="73">
        <v>261.12746969972653</v>
      </c>
      <c r="M970" s="73">
        <v>1415924.7108516181</v>
      </c>
      <c r="N970" s="73" t="s">
        <v>1038</v>
      </c>
      <c r="O970" s="25">
        <f t="shared" si="27"/>
        <v>-4.6155536832849231E-3</v>
      </c>
    </row>
    <row r="971" spans="1:15">
      <c r="A971" s="74">
        <v>353.2697718007181</v>
      </c>
      <c r="B971" s="74">
        <v>353.2697718007181</v>
      </c>
      <c r="C971" s="74">
        <v>348.35628910140622</v>
      </c>
      <c r="D971" s="74">
        <v>349.03068868758629</v>
      </c>
      <c r="E971" s="74">
        <v>3058055.2572423751</v>
      </c>
      <c r="F971" s="74" t="s">
        <v>1039</v>
      </c>
      <c r="G971" s="25">
        <f t="shared" si="26"/>
        <v>1.2145301976371981E-2</v>
      </c>
      <c r="I971" s="73">
        <v>252.95856757424332</v>
      </c>
      <c r="J971" s="73">
        <v>253.1116149208566</v>
      </c>
      <c r="K971" s="73">
        <v>246.4827517206694</v>
      </c>
      <c r="L971" s="73">
        <v>246.4827517206694</v>
      </c>
      <c r="M971" s="73">
        <v>706977.03942172928</v>
      </c>
      <c r="N971" s="73" t="s">
        <v>1039</v>
      </c>
      <c r="O971" s="25">
        <f t="shared" si="27"/>
        <v>2.6272896615957775E-2</v>
      </c>
    </row>
    <row r="972" spans="1:15">
      <c r="A972" s="74">
        <v>348.29848342259078</v>
      </c>
      <c r="B972" s="74">
        <v>352.07531379079518</v>
      </c>
      <c r="C972" s="74">
        <v>348.1253554145386</v>
      </c>
      <c r="D972" s="74">
        <v>349.72435683337147</v>
      </c>
      <c r="E972" s="74">
        <v>4433496.9375288524</v>
      </c>
      <c r="F972" s="74" t="s">
        <v>1040</v>
      </c>
      <c r="G972" s="25">
        <f t="shared" si="26"/>
        <v>-4.077134986225972E-3</v>
      </c>
      <c r="I972" s="73">
        <v>248.52019452245852</v>
      </c>
      <c r="J972" s="73">
        <v>251.01630109112935</v>
      </c>
      <c r="K972" s="73">
        <v>245.82273503839968</v>
      </c>
      <c r="L972" s="73">
        <v>246.78884641389593</v>
      </c>
      <c r="M972" s="73">
        <v>693962.50474290783</v>
      </c>
      <c r="N972" s="73" t="s">
        <v>1040</v>
      </c>
      <c r="O972" s="25">
        <f t="shared" si="27"/>
        <v>7.0155038759689425E-3</v>
      </c>
    </row>
    <row r="973" spans="1:15">
      <c r="A973" s="74">
        <v>350.86120185007502</v>
      </c>
      <c r="B973" s="74">
        <v>351.79572699092449</v>
      </c>
      <c r="C973" s="74">
        <v>348.37555766101138</v>
      </c>
      <c r="D973" s="74">
        <v>349.84960247080494</v>
      </c>
      <c r="E973" s="74">
        <v>3741344.5258644498</v>
      </c>
      <c r="F973" s="74" t="s">
        <v>1041</v>
      </c>
      <c r="G973" s="25">
        <f t="shared" si="26"/>
        <v>2.8915264505824378E-3</v>
      </c>
      <c r="I973" s="73">
        <v>245.99491330333962</v>
      </c>
      <c r="J973" s="73">
        <v>247.03754835214249</v>
      </c>
      <c r="K973" s="73">
        <v>244.06747328192876</v>
      </c>
      <c r="L973" s="73">
        <v>244.85662366290339</v>
      </c>
      <c r="M973" s="73">
        <v>566870.85349624942</v>
      </c>
      <c r="N973" s="73" t="s">
        <v>1041</v>
      </c>
      <c r="O973" s="25">
        <f t="shared" si="27"/>
        <v>4.6488006875538002E-3</v>
      </c>
    </row>
    <row r="974" spans="1:15">
      <c r="A974" s="74">
        <v>348.11543210634193</v>
      </c>
      <c r="B974" s="74">
        <v>350.31204790132841</v>
      </c>
      <c r="C974" s="74">
        <v>347.1327355664796</v>
      </c>
      <c r="D974" s="74">
        <v>347.84567227186994</v>
      </c>
      <c r="E974" s="74">
        <v>3464687.6241946043</v>
      </c>
      <c r="F974" s="74" t="s">
        <v>1042</v>
      </c>
      <c r="G974" s="25">
        <f t="shared" si="26"/>
        <v>7.7551585652946287E-4</v>
      </c>
      <c r="I974" s="73">
        <v>243.69920310414057</v>
      </c>
      <c r="J974" s="73">
        <v>247.50616019655402</v>
      </c>
      <c r="K974" s="73">
        <v>242.27394968880449</v>
      </c>
      <c r="L974" s="73">
        <v>245.20098019278325</v>
      </c>
      <c r="M974" s="73">
        <v>886158.1922273048</v>
      </c>
      <c r="N974" s="73" t="s">
        <v>1042</v>
      </c>
      <c r="O974" s="25">
        <f t="shared" si="27"/>
        <v>-6.1246781618162771E-3</v>
      </c>
    </row>
    <row r="975" spans="1:15">
      <c r="A975" s="74">
        <v>348.78983169252194</v>
      </c>
      <c r="B975" s="74">
        <v>354.1657598223573</v>
      </c>
      <c r="C975" s="74">
        <v>346.76759636196209</v>
      </c>
      <c r="D975" s="74">
        <v>353.6647772726235</v>
      </c>
      <c r="E975" s="74">
        <v>4059504.2703200369</v>
      </c>
      <c r="F975" s="74" t="s">
        <v>1043</v>
      </c>
      <c r="G975" s="25">
        <f t="shared" si="26"/>
        <v>-1.3784085646571742E-2</v>
      </c>
      <c r="I975" s="73">
        <v>245.61229493680642</v>
      </c>
      <c r="J975" s="73">
        <v>252.60464558520013</v>
      </c>
      <c r="K975" s="73">
        <v>244.26356519477702</v>
      </c>
      <c r="L975" s="73">
        <v>251.57157599556058</v>
      </c>
      <c r="M975" s="73">
        <v>667080.36603849649</v>
      </c>
      <c r="N975" s="73" t="s">
        <v>1043</v>
      </c>
      <c r="O975" s="25">
        <f>I975/L975-1</f>
        <v>-2.3688212927756691E-2</v>
      </c>
    </row>
    <row r="976" spans="1:15">
      <c r="G976" s="25"/>
      <c r="O976" s="25"/>
    </row>
    <row r="977" spans="7:15">
      <c r="G977" s="25"/>
      <c r="O977" s="25"/>
    </row>
    <row r="978" spans="7:15">
      <c r="G978" s="25"/>
      <c r="O978" s="25"/>
    </row>
    <row r="979" spans="7:15">
      <c r="G979" s="25"/>
      <c r="O979" s="25"/>
    </row>
    <row r="980" spans="7:15">
      <c r="G980" s="25"/>
      <c r="O980" s="25"/>
    </row>
    <row r="981" spans="7:15">
      <c r="G981" s="25"/>
      <c r="O981" s="25"/>
    </row>
    <row r="982" spans="7:15">
      <c r="G982" s="25"/>
      <c r="O982" s="25"/>
    </row>
    <row r="983" spans="7:15">
      <c r="G983" s="25"/>
      <c r="O983" s="25"/>
    </row>
    <row r="984" spans="7:15">
      <c r="G984" s="25"/>
      <c r="O984" s="25"/>
    </row>
    <row r="985" spans="7:15">
      <c r="G985" s="25"/>
      <c r="O985" s="25"/>
    </row>
    <row r="986" spans="7:15">
      <c r="G986" s="25"/>
      <c r="O986" s="25"/>
    </row>
    <row r="987" spans="7:15">
      <c r="G987" s="25"/>
      <c r="O987" s="25"/>
    </row>
    <row r="988" spans="7:15">
      <c r="G988" s="25"/>
      <c r="O988" s="25"/>
    </row>
    <row r="989" spans="7:15">
      <c r="G989" s="25"/>
      <c r="O989" s="25"/>
    </row>
    <row r="990" spans="7:15">
      <c r="G990" s="25"/>
      <c r="O990" s="25"/>
    </row>
    <row r="991" spans="7:15">
      <c r="G991" s="25"/>
      <c r="O991" s="25"/>
    </row>
    <row r="992" spans="7:15">
      <c r="G992" s="25"/>
      <c r="O992" s="25"/>
    </row>
    <row r="993" spans="7:15">
      <c r="G993" s="25"/>
      <c r="O993" s="25"/>
    </row>
    <row r="994" spans="7:15">
      <c r="G994" s="25"/>
      <c r="O994" s="25"/>
    </row>
    <row r="995" spans="7:15">
      <c r="G995" s="25"/>
      <c r="O995" s="25"/>
    </row>
    <row r="996" spans="7:15">
      <c r="G996" s="25"/>
      <c r="O996" s="25"/>
    </row>
    <row r="997" spans="7:15">
      <c r="G997" s="25"/>
      <c r="O997" s="25"/>
    </row>
    <row r="998" spans="7:15">
      <c r="G998" s="25"/>
      <c r="O998" s="25"/>
    </row>
    <row r="999" spans="7:15">
      <c r="G999" s="25"/>
      <c r="O999" s="25"/>
    </row>
    <row r="1000" spans="7:15">
      <c r="G1000" s="25"/>
      <c r="O1000" s="25"/>
    </row>
    <row r="1001" spans="7:15">
      <c r="G1001" s="25"/>
      <c r="O1001" s="25"/>
    </row>
    <row r="1002" spans="7:15">
      <c r="G1002" s="25"/>
      <c r="O1002" s="25"/>
    </row>
    <row r="1003" spans="7:15">
      <c r="G1003" s="25"/>
      <c r="O1003" s="25"/>
    </row>
    <row r="1004" spans="7:15">
      <c r="G1004" s="25"/>
      <c r="O1004" s="25"/>
    </row>
    <row r="1005" spans="7:15">
      <c r="G1005" s="25"/>
      <c r="O1005" s="25"/>
    </row>
    <row r="1006" spans="7:15">
      <c r="G1006" s="25"/>
      <c r="O1006" s="25"/>
    </row>
    <row r="1007" spans="7:15">
      <c r="G1007" s="25"/>
      <c r="O1007" s="25"/>
    </row>
    <row r="1008" spans="7:15">
      <c r="G1008" s="25"/>
      <c r="O1008" s="25"/>
    </row>
    <row r="1009" spans="7:15">
      <c r="G1009" s="25"/>
      <c r="O1009" s="25"/>
    </row>
    <row r="1010" spans="7:15">
      <c r="G1010" s="25"/>
      <c r="O1010" s="25"/>
    </row>
    <row r="1011" spans="7:15">
      <c r="G1011" s="25"/>
      <c r="O1011" s="25"/>
    </row>
    <row r="1012" spans="7:15">
      <c r="G1012" s="25"/>
      <c r="O1012" s="25"/>
    </row>
    <row r="1013" spans="7:15">
      <c r="G1013" s="25"/>
      <c r="O1013" s="25"/>
    </row>
    <row r="1014" spans="7:15">
      <c r="G1014" s="25"/>
      <c r="O1014" s="25"/>
    </row>
    <row r="1015" spans="7:15">
      <c r="G1015" s="25"/>
      <c r="O1015" s="25"/>
    </row>
    <row r="1016" spans="7:15">
      <c r="G1016" s="25"/>
      <c r="O1016" s="25"/>
    </row>
    <row r="1017" spans="7:15">
      <c r="G1017" s="25"/>
      <c r="O1017" s="25"/>
    </row>
    <row r="1018" spans="7:15">
      <c r="G1018" s="25"/>
      <c r="O1018" s="25"/>
    </row>
    <row r="1019" spans="7:15">
      <c r="G1019" s="25"/>
      <c r="O1019" s="25"/>
    </row>
    <row r="1020" spans="7:15">
      <c r="G1020" s="25"/>
      <c r="O1020" s="25"/>
    </row>
    <row r="1021" spans="7:15">
      <c r="G1021" s="25"/>
      <c r="O1021" s="25"/>
    </row>
    <row r="1022" spans="7:15">
      <c r="G1022" s="25"/>
      <c r="O1022" s="25"/>
    </row>
    <row r="1023" spans="7:15">
      <c r="G1023" s="25"/>
      <c r="O1023" s="25"/>
    </row>
    <row r="1024" spans="7:15">
      <c r="G1024" s="25"/>
      <c r="O1024" s="25"/>
    </row>
    <row r="1025" spans="7:15">
      <c r="G1025" s="25"/>
      <c r="O1025" s="25"/>
    </row>
    <row r="1026" spans="7:15">
      <c r="G1026" s="25"/>
      <c r="O1026" s="25"/>
    </row>
    <row r="1027" spans="7:15">
      <c r="G1027" s="25"/>
      <c r="O1027" s="25"/>
    </row>
    <row r="1028" spans="7:15">
      <c r="G1028" s="25"/>
      <c r="O1028" s="25"/>
    </row>
    <row r="1029" spans="7:15">
      <c r="G1029" s="25"/>
      <c r="O1029" s="25"/>
    </row>
    <row r="1030" spans="7:15">
      <c r="G1030" s="25"/>
      <c r="O1030" s="25"/>
    </row>
    <row r="1031" spans="7:15">
      <c r="G1031" s="25"/>
      <c r="O1031" s="25"/>
    </row>
    <row r="1032" spans="7:15">
      <c r="G1032" s="25"/>
      <c r="O1032" s="25"/>
    </row>
    <row r="1033" spans="7:15">
      <c r="G1033" s="25"/>
      <c r="O1033" s="25"/>
    </row>
    <row r="1034" spans="7:15">
      <c r="G1034" s="25"/>
      <c r="O1034" s="25"/>
    </row>
    <row r="1035" spans="7:15">
      <c r="G1035" s="25"/>
      <c r="O1035" s="25"/>
    </row>
    <row r="1036" spans="7:15">
      <c r="G1036" s="25"/>
      <c r="O1036" s="25"/>
    </row>
    <row r="1037" spans="7:15">
      <c r="G1037" s="25"/>
      <c r="O1037" s="25"/>
    </row>
    <row r="1038" spans="7:15">
      <c r="G1038" s="25"/>
      <c r="O1038" s="25"/>
    </row>
    <row r="1039" spans="7:15">
      <c r="G1039" s="25"/>
      <c r="O1039" s="25"/>
    </row>
    <row r="1040" spans="7:15">
      <c r="G1040" s="25"/>
      <c r="O1040" s="25"/>
    </row>
    <row r="1041" spans="7:15">
      <c r="G1041" s="25"/>
      <c r="O1041" s="25"/>
    </row>
    <row r="1042" spans="7:15">
      <c r="G1042" s="25"/>
      <c r="O1042" s="25"/>
    </row>
    <row r="1043" spans="7:15">
      <c r="G1043" s="25"/>
      <c r="O1043" s="25"/>
    </row>
    <row r="1044" spans="7:15">
      <c r="G1044" s="25"/>
      <c r="O1044" s="25"/>
    </row>
    <row r="1045" spans="7:15">
      <c r="G1045" s="25"/>
      <c r="O1045" s="25"/>
    </row>
    <row r="1046" spans="7:15">
      <c r="G1046" s="25"/>
      <c r="O1046" s="25"/>
    </row>
    <row r="1047" spans="7:15">
      <c r="G1047" s="25"/>
      <c r="O1047" s="25"/>
    </row>
    <row r="1048" spans="7:15">
      <c r="G1048" s="25"/>
      <c r="O1048" s="25"/>
    </row>
    <row r="1049" spans="7:15">
      <c r="G1049" s="25"/>
      <c r="O1049" s="25"/>
    </row>
    <row r="1050" spans="7:15">
      <c r="G1050" s="25"/>
      <c r="O1050" s="25"/>
    </row>
    <row r="1051" spans="7:15">
      <c r="G1051" s="25"/>
      <c r="O1051" s="25"/>
    </row>
    <row r="1052" spans="7:15">
      <c r="G1052" s="25"/>
      <c r="O1052" s="25"/>
    </row>
    <row r="1053" spans="7:15">
      <c r="G1053" s="25"/>
      <c r="O1053" s="25"/>
    </row>
    <row r="1054" spans="7:15">
      <c r="G1054" s="25"/>
      <c r="O1054" s="25"/>
    </row>
    <row r="1055" spans="7:15">
      <c r="G1055" s="25"/>
      <c r="O1055" s="25"/>
    </row>
    <row r="1056" spans="7:15">
      <c r="G1056" s="25"/>
      <c r="O1056" s="25"/>
    </row>
    <row r="1057" spans="7:15">
      <c r="G1057" s="25"/>
      <c r="O1057" s="25"/>
    </row>
    <row r="1058" spans="7:15">
      <c r="G1058" s="25"/>
      <c r="O1058" s="25"/>
    </row>
    <row r="1059" spans="7:15">
      <c r="G1059" s="25"/>
      <c r="O1059" s="25"/>
    </row>
    <row r="1060" spans="7:15">
      <c r="G1060" s="25"/>
      <c r="O1060" s="25"/>
    </row>
    <row r="1061" spans="7:15">
      <c r="G1061" s="25"/>
      <c r="O1061" s="25"/>
    </row>
    <row r="1062" spans="7:15">
      <c r="G1062" s="25"/>
      <c r="O1062" s="25"/>
    </row>
    <row r="1063" spans="7:15">
      <c r="G1063" s="25"/>
      <c r="O1063" s="25"/>
    </row>
    <row r="1064" spans="7:15">
      <c r="G1064" s="25"/>
      <c r="O1064" s="25"/>
    </row>
    <row r="1065" spans="7:15">
      <c r="G1065" s="25"/>
      <c r="O1065" s="25"/>
    </row>
    <row r="1066" spans="7:15">
      <c r="G1066" s="25"/>
      <c r="O1066" s="25"/>
    </row>
    <row r="1067" spans="7:15">
      <c r="G1067" s="25"/>
      <c r="O1067" s="25"/>
    </row>
    <row r="1068" spans="7:15">
      <c r="G1068" s="25"/>
      <c r="O1068" s="25"/>
    </row>
    <row r="1069" spans="7:15">
      <c r="G1069" s="25"/>
      <c r="O1069" s="25"/>
    </row>
    <row r="1070" spans="7:15">
      <c r="G1070" s="25"/>
      <c r="O1070" s="25"/>
    </row>
    <row r="1071" spans="7:15">
      <c r="G1071" s="25"/>
      <c r="O1071" s="25"/>
    </row>
    <row r="1072" spans="7:15">
      <c r="G1072" s="25"/>
      <c r="O1072" s="25"/>
    </row>
    <row r="1073" spans="7:15">
      <c r="G1073" s="25"/>
      <c r="O1073" s="25"/>
    </row>
    <row r="1074" spans="7:15">
      <c r="G1074" s="25"/>
      <c r="O1074" s="25"/>
    </row>
    <row r="1075" spans="7:15">
      <c r="G1075" s="25"/>
      <c r="O1075" s="25"/>
    </row>
    <row r="1076" spans="7:15">
      <c r="G1076" s="25"/>
      <c r="O1076" s="25"/>
    </row>
    <row r="1077" spans="7:15">
      <c r="G1077" s="25"/>
      <c r="O1077" s="25"/>
    </row>
    <row r="1078" spans="7:15">
      <c r="G1078" s="25"/>
      <c r="O1078" s="25"/>
    </row>
    <row r="1079" spans="7:15">
      <c r="G1079" s="25"/>
      <c r="O1079" s="25"/>
    </row>
    <row r="1080" spans="7:15">
      <c r="G1080" s="25"/>
      <c r="O1080" s="25"/>
    </row>
    <row r="1081" spans="7:15">
      <c r="G1081" s="25"/>
      <c r="O1081" s="25"/>
    </row>
    <row r="1082" spans="7:15">
      <c r="G1082" s="25"/>
      <c r="O1082" s="25"/>
    </row>
    <row r="1083" spans="7:15">
      <c r="G1083" s="25"/>
      <c r="O1083" s="25"/>
    </row>
    <row r="1084" spans="7:15">
      <c r="G1084" s="25"/>
      <c r="O1084" s="25"/>
    </row>
    <row r="1085" spans="7:15">
      <c r="G1085" s="25"/>
      <c r="O1085" s="25"/>
    </row>
    <row r="1086" spans="7:15">
      <c r="G1086" s="25"/>
      <c r="O1086" s="25"/>
    </row>
    <row r="1087" spans="7:15">
      <c r="G1087" s="25"/>
      <c r="O1087" s="25"/>
    </row>
    <row r="1088" spans="7:15">
      <c r="G1088" s="25"/>
      <c r="O1088" s="25"/>
    </row>
    <row r="1089" spans="7:15">
      <c r="G1089" s="25"/>
      <c r="O1089" s="25"/>
    </row>
    <row r="1090" spans="7:15">
      <c r="G1090" s="25"/>
      <c r="O1090" s="25"/>
    </row>
    <row r="1091" spans="7:15">
      <c r="G1091" s="25"/>
      <c r="O1091" s="25"/>
    </row>
    <row r="1092" spans="7:15">
      <c r="G1092" s="25"/>
      <c r="O1092" s="25"/>
    </row>
    <row r="1093" spans="7:15">
      <c r="G1093" s="25"/>
      <c r="O1093" s="25"/>
    </row>
    <row r="1094" spans="7:15">
      <c r="G1094" s="25"/>
      <c r="O1094" s="25"/>
    </row>
    <row r="1095" spans="7:15">
      <c r="G1095" s="25"/>
      <c r="O1095" s="25"/>
    </row>
    <row r="1096" spans="7:15">
      <c r="G1096" s="25"/>
      <c r="O1096" s="25"/>
    </row>
    <row r="1097" spans="7:15">
      <c r="G1097" s="25"/>
      <c r="O1097" s="25"/>
    </row>
    <row r="1098" spans="7:15">
      <c r="G1098" s="25"/>
      <c r="O1098" s="25"/>
    </row>
    <row r="1099" spans="7:15">
      <c r="G1099" s="25"/>
      <c r="O1099" s="25"/>
    </row>
    <row r="1100" spans="7:15">
      <c r="G1100" s="25"/>
      <c r="O1100" s="25"/>
    </row>
    <row r="1101" spans="7:15">
      <c r="G1101" s="25"/>
      <c r="O1101" s="25"/>
    </row>
    <row r="1102" spans="7:15">
      <c r="G1102" s="25"/>
      <c r="O1102" s="25"/>
    </row>
    <row r="1103" spans="7:15">
      <c r="G1103" s="25"/>
      <c r="O1103" s="25"/>
    </row>
    <row r="1104" spans="7:15">
      <c r="G1104" s="25"/>
      <c r="O1104" s="25"/>
    </row>
    <row r="1105" spans="7:15">
      <c r="G1105" s="25"/>
      <c r="O1105" s="25"/>
    </row>
    <row r="1106" spans="7:15">
      <c r="G1106" s="25"/>
      <c r="O1106" s="25"/>
    </row>
    <row r="1107" spans="7:15">
      <c r="G1107" s="25"/>
      <c r="O1107" s="25"/>
    </row>
    <row r="1108" spans="7:15">
      <c r="G1108" s="25"/>
      <c r="O1108" s="25"/>
    </row>
    <row r="1109" spans="7:15">
      <c r="G1109" s="25"/>
      <c r="O1109" s="25"/>
    </row>
    <row r="1110" spans="7:15">
      <c r="G1110" s="25"/>
      <c r="O1110" s="25"/>
    </row>
    <row r="1111" spans="7:15">
      <c r="G1111" s="25"/>
      <c r="O1111" s="25"/>
    </row>
    <row r="1112" spans="7:15">
      <c r="G1112" s="25"/>
      <c r="O1112" s="25"/>
    </row>
    <row r="1113" spans="7:15">
      <c r="G1113" s="25"/>
      <c r="O1113" s="25"/>
    </row>
    <row r="1114" spans="7:15">
      <c r="G1114" s="25"/>
      <c r="O1114" s="25"/>
    </row>
    <row r="1115" spans="7:15">
      <c r="G1115" s="25"/>
      <c r="O1115" s="25"/>
    </row>
    <row r="1116" spans="7:15">
      <c r="G1116" s="25"/>
      <c r="O1116" s="25"/>
    </row>
    <row r="1117" spans="7:15">
      <c r="G1117" s="25"/>
      <c r="O1117" s="25"/>
    </row>
    <row r="1118" spans="7:15">
      <c r="G1118" s="25"/>
      <c r="O1118" s="25"/>
    </row>
    <row r="1119" spans="7:15">
      <c r="G1119" s="25"/>
      <c r="O1119" s="25"/>
    </row>
    <row r="1120" spans="7:15">
      <c r="G1120" s="25"/>
      <c r="O1120" s="25"/>
    </row>
    <row r="1121" spans="7:15">
      <c r="G1121" s="25"/>
      <c r="O1121" s="25"/>
    </row>
    <row r="1122" spans="7:15">
      <c r="G1122" s="25"/>
      <c r="O1122" s="25"/>
    </row>
    <row r="1123" spans="7:15">
      <c r="G1123" s="25"/>
      <c r="O1123" s="25"/>
    </row>
    <row r="1124" spans="7:15">
      <c r="G1124" s="25"/>
      <c r="O1124" s="25"/>
    </row>
    <row r="1125" spans="7:15">
      <c r="G1125" s="25"/>
      <c r="O1125" s="25"/>
    </row>
    <row r="1126" spans="7:15">
      <c r="G1126" s="25"/>
      <c r="O1126" s="25"/>
    </row>
    <row r="1127" spans="7:15">
      <c r="G1127" s="25"/>
      <c r="O1127" s="25"/>
    </row>
    <row r="1128" spans="7:15">
      <c r="G1128" s="25"/>
      <c r="O1128" s="25"/>
    </row>
    <row r="1129" spans="7:15">
      <c r="G1129" s="25"/>
      <c r="O1129" s="25"/>
    </row>
    <row r="1130" spans="7:15">
      <c r="G1130" s="25"/>
      <c r="O1130" s="25"/>
    </row>
    <row r="1131" spans="7:15">
      <c r="G1131" s="25"/>
      <c r="O1131" s="25"/>
    </row>
    <row r="1132" spans="7:15">
      <c r="G1132" s="25"/>
      <c r="O1132" s="25"/>
    </row>
    <row r="1133" spans="7:15">
      <c r="G1133" s="25"/>
      <c r="O1133" s="25"/>
    </row>
    <row r="1134" spans="7:15">
      <c r="G1134" s="25"/>
      <c r="O1134" s="25"/>
    </row>
    <row r="1135" spans="7:15">
      <c r="G1135" s="25"/>
      <c r="O1135" s="25"/>
    </row>
    <row r="1136" spans="7:15">
      <c r="G1136" s="25"/>
      <c r="O1136" s="25"/>
    </row>
    <row r="1137" spans="7:15">
      <c r="G1137" s="25"/>
      <c r="O1137" s="25"/>
    </row>
    <row r="1138" spans="7:15">
      <c r="G1138" s="25"/>
      <c r="O1138" s="25"/>
    </row>
    <row r="1139" spans="7:15">
      <c r="G1139" s="25"/>
      <c r="O1139" s="25"/>
    </row>
    <row r="1140" spans="7:15">
      <c r="G1140" s="25"/>
      <c r="O1140" s="25"/>
    </row>
    <row r="1141" spans="7:15">
      <c r="G1141" s="25"/>
      <c r="O1141" s="25"/>
    </row>
    <row r="1142" spans="7:15">
      <c r="G1142" s="25"/>
      <c r="O1142" s="25"/>
    </row>
    <row r="1143" spans="7:15">
      <c r="G1143" s="25"/>
      <c r="O1143" s="25"/>
    </row>
    <row r="1144" spans="7:15">
      <c r="G1144" s="25"/>
      <c r="O1144" s="25"/>
    </row>
    <row r="1145" spans="7:15">
      <c r="G1145" s="25"/>
      <c r="O1145" s="25"/>
    </row>
    <row r="1146" spans="7:15">
      <c r="G1146" s="25"/>
      <c r="O1146" s="25"/>
    </row>
    <row r="1147" spans="7:15">
      <c r="G1147" s="25"/>
      <c r="O1147" s="25"/>
    </row>
    <row r="1148" spans="7:15">
      <c r="G1148" s="25"/>
      <c r="O1148" s="25"/>
    </row>
    <row r="1149" spans="7:15">
      <c r="G1149" s="25"/>
      <c r="O1149" s="25"/>
    </row>
    <row r="1150" spans="7:15">
      <c r="G1150" s="25"/>
      <c r="O1150" s="25"/>
    </row>
    <row r="1151" spans="7:15">
      <c r="G1151" s="25"/>
      <c r="O1151" s="25"/>
    </row>
    <row r="1152" spans="7:15">
      <c r="G1152" s="25"/>
      <c r="O1152" s="25"/>
    </row>
    <row r="1153" spans="7:15">
      <c r="G1153" s="25"/>
      <c r="O1153" s="25"/>
    </row>
    <row r="1154" spans="7:15">
      <c r="G1154" s="25"/>
      <c r="O1154" s="25"/>
    </row>
    <row r="1155" spans="7:15">
      <c r="G1155" s="25"/>
      <c r="O1155" s="25"/>
    </row>
    <row r="1156" spans="7:15">
      <c r="G1156" s="25"/>
      <c r="O1156" s="25"/>
    </row>
    <row r="1157" spans="7:15">
      <c r="G1157" s="25"/>
      <c r="O1157" s="25"/>
    </row>
    <row r="1158" spans="7:15">
      <c r="G1158" s="25"/>
      <c r="O1158" s="25"/>
    </row>
    <row r="1159" spans="7:15">
      <c r="G1159" s="25"/>
      <c r="O1159" s="25"/>
    </row>
    <row r="1160" spans="7:15">
      <c r="G1160" s="25"/>
      <c r="O1160" s="25"/>
    </row>
    <row r="1161" spans="7:15">
      <c r="G1161" s="25"/>
      <c r="O1161" s="25"/>
    </row>
    <row r="1162" spans="7:15">
      <c r="G1162" s="25"/>
      <c r="O1162" s="25"/>
    </row>
    <row r="1163" spans="7:15">
      <c r="G1163" s="25"/>
      <c r="O1163" s="25"/>
    </row>
    <row r="1164" spans="7:15">
      <c r="G1164" s="25"/>
      <c r="O1164" s="25"/>
    </row>
    <row r="1165" spans="7:15">
      <c r="G1165" s="25"/>
      <c r="O1165" s="25"/>
    </row>
    <row r="1166" spans="7:15">
      <c r="G1166" s="25"/>
      <c r="O1166" s="25"/>
    </row>
    <row r="1167" spans="7:15">
      <c r="G1167" s="25"/>
      <c r="O1167" s="25"/>
    </row>
    <row r="1168" spans="7:15">
      <c r="G1168" s="25"/>
      <c r="O1168" s="25"/>
    </row>
    <row r="1169" spans="7:15">
      <c r="G1169" s="25"/>
      <c r="O1169" s="25"/>
    </row>
    <row r="1170" spans="7:15">
      <c r="G1170" s="25"/>
      <c r="O1170" s="25"/>
    </row>
    <row r="1171" spans="7:15">
      <c r="G1171" s="25"/>
      <c r="O1171" s="25"/>
    </row>
    <row r="1172" spans="7:15">
      <c r="G1172" s="25"/>
      <c r="O1172" s="25"/>
    </row>
    <row r="1173" spans="7:15">
      <c r="G1173" s="25"/>
      <c r="O1173" s="25"/>
    </row>
    <row r="1174" spans="7:15">
      <c r="G1174" s="25"/>
      <c r="O1174" s="25"/>
    </row>
    <row r="1175" spans="7:15">
      <c r="G1175" s="25"/>
      <c r="O1175" s="25"/>
    </row>
    <row r="1176" spans="7:15">
      <c r="G1176" s="25"/>
      <c r="O1176" s="25"/>
    </row>
    <row r="1177" spans="7:15">
      <c r="G1177" s="25"/>
      <c r="O1177" s="25"/>
    </row>
    <row r="1178" spans="7:15">
      <c r="G1178" s="25"/>
      <c r="O1178" s="25"/>
    </row>
    <row r="1179" spans="7:15">
      <c r="G1179" s="25"/>
      <c r="O1179" s="25"/>
    </row>
    <row r="1180" spans="7:15">
      <c r="G1180" s="25"/>
      <c r="O1180" s="25"/>
    </row>
    <row r="1181" spans="7:15">
      <c r="G1181" s="25"/>
      <c r="O1181" s="25"/>
    </row>
    <row r="1182" spans="7:15">
      <c r="G1182" s="25"/>
      <c r="O1182" s="25"/>
    </row>
    <row r="1183" spans="7:15">
      <c r="G1183" s="25"/>
      <c r="O1183" s="25"/>
    </row>
    <row r="1184" spans="7:15">
      <c r="G1184" s="25"/>
      <c r="O1184" s="25"/>
    </row>
    <row r="1185" spans="7:15">
      <c r="G1185" s="25"/>
      <c r="O1185" s="25"/>
    </row>
    <row r="1186" spans="7:15">
      <c r="G1186" s="25"/>
      <c r="O1186" s="25"/>
    </row>
    <row r="1187" spans="7:15">
      <c r="G1187" s="25"/>
      <c r="O1187" s="25"/>
    </row>
    <row r="1188" spans="7:15">
      <c r="G1188" s="25"/>
      <c r="O1188" s="25"/>
    </row>
    <row r="1189" spans="7:15">
      <c r="G1189" s="25"/>
      <c r="O1189" s="25"/>
    </row>
    <row r="1190" spans="7:15">
      <c r="G1190" s="25"/>
      <c r="O1190" s="25"/>
    </row>
    <row r="1191" spans="7:15">
      <c r="G1191" s="25"/>
      <c r="O1191" s="25"/>
    </row>
    <row r="1192" spans="7:15">
      <c r="G1192" s="25"/>
      <c r="O1192" s="25"/>
    </row>
    <row r="1193" spans="7:15">
      <c r="G1193" s="25"/>
      <c r="O1193" s="25"/>
    </row>
    <row r="1194" spans="7:15">
      <c r="G1194" s="25"/>
      <c r="O1194" s="25"/>
    </row>
    <row r="1195" spans="7:15">
      <c r="G1195" s="25"/>
      <c r="O1195" s="25"/>
    </row>
    <row r="1196" spans="7:15">
      <c r="G1196" s="25"/>
      <c r="O1196" s="25"/>
    </row>
    <row r="1197" spans="7:15">
      <c r="G1197" s="25"/>
      <c r="O1197" s="25"/>
    </row>
    <row r="1198" spans="7:15">
      <c r="G1198" s="25"/>
      <c r="O1198" s="25"/>
    </row>
    <row r="1199" spans="7:15">
      <c r="G1199" s="25"/>
      <c r="O1199" s="25"/>
    </row>
    <row r="1200" spans="7:15">
      <c r="G1200" s="25"/>
      <c r="O1200" s="25"/>
    </row>
    <row r="1201" spans="7:15">
      <c r="G1201" s="25"/>
      <c r="O1201" s="25"/>
    </row>
    <row r="1202" spans="7:15">
      <c r="G1202" s="25"/>
      <c r="O1202" s="25"/>
    </row>
    <row r="1203" spans="7:15">
      <c r="G1203" s="25"/>
      <c r="O1203" s="25"/>
    </row>
    <row r="1204" spans="7:15">
      <c r="G1204" s="25"/>
      <c r="O1204" s="25"/>
    </row>
    <row r="1205" spans="7:15">
      <c r="G1205" s="25"/>
      <c r="O1205" s="25"/>
    </row>
    <row r="1206" spans="7:15">
      <c r="G1206" s="25"/>
      <c r="O1206" s="25"/>
    </row>
    <row r="1207" spans="7:15">
      <c r="G1207" s="25"/>
      <c r="O1207" s="25"/>
    </row>
    <row r="1208" spans="7:15">
      <c r="G1208" s="25"/>
      <c r="O1208" s="25"/>
    </row>
    <row r="1209" spans="7:15">
      <c r="G1209" s="25"/>
      <c r="O1209" s="25"/>
    </row>
    <row r="1210" spans="7:15">
      <c r="G1210" s="25"/>
      <c r="O1210" s="25"/>
    </row>
    <row r="1211" spans="7:15">
      <c r="G1211" s="25"/>
      <c r="O1211" s="25"/>
    </row>
    <row r="1212" spans="7:15">
      <c r="G1212" s="25"/>
      <c r="O1212" s="25"/>
    </row>
    <row r="1213" spans="7:15">
      <c r="G1213" s="25"/>
      <c r="O1213" s="25"/>
    </row>
    <row r="1214" spans="7:15">
      <c r="G1214" s="25"/>
      <c r="O1214" s="25"/>
    </row>
    <row r="1215" spans="7:15">
      <c r="G1215" s="25"/>
      <c r="O1215" s="25"/>
    </row>
    <row r="1216" spans="7:15">
      <c r="G1216" s="25"/>
      <c r="O1216" s="25"/>
    </row>
    <row r="1217" spans="7:15">
      <c r="G1217" s="25"/>
      <c r="O1217" s="25"/>
    </row>
    <row r="1218" spans="7:15">
      <c r="G1218" s="25"/>
      <c r="O1218" s="25"/>
    </row>
    <row r="1219" spans="7:15">
      <c r="G1219" s="25"/>
      <c r="O1219" s="25"/>
    </row>
    <row r="1220" spans="7:15">
      <c r="G1220" s="25"/>
      <c r="O1220" s="25"/>
    </row>
    <row r="1221" spans="7:15">
      <c r="G1221" s="25"/>
      <c r="O1221" s="25"/>
    </row>
    <row r="1222" spans="7:15">
      <c r="G1222" s="25"/>
      <c r="O1222" s="25"/>
    </row>
    <row r="1223" spans="7:15">
      <c r="G1223" s="25"/>
      <c r="O1223" s="25"/>
    </row>
    <row r="1224" spans="7:15">
      <c r="G1224" s="25"/>
      <c r="O1224" s="25"/>
    </row>
    <row r="1225" spans="7:15">
      <c r="G1225" s="25"/>
      <c r="O1225" s="25"/>
    </row>
    <row r="1226" spans="7:15">
      <c r="G1226" s="25"/>
      <c r="O1226" s="25"/>
    </row>
    <row r="1227" spans="7:15">
      <c r="G1227" s="25"/>
      <c r="O1227" s="25"/>
    </row>
    <row r="1228" spans="7:15">
      <c r="G1228" s="25"/>
      <c r="O1228" s="25"/>
    </row>
    <row r="1229" spans="7:15">
      <c r="G1229" s="25"/>
      <c r="O1229" s="25"/>
    </row>
    <row r="1230" spans="7:15">
      <c r="G1230" s="25"/>
      <c r="O1230" s="25"/>
    </row>
    <row r="1231" spans="7:15">
      <c r="G1231" s="25"/>
      <c r="O1231" s="25"/>
    </row>
    <row r="1232" spans="7:15">
      <c r="G1232" s="25"/>
      <c r="O1232" s="25"/>
    </row>
    <row r="1233" spans="7:15">
      <c r="G1233" s="25"/>
      <c r="O1233" s="25"/>
    </row>
    <row r="1234" spans="7:15">
      <c r="G1234" s="25"/>
      <c r="O1234" s="25"/>
    </row>
    <row r="1235" spans="7:15">
      <c r="G1235" s="25"/>
      <c r="O1235" s="25"/>
    </row>
    <row r="1236" spans="7:15">
      <c r="G1236" s="25"/>
      <c r="O1236" s="25"/>
    </row>
    <row r="1237" spans="7:15">
      <c r="G1237" s="25"/>
      <c r="O1237" s="25"/>
    </row>
    <row r="1238" spans="7:15">
      <c r="G1238" s="25"/>
      <c r="O1238" s="25"/>
    </row>
    <row r="1239" spans="7:15">
      <c r="G1239" s="25"/>
      <c r="O1239" s="25"/>
    </row>
    <row r="1240" spans="7:15">
      <c r="G1240" s="25"/>
      <c r="O1240" s="25"/>
    </row>
    <row r="1241" spans="7:15">
      <c r="G1241" s="25"/>
      <c r="O1241" s="25"/>
    </row>
    <row r="1242" spans="7:15">
      <c r="G1242" s="25"/>
      <c r="O1242" s="25"/>
    </row>
    <row r="1243" spans="7:15">
      <c r="G1243" s="25"/>
      <c r="O1243" s="25"/>
    </row>
    <row r="1244" spans="7:15">
      <c r="G1244" s="25"/>
      <c r="O1244" s="25"/>
    </row>
    <row r="1245" spans="7:15">
      <c r="G1245" s="25"/>
      <c r="O1245" s="25"/>
    </row>
    <row r="1246" spans="7:15">
      <c r="G1246" s="25"/>
      <c r="O1246" s="25"/>
    </row>
    <row r="1247" spans="7:15">
      <c r="G1247" s="25"/>
      <c r="O1247" s="25"/>
    </row>
    <row r="1248" spans="7:15">
      <c r="G1248" s="25"/>
      <c r="O1248" s="25"/>
    </row>
    <row r="1249" spans="7:15">
      <c r="G1249" s="25"/>
      <c r="O1249" s="25"/>
    </row>
    <row r="1250" spans="7:15">
      <c r="G1250" s="25"/>
      <c r="O1250" s="25"/>
    </row>
    <row r="1251" spans="7:15">
      <c r="G1251" s="25"/>
      <c r="O1251" s="25"/>
    </row>
    <row r="1252" spans="7:15">
      <c r="G1252" s="25"/>
      <c r="O1252" s="25"/>
    </row>
    <row r="1253" spans="7:15">
      <c r="G1253" s="25"/>
      <c r="O1253" s="25"/>
    </row>
    <row r="1254" spans="7:15">
      <c r="G1254" s="25"/>
      <c r="O1254" s="25"/>
    </row>
    <row r="1255" spans="7:15">
      <c r="G1255" s="25"/>
      <c r="O1255" s="25"/>
    </row>
    <row r="1256" spans="7:15">
      <c r="G1256" s="25"/>
      <c r="O1256" s="25"/>
    </row>
    <row r="1257" spans="7:15">
      <c r="G1257" s="25"/>
      <c r="O1257" s="25"/>
    </row>
    <row r="1258" spans="7:15">
      <c r="G1258" s="25"/>
      <c r="O1258" s="25"/>
    </row>
    <row r="1259" spans="7:15">
      <c r="G1259" s="25"/>
      <c r="O1259" s="25"/>
    </row>
    <row r="1260" spans="7:15">
      <c r="G1260" s="25"/>
      <c r="O1260" s="25"/>
    </row>
    <row r="1261" spans="7:15">
      <c r="G1261" s="25"/>
      <c r="O1261" s="25"/>
    </row>
    <row r="1262" spans="7:15">
      <c r="G1262" s="25"/>
      <c r="O1262" s="25"/>
    </row>
    <row r="1263" spans="7:15">
      <c r="G1263" s="25"/>
      <c r="O1263" s="25"/>
    </row>
    <row r="1264" spans="7:15">
      <c r="G1264" s="25"/>
      <c r="O1264" s="25"/>
    </row>
    <row r="1265" spans="7:15">
      <c r="G1265" s="25"/>
      <c r="O1265" s="25"/>
    </row>
    <row r="1266" spans="7:15">
      <c r="G1266" s="25"/>
      <c r="O1266" s="25"/>
    </row>
    <row r="1267" spans="7:15">
      <c r="G1267" s="25"/>
      <c r="O1267" s="25"/>
    </row>
    <row r="1268" spans="7:15">
      <c r="G1268" s="25"/>
      <c r="O1268" s="25"/>
    </row>
    <row r="1269" spans="7:15">
      <c r="G1269" s="25"/>
      <c r="O1269" s="25"/>
    </row>
    <row r="1270" spans="7:15">
      <c r="G1270" s="25"/>
      <c r="O1270" s="25"/>
    </row>
    <row r="1271" spans="7:15">
      <c r="G1271" s="25"/>
      <c r="O1271" s="25"/>
    </row>
    <row r="1272" spans="7:15">
      <c r="G1272" s="25"/>
      <c r="O1272" s="25"/>
    </row>
    <row r="1273" spans="7:15">
      <c r="G1273" s="25"/>
      <c r="O1273" s="25"/>
    </row>
    <row r="1274" spans="7:15">
      <c r="G1274" s="25"/>
      <c r="O1274" s="25"/>
    </row>
    <row r="1275" spans="7:15">
      <c r="G1275" s="25"/>
      <c r="O1275" s="25"/>
    </row>
    <row r="1276" spans="7:15">
      <c r="G1276" s="25"/>
      <c r="O1276" s="25"/>
    </row>
    <row r="1277" spans="7:15">
      <c r="G1277" s="25"/>
      <c r="O1277" s="25"/>
    </row>
    <row r="1278" spans="7:15">
      <c r="G1278" s="25"/>
      <c r="O1278" s="25"/>
    </row>
    <row r="1279" spans="7:15">
      <c r="G1279" s="25"/>
      <c r="O1279" s="25"/>
    </row>
    <row r="1280" spans="7:15">
      <c r="G1280" s="25"/>
      <c r="O1280" s="25"/>
    </row>
    <row r="1281" spans="7:15">
      <c r="G1281" s="25"/>
      <c r="O1281" s="25"/>
    </row>
    <row r="1282" spans="7:15">
      <c r="G1282" s="25"/>
      <c r="O1282" s="25"/>
    </row>
    <row r="1283" spans="7:15">
      <c r="G1283" s="25"/>
      <c r="O1283" s="25"/>
    </row>
    <row r="1284" spans="7:15">
      <c r="G1284" s="25"/>
      <c r="O1284" s="25"/>
    </row>
    <row r="1285" spans="7:15">
      <c r="G1285" s="25"/>
      <c r="O1285" s="25"/>
    </row>
    <row r="1286" spans="7:15">
      <c r="G1286" s="25"/>
      <c r="O1286" s="25"/>
    </row>
    <row r="1287" spans="7:15">
      <c r="G1287" s="25"/>
      <c r="O1287" s="25"/>
    </row>
    <row r="1288" spans="7:15">
      <c r="G1288" s="25"/>
      <c r="O1288" s="25"/>
    </row>
    <row r="1289" spans="7:15">
      <c r="G1289" s="25"/>
      <c r="O1289" s="25"/>
    </row>
    <row r="1290" spans="7:15">
      <c r="G1290" s="25"/>
      <c r="O1290" s="25"/>
    </row>
    <row r="1291" spans="7:15">
      <c r="G1291" s="25"/>
      <c r="O1291" s="25"/>
    </row>
    <row r="1292" spans="7:15">
      <c r="G1292" s="25"/>
      <c r="O1292" s="25"/>
    </row>
    <row r="1293" spans="7:15">
      <c r="G1293" s="25"/>
      <c r="O1293" s="25"/>
    </row>
    <row r="1294" spans="7:15">
      <c r="G1294" s="25"/>
      <c r="O1294" s="25"/>
    </row>
    <row r="1295" spans="7:15">
      <c r="G1295" s="25"/>
      <c r="O1295" s="25"/>
    </row>
    <row r="1296" spans="7:15">
      <c r="G1296" s="25"/>
      <c r="O1296" s="25"/>
    </row>
    <row r="1297" spans="7:15">
      <c r="G1297" s="25"/>
      <c r="O1297" s="25"/>
    </row>
    <row r="1298" spans="7:15">
      <c r="G1298" s="25"/>
      <c r="O1298" s="25"/>
    </row>
    <row r="1299" spans="7:15">
      <c r="G1299" s="25"/>
      <c r="O1299" s="25"/>
    </row>
    <row r="1300" spans="7:15">
      <c r="G1300" s="25"/>
      <c r="O1300" s="25"/>
    </row>
    <row r="1301" spans="7:15">
      <c r="G1301" s="25"/>
      <c r="O1301" s="25"/>
    </row>
    <row r="1302" spans="7:15">
      <c r="G1302" s="25"/>
      <c r="O1302" s="25"/>
    </row>
    <row r="1303" spans="7:15">
      <c r="G1303" s="25"/>
      <c r="O1303" s="25"/>
    </row>
    <row r="1304" spans="7:15">
      <c r="G1304" s="25"/>
      <c r="O1304" s="25"/>
    </row>
    <row r="1305" spans="7:15">
      <c r="G1305" s="25"/>
      <c r="O1305" s="25"/>
    </row>
    <row r="1306" spans="7:15">
      <c r="G1306" s="25"/>
      <c r="O1306" s="25"/>
    </row>
    <row r="1307" spans="7:15">
      <c r="G1307" s="25"/>
      <c r="O1307" s="25"/>
    </row>
    <row r="1308" spans="7:15">
      <c r="G1308" s="25"/>
      <c r="O1308" s="25"/>
    </row>
    <row r="1309" spans="7:15">
      <c r="G1309" s="25"/>
      <c r="O1309" s="25"/>
    </row>
    <row r="1310" spans="7:15">
      <c r="G1310" s="25"/>
      <c r="O1310" s="25"/>
    </row>
    <row r="1311" spans="7:15">
      <c r="G1311" s="25"/>
      <c r="O1311" s="25"/>
    </row>
    <row r="1312" spans="7:15">
      <c r="G1312" s="25"/>
      <c r="O1312" s="25"/>
    </row>
    <row r="1313" spans="7:15">
      <c r="G1313" s="25"/>
      <c r="O1313" s="25"/>
    </row>
    <row r="1314" spans="7:15">
      <c r="G1314" s="25"/>
      <c r="O1314" s="25"/>
    </row>
    <row r="1315" spans="7:15">
      <c r="G1315" s="25"/>
      <c r="O1315" s="25"/>
    </row>
    <row r="1316" spans="7:15">
      <c r="G1316" s="25"/>
      <c r="O1316" s="25"/>
    </row>
    <row r="1317" spans="7:15">
      <c r="G1317" s="25"/>
      <c r="O1317" s="25"/>
    </row>
    <row r="1318" spans="7:15">
      <c r="G1318" s="25"/>
      <c r="O1318" s="25"/>
    </row>
    <row r="1319" spans="7:15">
      <c r="G1319" s="25"/>
      <c r="O1319" s="25"/>
    </row>
    <row r="1320" spans="7:15">
      <c r="G1320" s="25"/>
      <c r="O1320" s="25"/>
    </row>
    <row r="1321" spans="7:15">
      <c r="G1321" s="25"/>
      <c r="O1321" s="25"/>
    </row>
    <row r="1322" spans="7:15">
      <c r="G1322" s="25"/>
      <c r="O1322" s="25"/>
    </row>
    <row r="1323" spans="7:15">
      <c r="G1323" s="25"/>
      <c r="O1323" s="25"/>
    </row>
    <row r="1324" spans="7:15">
      <c r="G1324" s="25"/>
      <c r="O1324" s="25"/>
    </row>
    <row r="1325" spans="7:15">
      <c r="G1325" s="25"/>
      <c r="O1325" s="25"/>
    </row>
    <row r="1326" spans="7:15">
      <c r="G1326" s="25"/>
      <c r="O1326" s="25"/>
    </row>
    <row r="1327" spans="7:15">
      <c r="G1327" s="25"/>
      <c r="O1327" s="25"/>
    </row>
    <row r="1328" spans="7:15">
      <c r="G1328" s="25"/>
      <c r="O1328" s="25"/>
    </row>
    <row r="1329" spans="7:15">
      <c r="G1329" s="25"/>
      <c r="O1329" s="25"/>
    </row>
    <row r="1330" spans="7:15">
      <c r="G1330" s="25"/>
      <c r="O1330" s="25"/>
    </row>
    <row r="1331" spans="7:15">
      <c r="G1331" s="25"/>
      <c r="O1331" s="25"/>
    </row>
    <row r="1332" spans="7:15">
      <c r="G1332" s="25"/>
      <c r="O1332" s="25"/>
    </row>
    <row r="1333" spans="7:15">
      <c r="G1333" s="25"/>
      <c r="O1333" s="25"/>
    </row>
    <row r="1334" spans="7:15">
      <c r="G1334" s="25"/>
      <c r="O1334" s="25"/>
    </row>
    <row r="1335" spans="7:15">
      <c r="G1335" s="25"/>
      <c r="O1335" s="25"/>
    </row>
    <row r="1336" spans="7:15">
      <c r="G1336" s="25"/>
      <c r="O1336" s="25"/>
    </row>
    <row r="1337" spans="7:15">
      <c r="G1337" s="25"/>
      <c r="O1337" s="25"/>
    </row>
    <row r="1338" spans="7:15">
      <c r="G1338" s="25"/>
      <c r="O1338" s="25"/>
    </row>
    <row r="1339" spans="7:15">
      <c r="G1339" s="25"/>
      <c r="O1339" s="25"/>
    </row>
    <row r="1340" spans="7:15">
      <c r="G1340" s="25"/>
      <c r="O1340" s="25"/>
    </row>
    <row r="1341" spans="7:15">
      <c r="G1341" s="25"/>
      <c r="O1341" s="25"/>
    </row>
    <row r="1342" spans="7:15">
      <c r="G1342" s="25"/>
      <c r="O1342" s="25"/>
    </row>
    <row r="1343" spans="7:15">
      <c r="G1343" s="25"/>
      <c r="O1343" s="25"/>
    </row>
    <row r="1344" spans="7:15">
      <c r="G1344" s="25"/>
      <c r="O1344" s="25"/>
    </row>
    <row r="1345" spans="7:15">
      <c r="G1345" s="25"/>
      <c r="O1345" s="25"/>
    </row>
    <row r="1346" spans="7:15">
      <c r="G1346" s="25"/>
      <c r="O1346" s="25"/>
    </row>
    <row r="1347" spans="7:15">
      <c r="G1347" s="25"/>
      <c r="O1347" s="25"/>
    </row>
    <row r="1348" spans="7:15">
      <c r="G1348" s="25"/>
      <c r="O1348" s="25"/>
    </row>
    <row r="1349" spans="7:15">
      <c r="G1349" s="25"/>
      <c r="O1349" s="25"/>
    </row>
    <row r="1350" spans="7:15">
      <c r="G1350" s="25"/>
      <c r="O1350" s="25"/>
    </row>
    <row r="1351" spans="7:15">
      <c r="G1351" s="25"/>
      <c r="O1351" s="25"/>
    </row>
    <row r="1352" spans="7:15">
      <c r="G1352" s="25"/>
      <c r="O1352" s="25"/>
    </row>
    <row r="1353" spans="7:15">
      <c r="G1353" s="25"/>
      <c r="O1353" s="25"/>
    </row>
    <row r="1354" spans="7:15">
      <c r="G1354" s="25"/>
      <c r="O1354" s="25"/>
    </row>
    <row r="1355" spans="7:15">
      <c r="G1355" s="25"/>
      <c r="O1355" s="25"/>
    </row>
    <row r="1356" spans="7:15">
      <c r="G1356" s="25"/>
      <c r="O1356" s="25"/>
    </row>
    <row r="1357" spans="7:15">
      <c r="G1357" s="25"/>
      <c r="O1357" s="25"/>
    </row>
    <row r="1358" spans="7:15">
      <c r="G1358" s="25"/>
      <c r="O1358" s="25"/>
    </row>
    <row r="1359" spans="7:15">
      <c r="G1359" s="25"/>
      <c r="O1359" s="25"/>
    </row>
    <row r="1360" spans="7:15">
      <c r="G1360" s="25"/>
      <c r="O1360" s="25"/>
    </row>
    <row r="1361" spans="7:15">
      <c r="G1361" s="25"/>
      <c r="O1361" s="25"/>
    </row>
    <row r="1362" spans="7:15">
      <c r="G1362" s="25"/>
      <c r="O1362" s="25"/>
    </row>
    <row r="1363" spans="7:15">
      <c r="G1363" s="25"/>
      <c r="O1363" s="25"/>
    </row>
    <row r="1364" spans="7:15">
      <c r="G1364" s="25"/>
      <c r="O1364" s="25"/>
    </row>
    <row r="1365" spans="7:15">
      <c r="G1365" s="25"/>
      <c r="O1365" s="25"/>
    </row>
    <row r="1366" spans="7:15">
      <c r="G1366" s="25"/>
      <c r="O1366" s="25"/>
    </row>
    <row r="1367" spans="7:15">
      <c r="G1367" s="25"/>
      <c r="O1367" s="25"/>
    </row>
    <row r="1368" spans="7:15">
      <c r="G1368" s="25"/>
      <c r="O1368" s="25"/>
    </row>
    <row r="1369" spans="7:15">
      <c r="G1369" s="25"/>
      <c r="O1369" s="25"/>
    </row>
    <row r="1370" spans="7:15">
      <c r="G1370" s="25"/>
      <c r="O1370" s="25"/>
    </row>
    <row r="1371" spans="7:15">
      <c r="G1371" s="25"/>
      <c r="O1371" s="25"/>
    </row>
    <row r="1372" spans="7:15">
      <c r="G1372" s="25"/>
      <c r="O1372" s="25"/>
    </row>
    <row r="1373" spans="7:15">
      <c r="G1373" s="25"/>
      <c r="O1373" s="25"/>
    </row>
    <row r="1374" spans="7:15">
      <c r="G1374" s="25"/>
      <c r="O1374" s="25"/>
    </row>
    <row r="1375" spans="7:15">
      <c r="G1375" s="25"/>
      <c r="O1375" s="25"/>
    </row>
    <row r="1376" spans="7:15">
      <c r="G1376" s="25"/>
      <c r="O1376" s="25"/>
    </row>
    <row r="1377" spans="7:15">
      <c r="G1377" s="25"/>
      <c r="O1377" s="25"/>
    </row>
    <row r="1378" spans="7:15">
      <c r="G1378" s="25"/>
      <c r="O1378" s="25"/>
    </row>
    <row r="1379" spans="7:15">
      <c r="G1379" s="25"/>
      <c r="O1379" s="25"/>
    </row>
    <row r="1380" spans="7:15">
      <c r="G1380" s="25"/>
      <c r="O1380" s="25"/>
    </row>
    <row r="1381" spans="7:15">
      <c r="G1381" s="25"/>
      <c r="O1381" s="25"/>
    </row>
    <row r="1382" spans="7:15">
      <c r="G1382" s="25"/>
      <c r="O1382" s="25"/>
    </row>
    <row r="1383" spans="7:15">
      <c r="G1383" s="25"/>
      <c r="O1383" s="25"/>
    </row>
    <row r="1384" spans="7:15">
      <c r="G1384" s="25"/>
      <c r="O1384" s="25"/>
    </row>
    <row r="1385" spans="7:15">
      <c r="G1385" s="25"/>
      <c r="O1385" s="25"/>
    </row>
    <row r="1386" spans="7:15">
      <c r="G1386" s="25"/>
      <c r="O1386" s="25"/>
    </row>
    <row r="1387" spans="7:15">
      <c r="G1387" s="25"/>
      <c r="O1387" s="25"/>
    </row>
    <row r="1388" spans="7:15">
      <c r="G1388" s="25"/>
      <c r="O1388" s="25"/>
    </row>
    <row r="1389" spans="7:15">
      <c r="G1389" s="25"/>
      <c r="O1389" s="25"/>
    </row>
    <row r="1390" spans="7:15">
      <c r="G1390" s="25"/>
      <c r="O1390" s="25"/>
    </row>
    <row r="1391" spans="7:15">
      <c r="G1391" s="25"/>
      <c r="O1391" s="25"/>
    </row>
    <row r="1392" spans="7:15">
      <c r="G1392" s="25"/>
      <c r="O1392" s="25"/>
    </row>
    <row r="1393" spans="7:15">
      <c r="G1393" s="25"/>
      <c r="O1393" s="25"/>
    </row>
    <row r="1394" spans="7:15">
      <c r="G1394" s="25"/>
      <c r="O1394" s="25"/>
    </row>
    <row r="1395" spans="7:15">
      <c r="G1395" s="25"/>
      <c r="O1395" s="25"/>
    </row>
    <row r="1396" spans="7:15">
      <c r="G1396" s="25"/>
      <c r="O1396" s="25"/>
    </row>
    <row r="1397" spans="7:15">
      <c r="G1397" s="25"/>
      <c r="O1397" s="25"/>
    </row>
    <row r="1398" spans="7:15">
      <c r="G1398" s="25"/>
      <c r="O1398" s="25"/>
    </row>
    <row r="1399" spans="7:15">
      <c r="G1399" s="25"/>
      <c r="O1399" s="25"/>
    </row>
    <row r="1400" spans="7:15">
      <c r="G1400" s="25"/>
      <c r="O1400" s="25"/>
    </row>
    <row r="1401" spans="7:15">
      <c r="G1401" s="25"/>
      <c r="O1401" s="25"/>
    </row>
    <row r="1402" spans="7:15">
      <c r="G1402" s="25"/>
      <c r="O1402" s="25"/>
    </row>
    <row r="1403" spans="7:15">
      <c r="G1403" s="25"/>
      <c r="O1403" s="25"/>
    </row>
    <row r="1404" spans="7:15">
      <c r="G1404" s="25"/>
      <c r="O1404" s="25"/>
    </row>
    <row r="1405" spans="7:15">
      <c r="G1405" s="25"/>
      <c r="O1405" s="25"/>
    </row>
    <row r="1406" spans="7:15">
      <c r="G1406" s="25"/>
      <c r="O1406" s="25"/>
    </row>
    <row r="1407" spans="7:15">
      <c r="G1407" s="25"/>
      <c r="O1407" s="25"/>
    </row>
    <row r="1408" spans="7:15">
      <c r="G1408" s="25"/>
      <c r="O1408" s="25"/>
    </row>
    <row r="1409" spans="7:15">
      <c r="G1409" s="25"/>
      <c r="O1409" s="25"/>
    </row>
    <row r="1410" spans="7:15">
      <c r="G1410" s="25"/>
      <c r="O1410" s="25"/>
    </row>
    <row r="1411" spans="7:15">
      <c r="G1411" s="25"/>
      <c r="O1411" s="25"/>
    </row>
    <row r="1412" spans="7:15">
      <c r="G1412" s="25"/>
      <c r="O1412" s="25"/>
    </row>
    <row r="1413" spans="7:15">
      <c r="G1413" s="25"/>
      <c r="O1413" s="25"/>
    </row>
    <row r="1414" spans="7:15">
      <c r="G1414" s="25"/>
      <c r="O1414" s="25"/>
    </row>
    <row r="1415" spans="7:15">
      <c r="G1415" s="25"/>
      <c r="O1415" s="25"/>
    </row>
    <row r="1416" spans="7:15">
      <c r="G1416" s="25"/>
      <c r="O1416" s="25"/>
    </row>
    <row r="1417" spans="7:15">
      <c r="G1417" s="25"/>
      <c r="O1417" s="25"/>
    </row>
    <row r="1418" spans="7:15">
      <c r="G1418" s="25"/>
      <c r="O1418" s="25"/>
    </row>
    <row r="1419" spans="7:15">
      <c r="G1419" s="25"/>
      <c r="O1419" s="25"/>
    </row>
    <row r="1420" spans="7:15">
      <c r="G1420" s="25"/>
      <c r="O1420" s="25"/>
    </row>
    <row r="1421" spans="7:15">
      <c r="G1421" s="25"/>
      <c r="O1421" s="25"/>
    </row>
    <row r="1422" spans="7:15">
      <c r="G1422" s="25"/>
      <c r="O1422" s="25"/>
    </row>
    <row r="1423" spans="7:15">
      <c r="G1423" s="25"/>
      <c r="O1423" s="25"/>
    </row>
    <row r="1424" spans="7:15">
      <c r="G1424" s="25"/>
      <c r="O1424" s="25"/>
    </row>
    <row r="1425" spans="7:15">
      <c r="G1425" s="25"/>
      <c r="O1425" s="25"/>
    </row>
    <row r="1426" spans="7:15">
      <c r="G1426" s="25"/>
      <c r="O1426" s="25"/>
    </row>
    <row r="1427" spans="7:15">
      <c r="G1427" s="25"/>
      <c r="O1427" s="25"/>
    </row>
    <row r="1428" spans="7:15">
      <c r="G1428" s="25"/>
      <c r="O1428" s="25"/>
    </row>
    <row r="1429" spans="7:15">
      <c r="G1429" s="25"/>
      <c r="O1429" s="25"/>
    </row>
    <row r="1430" spans="7:15">
      <c r="G1430" s="25"/>
      <c r="O1430" s="25"/>
    </row>
    <row r="1431" spans="7:15">
      <c r="G1431" s="25"/>
      <c r="O1431" s="25"/>
    </row>
    <row r="1432" spans="7:15">
      <c r="G1432" s="25"/>
      <c r="O1432" s="25"/>
    </row>
    <row r="1433" spans="7:15">
      <c r="G1433" s="25"/>
      <c r="O1433" s="25"/>
    </row>
    <row r="1434" spans="7:15">
      <c r="G1434" s="25"/>
      <c r="O1434" s="25"/>
    </row>
    <row r="1435" spans="7:15">
      <c r="G1435" s="25"/>
      <c r="O1435" s="25"/>
    </row>
    <row r="1436" spans="7:15">
      <c r="G1436" s="25"/>
      <c r="O1436" s="25"/>
    </row>
    <row r="1437" spans="7:15">
      <c r="G1437" s="25"/>
      <c r="O1437" s="25"/>
    </row>
    <row r="1438" spans="7:15">
      <c r="G1438" s="25"/>
      <c r="O1438" s="25"/>
    </row>
    <row r="1439" spans="7:15">
      <c r="G1439" s="25"/>
      <c r="O1439" s="25"/>
    </row>
    <row r="1440" spans="7:15">
      <c r="G1440" s="25"/>
      <c r="O1440" s="25"/>
    </row>
    <row r="1441" spans="7:15">
      <c r="G1441" s="25"/>
      <c r="O1441" s="25"/>
    </row>
    <row r="1442" spans="7:15">
      <c r="G1442" s="25"/>
      <c r="O1442" s="25"/>
    </row>
    <row r="1443" spans="7:15">
      <c r="G1443" s="25"/>
      <c r="O1443" s="25"/>
    </row>
    <row r="1444" spans="7:15">
      <c r="G1444" s="25"/>
      <c r="O1444" s="25"/>
    </row>
    <row r="1445" spans="7:15">
      <c r="G1445" s="25"/>
      <c r="O1445" s="25"/>
    </row>
    <row r="1446" spans="7:15">
      <c r="G1446" s="25"/>
      <c r="O1446" s="25"/>
    </row>
    <row r="1447" spans="7:15">
      <c r="G1447" s="25"/>
      <c r="O1447" s="25"/>
    </row>
    <row r="1448" spans="7:15">
      <c r="G1448" s="25"/>
      <c r="O1448" s="25"/>
    </row>
    <row r="1449" spans="7:15">
      <c r="G1449" s="25"/>
      <c r="O1449" s="25"/>
    </row>
    <row r="1450" spans="7:15">
      <c r="G1450" s="25"/>
      <c r="O1450" s="25"/>
    </row>
    <row r="1451" spans="7:15">
      <c r="G1451" s="25"/>
      <c r="O1451" s="25"/>
    </row>
    <row r="1452" spans="7:15">
      <c r="G1452" s="25"/>
      <c r="O1452" s="25"/>
    </row>
    <row r="1453" spans="7:15">
      <c r="G1453" s="25"/>
      <c r="O1453" s="25"/>
    </row>
    <row r="1454" spans="7:15">
      <c r="G1454" s="25"/>
      <c r="O1454" s="25"/>
    </row>
    <row r="1455" spans="7:15">
      <c r="G1455" s="25"/>
      <c r="O1455" s="25"/>
    </row>
    <row r="1456" spans="7:15">
      <c r="G1456" s="25"/>
      <c r="O1456" s="25"/>
    </row>
    <row r="1457" spans="7:15">
      <c r="G1457" s="25"/>
      <c r="O1457" s="25"/>
    </row>
    <row r="1458" spans="7:15">
      <c r="G1458" s="25"/>
      <c r="O1458" s="25"/>
    </row>
    <row r="1459" spans="7:15">
      <c r="G1459" s="25"/>
      <c r="O1459" s="25"/>
    </row>
    <row r="1460" spans="7:15">
      <c r="G1460" s="25"/>
      <c r="O1460" s="25"/>
    </row>
    <row r="1461" spans="7:15">
      <c r="G1461" s="25"/>
      <c r="O1461" s="25"/>
    </row>
    <row r="1462" spans="7:15">
      <c r="G1462" s="25"/>
      <c r="O1462" s="25"/>
    </row>
    <row r="1463" spans="7:15">
      <c r="G1463" s="25"/>
      <c r="O1463" s="25"/>
    </row>
    <row r="1464" spans="7:15">
      <c r="G1464" s="25"/>
      <c r="O1464" s="25"/>
    </row>
    <row r="1465" spans="7:15">
      <c r="G1465" s="25"/>
      <c r="O1465" s="25"/>
    </row>
    <row r="1466" spans="7:15">
      <c r="G1466" s="25"/>
      <c r="O1466" s="25"/>
    </row>
    <row r="1467" spans="7:15">
      <c r="G1467" s="25"/>
      <c r="O1467" s="25"/>
    </row>
    <row r="1468" spans="7:15">
      <c r="G1468" s="25"/>
      <c r="O1468" s="25"/>
    </row>
    <row r="1469" spans="7:15">
      <c r="G1469" s="25"/>
      <c r="O1469" s="25"/>
    </row>
    <row r="1470" spans="7:15">
      <c r="G1470" s="25"/>
      <c r="O1470" s="25"/>
    </row>
    <row r="1471" spans="7:15">
      <c r="G1471" s="25"/>
      <c r="O1471" s="25"/>
    </row>
    <row r="1472" spans="7:15">
      <c r="G1472" s="25"/>
      <c r="O1472" s="25"/>
    </row>
    <row r="1473" spans="7:15">
      <c r="G1473" s="25"/>
      <c r="O1473" s="25"/>
    </row>
    <row r="1474" spans="7:15">
      <c r="G1474" s="25"/>
      <c r="O1474" s="25"/>
    </row>
    <row r="1475" spans="7:15">
      <c r="G1475" s="25"/>
      <c r="O1475" s="25"/>
    </row>
    <row r="1476" spans="7:15">
      <c r="G1476" s="25"/>
      <c r="O1476" s="25"/>
    </row>
    <row r="1477" spans="7:15">
      <c r="G1477" s="25"/>
      <c r="O1477" s="25"/>
    </row>
    <row r="1478" spans="7:15">
      <c r="G1478" s="25"/>
      <c r="O1478" s="25"/>
    </row>
    <row r="1479" spans="7:15">
      <c r="G1479" s="25"/>
      <c r="O1479" s="25"/>
    </row>
    <row r="1480" spans="7:15">
      <c r="G1480" s="25"/>
      <c r="O1480" s="25"/>
    </row>
    <row r="1481" spans="7:15">
      <c r="G1481" s="25"/>
      <c r="O1481" s="25"/>
    </row>
    <row r="1482" spans="7:15">
      <c r="G1482" s="25"/>
      <c r="O1482" s="25"/>
    </row>
    <row r="1483" spans="7:15">
      <c r="G1483" s="25"/>
      <c r="O1483" s="25"/>
    </row>
    <row r="1484" spans="7:15">
      <c r="G1484" s="25"/>
      <c r="O1484" s="25"/>
    </row>
    <row r="1485" spans="7:15">
      <c r="G1485" s="25"/>
      <c r="O1485" s="25"/>
    </row>
    <row r="1486" spans="7:15">
      <c r="G1486" s="25"/>
      <c r="O1486" s="25"/>
    </row>
    <row r="1487" spans="7:15">
      <c r="G1487" s="25"/>
      <c r="O1487" s="25"/>
    </row>
    <row r="1488" spans="7:15">
      <c r="G1488" s="25"/>
      <c r="O1488" s="25"/>
    </row>
    <row r="1489" spans="7:15">
      <c r="G1489" s="25"/>
      <c r="O1489" s="25"/>
    </row>
    <row r="1490" spans="7:15">
      <c r="G1490" s="25"/>
      <c r="O1490" s="25"/>
    </row>
    <row r="1491" spans="7:15">
      <c r="G1491" s="25"/>
      <c r="O1491" s="25"/>
    </row>
    <row r="1492" spans="7:15">
      <c r="G1492" s="25"/>
      <c r="O1492" s="25"/>
    </row>
    <row r="1493" spans="7:15">
      <c r="G1493" s="25"/>
      <c r="O1493" s="25"/>
    </row>
    <row r="1494" spans="7:15">
      <c r="G1494" s="25"/>
      <c r="O1494" s="25"/>
    </row>
    <row r="1495" spans="7:15">
      <c r="G1495" s="25"/>
      <c r="O1495" s="25"/>
    </row>
    <row r="1496" spans="7:15">
      <c r="G1496" s="25"/>
      <c r="O1496" s="25"/>
    </row>
    <row r="1497" spans="7:15">
      <c r="G1497" s="25"/>
      <c r="O1497" s="25"/>
    </row>
    <row r="1498" spans="7:15">
      <c r="G1498" s="25"/>
      <c r="O1498" s="25"/>
    </row>
    <row r="1499" spans="7:15">
      <c r="G1499" s="25"/>
      <c r="O1499" s="25"/>
    </row>
    <row r="1500" spans="7:15">
      <c r="G1500" s="25"/>
      <c r="O1500" s="25"/>
    </row>
    <row r="1501" spans="7:15">
      <c r="G1501" s="25"/>
      <c r="O1501" s="25"/>
    </row>
    <row r="1502" spans="7:15">
      <c r="G1502" s="25"/>
      <c r="O1502" s="25"/>
    </row>
    <row r="1503" spans="7:15">
      <c r="G1503" s="25"/>
      <c r="O1503" s="25"/>
    </row>
    <row r="1504" spans="7:15">
      <c r="G1504" s="25"/>
      <c r="O1504" s="25"/>
    </row>
    <row r="1505" spans="7:15">
      <c r="G1505" s="25"/>
      <c r="O1505" s="25"/>
    </row>
    <row r="1506" spans="7:15">
      <c r="G1506" s="25"/>
      <c r="O1506" s="25"/>
    </row>
    <row r="1507" spans="7:15">
      <c r="G1507" s="25"/>
      <c r="O1507" s="25"/>
    </row>
    <row r="1508" spans="7:15">
      <c r="G1508" s="25"/>
      <c r="O1508" s="25"/>
    </row>
    <row r="1509" spans="7:15">
      <c r="G1509" s="25"/>
      <c r="O1509" s="25"/>
    </row>
    <row r="1510" spans="7:15">
      <c r="G1510" s="25"/>
      <c r="O1510" s="25"/>
    </row>
    <row r="1511" spans="7:15">
      <c r="G1511" s="25"/>
      <c r="O1511" s="25"/>
    </row>
    <row r="1512" spans="7:15">
      <c r="G1512" s="25"/>
      <c r="O1512" s="25"/>
    </row>
    <row r="1513" spans="7:15">
      <c r="G1513" s="25"/>
      <c r="O1513" s="25"/>
    </row>
    <row r="1514" spans="7:15">
      <c r="G1514" s="25"/>
      <c r="O1514" s="25"/>
    </row>
    <row r="1515" spans="7:15">
      <c r="G1515" s="25"/>
      <c r="O1515" s="25"/>
    </row>
    <row r="1516" spans="7:15">
      <c r="G1516" s="25"/>
      <c r="O1516" s="25"/>
    </row>
    <row r="1517" spans="7:15">
      <c r="G1517" s="25"/>
      <c r="O1517" s="25"/>
    </row>
    <row r="1518" spans="7:15">
      <c r="G1518" s="25"/>
      <c r="O1518" s="25"/>
    </row>
    <row r="1519" spans="7:15">
      <c r="G1519" s="25"/>
      <c r="O1519" s="25"/>
    </row>
    <row r="1520" spans="7:15">
      <c r="G1520" s="25"/>
      <c r="O1520" s="25"/>
    </row>
    <row r="1521" spans="7:15">
      <c r="G1521" s="25"/>
      <c r="O1521" s="25"/>
    </row>
    <row r="1522" spans="7:15">
      <c r="G1522" s="25"/>
      <c r="O1522" s="25"/>
    </row>
    <row r="1523" spans="7:15">
      <c r="G1523" s="25"/>
      <c r="O1523" s="25"/>
    </row>
    <row r="1524" spans="7:15">
      <c r="G1524" s="25"/>
      <c r="O1524" s="25"/>
    </row>
    <row r="1525" spans="7:15">
      <c r="G1525" s="25"/>
      <c r="O1525" s="25"/>
    </row>
    <row r="1526" spans="7:15">
      <c r="G1526" s="25"/>
      <c r="O1526" s="25"/>
    </row>
    <row r="1527" spans="7:15">
      <c r="G1527" s="25"/>
      <c r="O1527" s="25"/>
    </row>
    <row r="1528" spans="7:15">
      <c r="G1528" s="25"/>
      <c r="O1528" s="25"/>
    </row>
    <row r="1529" spans="7:15">
      <c r="G1529" s="25"/>
      <c r="O1529" s="25"/>
    </row>
    <row r="1530" spans="7:15">
      <c r="G1530" s="25"/>
      <c r="O1530" s="25"/>
    </row>
    <row r="1531" spans="7:15">
      <c r="G1531" s="25"/>
      <c r="O1531" s="25"/>
    </row>
    <row r="1532" spans="7:15">
      <c r="G1532" s="25"/>
      <c r="O1532" s="25"/>
    </row>
    <row r="1533" spans="7:15">
      <c r="G1533" s="25"/>
      <c r="O1533" s="25"/>
    </row>
    <row r="1534" spans="7:15">
      <c r="G1534" s="25"/>
      <c r="O1534" s="25"/>
    </row>
    <row r="1535" spans="7:15">
      <c r="G1535" s="25"/>
      <c r="O1535" s="25"/>
    </row>
    <row r="1536" spans="7:15">
      <c r="G1536" s="25"/>
      <c r="O1536" s="25"/>
    </row>
    <row r="1537" spans="7:15">
      <c r="G1537" s="25"/>
      <c r="O1537" s="25"/>
    </row>
    <row r="1538" spans="7:15">
      <c r="G1538" s="25"/>
      <c r="O1538" s="25"/>
    </row>
    <row r="1539" spans="7:15">
      <c r="G1539" s="25"/>
      <c r="O1539" s="25"/>
    </row>
    <row r="1540" spans="7:15">
      <c r="G1540" s="25"/>
      <c r="O1540" s="25"/>
    </row>
    <row r="1541" spans="7:15">
      <c r="G1541" s="25"/>
      <c r="O1541" s="25"/>
    </row>
    <row r="1542" spans="7:15">
      <c r="G1542" s="25"/>
      <c r="O1542" s="25"/>
    </row>
    <row r="1543" spans="7:15">
      <c r="G1543" s="25"/>
      <c r="O1543" s="25"/>
    </row>
    <row r="1544" spans="7:15">
      <c r="G1544" s="25"/>
      <c r="O1544" s="25"/>
    </row>
    <row r="1545" spans="7:15">
      <c r="G1545" s="25"/>
      <c r="O1545" s="25"/>
    </row>
    <row r="1546" spans="7:15">
      <c r="G1546" s="25"/>
      <c r="O1546" s="25"/>
    </row>
    <row r="1547" spans="7:15">
      <c r="G1547" s="25"/>
      <c r="O1547" s="25"/>
    </row>
    <row r="1548" spans="7:15">
      <c r="G1548" s="25"/>
      <c r="O1548" s="25"/>
    </row>
    <row r="1549" spans="7:15">
      <c r="G1549" s="25"/>
      <c r="O1549" s="25"/>
    </row>
    <row r="1550" spans="7:15">
      <c r="G1550" s="25"/>
      <c r="O1550" s="25"/>
    </row>
    <row r="1551" spans="7:15">
      <c r="G1551" s="25"/>
      <c r="O1551" s="25"/>
    </row>
    <row r="1552" spans="7:15">
      <c r="G1552" s="25"/>
      <c r="O1552" s="25"/>
    </row>
    <row r="1553" spans="7:15">
      <c r="G1553" s="25"/>
      <c r="O1553" s="25"/>
    </row>
    <row r="1554" spans="7:15">
      <c r="G1554" s="25"/>
      <c r="O1554" s="25"/>
    </row>
    <row r="1555" spans="7:15">
      <c r="G1555" s="25"/>
      <c r="O1555" s="25"/>
    </row>
    <row r="1556" spans="7:15">
      <c r="G1556" s="25"/>
      <c r="O1556" s="25"/>
    </row>
    <row r="1557" spans="7:15">
      <c r="G1557" s="25"/>
      <c r="O1557" s="25"/>
    </row>
    <row r="1558" spans="7:15">
      <c r="G1558" s="25"/>
      <c r="O1558" s="25"/>
    </row>
    <row r="1559" spans="7:15">
      <c r="G1559" s="25"/>
      <c r="O1559" s="25"/>
    </row>
    <row r="1560" spans="7:15">
      <c r="G1560" s="25"/>
      <c r="O1560" s="25"/>
    </row>
    <row r="1561" spans="7:15">
      <c r="G1561" s="25"/>
      <c r="O1561" s="25"/>
    </row>
    <row r="1562" spans="7:15">
      <c r="G1562" s="25"/>
      <c r="O1562" s="25"/>
    </row>
    <row r="1563" spans="7:15">
      <c r="G1563" s="25"/>
      <c r="O1563" s="25"/>
    </row>
    <row r="1564" spans="7:15">
      <c r="G1564" s="25"/>
      <c r="O1564" s="25"/>
    </row>
    <row r="1565" spans="7:15">
      <c r="G1565" s="25"/>
      <c r="O1565" s="25"/>
    </row>
    <row r="1566" spans="7:15">
      <c r="G1566" s="25"/>
      <c r="O1566" s="25"/>
    </row>
    <row r="1567" spans="7:15">
      <c r="G1567" s="25"/>
      <c r="O1567" s="25"/>
    </row>
    <row r="1568" spans="7:15">
      <c r="G1568" s="25"/>
      <c r="O1568" s="25"/>
    </row>
    <row r="1569" spans="7:15">
      <c r="G1569" s="25"/>
      <c r="O1569" s="25"/>
    </row>
    <row r="1570" spans="7:15">
      <c r="G1570" s="25"/>
      <c r="O1570" s="25"/>
    </row>
    <row r="1571" spans="7:15">
      <c r="G1571" s="25"/>
      <c r="O1571" s="25"/>
    </row>
    <row r="1572" spans="7:15">
      <c r="G1572" s="25"/>
      <c r="O1572" s="25"/>
    </row>
    <row r="1573" spans="7:15">
      <c r="G1573" s="25"/>
      <c r="O1573" s="25"/>
    </row>
    <row r="1574" spans="7:15">
      <c r="G1574" s="25"/>
      <c r="O1574" s="25"/>
    </row>
    <row r="1575" spans="7:15">
      <c r="G1575" s="25"/>
      <c r="O1575" s="25"/>
    </row>
    <row r="1576" spans="7:15">
      <c r="G1576" s="25"/>
      <c r="O1576" s="25"/>
    </row>
    <row r="1577" spans="7:15">
      <c r="G1577" s="25"/>
      <c r="O1577" s="25"/>
    </row>
    <row r="1578" spans="7:15">
      <c r="G1578" s="25"/>
      <c r="O1578" s="25"/>
    </row>
    <row r="1579" spans="7:15">
      <c r="G1579" s="25"/>
      <c r="O1579" s="25"/>
    </row>
    <row r="1580" spans="7:15">
      <c r="G1580" s="25"/>
      <c r="O1580" s="25"/>
    </row>
    <row r="1581" spans="7:15">
      <c r="G1581" s="25"/>
      <c r="O1581" s="25"/>
    </row>
    <row r="1582" spans="7:15">
      <c r="G1582" s="25"/>
      <c r="O1582" s="25"/>
    </row>
    <row r="1583" spans="7:15">
      <c r="G1583" s="25"/>
      <c r="O1583" s="25"/>
    </row>
    <row r="1584" spans="7:15">
      <c r="G1584" s="25"/>
      <c r="O1584" s="25"/>
    </row>
  </sheetData>
  <sortState xmlns:xlrd2="http://schemas.microsoft.com/office/spreadsheetml/2017/richdata2" ref="Q247:Q337">
    <sortCondition ref="Q247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11</v>
      </c>
      <c r="C2" s="4"/>
      <c r="D2" s="4"/>
      <c r="E2" s="4"/>
      <c r="F2" s="4"/>
      <c r="G2" s="3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12</v>
      </c>
      <c r="C3" s="8"/>
      <c r="D3" s="8"/>
      <c r="E3" s="8"/>
      <c r="F3" s="9"/>
      <c r="G3" s="10" t="s">
        <v>13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12</v>
      </c>
      <c r="C4" s="13"/>
      <c r="D4" s="13"/>
      <c r="E4" s="13"/>
      <c r="F4" s="14"/>
      <c r="G4" s="15" t="s">
        <v>14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12</v>
      </c>
      <c r="C5" s="13"/>
      <c r="D5" s="13"/>
      <c r="E5" s="13"/>
      <c r="F5" s="14"/>
      <c r="G5" s="17" t="s">
        <v>13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12</v>
      </c>
      <c r="C6" s="13"/>
      <c r="D6" s="13"/>
      <c r="E6" s="13"/>
      <c r="F6" s="14"/>
      <c r="G6" s="15" t="s">
        <v>14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12</v>
      </c>
      <c r="C7" s="13"/>
      <c r="D7" s="13"/>
      <c r="E7" s="13"/>
      <c r="F7" s="14"/>
      <c r="G7" s="17" t="s">
        <v>13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12</v>
      </c>
      <c r="C8" s="20"/>
      <c r="D8" s="20"/>
      <c r="E8" s="20"/>
      <c r="F8" s="21"/>
      <c r="G8" s="22" t="s">
        <v>14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2026-01-10T05:43:18Z</dcterms:modified>
</cp:coreProperties>
</file>